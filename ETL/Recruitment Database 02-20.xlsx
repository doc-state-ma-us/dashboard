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namedSheetViews/namedSheetView3.xml" ContentType="application/vnd.ms-excel.namedsheetviews+xml"/>
  <Override PartName="/xl/tables/table4.xml" ContentType="application/vnd.openxmlformats-officedocument.spreadsheetml.table+xml"/>
  <Override PartName="/xl/namedSheetViews/namedSheetView4.xml" ContentType="application/vnd.ms-excel.namedsheetview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namedSheetViews/namedSheetView5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ssgov-my.sharepoint.com/personal/saurav_kumar2_doc_state_ma_us/Documents/Analysis/Recuitment/Excel database/Dashboard/ETL/"/>
    </mc:Choice>
  </mc:AlternateContent>
  <xr:revisionPtr revIDLastSave="2" documentId="8_{268CD369-5859-49E1-9ACC-1A643EF5C75D}" xr6:coauthVersionLast="47" xr6:coauthVersionMax="47" xr10:uidLastSave="{84A4DD7D-0652-41FB-8353-5AD731363730}"/>
  <bookViews>
    <workbookView xWindow="-120" yWindow="-120" windowWidth="29040" windowHeight="15840" tabRatio="931" activeTab="2" xr2:uid="{1C34B6BE-8435-4504-BB7C-7D173B522A11}"/>
  </bookViews>
  <sheets>
    <sheet name="Master" sheetId="1" r:id="rId1"/>
    <sheet name="Daily Outreach Log" sheetId="3" r:id="rId2"/>
    <sheet name=" Recruitment Exam Tracker" sheetId="4" r:id="rId3"/>
    <sheet name="Civil Service Eligible list " sheetId="5" r:id="rId4"/>
    <sheet name="Lists" sheetId="2" state="hidden" r:id="rId5"/>
    <sheet name="Onboarding" sheetId="6" r:id="rId6"/>
    <sheet name="Exam Follow Up" sheetId="9" r:id="rId7"/>
    <sheet name="Outreach Log Follow Up" sheetId="7" r:id="rId8"/>
  </sheets>
  <definedNames>
    <definedName name="Available_Unique_IDs">Lists!$D$1</definedName>
    <definedName name="Cyclestagelist">tblActionOutcome[Cycle Stage]</definedName>
    <definedName name="ExamCycleStageList">Lists!$S$2:$S$33</definedName>
    <definedName name="ExamOutcomeList">Lists!$T$2:$T$33</definedName>
    <definedName name="Outcomelist">tblActionOutcome[Outcome]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1" i="4" l="1"/>
  <c r="R491" i="4"/>
  <c r="S491" i="4" s="1"/>
  <c r="Q490" i="4"/>
  <c r="R490" i="4"/>
  <c r="S490" i="4" s="1"/>
  <c r="P515" i="3"/>
  <c r="Q515" i="3"/>
  <c r="R515" i="3" s="1"/>
  <c r="P514" i="3"/>
  <c r="Q514" i="3"/>
  <c r="R514" i="3" s="1"/>
  <c r="Q489" i="4"/>
  <c r="R489" i="4"/>
  <c r="R488" i="4"/>
  <c r="Q488" i="4"/>
  <c r="P513" i="3"/>
  <c r="Q513" i="3"/>
  <c r="P512" i="3"/>
  <c r="Q512" i="3"/>
  <c r="R487" i="4"/>
  <c r="S487" i="4" s="1"/>
  <c r="Q487" i="4"/>
  <c r="Q511" i="3"/>
  <c r="P511" i="3"/>
  <c r="P510" i="3"/>
  <c r="Q510" i="3"/>
  <c r="L1957" i="1"/>
  <c r="A1957" i="1" s="1" a="1"/>
  <c r="A1957" i="1" s="1"/>
  <c r="R486" i="4"/>
  <c r="S486" i="4" s="1"/>
  <c r="Q486" i="4"/>
  <c r="Q509" i="3"/>
  <c r="P509" i="3"/>
  <c r="P508" i="3"/>
  <c r="Q508" i="3"/>
  <c r="Q485" i="4"/>
  <c r="R485" i="4"/>
  <c r="S485" i="4" s="1"/>
  <c r="L1956" i="1"/>
  <c r="A1956" i="1" s="1" a="1"/>
  <c r="A1956" i="1" s="1"/>
  <c r="L1955" i="1"/>
  <c r="A1955" i="1" s="1" a="1"/>
  <c r="A1955" i="1" s="1"/>
  <c r="Q484" i="4"/>
  <c r="R484" i="4"/>
  <c r="S484" i="4" s="1"/>
  <c r="Q483" i="4"/>
  <c r="R483" i="4"/>
  <c r="S483" i="4" s="1"/>
  <c r="Q482" i="4"/>
  <c r="R482" i="4"/>
  <c r="S482" i="4" s="1"/>
  <c r="Q481" i="4"/>
  <c r="R481" i="4"/>
  <c r="S481" i="4" s="1"/>
  <c r="Q480" i="4"/>
  <c r="R480" i="4"/>
  <c r="S480" i="4" s="1"/>
  <c r="Q479" i="4"/>
  <c r="R479" i="4"/>
  <c r="S479" i="4" s="1"/>
  <c r="Q478" i="4"/>
  <c r="R478" i="4"/>
  <c r="S478" i="4" s="1"/>
  <c r="Q477" i="4"/>
  <c r="R477" i="4"/>
  <c r="S477" i="4" s="1"/>
  <c r="Q476" i="4"/>
  <c r="R476" i="4"/>
  <c r="S476" i="4" s="1"/>
  <c r="Q475" i="4"/>
  <c r="R475" i="4"/>
  <c r="S475" i="4" s="1"/>
  <c r="R474" i="4"/>
  <c r="S474" i="4" s="1"/>
  <c r="Q474" i="4"/>
  <c r="Q473" i="4"/>
  <c r="R473" i="4"/>
  <c r="S473" i="4" s="1"/>
  <c r="Q472" i="4"/>
  <c r="R472" i="4"/>
  <c r="S472" i="4" s="1"/>
  <c r="Q471" i="4"/>
  <c r="R471" i="4"/>
  <c r="S471" i="4" s="1"/>
  <c r="Q470" i="4"/>
  <c r="R470" i="4"/>
  <c r="S470" i="4" s="1"/>
  <c r="P507" i="3"/>
  <c r="Q507" i="3"/>
  <c r="Q469" i="4"/>
  <c r="R469" i="4"/>
  <c r="S469" i="4" s="1"/>
  <c r="Q468" i="4"/>
  <c r="R468" i="4"/>
  <c r="S468" i="4" s="1"/>
  <c r="Q467" i="4"/>
  <c r="R467" i="4"/>
  <c r="S467" i="4" s="1"/>
  <c r="Q466" i="4"/>
  <c r="R466" i="4"/>
  <c r="S466" i="4" s="1"/>
  <c r="Q465" i="4"/>
  <c r="R465" i="4"/>
  <c r="S465" i="4" s="1"/>
  <c r="Q464" i="4"/>
  <c r="R464" i="4"/>
  <c r="S464" i="4" s="1"/>
  <c r="Q463" i="4"/>
  <c r="R463" i="4"/>
  <c r="S463" i="4" s="1"/>
  <c r="Q462" i="4"/>
  <c r="R462" i="4"/>
  <c r="S462" i="4" s="1"/>
  <c r="Q461" i="4"/>
  <c r="R461" i="4"/>
  <c r="S461" i="4" s="1"/>
  <c r="Q460" i="4"/>
  <c r="R460" i="4"/>
  <c r="S460" i="4" s="1"/>
  <c r="Q459" i="4"/>
  <c r="R459" i="4"/>
  <c r="S459" i="4" s="1"/>
  <c r="Q506" i="3"/>
  <c r="P506" i="3"/>
  <c r="Q458" i="4"/>
  <c r="R458" i="4"/>
  <c r="S458" i="4" s="1"/>
  <c r="Q457" i="4"/>
  <c r="R457" i="4"/>
  <c r="S457" i="4" s="1"/>
  <c r="Q456" i="4"/>
  <c r="R456" i="4"/>
  <c r="S456" i="4" s="1"/>
  <c r="R455" i="4"/>
  <c r="Q455" i="4"/>
  <c r="Q454" i="4"/>
  <c r="R454" i="4"/>
  <c r="S454" i="4" s="1"/>
  <c r="Q453" i="4"/>
  <c r="R453" i="4"/>
  <c r="S453" i="4" s="1"/>
  <c r="Q452" i="4"/>
  <c r="R452" i="4"/>
  <c r="S452" i="4" s="1"/>
  <c r="L1954" i="1"/>
  <c r="A1954" i="1" s="1" a="1"/>
  <c r="A1954" i="1" s="1"/>
  <c r="Q451" i="4"/>
  <c r="R451" i="4"/>
  <c r="S451" i="4" s="1"/>
  <c r="Q450" i="4"/>
  <c r="R450" i="4"/>
  <c r="S450" i="4" s="1"/>
  <c r="Q449" i="4"/>
  <c r="R449" i="4"/>
  <c r="S449" i="4" s="1"/>
  <c r="Q448" i="4"/>
  <c r="R448" i="4"/>
  <c r="S448" i="4" s="1"/>
  <c r="Q447" i="4"/>
  <c r="R447" i="4"/>
  <c r="S447" i="4" s="1"/>
  <c r="Q446" i="4"/>
  <c r="R446" i="4"/>
  <c r="S446" i="4" s="1"/>
  <c r="L1953" i="1"/>
  <c r="A1953" i="1" s="1" a="1"/>
  <c r="A1953" i="1" s="1"/>
  <c r="Q445" i="4"/>
  <c r="R445" i="4"/>
  <c r="S445" i="4" s="1"/>
  <c r="Q444" i="4"/>
  <c r="R444" i="4"/>
  <c r="S444" i="4" s="1"/>
  <c r="Q443" i="4"/>
  <c r="R443" i="4"/>
  <c r="S443" i="4" s="1"/>
  <c r="Q442" i="4"/>
  <c r="R442" i="4"/>
  <c r="S442" i="4" s="1"/>
  <c r="Q441" i="4"/>
  <c r="R441" i="4"/>
  <c r="S441" i="4" s="1"/>
  <c r="Q440" i="4"/>
  <c r="R440" i="4"/>
  <c r="S440" i="4" s="1"/>
  <c r="Q439" i="4"/>
  <c r="R439" i="4"/>
  <c r="S439" i="4" s="1"/>
  <c r="Q438" i="4"/>
  <c r="R438" i="4"/>
  <c r="S438" i="4" s="1"/>
  <c r="Q437" i="4"/>
  <c r="R437" i="4"/>
  <c r="S437" i="4" s="1"/>
  <c r="Q436" i="4"/>
  <c r="R436" i="4"/>
  <c r="S436" i="4" s="1"/>
  <c r="Q435" i="4"/>
  <c r="R435" i="4"/>
  <c r="S435" i="4" s="1"/>
  <c r="Q434" i="4"/>
  <c r="R434" i="4"/>
  <c r="S434" i="4" s="1"/>
  <c r="Q433" i="4"/>
  <c r="R433" i="4"/>
  <c r="S433" i="4" s="1"/>
  <c r="Q505" i="3"/>
  <c r="R505" i="3" s="1"/>
  <c r="P505" i="3"/>
  <c r="Q432" i="4"/>
  <c r="R432" i="4"/>
  <c r="S432" i="4" s="1"/>
  <c r="Q431" i="4"/>
  <c r="R431" i="4"/>
  <c r="S431" i="4" s="1"/>
  <c r="Q430" i="4"/>
  <c r="R430" i="4"/>
  <c r="S430" i="4" s="1"/>
  <c r="Q429" i="4"/>
  <c r="R429" i="4"/>
  <c r="S429" i="4" s="1"/>
  <c r="Q428" i="4"/>
  <c r="R428" i="4"/>
  <c r="S428" i="4" s="1"/>
  <c r="Q427" i="4"/>
  <c r="R427" i="4"/>
  <c r="S427" i="4" s="1"/>
  <c r="Q426" i="4"/>
  <c r="R426" i="4"/>
  <c r="S426" i="4" s="1"/>
  <c r="Q425" i="4"/>
  <c r="R425" i="4"/>
  <c r="S425" i="4" s="1"/>
  <c r="Q424" i="4"/>
  <c r="R424" i="4"/>
  <c r="S424" i="4" s="1"/>
  <c r="Q423" i="4"/>
  <c r="R423" i="4"/>
  <c r="S423" i="4" s="1"/>
  <c r="Q422" i="4"/>
  <c r="R422" i="4"/>
  <c r="S422" i="4" s="1"/>
  <c r="Q421" i="4"/>
  <c r="R421" i="4"/>
  <c r="S421" i="4" s="1"/>
  <c r="Q420" i="4"/>
  <c r="R420" i="4"/>
  <c r="S420" i="4" s="1"/>
  <c r="Q419" i="4"/>
  <c r="R419" i="4"/>
  <c r="S419" i="4" s="1"/>
  <c r="Q418" i="4"/>
  <c r="R418" i="4"/>
  <c r="S418" i="4" s="1"/>
  <c r="Q417" i="4"/>
  <c r="R417" i="4"/>
  <c r="S417" i="4" s="1"/>
  <c r="R416" i="4"/>
  <c r="S416" i="4" s="1"/>
  <c r="Q416" i="4"/>
  <c r="R415" i="4"/>
  <c r="S415" i="4" s="1"/>
  <c r="Q415" i="4"/>
  <c r="P504" i="3"/>
  <c r="Q504" i="3"/>
  <c r="P503" i="3"/>
  <c r="Q503" i="3"/>
  <c r="P502" i="3"/>
  <c r="Q502" i="3"/>
  <c r="R414" i="4"/>
  <c r="S414" i="4" s="1"/>
  <c r="Q414" i="4"/>
  <c r="R413" i="4"/>
  <c r="S413" i="4" s="1"/>
  <c r="Q413" i="4"/>
  <c r="R412" i="4"/>
  <c r="Q412" i="4"/>
  <c r="P501" i="3"/>
  <c r="Q501" i="3"/>
  <c r="P500" i="3"/>
  <c r="Q500" i="3"/>
  <c r="P499" i="3"/>
  <c r="Q499" i="3"/>
  <c r="R411" i="4"/>
  <c r="S411" i="4" s="1"/>
  <c r="Q411" i="4"/>
  <c r="Q410" i="4"/>
  <c r="R410" i="4"/>
  <c r="S410" i="4" s="1"/>
  <c r="R409" i="4"/>
  <c r="S409" i="4" s="1"/>
  <c r="Q409" i="4"/>
  <c r="P498" i="3"/>
  <c r="Q498" i="3"/>
  <c r="R408" i="4"/>
  <c r="S408" i="4" s="1"/>
  <c r="Q408" i="4"/>
  <c r="R407" i="4"/>
  <c r="S407" i="4" s="1"/>
  <c r="Q407" i="4"/>
  <c r="P497" i="3"/>
  <c r="Q497" i="3"/>
  <c r="R406" i="4"/>
  <c r="S406" i="4" s="1"/>
  <c r="Q406" i="4"/>
  <c r="Q405" i="4"/>
  <c r="R405" i="4"/>
  <c r="S405" i="4" s="1"/>
  <c r="Q404" i="4"/>
  <c r="R404" i="4"/>
  <c r="S404" i="4" s="1"/>
  <c r="Q403" i="4"/>
  <c r="R403" i="4"/>
  <c r="S403" i="4" s="1"/>
  <c r="Q402" i="4"/>
  <c r="R402" i="4"/>
  <c r="S402" i="4" s="1"/>
  <c r="R401" i="4"/>
  <c r="S401" i="4" s="1"/>
  <c r="Q401" i="4"/>
  <c r="Q400" i="4"/>
  <c r="R400" i="4"/>
  <c r="S400" i="4" s="1"/>
  <c r="Q496" i="3"/>
  <c r="P496" i="3"/>
  <c r="Q495" i="3"/>
  <c r="P495" i="3"/>
  <c r="Q494" i="3"/>
  <c r="P494" i="3"/>
  <c r="Q399" i="4"/>
  <c r="R399" i="4"/>
  <c r="S399" i="4" s="1"/>
  <c r="Q398" i="4"/>
  <c r="R398" i="4"/>
  <c r="S398" i="4" s="1"/>
  <c r="L1952" i="1"/>
  <c r="A1952" i="1" s="1" a="1"/>
  <c r="A1952" i="1" s="1"/>
  <c r="Q397" i="4"/>
  <c r="R397" i="4"/>
  <c r="S397" i="4" s="1"/>
  <c r="Q493" i="3"/>
  <c r="P493" i="3"/>
  <c r="Q396" i="4"/>
  <c r="R396" i="4"/>
  <c r="S396" i="4" s="1"/>
  <c r="Q395" i="4"/>
  <c r="R395" i="4"/>
  <c r="S395" i="4" s="1"/>
  <c r="Q492" i="3"/>
  <c r="P492" i="3"/>
  <c r="Q394" i="4"/>
  <c r="R394" i="4"/>
  <c r="S394" i="4" s="1"/>
  <c r="R393" i="4"/>
  <c r="S393" i="4" s="1"/>
  <c r="Q393" i="4"/>
  <c r="Q392" i="4"/>
  <c r="R392" i="4"/>
  <c r="S392" i="4" s="1"/>
  <c r="Q491" i="3"/>
  <c r="P491" i="3"/>
  <c r="R391" i="4"/>
  <c r="S391" i="4" s="1"/>
  <c r="Q391" i="4"/>
  <c r="Q490" i="3"/>
  <c r="P490" i="3"/>
  <c r="Q390" i="4"/>
  <c r="R390" i="4"/>
  <c r="S390" i="4" s="1"/>
  <c r="Q489" i="3"/>
  <c r="P489" i="3"/>
  <c r="Q389" i="4"/>
  <c r="R389" i="4"/>
  <c r="S389" i="4" s="1"/>
  <c r="Q388" i="4"/>
  <c r="R388" i="4"/>
  <c r="S388" i="4" s="1"/>
  <c r="Q488" i="3"/>
  <c r="P488" i="3"/>
  <c r="Q387" i="4"/>
  <c r="R387" i="4"/>
  <c r="S387" i="4" s="1"/>
  <c r="Q487" i="3"/>
  <c r="P487" i="3"/>
  <c r="Q386" i="4"/>
  <c r="R386" i="4"/>
  <c r="S386" i="4" s="1"/>
  <c r="Q486" i="3"/>
  <c r="P486" i="3"/>
  <c r="Q385" i="4"/>
  <c r="R385" i="4"/>
  <c r="S385" i="4" s="1"/>
  <c r="P485" i="3"/>
  <c r="Q485" i="3"/>
  <c r="L1951" i="1"/>
  <c r="A1951" i="1" s="1" a="1"/>
  <c r="A1951" i="1" s="1"/>
  <c r="P484" i="3"/>
  <c r="Q484" i="3"/>
  <c r="L1950" i="1"/>
  <c r="A1950" i="1" s="1" a="1"/>
  <c r="A1950" i="1" s="1"/>
  <c r="L1949" i="1"/>
  <c r="A1949" i="1" s="1" a="1"/>
  <c r="A1949" i="1" s="1"/>
  <c r="L1948" i="1"/>
  <c r="A1948" i="1" s="1" a="1"/>
  <c r="A1948" i="1" s="1"/>
  <c r="L1947" i="1"/>
  <c r="A1947" i="1" s="1" a="1"/>
  <c r="A1947" i="1" s="1"/>
  <c r="Q384" i="4"/>
  <c r="R384" i="4"/>
  <c r="S384" i="4" s="1"/>
  <c r="Q383" i="4"/>
  <c r="R383" i="4"/>
  <c r="S383" i="4" s="1"/>
  <c r="Q382" i="4"/>
  <c r="R382" i="4"/>
  <c r="S382" i="4"/>
  <c r="Q381" i="4"/>
  <c r="R381" i="4"/>
  <c r="S381" i="4" s="1"/>
  <c r="Q380" i="4"/>
  <c r="R380" i="4"/>
  <c r="S380" i="4" s="1"/>
  <c r="Q379" i="4"/>
  <c r="R379" i="4"/>
  <c r="S379" i="4" s="1"/>
  <c r="Q378" i="4"/>
  <c r="R378" i="4"/>
  <c r="S378" i="4" s="1"/>
  <c r="Q377" i="4"/>
  <c r="R377" i="4"/>
  <c r="S377" i="4" s="1"/>
  <c r="R376" i="4"/>
  <c r="S376" i="4" s="1"/>
  <c r="Q376" i="4"/>
  <c r="R375" i="4"/>
  <c r="S375" i="4" s="1"/>
  <c r="Q375" i="4"/>
  <c r="R374" i="4"/>
  <c r="S374" i="4" s="1"/>
  <c r="Q374" i="4"/>
  <c r="R373" i="4"/>
  <c r="S373" i="4" s="1"/>
  <c r="Q373" i="4"/>
  <c r="R372" i="4"/>
  <c r="Q372" i="4"/>
  <c r="P483" i="3"/>
  <c r="Q483" i="3"/>
  <c r="L1946" i="1"/>
  <c r="A1946" i="1" s="1" a="1"/>
  <c r="A1946" i="1" s="1"/>
  <c r="P482" i="3"/>
  <c r="Q482" i="3"/>
  <c r="P481" i="3"/>
  <c r="Q481" i="3"/>
  <c r="P480" i="3"/>
  <c r="Q480" i="3"/>
  <c r="L1945" i="1"/>
  <c r="P479" i="3"/>
  <c r="Q479" i="3"/>
  <c r="P478" i="3"/>
  <c r="Q478" i="3"/>
  <c r="L1944" i="1"/>
  <c r="A1944" i="1" s="1" a="1"/>
  <c r="A1944" i="1" s="1"/>
  <c r="L1943" i="1"/>
  <c r="A1943" i="1" s="1" a="1"/>
  <c r="A1943" i="1" s="1"/>
  <c r="Q371" i="4"/>
  <c r="R371" i="4"/>
  <c r="L1942" i="1"/>
  <c r="A1942" i="1" s="1" a="1"/>
  <c r="A1942" i="1" s="1"/>
  <c r="Q477" i="3"/>
  <c r="P477" i="3"/>
  <c r="Q476" i="3"/>
  <c r="R476" i="3" s="1"/>
  <c r="P476" i="3"/>
  <c r="L1941" i="1"/>
  <c r="A1941" i="1" s="1" a="1"/>
  <c r="A1941" i="1" s="1"/>
  <c r="P475" i="3"/>
  <c r="Q475" i="3"/>
  <c r="Q474" i="3"/>
  <c r="P474" i="3"/>
  <c r="Q473" i="3"/>
  <c r="P473" i="3"/>
  <c r="P472" i="3"/>
  <c r="Q472" i="3"/>
  <c r="P471" i="3"/>
  <c r="Q471" i="3"/>
  <c r="P470" i="3"/>
  <c r="Q470" i="3"/>
  <c r="P469" i="3"/>
  <c r="Q469" i="3"/>
  <c r="P468" i="3"/>
  <c r="Q468" i="3"/>
  <c r="R468" i="3" s="1"/>
  <c r="L1940" i="1"/>
  <c r="A1940" i="1" s="1" a="1"/>
  <c r="A1940" i="1" s="1"/>
  <c r="L1939" i="1"/>
  <c r="A1939" i="1" s="1" a="1"/>
  <c r="A1939" i="1" s="1"/>
  <c r="L1938" i="1"/>
  <c r="A1938" i="1" s="1" a="1"/>
  <c r="A1938" i="1" s="1"/>
  <c r="L1937" i="1"/>
  <c r="A1937" i="1" s="1" a="1"/>
  <c r="A1937" i="1" s="1"/>
  <c r="L1936" i="1"/>
  <c r="A1936" i="1" s="1" a="1"/>
  <c r="A1936" i="1" s="1"/>
  <c r="L1935" i="1"/>
  <c r="A1935" i="1" s="1" a="1"/>
  <c r="A1935" i="1" s="1"/>
  <c r="L1934" i="1"/>
  <c r="A1934" i="1" s="1" a="1"/>
  <c r="A1934" i="1" s="1"/>
  <c r="Q467" i="3"/>
  <c r="P467" i="3"/>
  <c r="Q466" i="3"/>
  <c r="R466" i="3" s="1"/>
  <c r="P466" i="3"/>
  <c r="R370" i="4"/>
  <c r="Q370" i="4"/>
  <c r="P465" i="3"/>
  <c r="Q465" i="3"/>
  <c r="P464" i="3"/>
  <c r="Q464" i="3"/>
  <c r="P463" i="3"/>
  <c r="Q463" i="3"/>
  <c r="P462" i="3"/>
  <c r="Q462" i="3"/>
  <c r="P461" i="3"/>
  <c r="Q461" i="3"/>
  <c r="P460" i="3"/>
  <c r="Q460" i="3"/>
  <c r="P459" i="3"/>
  <c r="Q459" i="3"/>
  <c r="P458" i="3"/>
  <c r="Q458" i="3"/>
  <c r="P457" i="3"/>
  <c r="Q457" i="3"/>
  <c r="P456" i="3"/>
  <c r="Q456" i="3"/>
  <c r="P455" i="3"/>
  <c r="Q455" i="3"/>
  <c r="P454" i="3"/>
  <c r="Q454" i="3"/>
  <c r="P453" i="3"/>
  <c r="Q453" i="3"/>
  <c r="P452" i="3"/>
  <c r="Q452" i="3"/>
  <c r="P451" i="3"/>
  <c r="Q451" i="3"/>
  <c r="P450" i="3"/>
  <c r="Q450" i="3"/>
  <c r="P449" i="3"/>
  <c r="Q449" i="3"/>
  <c r="P448" i="3"/>
  <c r="Q448" i="3"/>
  <c r="P447" i="3"/>
  <c r="Q447" i="3"/>
  <c r="P446" i="3"/>
  <c r="Q446" i="3"/>
  <c r="P445" i="3"/>
  <c r="Q445" i="3"/>
  <c r="P444" i="3"/>
  <c r="Q444" i="3"/>
  <c r="P443" i="3"/>
  <c r="Q443" i="3"/>
  <c r="P442" i="3"/>
  <c r="Q442" i="3"/>
  <c r="P441" i="3"/>
  <c r="Q441" i="3"/>
  <c r="P440" i="3"/>
  <c r="Q440" i="3"/>
  <c r="L1933" i="1"/>
  <c r="A1933" i="1" s="1" a="1"/>
  <c r="A1933" i="1" s="1"/>
  <c r="P439" i="3"/>
  <c r="Q439" i="3"/>
  <c r="Q369" i="4"/>
  <c r="R369" i="4"/>
  <c r="P438" i="3"/>
  <c r="Q438" i="3"/>
  <c r="P437" i="3"/>
  <c r="Q437" i="3"/>
  <c r="P436" i="3"/>
  <c r="Q436" i="3"/>
  <c r="P435" i="3"/>
  <c r="Q435" i="3"/>
  <c r="P434" i="3"/>
  <c r="Q434" i="3"/>
  <c r="P433" i="3"/>
  <c r="Q433" i="3"/>
  <c r="L1932" i="1"/>
  <c r="A1932" i="1" s="1" a="1"/>
  <c r="A1932" i="1" s="1"/>
  <c r="P432" i="3"/>
  <c r="Q432" i="3"/>
  <c r="P431" i="3"/>
  <c r="Q431" i="3"/>
  <c r="P430" i="3"/>
  <c r="Q430" i="3"/>
  <c r="P429" i="3"/>
  <c r="Q429" i="3"/>
  <c r="P428" i="3"/>
  <c r="Q428" i="3"/>
  <c r="P427" i="3"/>
  <c r="Q427" i="3"/>
  <c r="P426" i="3"/>
  <c r="Q426" i="3"/>
  <c r="P425" i="3"/>
  <c r="Q425" i="3"/>
  <c r="P424" i="3"/>
  <c r="Q424" i="3"/>
  <c r="L1931" i="1"/>
  <c r="A1931" i="1" s="1" a="1"/>
  <c r="A1931" i="1" s="1"/>
  <c r="P423" i="3"/>
  <c r="Q423" i="3"/>
  <c r="P422" i="3"/>
  <c r="Q422" i="3"/>
  <c r="P421" i="3"/>
  <c r="Q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P413" i="3"/>
  <c r="Q413" i="3"/>
  <c r="P412" i="3"/>
  <c r="Q412" i="3"/>
  <c r="P411" i="3"/>
  <c r="Q411" i="3"/>
  <c r="P410" i="3"/>
  <c r="Q410" i="3"/>
  <c r="Q409" i="3"/>
  <c r="P409" i="3"/>
  <c r="P408" i="3"/>
  <c r="R408" i="3" s="1"/>
  <c r="Q408" i="3"/>
  <c r="P407" i="3"/>
  <c r="Q407" i="3"/>
  <c r="P406" i="3"/>
  <c r="Q406" i="3"/>
  <c r="L1930" i="1"/>
  <c r="A1930" i="1" s="1" a="1"/>
  <c r="A1930" i="1" s="1"/>
  <c r="P405" i="3"/>
  <c r="Q405" i="3"/>
  <c r="P404" i="3"/>
  <c r="Q404" i="3"/>
  <c r="P403" i="3"/>
  <c r="Q403" i="3"/>
  <c r="P402" i="3"/>
  <c r="Q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L1929" i="1"/>
  <c r="A1929" i="1" s="1" a="1"/>
  <c r="A1929" i="1" s="1"/>
  <c r="P391" i="3"/>
  <c r="Q391" i="3"/>
  <c r="P390" i="3"/>
  <c r="Q390" i="3"/>
  <c r="P389" i="3"/>
  <c r="Q389" i="3"/>
  <c r="P388" i="3"/>
  <c r="Q388" i="3"/>
  <c r="P387" i="3"/>
  <c r="Q387" i="3"/>
  <c r="P386" i="3"/>
  <c r="Q386" i="3"/>
  <c r="P385" i="3"/>
  <c r="Q385" i="3"/>
  <c r="P384" i="3"/>
  <c r="Q384" i="3"/>
  <c r="P383" i="3"/>
  <c r="Q383" i="3"/>
  <c r="P382" i="3"/>
  <c r="Q382" i="3"/>
  <c r="P381" i="3"/>
  <c r="Q381" i="3"/>
  <c r="P380" i="3"/>
  <c r="Q380" i="3"/>
  <c r="P379" i="3"/>
  <c r="Q379" i="3"/>
  <c r="P378" i="3"/>
  <c r="Q378" i="3"/>
  <c r="P377" i="3"/>
  <c r="Q377" i="3"/>
  <c r="Q376" i="3"/>
  <c r="P376" i="3"/>
  <c r="Q375" i="3"/>
  <c r="R375" i="3" s="1"/>
  <c r="P375" i="3"/>
  <c r="P374" i="3"/>
  <c r="Q374" i="3"/>
  <c r="P373" i="3"/>
  <c r="Q373" i="3"/>
  <c r="L1928" i="1"/>
  <c r="A1928" i="1" s="1" a="1"/>
  <c r="A1928" i="1" s="1"/>
  <c r="L1927" i="1"/>
  <c r="A1927" i="1" s="1" a="1"/>
  <c r="A1927" i="1" s="1"/>
  <c r="P372" i="3"/>
  <c r="Q372" i="3"/>
  <c r="P371" i="3"/>
  <c r="Q371" i="3"/>
  <c r="P370" i="3"/>
  <c r="Q370" i="3"/>
  <c r="P369" i="3"/>
  <c r="Q369" i="3"/>
  <c r="P368" i="3"/>
  <c r="Q368" i="3"/>
  <c r="P367" i="3"/>
  <c r="Q367" i="3"/>
  <c r="P366" i="3"/>
  <c r="Q366" i="3"/>
  <c r="P365" i="3"/>
  <c r="Q365" i="3"/>
  <c r="P364" i="3"/>
  <c r="Q364" i="3"/>
  <c r="P363" i="3"/>
  <c r="Q363" i="3"/>
  <c r="P362" i="3"/>
  <c r="Q362" i="3"/>
  <c r="P361" i="3"/>
  <c r="Q361" i="3"/>
  <c r="P360" i="3"/>
  <c r="Q360" i="3"/>
  <c r="P359" i="3"/>
  <c r="Q359" i="3"/>
  <c r="P358" i="3"/>
  <c r="Q358" i="3"/>
  <c r="P357" i="3"/>
  <c r="Q357" i="3"/>
  <c r="P356" i="3"/>
  <c r="Q356" i="3"/>
  <c r="P355" i="3"/>
  <c r="Q355" i="3"/>
  <c r="P354" i="3"/>
  <c r="Q354" i="3"/>
  <c r="P353" i="3"/>
  <c r="Q353" i="3"/>
  <c r="P352" i="3"/>
  <c r="Q352" i="3"/>
  <c r="R352" i="3" s="1"/>
  <c r="P351" i="3"/>
  <c r="Q351" i="3"/>
  <c r="P350" i="3"/>
  <c r="Q350" i="3"/>
  <c r="Q349" i="3"/>
  <c r="P349" i="3"/>
  <c r="L1926" i="1"/>
  <c r="A1926" i="1" s="1" a="1"/>
  <c r="A1926" i="1" s="1"/>
  <c r="L1925" i="1"/>
  <c r="A1925" i="1" s="1" a="1"/>
  <c r="A1925" i="1" s="1"/>
  <c r="L1924" i="1"/>
  <c r="A1924" i="1" s="1" a="1"/>
  <c r="A1924" i="1" s="1"/>
  <c r="P348" i="3"/>
  <c r="Q348" i="3"/>
  <c r="P347" i="3"/>
  <c r="Q347" i="3"/>
  <c r="P346" i="3"/>
  <c r="Q346" i="3"/>
  <c r="P345" i="3"/>
  <c r="Q345" i="3"/>
  <c r="Q344" i="3"/>
  <c r="P344" i="3"/>
  <c r="Q343" i="3"/>
  <c r="P343" i="3"/>
  <c r="Q342" i="3"/>
  <c r="P342" i="3"/>
  <c r="P341" i="3"/>
  <c r="Q341" i="3"/>
  <c r="P340" i="3"/>
  <c r="Q340" i="3"/>
  <c r="Q339" i="3"/>
  <c r="P339" i="3"/>
  <c r="P338" i="3"/>
  <c r="Q338" i="3"/>
  <c r="P337" i="3"/>
  <c r="Q337" i="3"/>
  <c r="P336" i="3"/>
  <c r="Q336" i="3"/>
  <c r="P335" i="3"/>
  <c r="Q335" i="3"/>
  <c r="P334" i="3"/>
  <c r="Q334" i="3"/>
  <c r="P333" i="3"/>
  <c r="Q333" i="3"/>
  <c r="Q368" i="4"/>
  <c r="R368" i="4"/>
  <c r="P332" i="3"/>
  <c r="Q332" i="3"/>
  <c r="P331" i="3"/>
  <c r="Q331" i="3"/>
  <c r="P330" i="3"/>
  <c r="Q330" i="3"/>
  <c r="P329" i="3"/>
  <c r="Q329" i="3"/>
  <c r="R367" i="4"/>
  <c r="Q367" i="4"/>
  <c r="P328" i="3"/>
  <c r="Q328" i="3"/>
  <c r="R366" i="4"/>
  <c r="Q366" i="4"/>
  <c r="P327" i="3"/>
  <c r="Q327" i="3"/>
  <c r="Q326" i="3"/>
  <c r="P326" i="3"/>
  <c r="P325" i="3"/>
  <c r="Q325" i="3"/>
  <c r="P324" i="3"/>
  <c r="Q324" i="3"/>
  <c r="Q323" i="3"/>
  <c r="R323" i="3" s="1"/>
  <c r="P323" i="3"/>
  <c r="P322" i="3"/>
  <c r="Q322" i="3"/>
  <c r="P321" i="3"/>
  <c r="Q321" i="3"/>
  <c r="L1923" i="1"/>
  <c r="A1923" i="1" s="1" a="1"/>
  <c r="A1923" i="1" s="1"/>
  <c r="Q320" i="3"/>
  <c r="P320" i="3"/>
  <c r="P319" i="3"/>
  <c r="Q319" i="3"/>
  <c r="P318" i="3"/>
  <c r="Q318" i="3"/>
  <c r="Q317" i="3"/>
  <c r="P317" i="3"/>
  <c r="P316" i="3"/>
  <c r="Q316" i="3"/>
  <c r="Q365" i="4"/>
  <c r="R365" i="4"/>
  <c r="S365" i="4" s="1"/>
  <c r="P315" i="3"/>
  <c r="Q315" i="3"/>
  <c r="P314" i="3"/>
  <c r="Q314" i="3"/>
  <c r="Q313" i="3"/>
  <c r="P313" i="3"/>
  <c r="Q312" i="3"/>
  <c r="P312" i="3"/>
  <c r="Q364" i="4"/>
  <c r="R364" i="4"/>
  <c r="Q311" i="3"/>
  <c r="P311" i="3"/>
  <c r="P310" i="3"/>
  <c r="Q310" i="3"/>
  <c r="Q309" i="3"/>
  <c r="P309" i="3"/>
  <c r="Q308" i="3"/>
  <c r="P308" i="3"/>
  <c r="P307" i="3"/>
  <c r="Q307" i="3"/>
  <c r="P306" i="3"/>
  <c r="Q306" i="3"/>
  <c r="Q305" i="3"/>
  <c r="P305" i="3"/>
  <c r="Q304" i="3"/>
  <c r="P304" i="3"/>
  <c r="Q303" i="3"/>
  <c r="P303" i="3"/>
  <c r="Q363" i="4"/>
  <c r="R363" i="4"/>
  <c r="Q302" i="3"/>
  <c r="R302" i="3" s="1"/>
  <c r="P302" i="3"/>
  <c r="Q301" i="3"/>
  <c r="P301" i="3"/>
  <c r="Q300" i="3"/>
  <c r="P300" i="3"/>
  <c r="Q362" i="4"/>
  <c r="R362" i="4"/>
  <c r="P299" i="3"/>
  <c r="Q299" i="3"/>
  <c r="L1922" i="1"/>
  <c r="A1922" i="1" s="1" a="1"/>
  <c r="A1922" i="1" s="1"/>
  <c r="P298" i="3"/>
  <c r="Q298" i="3"/>
  <c r="P297" i="3"/>
  <c r="Q297" i="3"/>
  <c r="P296" i="3"/>
  <c r="Q296" i="3"/>
  <c r="P295" i="3"/>
  <c r="Q295" i="3"/>
  <c r="P294" i="3"/>
  <c r="Q294" i="3"/>
  <c r="P293" i="3"/>
  <c r="Q293" i="3"/>
  <c r="P292" i="3"/>
  <c r="Q292" i="3"/>
  <c r="Q361" i="4"/>
  <c r="R361" i="4"/>
  <c r="L1921" i="1"/>
  <c r="A1921" i="1" s="1" a="1"/>
  <c r="A1921" i="1" s="1"/>
  <c r="P291" i="3"/>
  <c r="Q291" i="3"/>
  <c r="P290" i="3"/>
  <c r="Q290" i="3"/>
  <c r="P289" i="3"/>
  <c r="Q289" i="3"/>
  <c r="P288" i="3"/>
  <c r="Q288" i="3"/>
  <c r="P287" i="3"/>
  <c r="Q287" i="3"/>
  <c r="L1920" i="1"/>
  <c r="A1920" i="1" s="1" a="1"/>
  <c r="A1920" i="1" s="1"/>
  <c r="L1919" i="1"/>
  <c r="A1919" i="1" s="1" a="1"/>
  <c r="A1919" i="1" s="1"/>
  <c r="L1918" i="1"/>
  <c r="A1918" i="1" s="1" a="1"/>
  <c r="A1918" i="1" s="1"/>
  <c r="Q286" i="3"/>
  <c r="P286" i="3"/>
  <c r="Q285" i="3"/>
  <c r="P285" i="3"/>
  <c r="Q284" i="3"/>
  <c r="P284" i="3"/>
  <c r="Q283" i="3"/>
  <c r="P283" i="3"/>
  <c r="Q282" i="3"/>
  <c r="P282" i="3"/>
  <c r="P281" i="3"/>
  <c r="Q281" i="3"/>
  <c r="L1917" i="1"/>
  <c r="A1917" i="1" s="1" a="1"/>
  <c r="A1917" i="1" s="1"/>
  <c r="L1916" i="1"/>
  <c r="A1916" i="1" s="1" a="1"/>
  <c r="A1916" i="1" s="1"/>
  <c r="P280" i="3"/>
  <c r="Q280" i="3"/>
  <c r="L1915" i="1"/>
  <c r="A1915" i="1" s="1" a="1"/>
  <c r="A1915" i="1" s="1"/>
  <c r="L1914" i="1"/>
  <c r="A1914" i="1" s="1" a="1"/>
  <c r="A1914" i="1" s="1"/>
  <c r="L1913" i="1"/>
  <c r="A1913" i="1" s="1" a="1"/>
  <c r="A1913" i="1" s="1"/>
  <c r="Q279" i="3"/>
  <c r="P279" i="3"/>
  <c r="L1912" i="1"/>
  <c r="A1912" i="1" s="1" a="1"/>
  <c r="A1912" i="1" s="1"/>
  <c r="L1911" i="1"/>
  <c r="A1911" i="1" s="1" a="1"/>
  <c r="A1911" i="1" s="1"/>
  <c r="L1910" i="1"/>
  <c r="A1910" i="1" s="1" a="1"/>
  <c r="A1910" i="1" s="1"/>
  <c r="P278" i="3"/>
  <c r="Q278" i="3"/>
  <c r="P277" i="3"/>
  <c r="Q277" i="3"/>
  <c r="P276" i="3"/>
  <c r="Q276" i="3"/>
  <c r="P275" i="3"/>
  <c r="Q275" i="3"/>
  <c r="P274" i="3"/>
  <c r="Q274" i="3"/>
  <c r="P273" i="3"/>
  <c r="Q273" i="3"/>
  <c r="Q360" i="4"/>
  <c r="R360" i="4"/>
  <c r="Q272" i="3"/>
  <c r="P272" i="3"/>
  <c r="Q271" i="3"/>
  <c r="P271" i="3"/>
  <c r="P270" i="3"/>
  <c r="Q270" i="3"/>
  <c r="P269" i="3"/>
  <c r="Q269" i="3"/>
  <c r="Q268" i="3"/>
  <c r="P268" i="3"/>
  <c r="Q267" i="3"/>
  <c r="P267" i="3"/>
  <c r="P266" i="3"/>
  <c r="Q266" i="3"/>
  <c r="P265" i="3"/>
  <c r="Q265" i="3"/>
  <c r="Q264" i="3"/>
  <c r="P264" i="3"/>
  <c r="P263" i="3"/>
  <c r="Q263" i="3"/>
  <c r="P262" i="3"/>
  <c r="Q262" i="3"/>
  <c r="P261" i="3"/>
  <c r="Q261" i="3"/>
  <c r="P260" i="3"/>
  <c r="Q260" i="3"/>
  <c r="P259" i="3"/>
  <c r="Q259" i="3"/>
  <c r="Q258" i="3"/>
  <c r="P258" i="3"/>
  <c r="P257" i="3"/>
  <c r="Q257" i="3"/>
  <c r="P256" i="3"/>
  <c r="Q256" i="3"/>
  <c r="L1909" i="1"/>
  <c r="A1909" i="1" s="1" a="1"/>
  <c r="A1909" i="1" s="1"/>
  <c r="P255" i="3"/>
  <c r="Q255" i="3"/>
  <c r="L1908" i="1"/>
  <c r="A1908" i="1" s="1" a="1"/>
  <c r="A1908" i="1" s="1"/>
  <c r="L1907" i="1"/>
  <c r="A1907" i="1" s="1" a="1"/>
  <c r="A1907" i="1" s="1"/>
  <c r="P254" i="3"/>
  <c r="Q254" i="3"/>
  <c r="P253" i="3"/>
  <c r="Q253" i="3"/>
  <c r="P252" i="3"/>
  <c r="Q252" i="3"/>
  <c r="Q251" i="3"/>
  <c r="P251" i="3"/>
  <c r="P250" i="3"/>
  <c r="Q250" i="3"/>
  <c r="P249" i="3"/>
  <c r="Q249" i="3"/>
  <c r="Q248" i="3"/>
  <c r="P248" i="3"/>
  <c r="P247" i="3"/>
  <c r="Q247" i="3"/>
  <c r="Q246" i="3"/>
  <c r="P246" i="3"/>
  <c r="Q245" i="3"/>
  <c r="P245" i="3"/>
  <c r="P244" i="3"/>
  <c r="Q244" i="3"/>
  <c r="R359" i="4"/>
  <c r="Q359" i="4"/>
  <c r="P243" i="3"/>
  <c r="Q243" i="3"/>
  <c r="Q242" i="3"/>
  <c r="P242" i="3"/>
  <c r="P241" i="3"/>
  <c r="Q241" i="3"/>
  <c r="P240" i="3"/>
  <c r="Q240" i="3"/>
  <c r="P239" i="3"/>
  <c r="Q239" i="3"/>
  <c r="P238" i="3"/>
  <c r="Q238" i="3"/>
  <c r="P237" i="3"/>
  <c r="Q237" i="3"/>
  <c r="P236" i="3"/>
  <c r="Q236" i="3"/>
  <c r="P235" i="3"/>
  <c r="Q235" i="3"/>
  <c r="P234" i="3"/>
  <c r="Q234" i="3"/>
  <c r="Q233" i="3"/>
  <c r="P233" i="3"/>
  <c r="Q232" i="3"/>
  <c r="P232" i="3"/>
  <c r="Q231" i="3"/>
  <c r="P231" i="3"/>
  <c r="Q230" i="3"/>
  <c r="P230" i="3"/>
  <c r="P229" i="3"/>
  <c r="Q229" i="3"/>
  <c r="L1906" i="1"/>
  <c r="A1906" i="1" s="1" a="1"/>
  <c r="A1906" i="1" s="1"/>
  <c r="P228" i="3"/>
  <c r="Q228" i="3"/>
  <c r="Q227" i="3"/>
  <c r="P227" i="3"/>
  <c r="P226" i="3"/>
  <c r="Q226" i="3"/>
  <c r="L1905" i="1"/>
  <c r="A1905" i="1" s="1" a="1"/>
  <c r="A1905" i="1" s="1"/>
  <c r="P225" i="3"/>
  <c r="Q225" i="3"/>
  <c r="R358" i="4"/>
  <c r="Q358" i="4"/>
  <c r="P224" i="3"/>
  <c r="Q224" i="3"/>
  <c r="R357" i="4"/>
  <c r="Q357" i="4"/>
  <c r="P223" i="3"/>
  <c r="Q223" i="3"/>
  <c r="Q222" i="3"/>
  <c r="P222" i="3"/>
  <c r="Q221" i="3"/>
  <c r="P221" i="3"/>
  <c r="Q220" i="3"/>
  <c r="P220" i="3"/>
  <c r="P219" i="3"/>
  <c r="Q219" i="3"/>
  <c r="P218" i="3"/>
  <c r="Q218" i="3"/>
  <c r="P217" i="3"/>
  <c r="Q217" i="3"/>
  <c r="P216" i="3"/>
  <c r="Q216" i="3"/>
  <c r="Q215" i="3"/>
  <c r="P215" i="3"/>
  <c r="L1904" i="1"/>
  <c r="A1904" i="1" s="1" a="1"/>
  <c r="A1904" i="1" s="1"/>
  <c r="Q214" i="3"/>
  <c r="P214" i="3"/>
  <c r="L1903" i="1"/>
  <c r="A1903" i="1" s="1" a="1"/>
  <c r="A1903" i="1" s="1"/>
  <c r="L1902" i="1"/>
  <c r="A1902" i="1" s="1" a="1"/>
  <c r="A1902" i="1" s="1"/>
  <c r="L1901" i="1"/>
  <c r="A1901" i="1" s="1" a="1"/>
  <c r="A1901" i="1" s="1"/>
  <c r="L1900" i="1"/>
  <c r="A1900" i="1" s="1" a="1"/>
  <c r="A1900" i="1" s="1"/>
  <c r="L1899" i="1"/>
  <c r="A1899" i="1" s="1" a="1"/>
  <c r="A1899" i="1" s="1"/>
  <c r="L1898" i="1"/>
  <c r="A1898" i="1" s="1" a="1"/>
  <c r="A1898" i="1" s="1"/>
  <c r="L1897" i="1"/>
  <c r="A1897" i="1" s="1" a="1"/>
  <c r="A1897" i="1" s="1"/>
  <c r="L1896" i="1"/>
  <c r="A1896" i="1" s="1" a="1"/>
  <c r="A1896" i="1" s="1"/>
  <c r="L1895" i="1"/>
  <c r="A1895" i="1" s="1" a="1"/>
  <c r="A1895" i="1" s="1"/>
  <c r="R356" i="4"/>
  <c r="Q356" i="4"/>
  <c r="Q355" i="4"/>
  <c r="R355" i="4"/>
  <c r="R354" i="4"/>
  <c r="Q354" i="4"/>
  <c r="L1894" i="1"/>
  <c r="A1894" i="1" s="1" a="1"/>
  <c r="A1894" i="1" s="1"/>
  <c r="Q213" i="3"/>
  <c r="R213" i="3" s="1"/>
  <c r="P213" i="3"/>
  <c r="Q212" i="3"/>
  <c r="R212" i="3" s="1"/>
  <c r="P212" i="3"/>
  <c r="P211" i="3"/>
  <c r="Q211" i="3"/>
  <c r="P210" i="3"/>
  <c r="Q210" i="3"/>
  <c r="P209" i="3"/>
  <c r="Q209" i="3"/>
  <c r="R209" i="3" s="1"/>
  <c r="P208" i="3"/>
  <c r="Q208" i="3"/>
  <c r="R208" i="3" s="1"/>
  <c r="P207" i="3"/>
  <c r="Q207" i="3"/>
  <c r="R207" i="3" s="1"/>
  <c r="P206" i="3"/>
  <c r="Q206" i="3"/>
  <c r="R206" i="3" s="1"/>
  <c r="P205" i="3"/>
  <c r="Q205" i="3"/>
  <c r="R205" i="3" s="1"/>
  <c r="P204" i="3"/>
  <c r="Q204" i="3"/>
  <c r="R204" i="3" s="1"/>
  <c r="P203" i="3"/>
  <c r="Q203" i="3"/>
  <c r="R203" i="3" s="1"/>
  <c r="P202" i="3"/>
  <c r="Q202" i="3"/>
  <c r="R202" i="3" s="1"/>
  <c r="P201" i="3"/>
  <c r="Q201" i="3"/>
  <c r="R201" i="3" s="1"/>
  <c r="P200" i="3"/>
  <c r="Q200" i="3"/>
  <c r="P199" i="3"/>
  <c r="Q199" i="3"/>
  <c r="R199" i="3" s="1"/>
  <c r="P198" i="3"/>
  <c r="Q198" i="3"/>
  <c r="R198" i="3" s="1"/>
  <c r="P197" i="3"/>
  <c r="Q197" i="3"/>
  <c r="R197" i="3" s="1"/>
  <c r="P196" i="3"/>
  <c r="Q196" i="3"/>
  <c r="R196" i="3" s="1"/>
  <c r="Q195" i="3"/>
  <c r="P195" i="3"/>
  <c r="Q194" i="3"/>
  <c r="P194" i="3"/>
  <c r="L1893" i="1"/>
  <c r="A1893" i="1" s="1" a="1"/>
  <c r="A1893" i="1" s="1"/>
  <c r="P193" i="3"/>
  <c r="Q193" i="3"/>
  <c r="R193" i="3" s="1"/>
  <c r="Q192" i="3"/>
  <c r="P192" i="3"/>
  <c r="L1892" i="1"/>
  <c r="A1892" i="1" s="1" a="1"/>
  <c r="A1892" i="1" s="1"/>
  <c r="P191" i="3"/>
  <c r="Q191" i="3"/>
  <c r="P190" i="3"/>
  <c r="Q190" i="3"/>
  <c r="P189" i="3"/>
  <c r="Q189" i="3"/>
  <c r="P188" i="3"/>
  <c r="Q188" i="3"/>
  <c r="P187" i="3"/>
  <c r="Q187" i="3"/>
  <c r="P186" i="3"/>
  <c r="Q186" i="3"/>
  <c r="P185" i="3"/>
  <c r="Q185" i="3"/>
  <c r="P184" i="3"/>
  <c r="Q184" i="3"/>
  <c r="P183" i="3"/>
  <c r="Q183" i="3"/>
  <c r="P182" i="3"/>
  <c r="Q182" i="3"/>
  <c r="P181" i="3"/>
  <c r="Q181" i="3"/>
  <c r="P180" i="3"/>
  <c r="Q180" i="3"/>
  <c r="P179" i="3"/>
  <c r="Q179" i="3"/>
  <c r="P178" i="3"/>
  <c r="Q178" i="3"/>
  <c r="P177" i="3"/>
  <c r="Q177" i="3"/>
  <c r="R177" i="3" s="1"/>
  <c r="P176" i="3"/>
  <c r="Q176" i="3"/>
  <c r="R176" i="3" s="1"/>
  <c r="P175" i="3"/>
  <c r="Q175" i="3"/>
  <c r="Q353" i="4"/>
  <c r="R353" i="4"/>
  <c r="P174" i="3"/>
  <c r="Q174" i="3"/>
  <c r="P173" i="3"/>
  <c r="Q173" i="3"/>
  <c r="R173" i="3" s="1"/>
  <c r="Q172" i="3"/>
  <c r="P172" i="3"/>
  <c r="Q171" i="3"/>
  <c r="P171" i="3"/>
  <c r="L1891" i="1"/>
  <c r="A1891" i="1" s="1" a="1"/>
  <c r="A1891" i="1" s="1"/>
  <c r="Q170" i="3"/>
  <c r="P170" i="3"/>
  <c r="Q169" i="3"/>
  <c r="P169" i="3"/>
  <c r="P168" i="3"/>
  <c r="Q168" i="3"/>
  <c r="R168" i="3" s="1"/>
  <c r="P167" i="3"/>
  <c r="Q167" i="3"/>
  <c r="R167" i="3" s="1"/>
  <c r="P166" i="3"/>
  <c r="Q166" i="3"/>
  <c r="R166" i="3" s="1"/>
  <c r="L1890" i="1"/>
  <c r="A1890" i="1" s="1" a="1"/>
  <c r="A1890" i="1" s="1"/>
  <c r="P165" i="3"/>
  <c r="Q165" i="3"/>
  <c r="Q164" i="3"/>
  <c r="P164" i="3"/>
  <c r="Q163" i="3"/>
  <c r="P163" i="3"/>
  <c r="P162" i="3"/>
  <c r="Q162" i="3"/>
  <c r="L1889" i="1"/>
  <c r="A1889" i="1" s="1" a="1"/>
  <c r="A1889" i="1" s="1"/>
  <c r="L1888" i="1"/>
  <c r="A1888" i="1" s="1" a="1"/>
  <c r="A1888" i="1" s="1"/>
  <c r="Q161" i="3"/>
  <c r="R161" i="3" s="1"/>
  <c r="P161" i="3"/>
  <c r="P160" i="3"/>
  <c r="Q160" i="3"/>
  <c r="R160" i="3" s="1"/>
  <c r="L1887" i="1"/>
  <c r="A1887" i="1" s="1" a="1"/>
  <c r="A1887" i="1" s="1"/>
  <c r="L1886" i="1"/>
  <c r="A1886" i="1" s="1" a="1"/>
  <c r="A1886" i="1" s="1"/>
  <c r="L1885" i="1"/>
  <c r="A1885" i="1" s="1" a="1"/>
  <c r="A1885" i="1" s="1"/>
  <c r="L1884" i="1"/>
  <c r="A1884" i="1" s="1" a="1"/>
  <c r="A1884" i="1" s="1"/>
  <c r="L1883" i="1"/>
  <c r="A1883" i="1" s="1" a="1"/>
  <c r="A1883" i="1" s="1"/>
  <c r="L1882" i="1"/>
  <c r="A1882" i="1" s="1" a="1"/>
  <c r="A1882" i="1" s="1"/>
  <c r="L1881" i="1"/>
  <c r="A1881" i="1" s="1" a="1"/>
  <c r="A1881" i="1" s="1"/>
  <c r="P159" i="3"/>
  <c r="Q159" i="3"/>
  <c r="P158" i="3"/>
  <c r="Q158" i="3"/>
  <c r="R158" i="3" s="1"/>
  <c r="P157" i="3"/>
  <c r="Q157" i="3"/>
  <c r="R157" i="3" s="1"/>
  <c r="P156" i="3"/>
  <c r="Q156" i="3"/>
  <c r="P155" i="3"/>
  <c r="Q155" i="3"/>
  <c r="R155" i="3" s="1"/>
  <c r="P154" i="3"/>
  <c r="Q154" i="3"/>
  <c r="R154" i="3" s="1"/>
  <c r="P153" i="3"/>
  <c r="Q153" i="3"/>
  <c r="P152" i="3"/>
  <c r="Q152" i="3"/>
  <c r="R152" i="3" s="1"/>
  <c r="P151" i="3"/>
  <c r="Q151" i="3"/>
  <c r="R151" i="3" s="1"/>
  <c r="P150" i="3"/>
  <c r="Q150" i="3"/>
  <c r="R150" i="3" s="1"/>
  <c r="P149" i="3"/>
  <c r="Q149" i="3"/>
  <c r="P148" i="3"/>
  <c r="Q148" i="3"/>
  <c r="P147" i="3"/>
  <c r="Q147" i="3"/>
  <c r="R147" i="3" s="1"/>
  <c r="P146" i="3"/>
  <c r="Q146" i="3"/>
  <c r="P145" i="3"/>
  <c r="Q145" i="3"/>
  <c r="R145" i="3" s="1"/>
  <c r="Q144" i="3"/>
  <c r="P144" i="3"/>
  <c r="Q143" i="3"/>
  <c r="P143" i="3"/>
  <c r="Q142" i="3"/>
  <c r="P142" i="3"/>
  <c r="Q141" i="3"/>
  <c r="P141" i="3"/>
  <c r="Q140" i="3"/>
  <c r="P140" i="3"/>
  <c r="P139" i="3"/>
  <c r="Q139" i="3"/>
  <c r="L1880" i="1"/>
  <c r="A1880" i="1" s="1" a="1"/>
  <c r="A1880" i="1" s="1"/>
  <c r="Q138" i="3"/>
  <c r="P138" i="3"/>
  <c r="Q137" i="3"/>
  <c r="P137" i="3"/>
  <c r="Q136" i="3"/>
  <c r="P136" i="3"/>
  <c r="Q135" i="3"/>
  <c r="P135" i="3"/>
  <c r="Q150" i="4"/>
  <c r="Q134" i="3"/>
  <c r="P134" i="3"/>
  <c r="Q133" i="3"/>
  <c r="P133" i="3"/>
  <c r="R352" i="4"/>
  <c r="Q352" i="4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R351" i="4"/>
  <c r="Q351" i="4"/>
  <c r="Q124" i="3"/>
  <c r="P124" i="3"/>
  <c r="Q123" i="3"/>
  <c r="P123" i="3"/>
  <c r="Q122" i="3"/>
  <c r="P122" i="3"/>
  <c r="R350" i="4"/>
  <c r="Q350" i="4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Q104" i="3"/>
  <c r="P104" i="3"/>
  <c r="Q103" i="3"/>
  <c r="P103" i="3"/>
  <c r="Q102" i="3"/>
  <c r="P102" i="3"/>
  <c r="Q101" i="3"/>
  <c r="P101" i="3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Q89" i="3"/>
  <c r="P89" i="3"/>
  <c r="Q88" i="3"/>
  <c r="P88" i="3"/>
  <c r="Q87" i="3"/>
  <c r="P87" i="3"/>
  <c r="Q86" i="3"/>
  <c r="P86" i="3"/>
  <c r="Q85" i="3"/>
  <c r="P85" i="3"/>
  <c r="Q84" i="3"/>
  <c r="P84" i="3"/>
  <c r="Q83" i="3"/>
  <c r="P83" i="3"/>
  <c r="Q82" i="3"/>
  <c r="P82" i="3"/>
  <c r="Q81" i="3"/>
  <c r="P81" i="3"/>
  <c r="Q80" i="3"/>
  <c r="P80" i="3"/>
  <c r="Q79" i="3"/>
  <c r="P79" i="3"/>
  <c r="Q78" i="3"/>
  <c r="P78" i="3"/>
  <c r="L1879" i="1"/>
  <c r="A1879" i="1" s="1" a="1"/>
  <c r="A1879" i="1" s="1"/>
  <c r="L1878" i="1"/>
  <c r="A1878" i="1" s="1" a="1"/>
  <c r="A1878" i="1" s="1"/>
  <c r="L1877" i="1"/>
  <c r="A1877" i="1" s="1" a="1"/>
  <c r="A1877" i="1" s="1"/>
  <c r="P77" i="3"/>
  <c r="Q77" i="3"/>
  <c r="Q76" i="3"/>
  <c r="P76" i="3"/>
  <c r="Q75" i="3"/>
  <c r="P75" i="3"/>
  <c r="Q74" i="3"/>
  <c r="P74" i="3"/>
  <c r="Q73" i="3"/>
  <c r="P73" i="3"/>
  <c r="Q72" i="3"/>
  <c r="P72" i="3"/>
  <c r="Q71" i="3"/>
  <c r="P71" i="3"/>
  <c r="L1876" i="1"/>
  <c r="A1876" i="1" s="1" a="1"/>
  <c r="A1876" i="1" s="1"/>
  <c r="P70" i="3"/>
  <c r="Q70" i="3"/>
  <c r="Q69" i="3"/>
  <c r="P69" i="3"/>
  <c r="L1875" i="1"/>
  <c r="A1875" i="1" s="1" a="1"/>
  <c r="A1875" i="1" s="1"/>
  <c r="Q68" i="3"/>
  <c r="P68" i="3"/>
  <c r="L1874" i="1"/>
  <c r="A1874" i="1" s="1" a="1"/>
  <c r="A1874" i="1" s="1"/>
  <c r="L1873" i="1"/>
  <c r="A1873" i="1" s="1" a="1"/>
  <c r="A1873" i="1" s="1"/>
  <c r="Q67" i="3"/>
  <c r="P67" i="3"/>
  <c r="L1872" i="1"/>
  <c r="A1872" i="1" s="1" a="1"/>
  <c r="A1872" i="1" s="1"/>
  <c r="L1871" i="1"/>
  <c r="A1871" i="1" s="1" a="1"/>
  <c r="A1871" i="1" s="1"/>
  <c r="P66" i="3"/>
  <c r="Q66" i="3"/>
  <c r="P65" i="3"/>
  <c r="Q65" i="3"/>
  <c r="P64" i="3"/>
  <c r="Q64" i="3"/>
  <c r="P63" i="3"/>
  <c r="Q63" i="3"/>
  <c r="P62" i="3"/>
  <c r="Q62" i="3"/>
  <c r="P61" i="3"/>
  <c r="Q61" i="3"/>
  <c r="P60" i="3"/>
  <c r="Q60" i="3"/>
  <c r="P59" i="3"/>
  <c r="Q59" i="3"/>
  <c r="Q58" i="3"/>
  <c r="P58" i="3"/>
  <c r="Q57" i="3"/>
  <c r="P57" i="3"/>
  <c r="Q56" i="3"/>
  <c r="P56" i="3"/>
  <c r="P55" i="3"/>
  <c r="Q55" i="3"/>
  <c r="Q54" i="3"/>
  <c r="P54" i="3"/>
  <c r="Q53" i="3"/>
  <c r="P53" i="3"/>
  <c r="Q52" i="3"/>
  <c r="P52" i="3"/>
  <c r="Q51" i="3"/>
  <c r="P51" i="3"/>
  <c r="Q50" i="3"/>
  <c r="P50" i="3"/>
  <c r="Q49" i="3"/>
  <c r="P49" i="3"/>
  <c r="Q48" i="3"/>
  <c r="P48" i="3"/>
  <c r="Q47" i="3"/>
  <c r="P47" i="3"/>
  <c r="Q46" i="3"/>
  <c r="P46" i="3"/>
  <c r="L1870" i="1"/>
  <c r="A1870" i="1" s="1" a="1"/>
  <c r="A1870" i="1" s="1"/>
  <c r="Q45" i="3"/>
  <c r="P45" i="3"/>
  <c r="Q44" i="3"/>
  <c r="P44" i="3"/>
  <c r="Q43" i="3"/>
  <c r="P43" i="3"/>
  <c r="Q42" i="3"/>
  <c r="R42" i="3" s="1"/>
  <c r="P42" i="3"/>
  <c r="L1869" i="1"/>
  <c r="A1869" i="1" s="1" a="1"/>
  <c r="A1869" i="1" s="1"/>
  <c r="L1868" i="1"/>
  <c r="A1868" i="1" s="1" a="1"/>
  <c r="A1868" i="1" s="1"/>
  <c r="L1867" i="1"/>
  <c r="A1867" i="1" s="1" a="1"/>
  <c r="A1867" i="1" s="1"/>
  <c r="L1866" i="1"/>
  <c r="A1866" i="1" s="1" a="1"/>
  <c r="A1866" i="1" s="1"/>
  <c r="P41" i="3"/>
  <c r="Q41" i="3"/>
  <c r="P40" i="3"/>
  <c r="Q40" i="3"/>
  <c r="L1865" i="1"/>
  <c r="A1865" i="1" s="1" a="1"/>
  <c r="A1865" i="1" s="1"/>
  <c r="L1864" i="1"/>
  <c r="A1864" i="1" s="1" a="1"/>
  <c r="A1864" i="1" s="1"/>
  <c r="L1863" i="1"/>
  <c r="A1863" i="1" s="1" a="1"/>
  <c r="A1863" i="1" s="1"/>
  <c r="L1862" i="1"/>
  <c r="A1862" i="1" s="1" a="1"/>
  <c r="A1862" i="1" s="1"/>
  <c r="L1861" i="1"/>
  <c r="A1861" i="1" s="1" a="1"/>
  <c r="A1861" i="1" s="1"/>
  <c r="L1860" i="1"/>
  <c r="A1860" i="1" s="1" a="1"/>
  <c r="A1860" i="1" s="1"/>
  <c r="L1859" i="1"/>
  <c r="A1859" i="1" s="1" a="1"/>
  <c r="A1859" i="1" s="1"/>
  <c r="L1858" i="1"/>
  <c r="A1858" i="1" s="1" a="1"/>
  <c r="A1858" i="1" s="1"/>
  <c r="L1857" i="1"/>
  <c r="A1857" i="1" s="1" a="1"/>
  <c r="A1857" i="1" s="1"/>
  <c r="L1856" i="1"/>
  <c r="A1856" i="1" s="1" a="1"/>
  <c r="A1856" i="1" s="1"/>
  <c r="Q39" i="3"/>
  <c r="P39" i="3"/>
  <c r="L1855" i="1"/>
  <c r="A1855" i="1" s="1" a="1"/>
  <c r="A1855" i="1" s="1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L1854" i="1"/>
  <c r="A1854" i="1" s="1" a="1"/>
  <c r="A1854" i="1" s="1"/>
  <c r="Q31" i="3"/>
  <c r="P31" i="3"/>
  <c r="Q30" i="3"/>
  <c r="P30" i="3"/>
  <c r="Q29" i="3"/>
  <c r="P29" i="3"/>
  <c r="P28" i="3"/>
  <c r="Q28" i="3"/>
  <c r="P27" i="3"/>
  <c r="Q27" i="3"/>
  <c r="P26" i="3"/>
  <c r="Q26" i="3"/>
  <c r="P25" i="3"/>
  <c r="Q25" i="3"/>
  <c r="P24" i="3"/>
  <c r="Q24" i="3"/>
  <c r="Q23" i="3"/>
  <c r="P23" i="3"/>
  <c r="P22" i="3"/>
  <c r="Q22" i="3"/>
  <c r="P21" i="3"/>
  <c r="Q21" i="3"/>
  <c r="Q20" i="3"/>
  <c r="P20" i="3"/>
  <c r="L1853" i="1"/>
  <c r="A1853" i="1" s="1" a="1"/>
  <c r="A1853" i="1" s="1"/>
  <c r="L1852" i="1"/>
  <c r="A1852" i="1" s="1" a="1"/>
  <c r="A1852" i="1" s="1"/>
  <c r="L1851" i="1"/>
  <c r="A1851" i="1" s="1" a="1"/>
  <c r="A1851" i="1" s="1"/>
  <c r="L1850" i="1"/>
  <c r="A1850" i="1" s="1" a="1"/>
  <c r="A1850" i="1" s="1"/>
  <c r="P19" i="3"/>
  <c r="Q19" i="3"/>
  <c r="P18" i="3"/>
  <c r="Q18" i="3"/>
  <c r="Q17" i="3"/>
  <c r="P17" i="3"/>
  <c r="L1849" i="1"/>
  <c r="A1849" i="1" s="1" a="1"/>
  <c r="A1849" i="1" s="1"/>
  <c r="L1848" i="1"/>
  <c r="A1848" i="1" s="1" a="1"/>
  <c r="A1848" i="1" s="1"/>
  <c r="L1847" i="1"/>
  <c r="A1847" i="1" s="1" a="1"/>
  <c r="A1847" i="1" s="1"/>
  <c r="L1846" i="1"/>
  <c r="A1846" i="1" s="1" a="1"/>
  <c r="A1846" i="1" s="1"/>
  <c r="L1845" i="1"/>
  <c r="A1845" i="1" s="1" a="1"/>
  <c r="A1845" i="1" s="1"/>
  <c r="L1844" i="1"/>
  <c r="A1844" i="1" s="1" a="1"/>
  <c r="A1844" i="1" s="1"/>
  <c r="L1843" i="1"/>
  <c r="A1843" i="1" s="1" a="1"/>
  <c r="A1843" i="1" s="1"/>
  <c r="L1842" i="1"/>
  <c r="A1842" i="1" s="1" a="1"/>
  <c r="A1842" i="1" s="1"/>
  <c r="L1841" i="1"/>
  <c r="A1841" i="1" s="1" a="1"/>
  <c r="A1841" i="1" s="1"/>
  <c r="L1840" i="1"/>
  <c r="A1840" i="1" s="1" a="1"/>
  <c r="A1840" i="1" s="1"/>
  <c r="L1839" i="1"/>
  <c r="A1839" i="1" s="1" a="1"/>
  <c r="A1839" i="1" s="1"/>
  <c r="L1838" i="1"/>
  <c r="A1838" i="1" s="1" a="1"/>
  <c r="A1838" i="1" s="1"/>
  <c r="L1837" i="1"/>
  <c r="A1837" i="1" s="1" a="1"/>
  <c r="A1837" i="1" s="1"/>
  <c r="L1836" i="1"/>
  <c r="A1836" i="1" s="1" a="1"/>
  <c r="A1836" i="1" s="1"/>
  <c r="L1835" i="1"/>
  <c r="A1835" i="1" s="1" a="1"/>
  <c r="A1835" i="1" s="1"/>
  <c r="L1834" i="1"/>
  <c r="A1834" i="1" s="1" a="1"/>
  <c r="A1834" i="1" s="1"/>
  <c r="L1833" i="1"/>
  <c r="A1833" i="1" s="1" a="1"/>
  <c r="A1833" i="1" s="1"/>
  <c r="L1832" i="1"/>
  <c r="A1832" i="1" s="1" a="1"/>
  <c r="A1832" i="1" s="1"/>
  <c r="L1831" i="1"/>
  <c r="A1831" i="1" s="1" a="1"/>
  <c r="A1831" i="1" s="1"/>
  <c r="L1830" i="1"/>
  <c r="A1830" i="1" s="1" a="1"/>
  <c r="A1830" i="1" s="1"/>
  <c r="L1829" i="1"/>
  <c r="A1829" i="1" s="1" a="1"/>
  <c r="A1829" i="1" s="1"/>
  <c r="L1828" i="1"/>
  <c r="A1828" i="1" s="1" a="1"/>
  <c r="A1828" i="1" s="1"/>
  <c r="L1827" i="1"/>
  <c r="A1827" i="1" s="1" a="1"/>
  <c r="A1827" i="1" s="1"/>
  <c r="L1826" i="1"/>
  <c r="A1826" i="1" s="1" a="1"/>
  <c r="A1826" i="1" s="1"/>
  <c r="L1825" i="1"/>
  <c r="A1825" i="1" s="1" a="1"/>
  <c r="A1825" i="1" s="1"/>
  <c r="L1824" i="1"/>
  <c r="A1824" i="1" s="1" a="1"/>
  <c r="A1824" i="1" s="1"/>
  <c r="L1817" i="1"/>
  <c r="A1817" i="1" s="1" a="1"/>
  <c r="A1817" i="1" s="1"/>
  <c r="L1818" i="1"/>
  <c r="A1818" i="1" s="1" a="1"/>
  <c r="A1818" i="1" s="1"/>
  <c r="L1819" i="1"/>
  <c r="A1819" i="1" s="1" a="1"/>
  <c r="A1819" i="1" s="1"/>
  <c r="L1820" i="1"/>
  <c r="A1820" i="1" s="1" a="1"/>
  <c r="A1820" i="1" s="1"/>
  <c r="L1821" i="1"/>
  <c r="A1821" i="1" s="1" a="1"/>
  <c r="A1821" i="1" s="1"/>
  <c r="L1822" i="1"/>
  <c r="A1822" i="1" s="1" a="1"/>
  <c r="A1822" i="1" s="1"/>
  <c r="L1823" i="1"/>
  <c r="A1823" i="1" s="1" a="1"/>
  <c r="A1823" i="1" s="1"/>
  <c r="L1816" i="1"/>
  <c r="A1816" i="1" s="1" a="1"/>
  <c r="A1816" i="1" s="1"/>
  <c r="P16" i="3"/>
  <c r="Q16" i="3"/>
  <c r="P15" i="3"/>
  <c r="Q15" i="3"/>
  <c r="L1815" i="1"/>
  <c r="A1815" i="1" s="1" a="1"/>
  <c r="A1815" i="1" s="1"/>
  <c r="Q349" i="4"/>
  <c r="R349" i="4"/>
  <c r="S349" i="4" s="1"/>
  <c r="Q348" i="4"/>
  <c r="R348" i="4"/>
  <c r="Q347" i="4"/>
  <c r="R347" i="4"/>
  <c r="S347" i="4" s="1"/>
  <c r="Q346" i="4"/>
  <c r="R346" i="4"/>
  <c r="S346" i="4" s="1"/>
  <c r="Q345" i="4"/>
  <c r="R345" i="4"/>
  <c r="Q344" i="4"/>
  <c r="R344" i="4"/>
  <c r="S344" i="4" s="1"/>
  <c r="Q343" i="4"/>
  <c r="R343" i="4"/>
  <c r="S343" i="4" s="1"/>
  <c r="Q342" i="4"/>
  <c r="R342" i="4"/>
  <c r="S342" i="4" s="1"/>
  <c r="Q341" i="4"/>
  <c r="R341" i="4"/>
  <c r="S341" i="4" s="1"/>
  <c r="Q340" i="4"/>
  <c r="R340" i="4"/>
  <c r="Q339" i="4"/>
  <c r="R339" i="4"/>
  <c r="S339" i="4" s="1"/>
  <c r="Q338" i="4"/>
  <c r="R338" i="4"/>
  <c r="S338" i="4" s="1"/>
  <c r="Q337" i="4"/>
  <c r="R337" i="4"/>
  <c r="S337" i="4" s="1"/>
  <c r="Q336" i="4"/>
  <c r="R336" i="4"/>
  <c r="S336" i="4" s="1"/>
  <c r="L1814" i="1"/>
  <c r="A1814" i="1" s="1" a="1"/>
  <c r="A1814" i="1" s="1"/>
  <c r="Q335" i="4"/>
  <c r="R335" i="4"/>
  <c r="S335" i="4" s="1"/>
  <c r="Q334" i="4"/>
  <c r="R334" i="4"/>
  <c r="S334" i="4" s="1"/>
  <c r="Q333" i="4"/>
  <c r="R333" i="4"/>
  <c r="S333" i="4" s="1"/>
  <c r="Q332" i="4"/>
  <c r="R332" i="4"/>
  <c r="S332" i="4" s="1"/>
  <c r="Q331" i="4"/>
  <c r="R331" i="4"/>
  <c r="S331" i="4" s="1"/>
  <c r="Q330" i="4"/>
  <c r="R330" i="4"/>
  <c r="S330" i="4" s="1"/>
  <c r="Q329" i="4"/>
  <c r="R329" i="4"/>
  <c r="S329" i="4" s="1"/>
  <c r="Q328" i="4"/>
  <c r="R328" i="4"/>
  <c r="S328" i="4" s="1"/>
  <c r="Q327" i="4"/>
  <c r="R327" i="4"/>
  <c r="S327" i="4" s="1"/>
  <c r="Q326" i="4"/>
  <c r="R326" i="4"/>
  <c r="S326" i="4" s="1"/>
  <c r="Q325" i="4"/>
  <c r="R325" i="4"/>
  <c r="S325" i="4" s="1"/>
  <c r="Q324" i="4"/>
  <c r="R324" i="4"/>
  <c r="S324" i="4" s="1"/>
  <c r="Q323" i="4"/>
  <c r="R323" i="4"/>
  <c r="S323" i="4" s="1"/>
  <c r="Q322" i="4"/>
  <c r="R322" i="4"/>
  <c r="S322" i="4" s="1"/>
  <c r="Q321" i="4"/>
  <c r="R321" i="4"/>
  <c r="S321" i="4" s="1"/>
  <c r="L1813" i="1"/>
  <c r="A1813" i="1" s="1" a="1"/>
  <c r="A1813" i="1" s="1"/>
  <c r="Q320" i="4"/>
  <c r="R320" i="4"/>
  <c r="S320" i="4" s="1"/>
  <c r="Q319" i="4"/>
  <c r="R319" i="4"/>
  <c r="S319" i="4" s="1"/>
  <c r="Q318" i="4"/>
  <c r="R318" i="4"/>
  <c r="S318" i="4" s="1"/>
  <c r="Q317" i="4"/>
  <c r="R317" i="4"/>
  <c r="S317" i="4" s="1"/>
  <c r="Q316" i="4"/>
  <c r="R316" i="4"/>
  <c r="S316" i="4" s="1"/>
  <c r="Q315" i="4"/>
  <c r="R315" i="4"/>
  <c r="S315" i="4" s="1"/>
  <c r="Q314" i="4"/>
  <c r="R314" i="4"/>
  <c r="S314" i="4" s="1"/>
  <c r="Q313" i="4"/>
  <c r="R313" i="4"/>
  <c r="S313" i="4" s="1"/>
  <c r="Q312" i="4"/>
  <c r="R312" i="4"/>
  <c r="S312" i="4" s="1"/>
  <c r="Q311" i="4"/>
  <c r="R311" i="4"/>
  <c r="S311" i="4" s="1"/>
  <c r="Q310" i="4"/>
  <c r="R310" i="4"/>
  <c r="S310" i="4" s="1"/>
  <c r="Q309" i="4"/>
  <c r="R309" i="4"/>
  <c r="S309" i="4" s="1"/>
  <c r="Q308" i="4"/>
  <c r="R308" i="4"/>
  <c r="S308" i="4" s="1"/>
  <c r="Q307" i="4"/>
  <c r="R307" i="4"/>
  <c r="S307" i="4" s="1"/>
  <c r="Q306" i="4"/>
  <c r="R306" i="4"/>
  <c r="S306" i="4" s="1"/>
  <c r="Q305" i="4"/>
  <c r="R305" i="4"/>
  <c r="S305" i="4" s="1"/>
  <c r="Q304" i="4"/>
  <c r="R304" i="4"/>
  <c r="S304" i="4" s="1"/>
  <c r="Q303" i="4"/>
  <c r="R303" i="4"/>
  <c r="S303" i="4" s="1"/>
  <c r="Q302" i="4"/>
  <c r="R302" i="4"/>
  <c r="S302" i="4" s="1"/>
  <c r="Q301" i="4"/>
  <c r="R301" i="4"/>
  <c r="S301" i="4" s="1"/>
  <c r="Q300" i="4"/>
  <c r="R300" i="4"/>
  <c r="S300" i="4" s="1"/>
  <c r="Q299" i="4"/>
  <c r="R299" i="4"/>
  <c r="S299" i="4" s="1"/>
  <c r="Q298" i="4"/>
  <c r="R298" i="4"/>
  <c r="S298" i="4" s="1"/>
  <c r="Q297" i="4"/>
  <c r="R297" i="4"/>
  <c r="S297" i="4" s="1"/>
  <c r="Q296" i="4"/>
  <c r="R296" i="4"/>
  <c r="S296" i="4" s="1"/>
  <c r="Q295" i="4"/>
  <c r="R295" i="4"/>
  <c r="S295" i="4" s="1"/>
  <c r="Q294" i="4"/>
  <c r="R294" i="4"/>
  <c r="S294" i="4" s="1"/>
  <c r="Q293" i="4"/>
  <c r="R293" i="4"/>
  <c r="S293" i="4" s="1"/>
  <c r="Q292" i="4"/>
  <c r="R292" i="4"/>
  <c r="S292" i="4" s="1"/>
  <c r="Q291" i="4"/>
  <c r="R291" i="4"/>
  <c r="S291" i="4" s="1"/>
  <c r="Q290" i="4"/>
  <c r="R290" i="4"/>
  <c r="S290" i="4" s="1"/>
  <c r="Q289" i="4"/>
  <c r="R289" i="4"/>
  <c r="S289" i="4" s="1"/>
  <c r="P14" i="3"/>
  <c r="Q14" i="3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S74" i="4" s="1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S129" i="4" s="1"/>
  <c r="R130" i="4"/>
  <c r="R131" i="4"/>
  <c r="S131" i="4" s="1"/>
  <c r="R132" i="4"/>
  <c r="S132" i="4" s="1"/>
  <c r="R133" i="4"/>
  <c r="S134" i="4"/>
  <c r="R135" i="4"/>
  <c r="S135" i="4" s="1"/>
  <c r="R136" i="4"/>
  <c r="R137" i="4"/>
  <c r="S137" i="4" s="1"/>
  <c r="R138" i="4"/>
  <c r="S138" i="4" s="1"/>
  <c r="R139" i="4"/>
  <c r="S139" i="4" s="1"/>
  <c r="R140" i="4"/>
  <c r="R141" i="4"/>
  <c r="S141" i="4" s="1"/>
  <c r="R142" i="4"/>
  <c r="S142" i="4" s="1"/>
  <c r="R143" i="4"/>
  <c r="S143" i="4" s="1"/>
  <c r="R144" i="4"/>
  <c r="R145" i="4"/>
  <c r="R146" i="4"/>
  <c r="S146" i="4" s="1"/>
  <c r="R147" i="4"/>
  <c r="R148" i="4"/>
  <c r="R149" i="4"/>
  <c r="S149" i="4" s="1"/>
  <c r="R150" i="4"/>
  <c r="R151" i="4"/>
  <c r="R152" i="4"/>
  <c r="S152" i="4" s="1"/>
  <c r="R153" i="4"/>
  <c r="R154" i="4"/>
  <c r="R155" i="4"/>
  <c r="S155" i="4" s="1"/>
  <c r="R156" i="4"/>
  <c r="R157" i="4"/>
  <c r="R158" i="4"/>
  <c r="S158" i="4" s="1"/>
  <c r="R159" i="4"/>
  <c r="S159" i="4" s="1"/>
  <c r="R160" i="4"/>
  <c r="R161" i="4"/>
  <c r="R162" i="4"/>
  <c r="S162" i="4" s="1"/>
  <c r="R163" i="4"/>
  <c r="R164" i="4"/>
  <c r="R165" i="4"/>
  <c r="S165" i="4" s="1"/>
  <c r="R166" i="4"/>
  <c r="R167" i="4"/>
  <c r="S167" i="4" s="1"/>
  <c r="R168" i="4"/>
  <c r="S168" i="4" s="1"/>
  <c r="R169" i="4"/>
  <c r="R170" i="4"/>
  <c r="S170" i="4" s="1"/>
  <c r="R171" i="4"/>
  <c r="S171" i="4" s="1"/>
  <c r="R172" i="4"/>
  <c r="R173" i="4"/>
  <c r="S173" i="4" s="1"/>
  <c r="R174" i="4"/>
  <c r="S174" i="4" s="1"/>
  <c r="R175" i="4"/>
  <c r="R176" i="4"/>
  <c r="S176" i="4" s="1"/>
  <c r="R177" i="4"/>
  <c r="S177" i="4" s="1"/>
  <c r="R178" i="4"/>
  <c r="R179" i="4"/>
  <c r="S179" i="4" s="1"/>
  <c r="R180" i="4"/>
  <c r="S180" i="4" s="1"/>
  <c r="R181" i="4"/>
  <c r="R182" i="4"/>
  <c r="S182" i="4" s="1"/>
  <c r="R183" i="4"/>
  <c r="S183" i="4" s="1"/>
  <c r="R184" i="4"/>
  <c r="R185" i="4"/>
  <c r="S185" i="4" s="1"/>
  <c r="R186" i="4"/>
  <c r="R187" i="4"/>
  <c r="S187" i="4" s="1"/>
  <c r="R188" i="4"/>
  <c r="R189" i="4"/>
  <c r="S189" i="4" s="1"/>
  <c r="R190" i="4"/>
  <c r="S190" i="4" s="1"/>
  <c r="R191" i="4"/>
  <c r="R192" i="4"/>
  <c r="S192" i="4" s="1"/>
  <c r="R193" i="4"/>
  <c r="S193" i="4" s="1"/>
  <c r="R194" i="4"/>
  <c r="R195" i="4"/>
  <c r="S195" i="4" s="1"/>
  <c r="R196" i="4"/>
  <c r="S196" i="4" s="1"/>
  <c r="R197" i="4"/>
  <c r="R198" i="4"/>
  <c r="S198" i="4" s="1"/>
  <c r="R199" i="4"/>
  <c r="S199" i="4" s="1"/>
  <c r="R200" i="4"/>
  <c r="R201" i="4"/>
  <c r="S201" i="4" s="1"/>
  <c r="R202" i="4"/>
  <c r="S202" i="4" s="1"/>
  <c r="R203" i="4"/>
  <c r="R204" i="4"/>
  <c r="S204" i="4" s="1"/>
  <c r="R205" i="4"/>
  <c r="S205" i="4" s="1"/>
  <c r="R206" i="4"/>
  <c r="R207" i="4"/>
  <c r="S207" i="4" s="1"/>
  <c r="R208" i="4"/>
  <c r="S208" i="4" s="1"/>
  <c r="R209" i="4"/>
  <c r="S209" i="4" s="1"/>
  <c r="R210" i="4"/>
  <c r="S210" i="4" s="1"/>
  <c r="R211" i="4"/>
  <c r="R212" i="4"/>
  <c r="R213" i="4"/>
  <c r="S213" i="4" s="1"/>
  <c r="R214" i="4"/>
  <c r="R215" i="4"/>
  <c r="S215" i="4" s="1"/>
  <c r="R216" i="4"/>
  <c r="S216" i="4" s="1"/>
  <c r="R217" i="4"/>
  <c r="R218" i="4"/>
  <c r="S218" i="4" s="1"/>
  <c r="R219" i="4"/>
  <c r="S219" i="4" s="1"/>
  <c r="R220" i="4"/>
  <c r="S220" i="4" s="1"/>
  <c r="R221" i="4"/>
  <c r="R222" i="4"/>
  <c r="R223" i="4"/>
  <c r="R224" i="4"/>
  <c r="S224" i="4" s="1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S230" i="4" s="1"/>
  <c r="R231" i="4"/>
  <c r="S231" i="4" s="1"/>
  <c r="R232" i="4"/>
  <c r="S232" i="4" s="1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S238" i="4" s="1"/>
  <c r="R239" i="4"/>
  <c r="S239" i="4" s="1"/>
  <c r="R240" i="4"/>
  <c r="S240" i="4" s="1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S246" i="4" s="1"/>
  <c r="R247" i="4"/>
  <c r="S247" i="4" s="1"/>
  <c r="R248" i="4"/>
  <c r="S248" i="4" s="1"/>
  <c r="R249" i="4"/>
  <c r="S249" i="4" s="1"/>
  <c r="R250" i="4"/>
  <c r="S250" i="4" s="1"/>
  <c r="R251" i="4"/>
  <c r="S251" i="4" s="1"/>
  <c r="R252" i="4"/>
  <c r="S252" i="4" s="1"/>
  <c r="R253" i="4"/>
  <c r="S253" i="4" s="1"/>
  <c r="R254" i="4"/>
  <c r="S254" i="4" s="1"/>
  <c r="R255" i="4"/>
  <c r="S255" i="4" s="1"/>
  <c r="R256" i="4"/>
  <c r="S256" i="4" s="1"/>
  <c r="R257" i="4"/>
  <c r="S257" i="4" s="1"/>
  <c r="R258" i="4"/>
  <c r="S258" i="4" s="1"/>
  <c r="R259" i="4"/>
  <c r="S259" i="4" s="1"/>
  <c r="R260" i="4"/>
  <c r="S260" i="4" s="1"/>
  <c r="R261" i="4"/>
  <c r="S261" i="4" s="1"/>
  <c r="R262" i="4"/>
  <c r="S262" i="4" s="1"/>
  <c r="R263" i="4"/>
  <c r="S263" i="4" s="1"/>
  <c r="R264" i="4"/>
  <c r="S264" i="4" s="1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S270" i="4" s="1"/>
  <c r="R271" i="4"/>
  <c r="S271" i="4" s="1"/>
  <c r="R272" i="4"/>
  <c r="S272" i="4" s="1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S278" i="4" s="1"/>
  <c r="R279" i="4"/>
  <c r="S279" i="4" s="1"/>
  <c r="R280" i="4"/>
  <c r="S280" i="4" s="1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S286" i="4" s="1"/>
  <c r="R287" i="4"/>
  <c r="S287" i="4" s="1"/>
  <c r="R288" i="4"/>
  <c r="S288" i="4" s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" i="3"/>
  <c r="Q3" i="3"/>
  <c r="Q4" i="3"/>
  <c r="Q5" i="3"/>
  <c r="Q6" i="3"/>
  <c r="Q7" i="3"/>
  <c r="Q8" i="3"/>
  <c r="Q9" i="3"/>
  <c r="Q10" i="3"/>
  <c r="Q11" i="3"/>
  <c r="Q12" i="3"/>
  <c r="Q13" i="3"/>
  <c r="P2" i="3"/>
  <c r="P3" i="3"/>
  <c r="P4" i="3"/>
  <c r="P5" i="3"/>
  <c r="P6" i="3"/>
  <c r="P7" i="3"/>
  <c r="P8" i="3"/>
  <c r="P9" i="3"/>
  <c r="P10" i="3"/>
  <c r="P11" i="3"/>
  <c r="P12" i="3"/>
  <c r="P13" i="3"/>
  <c r="L1812" i="1"/>
  <c r="A1812" i="1" s="1" a="1"/>
  <c r="A1812" i="1" s="1"/>
  <c r="L1811" i="1"/>
  <c r="A1811" i="1" s="1" a="1"/>
  <c r="A1811" i="1" s="1"/>
  <c r="L1810" i="1"/>
  <c r="A1810" i="1" s="1" a="1"/>
  <c r="A1810" i="1" s="1"/>
  <c r="L1809" i="1"/>
  <c r="A1809" i="1" s="1" a="1"/>
  <c r="A1809" i="1" s="1"/>
  <c r="L1566" i="1"/>
  <c r="A1566" i="1" s="1" a="1"/>
  <c r="A1566" i="1" s="1"/>
  <c r="L1567" i="1"/>
  <c r="A1567" i="1" s="1" a="1"/>
  <c r="A1567" i="1" s="1"/>
  <c r="L1568" i="1"/>
  <c r="A1568" i="1" s="1" a="1"/>
  <c r="A1568" i="1" s="1"/>
  <c r="L1569" i="1"/>
  <c r="A1569" i="1" s="1" a="1"/>
  <c r="A1569" i="1" s="1"/>
  <c r="L1570" i="1"/>
  <c r="A1570" i="1" s="1" a="1"/>
  <c r="A1570" i="1" s="1"/>
  <c r="L1571" i="1"/>
  <c r="A1571" i="1" s="1" a="1"/>
  <c r="A1571" i="1" s="1"/>
  <c r="L1572" i="1"/>
  <c r="A1572" i="1" s="1" a="1"/>
  <c r="A1572" i="1" s="1"/>
  <c r="L1573" i="1"/>
  <c r="A1573" i="1" s="1" a="1"/>
  <c r="A1573" i="1" s="1"/>
  <c r="L1574" i="1"/>
  <c r="A1574" i="1" s="1" a="1"/>
  <c r="A1574" i="1" s="1"/>
  <c r="L1575" i="1"/>
  <c r="A1575" i="1" s="1" a="1"/>
  <c r="A1575" i="1" s="1"/>
  <c r="L1576" i="1"/>
  <c r="A1576" i="1" s="1" a="1"/>
  <c r="A1576" i="1" s="1"/>
  <c r="L1577" i="1"/>
  <c r="A1577" i="1" s="1" a="1"/>
  <c r="A1577" i="1" s="1"/>
  <c r="L1578" i="1"/>
  <c r="A1578" i="1" s="1" a="1"/>
  <c r="A1578" i="1" s="1"/>
  <c r="L1579" i="1"/>
  <c r="A1579" i="1" s="1" a="1"/>
  <c r="A1579" i="1" s="1"/>
  <c r="L1580" i="1"/>
  <c r="A1580" i="1" s="1" a="1"/>
  <c r="A1580" i="1" s="1"/>
  <c r="L1581" i="1"/>
  <c r="A1581" i="1" s="1" a="1"/>
  <c r="A1581" i="1" s="1"/>
  <c r="L1582" i="1"/>
  <c r="A1582" i="1" s="1" a="1"/>
  <c r="A1582" i="1" s="1"/>
  <c r="L1583" i="1"/>
  <c r="A1583" i="1" s="1" a="1"/>
  <c r="A1583" i="1" s="1"/>
  <c r="L1584" i="1"/>
  <c r="A1584" i="1" s="1" a="1"/>
  <c r="A1584" i="1" s="1"/>
  <c r="L1585" i="1"/>
  <c r="A1585" i="1" s="1" a="1"/>
  <c r="A1585" i="1" s="1"/>
  <c r="L1586" i="1"/>
  <c r="A1586" i="1" s="1" a="1"/>
  <c r="A1586" i="1" s="1"/>
  <c r="L1587" i="1"/>
  <c r="A1587" i="1" s="1" a="1"/>
  <c r="A1587" i="1" s="1"/>
  <c r="L1588" i="1"/>
  <c r="A1588" i="1" s="1" a="1"/>
  <c r="A1588" i="1" s="1"/>
  <c r="L1589" i="1"/>
  <c r="A1589" i="1" s="1" a="1"/>
  <c r="A1589" i="1" s="1"/>
  <c r="L1590" i="1"/>
  <c r="A1590" i="1" s="1" a="1"/>
  <c r="A1590" i="1" s="1"/>
  <c r="L1591" i="1"/>
  <c r="A1591" i="1" s="1" a="1"/>
  <c r="A1591" i="1" s="1"/>
  <c r="L1592" i="1"/>
  <c r="A1592" i="1" s="1" a="1"/>
  <c r="A1592" i="1" s="1"/>
  <c r="L1593" i="1"/>
  <c r="A1593" i="1" s="1" a="1"/>
  <c r="A1593" i="1" s="1"/>
  <c r="L1594" i="1"/>
  <c r="A1594" i="1" s="1" a="1"/>
  <c r="A1594" i="1" s="1"/>
  <c r="L1595" i="1"/>
  <c r="A1595" i="1" s="1" a="1"/>
  <c r="A1595" i="1" s="1"/>
  <c r="L1596" i="1"/>
  <c r="A1596" i="1" s="1" a="1"/>
  <c r="A1596" i="1" s="1"/>
  <c r="L1597" i="1"/>
  <c r="A1597" i="1" s="1" a="1"/>
  <c r="A1597" i="1" s="1"/>
  <c r="L1598" i="1"/>
  <c r="A1598" i="1" s="1" a="1"/>
  <c r="A1598" i="1" s="1"/>
  <c r="L1599" i="1"/>
  <c r="A1599" i="1" s="1" a="1"/>
  <c r="A1599" i="1" s="1"/>
  <c r="L1600" i="1"/>
  <c r="A1600" i="1" s="1" a="1"/>
  <c r="A1600" i="1" s="1"/>
  <c r="L1601" i="1"/>
  <c r="A1601" i="1" s="1" a="1"/>
  <c r="A1601" i="1" s="1"/>
  <c r="L1602" i="1"/>
  <c r="A1602" i="1" s="1" a="1"/>
  <c r="A1602" i="1" s="1"/>
  <c r="L1603" i="1"/>
  <c r="A1603" i="1" s="1" a="1"/>
  <c r="A1603" i="1" s="1"/>
  <c r="L1604" i="1"/>
  <c r="A1604" i="1" s="1" a="1"/>
  <c r="A1604" i="1" s="1"/>
  <c r="L1605" i="1"/>
  <c r="A1605" i="1" s="1" a="1"/>
  <c r="A1605" i="1" s="1"/>
  <c r="L1606" i="1"/>
  <c r="A1606" i="1" s="1" a="1"/>
  <c r="A1606" i="1" s="1"/>
  <c r="L1607" i="1"/>
  <c r="A1607" i="1" s="1" a="1"/>
  <c r="A1607" i="1" s="1"/>
  <c r="L1608" i="1"/>
  <c r="A1608" i="1" s="1" a="1"/>
  <c r="A1608" i="1" s="1"/>
  <c r="L1609" i="1"/>
  <c r="A1609" i="1" s="1" a="1"/>
  <c r="A1609" i="1" s="1"/>
  <c r="L1610" i="1"/>
  <c r="A1610" i="1" s="1" a="1"/>
  <c r="A1610" i="1" s="1"/>
  <c r="L1611" i="1"/>
  <c r="A1611" i="1" s="1" a="1"/>
  <c r="A1611" i="1" s="1"/>
  <c r="L1612" i="1"/>
  <c r="A1612" i="1" s="1" a="1"/>
  <c r="A1612" i="1" s="1"/>
  <c r="L1613" i="1"/>
  <c r="A1613" i="1" s="1" a="1"/>
  <c r="A1613" i="1" s="1"/>
  <c r="L1614" i="1"/>
  <c r="A1614" i="1" s="1" a="1"/>
  <c r="A1614" i="1" s="1"/>
  <c r="L1615" i="1"/>
  <c r="A1615" i="1" s="1" a="1"/>
  <c r="A1615" i="1" s="1"/>
  <c r="L1616" i="1"/>
  <c r="A1616" i="1" s="1" a="1"/>
  <c r="A1616" i="1" s="1"/>
  <c r="L1617" i="1"/>
  <c r="A1617" i="1" s="1" a="1"/>
  <c r="A1617" i="1" s="1"/>
  <c r="L1618" i="1"/>
  <c r="A1618" i="1" s="1" a="1"/>
  <c r="A1618" i="1" s="1"/>
  <c r="L1619" i="1"/>
  <c r="A1619" i="1" s="1" a="1"/>
  <c r="A1619" i="1" s="1"/>
  <c r="L1620" i="1"/>
  <c r="A1620" i="1" s="1" a="1"/>
  <c r="A1620" i="1" s="1"/>
  <c r="L1621" i="1"/>
  <c r="A1621" i="1" s="1" a="1"/>
  <c r="A1621" i="1" s="1"/>
  <c r="L1622" i="1"/>
  <c r="A1622" i="1" s="1" a="1"/>
  <c r="A1622" i="1" s="1"/>
  <c r="L1623" i="1"/>
  <c r="A1623" i="1" s="1" a="1"/>
  <c r="A1623" i="1" s="1"/>
  <c r="L1624" i="1"/>
  <c r="A1624" i="1" s="1" a="1"/>
  <c r="A1624" i="1" s="1"/>
  <c r="L1625" i="1"/>
  <c r="A1625" i="1" s="1" a="1"/>
  <c r="A1625" i="1" s="1"/>
  <c r="L1626" i="1"/>
  <c r="A1626" i="1" s="1" a="1"/>
  <c r="A1626" i="1" s="1"/>
  <c r="L1627" i="1"/>
  <c r="A1627" i="1" s="1" a="1"/>
  <c r="A1627" i="1" s="1"/>
  <c r="L1628" i="1"/>
  <c r="A1628" i="1" s="1" a="1"/>
  <c r="A1628" i="1" s="1"/>
  <c r="L1629" i="1"/>
  <c r="A1629" i="1" s="1" a="1"/>
  <c r="A1629" i="1" s="1"/>
  <c r="L1630" i="1"/>
  <c r="A1630" i="1" s="1" a="1"/>
  <c r="A1630" i="1" s="1"/>
  <c r="L1631" i="1"/>
  <c r="A1631" i="1" s="1" a="1"/>
  <c r="A1631" i="1" s="1"/>
  <c r="L1632" i="1"/>
  <c r="A1632" i="1" s="1" a="1"/>
  <c r="A1632" i="1" s="1"/>
  <c r="L1633" i="1"/>
  <c r="A1633" i="1" s="1" a="1"/>
  <c r="A1633" i="1" s="1"/>
  <c r="L1634" i="1"/>
  <c r="A1634" i="1" s="1" a="1"/>
  <c r="A1634" i="1" s="1"/>
  <c r="L1635" i="1"/>
  <c r="A1635" i="1" s="1" a="1"/>
  <c r="A1635" i="1" s="1"/>
  <c r="L1636" i="1"/>
  <c r="A1636" i="1" s="1" a="1"/>
  <c r="A1636" i="1" s="1"/>
  <c r="L1637" i="1"/>
  <c r="A1637" i="1" s="1" a="1"/>
  <c r="A1637" i="1" s="1"/>
  <c r="L1638" i="1"/>
  <c r="A1638" i="1" s="1" a="1"/>
  <c r="A1638" i="1" s="1"/>
  <c r="L1639" i="1"/>
  <c r="A1639" i="1" s="1" a="1"/>
  <c r="A1639" i="1" s="1"/>
  <c r="L1640" i="1"/>
  <c r="A1640" i="1" s="1" a="1"/>
  <c r="A1640" i="1" s="1"/>
  <c r="L1641" i="1"/>
  <c r="A1641" i="1" s="1" a="1"/>
  <c r="A1641" i="1" s="1"/>
  <c r="L1642" i="1"/>
  <c r="A1642" i="1" s="1" a="1"/>
  <c r="A1642" i="1" s="1"/>
  <c r="L1643" i="1"/>
  <c r="A1643" i="1" s="1" a="1"/>
  <c r="A1643" i="1" s="1"/>
  <c r="L1644" i="1"/>
  <c r="A1644" i="1" s="1" a="1"/>
  <c r="A1644" i="1" s="1"/>
  <c r="L1645" i="1"/>
  <c r="A1645" i="1" s="1" a="1"/>
  <c r="A1645" i="1" s="1"/>
  <c r="L1646" i="1"/>
  <c r="A1646" i="1" s="1" a="1"/>
  <c r="A1646" i="1" s="1"/>
  <c r="L1647" i="1"/>
  <c r="A1647" i="1" s="1" a="1"/>
  <c r="A1647" i="1" s="1"/>
  <c r="L1648" i="1"/>
  <c r="A1648" i="1" s="1" a="1"/>
  <c r="A1648" i="1" s="1"/>
  <c r="L1649" i="1"/>
  <c r="A1649" i="1" s="1" a="1"/>
  <c r="A1649" i="1" s="1"/>
  <c r="L1650" i="1"/>
  <c r="A1650" i="1" s="1" a="1"/>
  <c r="A1650" i="1" s="1"/>
  <c r="L1651" i="1"/>
  <c r="A1651" i="1" s="1" a="1"/>
  <c r="A1651" i="1" s="1"/>
  <c r="L1652" i="1"/>
  <c r="A1652" i="1" s="1" a="1"/>
  <c r="A1652" i="1" s="1"/>
  <c r="L1653" i="1"/>
  <c r="A1653" i="1" s="1" a="1"/>
  <c r="A1653" i="1" s="1"/>
  <c r="L1654" i="1"/>
  <c r="A1654" i="1" s="1" a="1"/>
  <c r="A1654" i="1" s="1"/>
  <c r="L1655" i="1"/>
  <c r="A1655" i="1" s="1" a="1"/>
  <c r="A1655" i="1" s="1"/>
  <c r="L1656" i="1"/>
  <c r="A1656" i="1" s="1" a="1"/>
  <c r="A1656" i="1" s="1"/>
  <c r="L1657" i="1"/>
  <c r="A1657" i="1" s="1" a="1"/>
  <c r="A1657" i="1" s="1"/>
  <c r="L1658" i="1"/>
  <c r="A1658" i="1" s="1" a="1"/>
  <c r="A1658" i="1" s="1"/>
  <c r="L1659" i="1"/>
  <c r="A1659" i="1" s="1" a="1"/>
  <c r="A1659" i="1" s="1"/>
  <c r="L1660" i="1"/>
  <c r="A1660" i="1" s="1" a="1"/>
  <c r="A1660" i="1" s="1"/>
  <c r="L1661" i="1"/>
  <c r="A1661" i="1" s="1" a="1"/>
  <c r="A1661" i="1" s="1"/>
  <c r="L1662" i="1"/>
  <c r="A1662" i="1" s="1" a="1"/>
  <c r="A1662" i="1" s="1"/>
  <c r="L1663" i="1"/>
  <c r="A1663" i="1" s="1" a="1"/>
  <c r="A1663" i="1" s="1"/>
  <c r="L1664" i="1"/>
  <c r="A1664" i="1" s="1" a="1"/>
  <c r="A1664" i="1" s="1"/>
  <c r="L1665" i="1"/>
  <c r="A1665" i="1" s="1" a="1"/>
  <c r="A1665" i="1" s="1"/>
  <c r="L1666" i="1"/>
  <c r="A1666" i="1" s="1" a="1"/>
  <c r="A1666" i="1" s="1"/>
  <c r="L1667" i="1"/>
  <c r="A1667" i="1" s="1" a="1"/>
  <c r="A1667" i="1" s="1"/>
  <c r="L1668" i="1"/>
  <c r="A1668" i="1" s="1" a="1"/>
  <c r="A1668" i="1" s="1"/>
  <c r="L1669" i="1"/>
  <c r="A1669" i="1" s="1" a="1"/>
  <c r="A1669" i="1" s="1"/>
  <c r="L1670" i="1"/>
  <c r="A1670" i="1" s="1" a="1"/>
  <c r="A1670" i="1" s="1"/>
  <c r="L1671" i="1"/>
  <c r="A1671" i="1" s="1" a="1"/>
  <c r="A1671" i="1" s="1"/>
  <c r="L1672" i="1"/>
  <c r="A1672" i="1" s="1" a="1"/>
  <c r="A1672" i="1" s="1"/>
  <c r="L1673" i="1"/>
  <c r="A1673" i="1" s="1" a="1"/>
  <c r="A1673" i="1" s="1"/>
  <c r="L1674" i="1"/>
  <c r="A1674" i="1" s="1" a="1"/>
  <c r="A1674" i="1" s="1"/>
  <c r="L1675" i="1"/>
  <c r="A1675" i="1" s="1" a="1"/>
  <c r="A1675" i="1" s="1"/>
  <c r="L1676" i="1"/>
  <c r="A1676" i="1" s="1" a="1"/>
  <c r="A1676" i="1" s="1"/>
  <c r="L1677" i="1"/>
  <c r="A1677" i="1" s="1" a="1"/>
  <c r="A1677" i="1" s="1"/>
  <c r="L1678" i="1"/>
  <c r="A1678" i="1" s="1" a="1"/>
  <c r="A1678" i="1" s="1"/>
  <c r="L1679" i="1"/>
  <c r="A1679" i="1" s="1" a="1"/>
  <c r="A1679" i="1" s="1"/>
  <c r="L1680" i="1"/>
  <c r="A1680" i="1" s="1" a="1"/>
  <c r="A1680" i="1" s="1"/>
  <c r="L1681" i="1"/>
  <c r="A1681" i="1" s="1" a="1"/>
  <c r="A1681" i="1" s="1"/>
  <c r="L1682" i="1"/>
  <c r="A1682" i="1" s="1" a="1"/>
  <c r="A1682" i="1" s="1"/>
  <c r="L1683" i="1"/>
  <c r="A1683" i="1" s="1" a="1"/>
  <c r="A1683" i="1" s="1"/>
  <c r="L1684" i="1"/>
  <c r="A1684" i="1" s="1" a="1"/>
  <c r="A1684" i="1" s="1"/>
  <c r="L1685" i="1"/>
  <c r="A1685" i="1" s="1" a="1"/>
  <c r="A1685" i="1" s="1"/>
  <c r="L1686" i="1"/>
  <c r="A1686" i="1" s="1" a="1"/>
  <c r="A1686" i="1" s="1"/>
  <c r="L1687" i="1"/>
  <c r="A1687" i="1" s="1" a="1"/>
  <c r="A1687" i="1" s="1"/>
  <c r="L1688" i="1"/>
  <c r="A1688" i="1" s="1" a="1"/>
  <c r="A1688" i="1" s="1"/>
  <c r="L1689" i="1"/>
  <c r="A1689" i="1" s="1" a="1"/>
  <c r="A1689" i="1" s="1"/>
  <c r="L1690" i="1"/>
  <c r="A1690" i="1" s="1" a="1"/>
  <c r="A1690" i="1" s="1"/>
  <c r="L1691" i="1"/>
  <c r="A1691" i="1" s="1" a="1"/>
  <c r="A1691" i="1" s="1"/>
  <c r="L1692" i="1"/>
  <c r="A1692" i="1" s="1" a="1"/>
  <c r="A1692" i="1" s="1"/>
  <c r="L1693" i="1"/>
  <c r="A1693" i="1" s="1" a="1"/>
  <c r="A1693" i="1" s="1"/>
  <c r="L1694" i="1"/>
  <c r="A1694" i="1" s="1" a="1"/>
  <c r="A1694" i="1" s="1"/>
  <c r="L1695" i="1"/>
  <c r="A1695" i="1" s="1" a="1"/>
  <c r="A1695" i="1" s="1"/>
  <c r="L1696" i="1"/>
  <c r="A1696" i="1" s="1" a="1"/>
  <c r="A1696" i="1" s="1"/>
  <c r="L1697" i="1"/>
  <c r="A1697" i="1" s="1" a="1"/>
  <c r="A1697" i="1" s="1"/>
  <c r="L1698" i="1"/>
  <c r="A1698" i="1" s="1" a="1"/>
  <c r="A1698" i="1" s="1"/>
  <c r="L1699" i="1"/>
  <c r="A1699" i="1" s="1" a="1"/>
  <c r="A1699" i="1" s="1"/>
  <c r="L1700" i="1"/>
  <c r="A1700" i="1" s="1" a="1"/>
  <c r="A1700" i="1" s="1"/>
  <c r="L1701" i="1"/>
  <c r="A1701" i="1" s="1" a="1"/>
  <c r="A1701" i="1" s="1"/>
  <c r="L1702" i="1"/>
  <c r="A1702" i="1" s="1" a="1"/>
  <c r="A1702" i="1" s="1"/>
  <c r="L1703" i="1"/>
  <c r="A1703" i="1" s="1" a="1"/>
  <c r="A1703" i="1" s="1"/>
  <c r="L1704" i="1"/>
  <c r="A1704" i="1" s="1" a="1"/>
  <c r="A1704" i="1" s="1"/>
  <c r="L1705" i="1"/>
  <c r="A1705" i="1" s="1" a="1"/>
  <c r="A1705" i="1" s="1"/>
  <c r="L1706" i="1"/>
  <c r="A1706" i="1" s="1" a="1"/>
  <c r="A1706" i="1" s="1"/>
  <c r="L1707" i="1"/>
  <c r="A1707" i="1" s="1" a="1"/>
  <c r="A1707" i="1" s="1"/>
  <c r="L1708" i="1"/>
  <c r="A1708" i="1" s="1" a="1"/>
  <c r="A1708" i="1" s="1"/>
  <c r="L1709" i="1"/>
  <c r="A1709" i="1" s="1" a="1"/>
  <c r="A1709" i="1" s="1"/>
  <c r="L1710" i="1"/>
  <c r="A1710" i="1" s="1" a="1"/>
  <c r="A1710" i="1" s="1"/>
  <c r="L1711" i="1"/>
  <c r="A1711" i="1" s="1" a="1"/>
  <c r="A1711" i="1" s="1"/>
  <c r="L1712" i="1"/>
  <c r="A1712" i="1" s="1" a="1"/>
  <c r="A1712" i="1" s="1"/>
  <c r="L1713" i="1"/>
  <c r="A1713" i="1" s="1" a="1"/>
  <c r="A1713" i="1" s="1"/>
  <c r="L1714" i="1"/>
  <c r="A1714" i="1" s="1" a="1"/>
  <c r="A1714" i="1" s="1"/>
  <c r="L1715" i="1"/>
  <c r="A1715" i="1" s="1" a="1"/>
  <c r="A1715" i="1" s="1"/>
  <c r="L1716" i="1"/>
  <c r="A1716" i="1" s="1" a="1"/>
  <c r="A1716" i="1" s="1"/>
  <c r="L1717" i="1"/>
  <c r="A1717" i="1" s="1" a="1"/>
  <c r="A1717" i="1" s="1"/>
  <c r="L1718" i="1"/>
  <c r="A1718" i="1" s="1" a="1"/>
  <c r="A1718" i="1" s="1"/>
  <c r="L1719" i="1"/>
  <c r="A1719" i="1" s="1" a="1"/>
  <c r="A1719" i="1" s="1"/>
  <c r="L1720" i="1"/>
  <c r="A1720" i="1" s="1" a="1"/>
  <c r="A1720" i="1" s="1"/>
  <c r="L1721" i="1"/>
  <c r="A1721" i="1" s="1" a="1"/>
  <c r="A1721" i="1" s="1"/>
  <c r="L1722" i="1"/>
  <c r="A1722" i="1" s="1" a="1"/>
  <c r="A1722" i="1" s="1"/>
  <c r="L1723" i="1"/>
  <c r="A1723" i="1" s="1" a="1"/>
  <c r="A1723" i="1" s="1"/>
  <c r="L1724" i="1"/>
  <c r="A1724" i="1" s="1" a="1"/>
  <c r="A1724" i="1" s="1"/>
  <c r="L1725" i="1"/>
  <c r="A1725" i="1" s="1" a="1"/>
  <c r="A1725" i="1" s="1"/>
  <c r="L1726" i="1"/>
  <c r="A1726" i="1" s="1" a="1"/>
  <c r="A1726" i="1" s="1"/>
  <c r="L1727" i="1"/>
  <c r="A1727" i="1" s="1" a="1"/>
  <c r="A1727" i="1" s="1"/>
  <c r="L1728" i="1"/>
  <c r="A1728" i="1" s="1" a="1"/>
  <c r="A1728" i="1" s="1"/>
  <c r="L1729" i="1"/>
  <c r="A1729" i="1" s="1" a="1"/>
  <c r="A1729" i="1" s="1"/>
  <c r="L1730" i="1"/>
  <c r="A1730" i="1" s="1" a="1"/>
  <c r="A1730" i="1" s="1"/>
  <c r="L1731" i="1"/>
  <c r="A1731" i="1" s="1" a="1"/>
  <c r="A1731" i="1" s="1"/>
  <c r="L1732" i="1"/>
  <c r="A1732" i="1" s="1" a="1"/>
  <c r="A1732" i="1" s="1"/>
  <c r="L1733" i="1"/>
  <c r="A1733" i="1" s="1" a="1"/>
  <c r="A1733" i="1" s="1"/>
  <c r="L1734" i="1"/>
  <c r="A1734" i="1" s="1" a="1"/>
  <c r="A1734" i="1" s="1"/>
  <c r="L1735" i="1"/>
  <c r="A1735" i="1" s="1" a="1"/>
  <c r="A1735" i="1" s="1"/>
  <c r="L1736" i="1"/>
  <c r="A1736" i="1" s="1" a="1"/>
  <c r="A1736" i="1" s="1"/>
  <c r="L1737" i="1"/>
  <c r="A1737" i="1" s="1" a="1"/>
  <c r="A1737" i="1" s="1"/>
  <c r="L1738" i="1"/>
  <c r="A1738" i="1" s="1" a="1"/>
  <c r="A1738" i="1" s="1"/>
  <c r="L1739" i="1"/>
  <c r="A1739" i="1" s="1" a="1"/>
  <c r="A1739" i="1" s="1"/>
  <c r="L1740" i="1"/>
  <c r="A1740" i="1" s="1" a="1"/>
  <c r="A1740" i="1" s="1"/>
  <c r="L1741" i="1"/>
  <c r="A1741" i="1" s="1" a="1"/>
  <c r="A1741" i="1" s="1"/>
  <c r="L1742" i="1"/>
  <c r="A1742" i="1" s="1" a="1"/>
  <c r="A1742" i="1" s="1"/>
  <c r="L1743" i="1"/>
  <c r="A1743" i="1" s="1" a="1"/>
  <c r="A1743" i="1" s="1"/>
  <c r="L1744" i="1"/>
  <c r="A1744" i="1" s="1" a="1"/>
  <c r="A1744" i="1" s="1"/>
  <c r="L1745" i="1"/>
  <c r="A1745" i="1" s="1" a="1"/>
  <c r="A1745" i="1" s="1"/>
  <c r="L1746" i="1"/>
  <c r="A1746" i="1" s="1" a="1"/>
  <c r="A1746" i="1" s="1"/>
  <c r="L1747" i="1"/>
  <c r="A1747" i="1" s="1" a="1"/>
  <c r="A1747" i="1" s="1"/>
  <c r="L1748" i="1"/>
  <c r="A1748" i="1" s="1" a="1"/>
  <c r="A1748" i="1" s="1"/>
  <c r="L1749" i="1"/>
  <c r="A1749" i="1" s="1" a="1"/>
  <c r="A1749" i="1" s="1"/>
  <c r="L1750" i="1"/>
  <c r="A1750" i="1" s="1" a="1"/>
  <c r="A1750" i="1" s="1"/>
  <c r="L1751" i="1"/>
  <c r="A1751" i="1" s="1" a="1"/>
  <c r="A1751" i="1" s="1"/>
  <c r="L1752" i="1"/>
  <c r="A1752" i="1" s="1" a="1"/>
  <c r="A1752" i="1" s="1"/>
  <c r="L1753" i="1"/>
  <c r="A1753" i="1" s="1" a="1"/>
  <c r="A1753" i="1" s="1"/>
  <c r="L1754" i="1"/>
  <c r="A1754" i="1" s="1" a="1"/>
  <c r="A1754" i="1" s="1"/>
  <c r="L1755" i="1"/>
  <c r="A1755" i="1" s="1" a="1"/>
  <c r="A1755" i="1" s="1"/>
  <c r="L1756" i="1"/>
  <c r="A1756" i="1" s="1" a="1"/>
  <c r="A1756" i="1" s="1"/>
  <c r="L1757" i="1"/>
  <c r="A1757" i="1" s="1" a="1"/>
  <c r="A1757" i="1" s="1"/>
  <c r="L1758" i="1"/>
  <c r="A1758" i="1" s="1" a="1"/>
  <c r="A1758" i="1" s="1"/>
  <c r="L1759" i="1"/>
  <c r="A1759" i="1" s="1" a="1"/>
  <c r="A1759" i="1" s="1"/>
  <c r="L1760" i="1"/>
  <c r="A1760" i="1" s="1" a="1"/>
  <c r="A1760" i="1" s="1"/>
  <c r="L1761" i="1"/>
  <c r="A1761" i="1" s="1" a="1"/>
  <c r="A1761" i="1" s="1"/>
  <c r="L1762" i="1"/>
  <c r="A1762" i="1" s="1" a="1"/>
  <c r="A1762" i="1" s="1"/>
  <c r="L1763" i="1"/>
  <c r="A1763" i="1" s="1" a="1"/>
  <c r="A1763" i="1" s="1"/>
  <c r="L1764" i="1"/>
  <c r="A1764" i="1" s="1" a="1"/>
  <c r="A1764" i="1" s="1"/>
  <c r="L1765" i="1"/>
  <c r="A1765" i="1" s="1" a="1"/>
  <c r="A1765" i="1" s="1"/>
  <c r="L1766" i="1"/>
  <c r="A1766" i="1" s="1" a="1"/>
  <c r="A1766" i="1" s="1"/>
  <c r="L1767" i="1"/>
  <c r="A1767" i="1" s="1" a="1"/>
  <c r="A1767" i="1" s="1"/>
  <c r="L1768" i="1"/>
  <c r="A1768" i="1" s="1" a="1"/>
  <c r="A1768" i="1" s="1"/>
  <c r="L1769" i="1"/>
  <c r="A1769" i="1" s="1" a="1"/>
  <c r="A1769" i="1" s="1"/>
  <c r="L1770" i="1"/>
  <c r="A1770" i="1" s="1" a="1"/>
  <c r="A1770" i="1" s="1"/>
  <c r="L1771" i="1"/>
  <c r="A1771" i="1" s="1" a="1"/>
  <c r="A1771" i="1" s="1"/>
  <c r="L1772" i="1"/>
  <c r="A1772" i="1" s="1" a="1"/>
  <c r="A1772" i="1" s="1"/>
  <c r="L1773" i="1"/>
  <c r="A1773" i="1" s="1" a="1"/>
  <c r="A1773" i="1" s="1"/>
  <c r="L1774" i="1"/>
  <c r="A1774" i="1" s="1" a="1"/>
  <c r="A1774" i="1" s="1"/>
  <c r="L1775" i="1"/>
  <c r="A1775" i="1" s="1" a="1"/>
  <c r="A1775" i="1" s="1"/>
  <c r="L1776" i="1"/>
  <c r="A1776" i="1" s="1" a="1"/>
  <c r="A1776" i="1" s="1"/>
  <c r="L1777" i="1"/>
  <c r="A1777" i="1" s="1" a="1"/>
  <c r="A1777" i="1" s="1"/>
  <c r="L1778" i="1"/>
  <c r="A1778" i="1" s="1" a="1"/>
  <c r="A1778" i="1" s="1"/>
  <c r="L1779" i="1"/>
  <c r="A1779" i="1" s="1" a="1"/>
  <c r="A1779" i="1" s="1"/>
  <c r="L1780" i="1"/>
  <c r="A1780" i="1" s="1" a="1"/>
  <c r="A1780" i="1" s="1"/>
  <c r="L1781" i="1"/>
  <c r="A1781" i="1" s="1" a="1"/>
  <c r="A1781" i="1" s="1"/>
  <c r="L1782" i="1"/>
  <c r="A1782" i="1" s="1" a="1"/>
  <c r="A1782" i="1" s="1"/>
  <c r="L1783" i="1"/>
  <c r="A1783" i="1" s="1" a="1"/>
  <c r="A1783" i="1" s="1"/>
  <c r="L1784" i="1"/>
  <c r="A1784" i="1" s="1" a="1"/>
  <c r="A1784" i="1" s="1"/>
  <c r="L1785" i="1"/>
  <c r="A1785" i="1" s="1" a="1"/>
  <c r="A1785" i="1" s="1"/>
  <c r="L1786" i="1"/>
  <c r="A1786" i="1" s="1" a="1"/>
  <c r="A1786" i="1" s="1"/>
  <c r="L1787" i="1"/>
  <c r="A1787" i="1" s="1" a="1"/>
  <c r="A1787" i="1" s="1"/>
  <c r="L1788" i="1"/>
  <c r="A1788" i="1" s="1" a="1"/>
  <c r="A1788" i="1" s="1"/>
  <c r="L1789" i="1"/>
  <c r="A1789" i="1" s="1" a="1"/>
  <c r="A1789" i="1" s="1"/>
  <c r="L1790" i="1"/>
  <c r="A1790" i="1" s="1" a="1"/>
  <c r="A1790" i="1" s="1"/>
  <c r="L1791" i="1"/>
  <c r="A1791" i="1" s="1" a="1"/>
  <c r="A1791" i="1" s="1"/>
  <c r="L1792" i="1"/>
  <c r="A1792" i="1" s="1" a="1"/>
  <c r="A1792" i="1" s="1"/>
  <c r="L1793" i="1"/>
  <c r="A1793" i="1" s="1" a="1"/>
  <c r="A1793" i="1" s="1"/>
  <c r="L1794" i="1"/>
  <c r="A1794" i="1" s="1" a="1"/>
  <c r="A1794" i="1" s="1"/>
  <c r="L1795" i="1"/>
  <c r="A1795" i="1" s="1" a="1"/>
  <c r="A1795" i="1" s="1"/>
  <c r="L1796" i="1"/>
  <c r="A1796" i="1" s="1" a="1"/>
  <c r="A1796" i="1" s="1"/>
  <c r="L1797" i="1"/>
  <c r="A1797" i="1" s="1" a="1"/>
  <c r="A1797" i="1" s="1"/>
  <c r="L1798" i="1"/>
  <c r="A1798" i="1" s="1" a="1"/>
  <c r="A1798" i="1" s="1"/>
  <c r="L1799" i="1"/>
  <c r="A1799" i="1" s="1" a="1"/>
  <c r="A1799" i="1" s="1"/>
  <c r="L1800" i="1"/>
  <c r="A1800" i="1" s="1" a="1"/>
  <c r="A1800" i="1" s="1"/>
  <c r="L1801" i="1"/>
  <c r="A1801" i="1" s="1" a="1"/>
  <c r="A1801" i="1" s="1"/>
  <c r="L1802" i="1"/>
  <c r="A1802" i="1" s="1" a="1"/>
  <c r="A1802" i="1" s="1"/>
  <c r="L1803" i="1"/>
  <c r="A1803" i="1" s="1" a="1"/>
  <c r="A1803" i="1" s="1"/>
  <c r="L1804" i="1"/>
  <c r="A1804" i="1" s="1" a="1"/>
  <c r="A1804" i="1" s="1"/>
  <c r="L1805" i="1"/>
  <c r="A1805" i="1" s="1" a="1"/>
  <c r="A1805" i="1" s="1"/>
  <c r="L1806" i="1"/>
  <c r="A1806" i="1" s="1" a="1"/>
  <c r="A1806" i="1" s="1"/>
  <c r="L1807" i="1"/>
  <c r="A1807" i="1" s="1" a="1"/>
  <c r="A1807" i="1" s="1"/>
  <c r="L1808" i="1"/>
  <c r="A1808" i="1" s="1" a="1"/>
  <c r="A1808" i="1" s="1"/>
  <c r="L1565" i="1"/>
  <c r="A1565" i="1" s="1" a="1"/>
  <c r="A1565" i="1" s="1"/>
  <c r="L1564" i="1"/>
  <c r="A1564" i="1" s="1" a="1"/>
  <c r="A1564" i="1" s="1"/>
  <c r="L1563" i="1"/>
  <c r="A1563" i="1" s="1" a="1"/>
  <c r="A1563" i="1" s="1"/>
  <c r="L1562" i="1"/>
  <c r="A1562" i="1" s="1" a="1"/>
  <c r="A1562" i="1" s="1"/>
  <c r="L1561" i="1"/>
  <c r="A1561" i="1" s="1" a="1"/>
  <c r="A1561" i="1" s="1"/>
  <c r="L1560" i="1"/>
  <c r="A1560" i="1" s="1" a="1"/>
  <c r="A1560" i="1" s="1"/>
  <c r="L1559" i="1"/>
  <c r="A1559" i="1" s="1" a="1"/>
  <c r="A1559" i="1" s="1"/>
  <c r="L1558" i="1"/>
  <c r="A1558" i="1" s="1" a="1"/>
  <c r="A1558" i="1" s="1"/>
  <c r="L1531" i="1"/>
  <c r="A1531" i="1" s="1" a="1"/>
  <c r="A1531" i="1" s="1"/>
  <c r="L1532" i="1"/>
  <c r="A1532" i="1" s="1" a="1"/>
  <c r="A1532" i="1" s="1"/>
  <c r="L1533" i="1"/>
  <c r="A1533" i="1" s="1" a="1"/>
  <c r="A1533" i="1" s="1"/>
  <c r="L1534" i="1"/>
  <c r="A1534" i="1" s="1" a="1"/>
  <c r="A1534" i="1" s="1"/>
  <c r="L1535" i="1"/>
  <c r="A1535" i="1" s="1" a="1"/>
  <c r="A1535" i="1" s="1"/>
  <c r="L1536" i="1"/>
  <c r="A1536" i="1" s="1" a="1"/>
  <c r="A1536" i="1" s="1"/>
  <c r="L1537" i="1"/>
  <c r="A1537" i="1" s="1" a="1"/>
  <c r="A1537" i="1" s="1"/>
  <c r="L1538" i="1"/>
  <c r="A1538" i="1" s="1" a="1"/>
  <c r="A1538" i="1" s="1"/>
  <c r="L1539" i="1"/>
  <c r="A1539" i="1" s="1" a="1"/>
  <c r="A1539" i="1" s="1"/>
  <c r="L1540" i="1"/>
  <c r="A1540" i="1" s="1" a="1"/>
  <c r="A1540" i="1" s="1"/>
  <c r="L1541" i="1"/>
  <c r="A1541" i="1" s="1" a="1"/>
  <c r="A1541" i="1" s="1"/>
  <c r="L1542" i="1"/>
  <c r="A1542" i="1" s="1" a="1"/>
  <c r="A1542" i="1" s="1"/>
  <c r="L1543" i="1"/>
  <c r="A1543" i="1" s="1" a="1"/>
  <c r="A1543" i="1" s="1"/>
  <c r="L1544" i="1"/>
  <c r="A1544" i="1" s="1" a="1"/>
  <c r="A1544" i="1" s="1"/>
  <c r="L1545" i="1"/>
  <c r="A1545" i="1" s="1" a="1"/>
  <c r="A1545" i="1" s="1"/>
  <c r="L1546" i="1"/>
  <c r="A1546" i="1" s="1" a="1"/>
  <c r="A1546" i="1" s="1"/>
  <c r="L1547" i="1"/>
  <c r="A1547" i="1" s="1" a="1"/>
  <c r="A1547" i="1" s="1"/>
  <c r="L1548" i="1"/>
  <c r="A1548" i="1" s="1" a="1"/>
  <c r="A1548" i="1" s="1"/>
  <c r="L1549" i="1"/>
  <c r="A1549" i="1" s="1" a="1"/>
  <c r="A1549" i="1" s="1"/>
  <c r="L1550" i="1"/>
  <c r="A1550" i="1" s="1" a="1"/>
  <c r="A1550" i="1" s="1"/>
  <c r="L1551" i="1"/>
  <c r="A1551" i="1" s="1" a="1"/>
  <c r="A1551" i="1" s="1"/>
  <c r="L1552" i="1"/>
  <c r="A1552" i="1" s="1" a="1"/>
  <c r="A1552" i="1" s="1"/>
  <c r="L1553" i="1"/>
  <c r="A1553" i="1" s="1" a="1"/>
  <c r="A1553" i="1" s="1"/>
  <c r="L1554" i="1"/>
  <c r="A1554" i="1" s="1" a="1"/>
  <c r="A1554" i="1" s="1"/>
  <c r="L1555" i="1"/>
  <c r="A1555" i="1" s="1" a="1"/>
  <c r="A1555" i="1" s="1"/>
  <c r="L1556" i="1"/>
  <c r="A1556" i="1" s="1" a="1"/>
  <c r="A1556" i="1" s="1"/>
  <c r="L1557" i="1"/>
  <c r="A1557" i="1" s="1" a="1"/>
  <c r="A1557" i="1" s="1"/>
  <c r="L1530" i="1"/>
  <c r="A1530" i="1" s="1" a="1"/>
  <c r="A1530" i="1" s="1"/>
  <c r="L1529" i="1"/>
  <c r="A1529" i="1" s="1" a="1"/>
  <c r="A1529" i="1" s="1"/>
  <c r="L1528" i="1"/>
  <c r="A1528" i="1" s="1" a="1"/>
  <c r="A1528" i="1" s="1"/>
  <c r="L1527" i="1"/>
  <c r="A1527" i="1" s="1" a="1"/>
  <c r="A1527" i="1" s="1"/>
  <c r="L1526" i="1"/>
  <c r="A1526" i="1" s="1" a="1"/>
  <c r="A1526" i="1" s="1"/>
  <c r="L1525" i="1"/>
  <c r="A1525" i="1" s="1" a="1"/>
  <c r="A1525" i="1" s="1"/>
  <c r="L1524" i="1"/>
  <c r="A1524" i="1" s="1" a="1"/>
  <c r="A1524" i="1" s="1"/>
  <c r="L1523" i="1"/>
  <c r="A1523" i="1" s="1" a="1"/>
  <c r="A1523" i="1" s="1"/>
  <c r="L1522" i="1"/>
  <c r="A1522" i="1" s="1" a="1"/>
  <c r="A1522" i="1" s="1"/>
  <c r="L1521" i="1"/>
  <c r="A1521" i="1" s="1" a="1"/>
  <c r="A1521" i="1" s="1"/>
  <c r="L1520" i="1"/>
  <c r="A1520" i="1" s="1" a="1"/>
  <c r="A1520" i="1" s="1"/>
  <c r="L1519" i="1"/>
  <c r="A1519" i="1" s="1" a="1"/>
  <c r="A1519" i="1" s="1"/>
  <c r="L1518" i="1"/>
  <c r="A1518" i="1" s="1" a="1"/>
  <c r="A1518" i="1" s="1"/>
  <c r="L1517" i="1"/>
  <c r="A1517" i="1" s="1" a="1"/>
  <c r="A1517" i="1" s="1"/>
  <c r="L1516" i="1"/>
  <c r="A1516" i="1" s="1" a="1"/>
  <c r="A1516" i="1" s="1"/>
  <c r="L1515" i="1"/>
  <c r="L1514" i="1"/>
  <c r="A1514" i="1" s="1" a="1"/>
  <c r="A1514" i="1" s="1"/>
  <c r="L1513" i="1"/>
  <c r="A1513" i="1" s="1" a="1"/>
  <c r="A1513" i="1" s="1"/>
  <c r="L1512" i="1"/>
  <c r="A1512" i="1" s="1" a="1"/>
  <c r="A1512" i="1" s="1"/>
  <c r="L1511" i="1"/>
  <c r="A1511" i="1" s="1" a="1"/>
  <c r="A1511" i="1" s="1"/>
  <c r="L1510" i="1"/>
  <c r="A1510" i="1" s="1" a="1"/>
  <c r="A1510" i="1" s="1"/>
  <c r="L1509" i="1"/>
  <c r="A1509" i="1" s="1" a="1"/>
  <c r="A1509" i="1" s="1"/>
  <c r="L1508" i="1"/>
  <c r="A1508" i="1" s="1" a="1"/>
  <c r="A1508" i="1" s="1"/>
  <c r="L1507" i="1"/>
  <c r="A1507" i="1" s="1" a="1"/>
  <c r="A1507" i="1" s="1"/>
  <c r="L1506" i="1"/>
  <c r="A1506" i="1" s="1" a="1"/>
  <c r="A1506" i="1" s="1"/>
  <c r="L1505" i="1"/>
  <c r="A1505" i="1" s="1" a="1"/>
  <c r="A1505" i="1" s="1"/>
  <c r="L1504" i="1"/>
  <c r="A1504" i="1" s="1" a="1"/>
  <c r="A1504" i="1" s="1"/>
  <c r="L1503" i="1"/>
  <c r="L1502" i="1"/>
  <c r="A1502" i="1" s="1" a="1"/>
  <c r="A1502" i="1" s="1"/>
  <c r="L1501" i="1"/>
  <c r="A1501" i="1" s="1" a="1"/>
  <c r="A1501" i="1" s="1"/>
  <c r="L1500" i="1"/>
  <c r="A1500" i="1" s="1" a="1"/>
  <c r="A1500" i="1" s="1"/>
  <c r="L1499" i="1"/>
  <c r="A1499" i="1" s="1" a="1"/>
  <c r="A1499" i="1" s="1"/>
  <c r="L1498" i="1"/>
  <c r="A1498" i="1" s="1" a="1"/>
  <c r="A1498" i="1" s="1"/>
  <c r="L1497" i="1"/>
  <c r="A1497" i="1" s="1" a="1"/>
  <c r="A1497" i="1" s="1"/>
  <c r="L1496" i="1"/>
  <c r="A1496" i="1" s="1" a="1"/>
  <c r="A1496" i="1" s="1"/>
  <c r="L1495" i="1"/>
  <c r="A1495" i="1" s="1" a="1"/>
  <c r="A1495" i="1" s="1"/>
  <c r="L1494" i="1"/>
  <c r="A1494" i="1" s="1" a="1"/>
  <c r="A1494" i="1" s="1"/>
  <c r="L1493" i="1"/>
  <c r="A1493" i="1" s="1" a="1"/>
  <c r="A1493" i="1" s="1"/>
  <c r="L1492" i="1"/>
  <c r="L1491" i="1"/>
  <c r="L1490" i="1"/>
  <c r="A1490" i="1" s="1" a="1"/>
  <c r="A1490" i="1" s="1"/>
  <c r="L1489" i="1"/>
  <c r="A1489" i="1" s="1" a="1"/>
  <c r="A1489" i="1" s="1"/>
  <c r="L1488" i="1"/>
  <c r="A1488" i="1" s="1" a="1"/>
  <c r="A1488" i="1" s="1"/>
  <c r="L1487" i="1"/>
  <c r="A1487" i="1" s="1" a="1"/>
  <c r="A1487" i="1" s="1"/>
  <c r="L1486" i="1"/>
  <c r="A1486" i="1" s="1" a="1"/>
  <c r="A1486" i="1" s="1"/>
  <c r="L1485" i="1"/>
  <c r="A1485" i="1" s="1" a="1"/>
  <c r="A1485" i="1" s="1"/>
  <c r="L1484" i="1"/>
  <c r="A1484" i="1" s="1" a="1"/>
  <c r="A1484" i="1" s="1"/>
  <c r="L1483" i="1"/>
  <c r="A1483" i="1" s="1" a="1"/>
  <c r="A1483" i="1" s="1"/>
  <c r="L1482" i="1"/>
  <c r="A1482" i="1" s="1" a="1"/>
  <c r="A1482" i="1" s="1"/>
  <c r="L1481" i="1"/>
  <c r="A1481" i="1" s="1" a="1"/>
  <c r="A1481" i="1" s="1"/>
  <c r="L1480" i="1"/>
  <c r="A1480" i="1" s="1" a="1"/>
  <c r="A1480" i="1" s="1"/>
  <c r="L1479" i="1"/>
  <c r="A1479" i="1" s="1" a="1"/>
  <c r="A1479" i="1" s="1"/>
  <c r="L1478" i="1"/>
  <c r="A1478" i="1" s="1" a="1"/>
  <c r="A1478" i="1" s="1"/>
  <c r="L1477" i="1"/>
  <c r="L1476" i="1"/>
  <c r="A1476" i="1" s="1" a="1"/>
  <c r="A1476" i="1" s="1"/>
  <c r="L1475" i="1"/>
  <c r="A1475" i="1" s="1" a="1"/>
  <c r="A1475" i="1" s="1"/>
  <c r="L1474" i="1"/>
  <c r="A1474" i="1" s="1" a="1"/>
  <c r="A1474" i="1" s="1"/>
  <c r="L1473" i="1"/>
  <c r="A1473" i="1" s="1" a="1"/>
  <c r="A1473" i="1" s="1"/>
  <c r="L1472" i="1"/>
  <c r="A1472" i="1" s="1" a="1"/>
  <c r="A1472" i="1" s="1"/>
  <c r="L1471" i="1"/>
  <c r="A1471" i="1" s="1" a="1"/>
  <c r="A1471" i="1" s="1"/>
  <c r="L1470" i="1"/>
  <c r="A1470" i="1" s="1" a="1"/>
  <c r="A1470" i="1" s="1"/>
  <c r="L1469" i="1"/>
  <c r="A1469" i="1" s="1" a="1"/>
  <c r="A1469" i="1" s="1"/>
  <c r="L1468" i="1"/>
  <c r="A1468" i="1" s="1" a="1"/>
  <c r="A1468" i="1" s="1"/>
  <c r="L1467" i="1"/>
  <c r="A1467" i="1" s="1" a="1"/>
  <c r="A1467" i="1" s="1"/>
  <c r="L1466" i="1"/>
  <c r="A1466" i="1" s="1" a="1"/>
  <c r="A1466" i="1" s="1"/>
  <c r="L1465" i="1"/>
  <c r="A1465" i="1" s="1" a="1"/>
  <c r="A1465" i="1" s="1"/>
  <c r="L1464" i="1"/>
  <c r="A1464" i="1" s="1" a="1"/>
  <c r="A1464" i="1" s="1"/>
  <c r="L1463" i="1"/>
  <c r="A1463" i="1" s="1" a="1"/>
  <c r="A1463" i="1" s="1"/>
  <c r="L1462" i="1"/>
  <c r="A1462" i="1" s="1" a="1"/>
  <c r="A1462" i="1" s="1"/>
  <c r="L1461" i="1"/>
  <c r="A1461" i="1" s="1" a="1"/>
  <c r="A1461" i="1" s="1"/>
  <c r="L1460" i="1"/>
  <c r="A1460" i="1" s="1" a="1"/>
  <c r="A1460" i="1" s="1"/>
  <c r="L1459" i="1"/>
  <c r="A1459" i="1" s="1" a="1"/>
  <c r="A1459" i="1" s="1"/>
  <c r="L1458" i="1"/>
  <c r="A1458" i="1" s="1" a="1"/>
  <c r="A1458" i="1" s="1"/>
  <c r="L1457" i="1"/>
  <c r="A1457" i="1" s="1" a="1"/>
  <c r="A1457" i="1" s="1"/>
  <c r="L1456" i="1"/>
  <c r="A1456" i="1" s="1" a="1"/>
  <c r="A1456" i="1" s="1"/>
  <c r="L1455" i="1"/>
  <c r="A1455" i="1" s="1" a="1"/>
  <c r="A1455" i="1" s="1"/>
  <c r="L1454" i="1"/>
  <c r="A1454" i="1" s="1" a="1"/>
  <c r="A1454" i="1" s="1"/>
  <c r="L1453" i="1"/>
  <c r="A1453" i="1" s="1" a="1"/>
  <c r="A1453" i="1" s="1"/>
  <c r="L1452" i="1"/>
  <c r="A1452" i="1" s="1" a="1"/>
  <c r="A1452" i="1" s="1"/>
  <c r="L1451" i="1"/>
  <c r="A1451" i="1" s="1" a="1"/>
  <c r="A1451" i="1" s="1"/>
  <c r="L1450" i="1"/>
  <c r="A1450" i="1" s="1" a="1"/>
  <c r="A1450" i="1" s="1"/>
  <c r="L1449" i="1"/>
  <c r="A1449" i="1" s="1" a="1"/>
  <c r="A1449" i="1" s="1"/>
  <c r="L1448" i="1"/>
  <c r="A1448" i="1" s="1" a="1"/>
  <c r="A1448" i="1" s="1"/>
  <c r="L1447" i="1"/>
  <c r="A1447" i="1" s="1" a="1"/>
  <c r="A1447" i="1" s="1"/>
  <c r="L1446" i="1"/>
  <c r="A1446" i="1" s="1" a="1"/>
  <c r="A1446" i="1" s="1"/>
  <c r="L1445" i="1"/>
  <c r="A1445" i="1" s="1" a="1"/>
  <c r="A1445" i="1" s="1"/>
  <c r="L1444" i="1"/>
  <c r="A1444" i="1" s="1" a="1"/>
  <c r="A1444" i="1" s="1"/>
  <c r="L1443" i="1"/>
  <c r="A1443" i="1" s="1" a="1"/>
  <c r="A1443" i="1" s="1"/>
  <c r="L1442" i="1"/>
  <c r="A1442" i="1" s="1" a="1"/>
  <c r="A1442" i="1" s="1"/>
  <c r="L1441" i="1"/>
  <c r="A1441" i="1" s="1" a="1"/>
  <c r="A1441" i="1" s="1"/>
  <c r="L1440" i="1"/>
  <c r="A1440" i="1" s="1" a="1"/>
  <c r="A1440" i="1" s="1"/>
  <c r="L1439" i="1"/>
  <c r="A1439" i="1" s="1" a="1"/>
  <c r="A1439" i="1" s="1"/>
  <c r="L1438" i="1"/>
  <c r="A1438" i="1" s="1" a="1"/>
  <c r="A1438" i="1" s="1"/>
  <c r="L1437" i="1"/>
  <c r="A1437" i="1" s="1" a="1"/>
  <c r="A1437" i="1" s="1"/>
  <c r="L1436" i="1"/>
  <c r="A1436" i="1" s="1" a="1"/>
  <c r="A1436" i="1" s="1"/>
  <c r="L1435" i="1"/>
  <c r="A1435" i="1" s="1" a="1"/>
  <c r="A1435" i="1" s="1"/>
  <c r="L1434" i="1"/>
  <c r="A1434" i="1" s="1" a="1"/>
  <c r="A1434" i="1" s="1"/>
  <c r="L1433" i="1"/>
  <c r="A1433" i="1" s="1" a="1"/>
  <c r="A1433" i="1" s="1"/>
  <c r="L1432" i="1"/>
  <c r="L1431" i="1"/>
  <c r="L1430" i="1"/>
  <c r="A1430" i="1" s="1" a="1"/>
  <c r="A1430" i="1" s="1"/>
  <c r="L1429" i="1"/>
  <c r="A1429" i="1" s="1" a="1"/>
  <c r="A1429" i="1" s="1"/>
  <c r="L1428" i="1"/>
  <c r="A1428" i="1" s="1" a="1"/>
  <c r="A1428" i="1" s="1"/>
  <c r="L1427" i="1"/>
  <c r="A1427" i="1" s="1" a="1"/>
  <c r="A1427" i="1" s="1"/>
  <c r="L1426" i="1"/>
  <c r="A1426" i="1" s="1" a="1"/>
  <c r="A1426" i="1" s="1"/>
  <c r="L1425" i="1"/>
  <c r="A1425" i="1" s="1" a="1"/>
  <c r="A1425" i="1" s="1"/>
  <c r="L1424" i="1"/>
  <c r="A1424" i="1" s="1" a="1"/>
  <c r="A1424" i="1" s="1"/>
  <c r="L1423" i="1"/>
  <c r="A1423" i="1" s="1" a="1"/>
  <c r="A1423" i="1" s="1"/>
  <c r="L1422" i="1"/>
  <c r="A1422" i="1" s="1" a="1"/>
  <c r="A1422" i="1" s="1"/>
  <c r="L1421" i="1"/>
  <c r="A1421" i="1" s="1" a="1"/>
  <c r="A1421" i="1" s="1"/>
  <c r="L1420" i="1"/>
  <c r="L1419" i="1"/>
  <c r="A1419" i="1" s="1" a="1"/>
  <c r="A1419" i="1" s="1"/>
  <c r="L1418" i="1"/>
  <c r="A1418" i="1" s="1" a="1"/>
  <c r="A1418" i="1" s="1"/>
  <c r="L1417" i="1"/>
  <c r="A1417" i="1" s="1" a="1"/>
  <c r="A1417" i="1" s="1"/>
  <c r="L1416" i="1"/>
  <c r="A1416" i="1" s="1" a="1"/>
  <c r="A1416" i="1" s="1"/>
  <c r="L1415" i="1"/>
  <c r="A1415" i="1" s="1" a="1"/>
  <c r="A1415" i="1" s="1"/>
  <c r="L1414" i="1"/>
  <c r="A1414" i="1" s="1" a="1"/>
  <c r="A1414" i="1" s="1"/>
  <c r="L1413" i="1"/>
  <c r="A1413" i="1" s="1" a="1"/>
  <c r="A1413" i="1" s="1"/>
  <c r="L1412" i="1"/>
  <c r="A1412" i="1" s="1" a="1"/>
  <c r="A1412" i="1" s="1"/>
  <c r="L1411" i="1"/>
  <c r="A1411" i="1" s="1" a="1"/>
  <c r="A1411" i="1" s="1"/>
  <c r="L1410" i="1"/>
  <c r="A1410" i="1" s="1" a="1"/>
  <c r="A1410" i="1" s="1"/>
  <c r="L1409" i="1"/>
  <c r="A1409" i="1" s="1" a="1"/>
  <c r="A1409" i="1" s="1"/>
  <c r="L1408" i="1"/>
  <c r="A1408" i="1" s="1" a="1"/>
  <c r="A1408" i="1" s="1"/>
  <c r="L1407" i="1"/>
  <c r="L1406" i="1"/>
  <c r="A1406" i="1" s="1" a="1"/>
  <c r="A1406" i="1" s="1"/>
  <c r="L1405" i="1"/>
  <c r="A1405" i="1" s="1" a="1"/>
  <c r="A1405" i="1" s="1"/>
  <c r="L1404" i="1"/>
  <c r="A1404" i="1" s="1" a="1"/>
  <c r="A1404" i="1" s="1"/>
  <c r="L1403" i="1"/>
  <c r="A1403" i="1" s="1" a="1"/>
  <c r="A1403" i="1" s="1"/>
  <c r="L1402" i="1"/>
  <c r="A1402" i="1" s="1" a="1"/>
  <c r="A1402" i="1" s="1"/>
  <c r="L1401" i="1"/>
  <c r="A1401" i="1" s="1" a="1"/>
  <c r="A1401" i="1" s="1"/>
  <c r="L1400" i="1"/>
  <c r="A1400" i="1" s="1" a="1"/>
  <c r="A1400" i="1" s="1"/>
  <c r="L1399" i="1"/>
  <c r="A1399" i="1" s="1" a="1"/>
  <c r="A1399" i="1" s="1"/>
  <c r="L1398" i="1"/>
  <c r="A1398" i="1" s="1" a="1"/>
  <c r="A1398" i="1" s="1"/>
  <c r="L1397" i="1"/>
  <c r="A1397" i="1" s="1" a="1"/>
  <c r="A1397" i="1" s="1"/>
  <c r="L1396" i="1"/>
  <c r="A1396" i="1" s="1" a="1"/>
  <c r="A1396" i="1" s="1"/>
  <c r="L1395" i="1"/>
  <c r="L1394" i="1"/>
  <c r="L1393" i="1"/>
  <c r="L1392" i="1"/>
  <c r="A1392" i="1" s="1" a="1"/>
  <c r="A1392" i="1" s="1"/>
  <c r="L1391" i="1"/>
  <c r="A1391" i="1" s="1" a="1"/>
  <c r="A1391" i="1" s="1"/>
  <c r="L1390" i="1"/>
  <c r="A1390" i="1" s="1" a="1"/>
  <c r="A1390" i="1" s="1"/>
  <c r="L1389" i="1"/>
  <c r="A1389" i="1" s="1" a="1"/>
  <c r="A1389" i="1" s="1"/>
  <c r="L1388" i="1"/>
  <c r="A1388" i="1" s="1" a="1"/>
  <c r="A1388" i="1" s="1"/>
  <c r="L1387" i="1"/>
  <c r="A1387" i="1" s="1" a="1"/>
  <c r="A1387" i="1" s="1"/>
  <c r="L1386" i="1"/>
  <c r="A1386" i="1" s="1" a="1"/>
  <c r="A1386" i="1" s="1"/>
  <c r="L1385" i="1"/>
  <c r="A1385" i="1" s="1" a="1"/>
  <c r="A1385" i="1" s="1"/>
  <c r="L1384" i="1"/>
  <c r="A1384" i="1" s="1" a="1"/>
  <c r="A1384" i="1" s="1"/>
  <c r="L1383" i="1"/>
  <c r="A1383" i="1" s="1" a="1"/>
  <c r="A1383" i="1" s="1"/>
  <c r="L1382" i="1"/>
  <c r="A1382" i="1" s="1" a="1"/>
  <c r="A1382" i="1" s="1"/>
  <c r="L1381" i="1"/>
  <c r="L1380" i="1"/>
  <c r="A1380" i="1" s="1" a="1"/>
  <c r="A1380" i="1" s="1"/>
  <c r="L1379" i="1"/>
  <c r="A1379" i="1" s="1" a="1"/>
  <c r="A1379" i="1" s="1"/>
  <c r="L1378" i="1"/>
  <c r="A1378" i="1" s="1" a="1"/>
  <c r="A1378" i="1" s="1"/>
  <c r="L1377" i="1"/>
  <c r="A1377" i="1" s="1" a="1"/>
  <c r="A1377" i="1" s="1"/>
  <c r="L1376" i="1"/>
  <c r="A1376" i="1" s="1" a="1"/>
  <c r="A1376" i="1" s="1"/>
  <c r="L1375" i="1"/>
  <c r="A1375" i="1" s="1" a="1"/>
  <c r="A1375" i="1" s="1"/>
  <c r="L1374" i="1"/>
  <c r="A1374" i="1" s="1" a="1"/>
  <c r="A1374" i="1" s="1"/>
  <c r="L1373" i="1"/>
  <c r="A1373" i="1" s="1" a="1"/>
  <c r="A1373" i="1" s="1"/>
  <c r="L1372" i="1"/>
  <c r="A1372" i="1" s="1" a="1"/>
  <c r="A1372" i="1" s="1"/>
  <c r="L1371" i="1"/>
  <c r="A1371" i="1" s="1" a="1"/>
  <c r="A1371" i="1" s="1"/>
  <c r="L1370" i="1"/>
  <c r="A1370" i="1" s="1" a="1"/>
  <c r="A1370" i="1" s="1"/>
  <c r="L1369" i="1"/>
  <c r="A1369" i="1" s="1" a="1"/>
  <c r="A1369" i="1" s="1"/>
  <c r="L1368" i="1"/>
  <c r="A1368" i="1" s="1" a="1"/>
  <c r="A1368" i="1" s="1"/>
  <c r="L1367" i="1"/>
  <c r="A1367" i="1" s="1" a="1"/>
  <c r="A1367" i="1" s="1"/>
  <c r="L1366" i="1"/>
  <c r="A1366" i="1" s="1" a="1"/>
  <c r="A1366" i="1" s="1"/>
  <c r="L1365" i="1"/>
  <c r="A1365" i="1" s="1" a="1"/>
  <c r="A1365" i="1" s="1"/>
  <c r="L1364" i="1"/>
  <c r="A1364" i="1" s="1" a="1"/>
  <c r="A1364" i="1" s="1"/>
  <c r="L1363" i="1"/>
  <c r="A1363" i="1" s="1" a="1"/>
  <c r="A1363" i="1" s="1"/>
  <c r="L1362" i="1"/>
  <c r="A1362" i="1" s="1" a="1"/>
  <c r="A1362" i="1" s="1"/>
  <c r="L1361" i="1"/>
  <c r="A1361" i="1" s="1" a="1"/>
  <c r="A1361" i="1" s="1"/>
  <c r="L1360" i="1"/>
  <c r="A1360" i="1" s="1" a="1"/>
  <c r="A1360" i="1" s="1"/>
  <c r="L1359" i="1"/>
  <c r="A1359" i="1" s="1" a="1"/>
  <c r="A1359" i="1" s="1"/>
  <c r="L1358" i="1"/>
  <c r="A1358" i="1" s="1" a="1"/>
  <c r="A1358" i="1" s="1"/>
  <c r="L1357" i="1"/>
  <c r="A1357" i="1" s="1" a="1"/>
  <c r="A1357" i="1" s="1"/>
  <c r="L1356" i="1"/>
  <c r="A1356" i="1" s="1" a="1"/>
  <c r="A1356" i="1" s="1"/>
  <c r="L1355" i="1"/>
  <c r="A1355" i="1" s="1" a="1"/>
  <c r="A1355" i="1" s="1"/>
  <c r="L1354" i="1"/>
  <c r="A1354" i="1" s="1" a="1"/>
  <c r="A1354" i="1" s="1"/>
  <c r="L1353" i="1"/>
  <c r="A1353" i="1" s="1" a="1"/>
  <c r="A1353" i="1" s="1"/>
  <c r="L1352" i="1"/>
  <c r="A1352" i="1" s="1" a="1"/>
  <c r="A1352" i="1" s="1"/>
  <c r="L1351" i="1"/>
  <c r="A1351" i="1" s="1" a="1"/>
  <c r="A1351" i="1" s="1"/>
  <c r="L1350" i="1"/>
  <c r="A1350" i="1" s="1" a="1"/>
  <c r="A1350" i="1" s="1"/>
  <c r="L1349" i="1"/>
  <c r="A1349" i="1" s="1" a="1"/>
  <c r="A1349" i="1" s="1"/>
  <c r="L1348" i="1"/>
  <c r="A1348" i="1" s="1" a="1"/>
  <c r="A1348" i="1" s="1"/>
  <c r="L1347" i="1"/>
  <c r="A1347" i="1" s="1" a="1"/>
  <c r="A1347" i="1" s="1"/>
  <c r="L1346" i="1"/>
  <c r="A1346" i="1" s="1" a="1"/>
  <c r="A1346" i="1" s="1"/>
  <c r="L1345" i="1"/>
  <c r="A1345" i="1" s="1" a="1"/>
  <c r="A1345" i="1" s="1"/>
  <c r="L1344" i="1"/>
  <c r="A1344" i="1" s="1" a="1"/>
  <c r="A1344" i="1" s="1"/>
  <c r="L1343" i="1"/>
  <c r="A1343" i="1" s="1" a="1"/>
  <c r="A1343" i="1" s="1"/>
  <c r="L1342" i="1"/>
  <c r="A1342" i="1" s="1" a="1"/>
  <c r="A1342" i="1" s="1"/>
  <c r="L1341" i="1"/>
  <c r="A1341" i="1" s="1" a="1"/>
  <c r="A1341" i="1" s="1"/>
  <c r="L1340" i="1"/>
  <c r="A1340" i="1" s="1" a="1"/>
  <c r="A1340" i="1" s="1"/>
  <c r="L1339" i="1"/>
  <c r="A1339" i="1" s="1" a="1"/>
  <c r="A1339" i="1" s="1"/>
  <c r="L1338" i="1"/>
  <c r="A1338" i="1" s="1" a="1"/>
  <c r="A1338" i="1" s="1"/>
  <c r="L1337" i="1"/>
  <c r="A1337" i="1" s="1" a="1"/>
  <c r="A1337" i="1" s="1"/>
  <c r="L1336" i="1"/>
  <c r="A1336" i="1" s="1" a="1"/>
  <c r="A1336" i="1" s="1"/>
  <c r="L1335" i="1"/>
  <c r="A1335" i="1" s="1" a="1"/>
  <c r="A1335" i="1" s="1"/>
  <c r="L1334" i="1"/>
  <c r="A1334" i="1" s="1" a="1"/>
  <c r="A1334" i="1" s="1"/>
  <c r="L1333" i="1"/>
  <c r="A1333" i="1" s="1" a="1"/>
  <c r="A1333" i="1" s="1"/>
  <c r="L1332" i="1"/>
  <c r="A1332" i="1" s="1" a="1"/>
  <c r="A1332" i="1" s="1"/>
  <c r="L1331" i="1"/>
  <c r="A1331" i="1" s="1" a="1"/>
  <c r="A1331" i="1" s="1"/>
  <c r="L1330" i="1"/>
  <c r="A1330" i="1" s="1" a="1"/>
  <c r="A1330" i="1" s="1"/>
  <c r="L1329" i="1"/>
  <c r="A1329" i="1" s="1" a="1"/>
  <c r="A1329" i="1" s="1"/>
  <c r="L1328" i="1"/>
  <c r="A1328" i="1" s="1" a="1"/>
  <c r="A1328" i="1" s="1"/>
  <c r="L1327" i="1"/>
  <c r="A1327" i="1" s="1" a="1"/>
  <c r="A1327" i="1" s="1"/>
  <c r="L1326" i="1"/>
  <c r="A1326" i="1" s="1" a="1"/>
  <c r="A1326" i="1" s="1"/>
  <c r="L1325" i="1"/>
  <c r="A1325" i="1" s="1" a="1"/>
  <c r="A1325" i="1" s="1"/>
  <c r="L1324" i="1"/>
  <c r="A1324" i="1" s="1" a="1"/>
  <c r="A1324" i="1" s="1"/>
  <c r="L1323" i="1"/>
  <c r="L1322" i="1"/>
  <c r="L1321" i="1"/>
  <c r="A1321" i="1" s="1" a="1"/>
  <c r="A1321" i="1" s="1"/>
  <c r="L1320" i="1"/>
  <c r="A1320" i="1" s="1" a="1"/>
  <c r="A1320" i="1" s="1"/>
  <c r="L1319" i="1"/>
  <c r="A1319" i="1" s="1" a="1"/>
  <c r="A1319" i="1" s="1"/>
  <c r="L1318" i="1"/>
  <c r="A1318" i="1" s="1" a="1"/>
  <c r="A1318" i="1" s="1"/>
  <c r="L1317" i="1"/>
  <c r="A1317" i="1" s="1" a="1"/>
  <c r="A1317" i="1" s="1"/>
  <c r="L1316" i="1"/>
  <c r="A1316" i="1" s="1" a="1"/>
  <c r="A1316" i="1" s="1"/>
  <c r="L1315" i="1"/>
  <c r="A1315" i="1" s="1" a="1"/>
  <c r="A1315" i="1" s="1"/>
  <c r="L1314" i="1"/>
  <c r="A1314" i="1" s="1" a="1"/>
  <c r="A1314" i="1" s="1"/>
  <c r="L1313" i="1"/>
  <c r="A1313" i="1" s="1" a="1"/>
  <c r="A1313" i="1" s="1"/>
  <c r="L1312" i="1"/>
  <c r="A1312" i="1" s="1" a="1"/>
  <c r="A1312" i="1" s="1"/>
  <c r="L1311" i="1"/>
  <c r="A1311" i="1" s="1" a="1"/>
  <c r="A1311" i="1" s="1"/>
  <c r="L1310" i="1"/>
  <c r="A1310" i="1" s="1" a="1"/>
  <c r="A1310" i="1" s="1"/>
  <c r="L1309" i="1"/>
  <c r="L1308" i="1"/>
  <c r="A1308" i="1" s="1" a="1"/>
  <c r="A1308" i="1" s="1"/>
  <c r="L1307" i="1"/>
  <c r="A1307" i="1" s="1" a="1"/>
  <c r="A1307" i="1" s="1"/>
  <c r="L1306" i="1"/>
  <c r="A1306" i="1" s="1" a="1"/>
  <c r="A1306" i="1" s="1"/>
  <c r="L1305" i="1"/>
  <c r="A1305" i="1" s="1" a="1"/>
  <c r="A1305" i="1" s="1"/>
  <c r="L1304" i="1"/>
  <c r="A1304" i="1" s="1" a="1"/>
  <c r="A1304" i="1" s="1"/>
  <c r="L1303" i="1"/>
  <c r="A1303" i="1" s="1" a="1"/>
  <c r="A1303" i="1" s="1"/>
  <c r="L1302" i="1"/>
  <c r="A1302" i="1" s="1" a="1"/>
  <c r="A1302" i="1" s="1"/>
  <c r="L1301" i="1"/>
  <c r="A1301" i="1" s="1" a="1"/>
  <c r="A1301" i="1" s="1"/>
  <c r="L1300" i="1"/>
  <c r="A1300" i="1" s="1" a="1"/>
  <c r="A1300" i="1" s="1"/>
  <c r="L1299" i="1"/>
  <c r="A1299" i="1" s="1" a="1"/>
  <c r="A1299" i="1" s="1"/>
  <c r="L1298" i="1"/>
  <c r="A1298" i="1" s="1" a="1"/>
  <c r="A1298" i="1" s="1"/>
  <c r="L1297" i="1"/>
  <c r="A1297" i="1" s="1" a="1"/>
  <c r="A1297" i="1" s="1"/>
  <c r="L1296" i="1"/>
  <c r="A1296" i="1" s="1" a="1"/>
  <c r="A1296" i="1" s="1"/>
  <c r="L1295" i="1"/>
  <c r="A1295" i="1" s="1" a="1"/>
  <c r="A1295" i="1" s="1"/>
  <c r="L1294" i="1"/>
  <c r="A1294" i="1" s="1" a="1"/>
  <c r="A1294" i="1" s="1"/>
  <c r="L1293" i="1"/>
  <c r="A1293" i="1" s="1" a="1"/>
  <c r="A1293" i="1" s="1"/>
  <c r="L1292" i="1"/>
  <c r="A1292" i="1" s="1" a="1"/>
  <c r="A1292" i="1" s="1"/>
  <c r="L1291" i="1"/>
  <c r="A1291" i="1" s="1" a="1"/>
  <c r="A1291" i="1" s="1"/>
  <c r="L1290" i="1"/>
  <c r="A1290" i="1" s="1" a="1"/>
  <c r="A1290" i="1" s="1"/>
  <c r="L1289" i="1"/>
  <c r="A1289" i="1" s="1" a="1"/>
  <c r="A1289" i="1" s="1"/>
  <c r="L1288" i="1"/>
  <c r="A1288" i="1" s="1" a="1"/>
  <c r="A1288" i="1" s="1"/>
  <c r="L1287" i="1"/>
  <c r="A1287" i="1" s="1" a="1"/>
  <c r="A1287" i="1" s="1"/>
  <c r="L1286" i="1"/>
  <c r="A1286" i="1" s="1" a="1"/>
  <c r="A1286" i="1" s="1"/>
  <c r="L1285" i="1"/>
  <c r="A1285" i="1" s="1" a="1"/>
  <c r="A1285" i="1" s="1"/>
  <c r="L1284" i="1"/>
  <c r="A1284" i="1" s="1" a="1"/>
  <c r="A1284" i="1" s="1"/>
  <c r="L1283" i="1"/>
  <c r="A1283" i="1" s="1" a="1"/>
  <c r="A1283" i="1" s="1"/>
  <c r="L1282" i="1"/>
  <c r="A1282" i="1" s="1" a="1"/>
  <c r="A1282" i="1" s="1"/>
  <c r="L1281" i="1"/>
  <c r="A1281" i="1" s="1" a="1"/>
  <c r="A1281" i="1" s="1"/>
  <c r="L1280" i="1"/>
  <c r="A1280" i="1" s="1" a="1"/>
  <c r="A1280" i="1" s="1"/>
  <c r="L1279" i="1"/>
  <c r="A1279" i="1" s="1" a="1"/>
  <c r="A1279" i="1" s="1"/>
  <c r="L1278" i="1"/>
  <c r="A1278" i="1" s="1" a="1"/>
  <c r="A1278" i="1" s="1"/>
  <c r="L1277" i="1"/>
  <c r="A1277" i="1" s="1" a="1"/>
  <c r="A1277" i="1" s="1"/>
  <c r="L1276" i="1"/>
  <c r="A1276" i="1" s="1" a="1"/>
  <c r="A1276" i="1" s="1"/>
  <c r="L1275" i="1"/>
  <c r="A1275" i="1" s="1" a="1"/>
  <c r="A1275" i="1" s="1"/>
  <c r="L1274" i="1"/>
  <c r="A1274" i="1" s="1" a="1"/>
  <c r="A1274" i="1" s="1"/>
  <c r="L1273" i="1"/>
  <c r="A1273" i="1" s="1" a="1"/>
  <c r="A1273" i="1" s="1"/>
  <c r="L1272" i="1"/>
  <c r="A1272" i="1" s="1" a="1"/>
  <c r="A1272" i="1" s="1"/>
  <c r="L1271" i="1"/>
  <c r="A1271" i="1" s="1" a="1"/>
  <c r="A1271" i="1" s="1"/>
  <c r="L1270" i="1"/>
  <c r="A1270" i="1" s="1" a="1"/>
  <c r="A1270" i="1" s="1"/>
  <c r="L1269" i="1"/>
  <c r="A1269" i="1" s="1" a="1"/>
  <c r="A1269" i="1" s="1"/>
  <c r="L1268" i="1"/>
  <c r="A1268" i="1" s="1" a="1"/>
  <c r="A1268" i="1" s="1"/>
  <c r="L1267" i="1"/>
  <c r="A1267" i="1" s="1" a="1"/>
  <c r="A1267" i="1" s="1"/>
  <c r="L1266" i="1"/>
  <c r="A1266" i="1" s="1" a="1"/>
  <c r="A1266" i="1" s="1"/>
  <c r="L1265" i="1"/>
  <c r="A1265" i="1" s="1" a="1"/>
  <c r="A1265" i="1" s="1"/>
  <c r="L1264" i="1"/>
  <c r="A1264" i="1" s="1" a="1"/>
  <c r="A1264" i="1" s="1"/>
  <c r="L1263" i="1"/>
  <c r="A1263" i="1" s="1" a="1"/>
  <c r="A1263" i="1" s="1"/>
  <c r="L1262" i="1"/>
  <c r="A1262" i="1" s="1" a="1"/>
  <c r="A1262" i="1" s="1"/>
  <c r="L1261" i="1"/>
  <c r="A1261" i="1" s="1" a="1"/>
  <c r="A1261" i="1" s="1"/>
  <c r="L1260" i="1"/>
  <c r="A1260" i="1" s="1" a="1"/>
  <c r="A1260" i="1" s="1"/>
  <c r="L1259" i="1"/>
  <c r="A1259" i="1" s="1" a="1"/>
  <c r="A1259" i="1" s="1"/>
  <c r="L1258" i="1"/>
  <c r="A1258" i="1" s="1" a="1"/>
  <c r="A1258" i="1" s="1"/>
  <c r="L1257" i="1"/>
  <c r="A1257" i="1" s="1" a="1"/>
  <c r="A1257" i="1" s="1"/>
  <c r="L1256" i="1"/>
  <c r="A1256" i="1" s="1" a="1"/>
  <c r="A1256" i="1" s="1"/>
  <c r="L1255" i="1"/>
  <c r="A1255" i="1" s="1" a="1"/>
  <c r="A1255" i="1" s="1"/>
  <c r="L1254" i="1"/>
  <c r="A1254" i="1" s="1" a="1"/>
  <c r="A1254" i="1" s="1"/>
  <c r="L1253" i="1"/>
  <c r="L1252" i="1"/>
  <c r="A1252" i="1" s="1" a="1"/>
  <c r="A1252" i="1" s="1"/>
  <c r="L1251" i="1"/>
  <c r="L1250" i="1"/>
  <c r="A1250" i="1" s="1" a="1"/>
  <c r="A1250" i="1" s="1"/>
  <c r="L1249" i="1"/>
  <c r="L1248" i="1"/>
  <c r="A1248" i="1" s="1" a="1"/>
  <c r="A1248" i="1" s="1"/>
  <c r="L1247" i="1"/>
  <c r="A1247" i="1" s="1" a="1"/>
  <c r="A1247" i="1" s="1"/>
  <c r="L1246" i="1"/>
  <c r="A1246" i="1" s="1" a="1"/>
  <c r="A1246" i="1" s="1"/>
  <c r="L1245" i="1"/>
  <c r="A1245" i="1" s="1" a="1"/>
  <c r="A1245" i="1" s="1"/>
  <c r="L1244" i="1"/>
  <c r="A1244" i="1" s="1" a="1"/>
  <c r="A1244" i="1" s="1"/>
  <c r="L1243" i="1"/>
  <c r="A1243" i="1" s="1" a="1"/>
  <c r="A1243" i="1" s="1"/>
  <c r="L1242" i="1"/>
  <c r="A1242" i="1" s="1" a="1"/>
  <c r="A1242" i="1" s="1"/>
  <c r="L1241" i="1"/>
  <c r="A1241" i="1" s="1" a="1"/>
  <c r="A1241" i="1" s="1"/>
  <c r="L1240" i="1"/>
  <c r="A1240" i="1" s="1" a="1"/>
  <c r="A1240" i="1" s="1"/>
  <c r="L1239" i="1"/>
  <c r="L1238" i="1"/>
  <c r="A1238" i="1" s="1" a="1"/>
  <c r="A1238" i="1" s="1"/>
  <c r="L1237" i="1"/>
  <c r="A1237" i="1" s="1" a="1"/>
  <c r="A1237" i="1" s="1"/>
  <c r="L1236" i="1"/>
  <c r="A1236" i="1" s="1" a="1"/>
  <c r="A1236" i="1" s="1"/>
  <c r="L1235" i="1"/>
  <c r="A1235" i="1" s="1" a="1"/>
  <c r="A1235" i="1" s="1"/>
  <c r="L1234" i="1"/>
  <c r="A1234" i="1" s="1" a="1"/>
  <c r="A1234" i="1" s="1"/>
  <c r="L1233" i="1"/>
  <c r="A1233" i="1" s="1" a="1"/>
  <c r="A1233" i="1" s="1"/>
  <c r="L1232" i="1"/>
  <c r="A1232" i="1" s="1" a="1"/>
  <c r="A1232" i="1" s="1"/>
  <c r="L1231" i="1"/>
  <c r="A1231" i="1" s="1" a="1"/>
  <c r="A1231" i="1" s="1"/>
  <c r="L1230" i="1"/>
  <c r="A1230" i="1" s="1" a="1"/>
  <c r="A1230" i="1" s="1"/>
  <c r="L1229" i="1"/>
  <c r="A1229" i="1" s="1" a="1"/>
  <c r="A1229" i="1" s="1"/>
  <c r="L1228" i="1"/>
  <c r="A1228" i="1" s="1" a="1"/>
  <c r="A1228" i="1" s="1"/>
  <c r="L1227" i="1"/>
  <c r="A1227" i="1" s="1" a="1"/>
  <c r="A1227" i="1" s="1"/>
  <c r="L1226" i="1"/>
  <c r="A1226" i="1" s="1" a="1"/>
  <c r="A1226" i="1" s="1"/>
  <c r="L1225" i="1"/>
  <c r="L1224" i="1"/>
  <c r="L1223" i="1"/>
  <c r="A1223" i="1" s="1" a="1"/>
  <c r="A1223" i="1" s="1"/>
  <c r="L1222" i="1"/>
  <c r="A1222" i="1" s="1" a="1"/>
  <c r="A1222" i="1" s="1"/>
  <c r="L1221" i="1"/>
  <c r="A1221" i="1" s="1" a="1"/>
  <c r="A1221" i="1" s="1"/>
  <c r="L1220" i="1"/>
  <c r="A1220" i="1" s="1" a="1"/>
  <c r="A1220" i="1" s="1"/>
  <c r="L1219" i="1"/>
  <c r="A1219" i="1" s="1" a="1"/>
  <c r="A1219" i="1" s="1"/>
  <c r="L1218" i="1"/>
  <c r="A1218" i="1" s="1" a="1"/>
  <c r="A1218" i="1" s="1"/>
  <c r="L1217" i="1"/>
  <c r="A1217" i="1" s="1" a="1"/>
  <c r="A1217" i="1" s="1"/>
  <c r="L1216" i="1"/>
  <c r="A1216" i="1" s="1" a="1"/>
  <c r="A1216" i="1" s="1"/>
  <c r="L1215" i="1"/>
  <c r="A1215" i="1" s="1" a="1"/>
  <c r="A1215" i="1" s="1"/>
  <c r="L1214" i="1"/>
  <c r="A1214" i="1" s="1" a="1"/>
  <c r="A1214" i="1" s="1"/>
  <c r="L1213" i="1"/>
  <c r="A1213" i="1" s="1" a="1"/>
  <c r="A1213" i="1" s="1"/>
  <c r="L1212" i="1"/>
  <c r="A1212" i="1" s="1" a="1"/>
  <c r="A1212" i="1" s="1"/>
  <c r="L1211" i="1"/>
  <c r="A1211" i="1" s="1" a="1"/>
  <c r="A1211" i="1" s="1"/>
  <c r="L1210" i="1"/>
  <c r="A1210" i="1" s="1" a="1"/>
  <c r="A1210" i="1" s="1"/>
  <c r="L1209" i="1"/>
  <c r="A1209" i="1" s="1" a="1"/>
  <c r="A1209" i="1" s="1"/>
  <c r="L1208" i="1"/>
  <c r="A1208" i="1" s="1" a="1"/>
  <c r="A1208" i="1" s="1"/>
  <c r="L1207" i="1"/>
  <c r="A1207" i="1" s="1" a="1"/>
  <c r="A1207" i="1" s="1"/>
  <c r="L1206" i="1"/>
  <c r="A1206" i="1" s="1" a="1"/>
  <c r="A1206" i="1" s="1"/>
  <c r="L1205" i="1"/>
  <c r="A1205" i="1" s="1" a="1"/>
  <c r="A1205" i="1" s="1"/>
  <c r="L1204" i="1"/>
  <c r="A1204" i="1" s="1" a="1"/>
  <c r="A1204" i="1" s="1"/>
  <c r="L1203" i="1"/>
  <c r="A1203" i="1" s="1" a="1"/>
  <c r="A1203" i="1" s="1"/>
  <c r="L1202" i="1"/>
  <c r="A1202" i="1" s="1" a="1"/>
  <c r="A1202" i="1" s="1"/>
  <c r="L1201" i="1"/>
  <c r="A1201" i="1" s="1" a="1"/>
  <c r="A1201" i="1" s="1"/>
  <c r="L1200" i="1"/>
  <c r="A1200" i="1" s="1" a="1"/>
  <c r="A1200" i="1" s="1"/>
  <c r="L1199" i="1"/>
  <c r="A1199" i="1" s="1" a="1"/>
  <c r="A1199" i="1" s="1"/>
  <c r="L1198" i="1"/>
  <c r="A1198" i="1" s="1" a="1"/>
  <c r="A1198" i="1" s="1"/>
  <c r="L1197" i="1"/>
  <c r="A1197" i="1" s="1" a="1"/>
  <c r="A1197" i="1" s="1"/>
  <c r="L1196" i="1"/>
  <c r="A1196" i="1" s="1" a="1"/>
  <c r="A1196" i="1" s="1"/>
  <c r="L1195" i="1"/>
  <c r="A1195" i="1" s="1" a="1"/>
  <c r="A1195" i="1" s="1"/>
  <c r="L1194" i="1"/>
  <c r="A1194" i="1" s="1" a="1"/>
  <c r="A1194" i="1" s="1"/>
  <c r="L1193" i="1"/>
  <c r="A1193" i="1" s="1" a="1"/>
  <c r="A1193" i="1" s="1"/>
  <c r="L1192" i="1"/>
  <c r="A1192" i="1" s="1" a="1"/>
  <c r="A1192" i="1" s="1"/>
  <c r="L1191" i="1"/>
  <c r="A1191" i="1" s="1" a="1"/>
  <c r="A1191" i="1" s="1"/>
  <c r="L1190" i="1"/>
  <c r="A1190" i="1" s="1" a="1"/>
  <c r="A1190" i="1" s="1"/>
  <c r="L1189" i="1"/>
  <c r="A1189" i="1" s="1" a="1"/>
  <c r="A1189" i="1" s="1"/>
  <c r="L1188" i="1"/>
  <c r="A1188" i="1" s="1" a="1"/>
  <c r="A1188" i="1" s="1"/>
  <c r="L1187" i="1"/>
  <c r="A1187" i="1" s="1" a="1"/>
  <c r="A1187" i="1" s="1"/>
  <c r="L1186" i="1"/>
  <c r="A1186" i="1" s="1" a="1"/>
  <c r="A1186" i="1" s="1"/>
  <c r="L1185" i="1"/>
  <c r="A1185" i="1" s="1" a="1"/>
  <c r="A1185" i="1" s="1"/>
  <c r="L1184" i="1"/>
  <c r="A1184" i="1" s="1" a="1"/>
  <c r="A1184" i="1" s="1"/>
  <c r="L1183" i="1"/>
  <c r="A1183" i="1" s="1" a="1"/>
  <c r="A1183" i="1" s="1"/>
  <c r="L1182" i="1"/>
  <c r="A1182" i="1" s="1" a="1"/>
  <c r="A1182" i="1" s="1"/>
  <c r="L1181" i="1"/>
  <c r="A1181" i="1" s="1" a="1"/>
  <c r="A1181" i="1" s="1"/>
  <c r="L1180" i="1"/>
  <c r="A1180" i="1" s="1" a="1"/>
  <c r="A1180" i="1" s="1"/>
  <c r="L1179" i="1"/>
  <c r="A1179" i="1" s="1" a="1"/>
  <c r="A1179" i="1" s="1"/>
  <c r="L1178" i="1"/>
  <c r="A1178" i="1" s="1" a="1"/>
  <c r="A1178" i="1" s="1"/>
  <c r="L1177" i="1"/>
  <c r="A1177" i="1" s="1" a="1"/>
  <c r="A1177" i="1" s="1"/>
  <c r="L1176" i="1"/>
  <c r="A1176" i="1" s="1" a="1"/>
  <c r="A1176" i="1" s="1"/>
  <c r="L1175" i="1"/>
  <c r="A1175" i="1" s="1" a="1"/>
  <c r="A1175" i="1" s="1"/>
  <c r="L1174" i="1"/>
  <c r="A1174" i="1" s="1" a="1"/>
  <c r="A1174" i="1" s="1"/>
  <c r="L1173" i="1"/>
  <c r="A1173" i="1" s="1" a="1"/>
  <c r="A1173" i="1" s="1"/>
  <c r="L1172" i="1"/>
  <c r="A1172" i="1" s="1" a="1"/>
  <c r="A1172" i="1" s="1"/>
  <c r="L1171" i="1"/>
  <c r="A1171" i="1" s="1" a="1"/>
  <c r="A1171" i="1" s="1"/>
  <c r="L1170" i="1"/>
  <c r="A1170" i="1" s="1" a="1"/>
  <c r="A1170" i="1" s="1"/>
  <c r="L1169" i="1"/>
  <c r="A1169" i="1" s="1" a="1"/>
  <c r="A1169" i="1" s="1"/>
  <c r="L1168" i="1"/>
  <c r="A1168" i="1" s="1" a="1"/>
  <c r="A1168" i="1" s="1"/>
  <c r="L1167" i="1"/>
  <c r="L1166" i="1"/>
  <c r="A1166" i="1" s="1" a="1"/>
  <c r="A1166" i="1" s="1"/>
  <c r="L1165" i="1"/>
  <c r="L1164" i="1"/>
  <c r="A1164" i="1" s="1" a="1"/>
  <c r="A1164" i="1" s="1"/>
  <c r="L1163" i="1"/>
  <c r="A1163" i="1" s="1" a="1"/>
  <c r="A1163" i="1" s="1"/>
  <c r="L1162" i="1"/>
  <c r="A1162" i="1" s="1" a="1"/>
  <c r="A1162" i="1" s="1"/>
  <c r="L1161" i="1"/>
  <c r="A1161" i="1" s="1" a="1"/>
  <c r="A1161" i="1" s="1"/>
  <c r="L1160" i="1"/>
  <c r="A1160" i="1" s="1" a="1"/>
  <c r="A1160" i="1" s="1"/>
  <c r="L1159" i="1"/>
  <c r="A1159" i="1" s="1" a="1"/>
  <c r="A1159" i="1" s="1"/>
  <c r="L1158" i="1"/>
  <c r="A1158" i="1" s="1" a="1"/>
  <c r="A1158" i="1" s="1"/>
  <c r="L1157" i="1"/>
  <c r="A1157" i="1" s="1" a="1"/>
  <c r="A1157" i="1" s="1"/>
  <c r="L1156" i="1"/>
  <c r="A1156" i="1" s="1" a="1"/>
  <c r="A1156" i="1" s="1"/>
  <c r="L1155" i="1"/>
  <c r="L1154" i="1"/>
  <c r="A1154" i="1" s="1" a="1"/>
  <c r="A1154" i="1" s="1"/>
  <c r="L1153" i="1"/>
  <c r="A1153" i="1" s="1" a="1"/>
  <c r="A1153" i="1" s="1"/>
  <c r="L1152" i="1"/>
  <c r="A1152" i="1" s="1" a="1"/>
  <c r="A1152" i="1" s="1"/>
  <c r="L1151" i="1"/>
  <c r="A1151" i="1" s="1" a="1"/>
  <c r="A1151" i="1" s="1"/>
  <c r="L1150" i="1"/>
  <c r="A1150" i="1" s="1" a="1"/>
  <c r="A1150" i="1" s="1"/>
  <c r="L1149" i="1"/>
  <c r="A1149" i="1" s="1" a="1"/>
  <c r="A1149" i="1" s="1"/>
  <c r="L1148" i="1"/>
  <c r="A1148" i="1" s="1" a="1"/>
  <c r="A1148" i="1" s="1"/>
  <c r="L1147" i="1"/>
  <c r="A1147" i="1" s="1" a="1"/>
  <c r="A1147" i="1" s="1"/>
  <c r="L1146" i="1"/>
  <c r="A1146" i="1" s="1" a="1"/>
  <c r="A1146" i="1" s="1"/>
  <c r="L1145" i="1"/>
  <c r="A1145" i="1" s="1" a="1"/>
  <c r="A1145" i="1" s="1"/>
  <c r="L1144" i="1"/>
  <c r="A1144" i="1" s="1" a="1"/>
  <c r="A1144" i="1" s="1"/>
  <c r="L1143" i="1"/>
  <c r="A1143" i="1" s="1" a="1"/>
  <c r="A1143" i="1" s="1"/>
  <c r="L1142" i="1"/>
  <c r="L1141" i="1"/>
  <c r="L1140" i="1"/>
  <c r="A1140" i="1" s="1" a="1"/>
  <c r="A1140" i="1" s="1"/>
  <c r="L1139" i="1"/>
  <c r="A1139" i="1" s="1" a="1"/>
  <c r="A1139" i="1" s="1"/>
  <c r="L1138" i="1"/>
  <c r="A1138" i="1" s="1" a="1"/>
  <c r="A1138" i="1" s="1"/>
  <c r="L1137" i="1"/>
  <c r="A1137" i="1" s="1" a="1"/>
  <c r="A1137" i="1" s="1"/>
  <c r="L1136" i="1"/>
  <c r="A1136" i="1" s="1" a="1"/>
  <c r="A1136" i="1" s="1"/>
  <c r="L1135" i="1"/>
  <c r="A1135" i="1" s="1" a="1"/>
  <c r="A1135" i="1" s="1"/>
  <c r="L1134" i="1"/>
  <c r="A1134" i="1" s="1" a="1"/>
  <c r="A1134" i="1" s="1"/>
  <c r="L1133" i="1"/>
  <c r="A1133" i="1" s="1" a="1"/>
  <c r="A1133" i="1" s="1"/>
  <c r="L1132" i="1"/>
  <c r="A1132" i="1" s="1" a="1"/>
  <c r="A1132" i="1" s="1"/>
  <c r="L1131" i="1"/>
  <c r="A1131" i="1" s="1" a="1"/>
  <c r="A1131" i="1" s="1"/>
  <c r="L1130" i="1"/>
  <c r="A1130" i="1" s="1" a="1"/>
  <c r="A1130" i="1" s="1"/>
  <c r="L1129" i="1"/>
  <c r="A1129" i="1" s="1" a="1"/>
  <c r="A1129" i="1" s="1"/>
  <c r="L1128" i="1"/>
  <c r="A1128" i="1" s="1" a="1"/>
  <c r="A1128" i="1" s="1"/>
  <c r="L1127" i="1"/>
  <c r="A1127" i="1" s="1" a="1"/>
  <c r="A1127" i="1" s="1"/>
  <c r="L1126" i="1"/>
  <c r="A1126" i="1" s="1" a="1"/>
  <c r="A1126" i="1" s="1"/>
  <c r="L1125" i="1"/>
  <c r="A1125" i="1" s="1" a="1"/>
  <c r="A1125" i="1" s="1"/>
  <c r="L1124" i="1"/>
  <c r="A1124" i="1" s="1" a="1"/>
  <c r="A1124" i="1" s="1"/>
  <c r="L1123" i="1"/>
  <c r="A1123" i="1" s="1" a="1"/>
  <c r="A1123" i="1" s="1"/>
  <c r="L1122" i="1"/>
  <c r="A1122" i="1" s="1" a="1"/>
  <c r="A1122" i="1" s="1"/>
  <c r="L1121" i="1"/>
  <c r="A1121" i="1" s="1" a="1"/>
  <c r="A1121" i="1" s="1"/>
  <c r="L1120" i="1"/>
  <c r="A1120" i="1" s="1" a="1"/>
  <c r="A1120" i="1" s="1"/>
  <c r="L1119" i="1"/>
  <c r="A1119" i="1" s="1" a="1"/>
  <c r="A1119" i="1" s="1"/>
  <c r="L1118" i="1"/>
  <c r="A1118" i="1" s="1" a="1"/>
  <c r="A1118" i="1" s="1"/>
  <c r="L1117" i="1"/>
  <c r="A1117" i="1" s="1" a="1"/>
  <c r="A1117" i="1" s="1"/>
  <c r="L1116" i="1"/>
  <c r="A1116" i="1" s="1" a="1"/>
  <c r="A1116" i="1" s="1"/>
  <c r="L1115" i="1"/>
  <c r="A1115" i="1" s="1" a="1"/>
  <c r="A1115" i="1" s="1"/>
  <c r="L1114" i="1"/>
  <c r="A1114" i="1" s="1" a="1"/>
  <c r="A1114" i="1" s="1"/>
  <c r="L1113" i="1"/>
  <c r="A1113" i="1" s="1" a="1"/>
  <c r="A1113" i="1" s="1"/>
  <c r="L1112" i="1"/>
  <c r="A1112" i="1" s="1" a="1"/>
  <c r="A1112" i="1" s="1"/>
  <c r="L1111" i="1"/>
  <c r="A1111" i="1" s="1" a="1"/>
  <c r="A1111" i="1" s="1"/>
  <c r="L1110" i="1"/>
  <c r="A1110" i="1" s="1" a="1"/>
  <c r="A1110" i="1" s="1"/>
  <c r="L1109" i="1"/>
  <c r="A1109" i="1" s="1" a="1"/>
  <c r="A1109" i="1" s="1"/>
  <c r="L1108" i="1"/>
  <c r="A1108" i="1" s="1" a="1"/>
  <c r="A1108" i="1" s="1"/>
  <c r="L1107" i="1"/>
  <c r="A1107" i="1" s="1" a="1"/>
  <c r="A1107" i="1" s="1"/>
  <c r="L1106" i="1"/>
  <c r="A1106" i="1" s="1" a="1"/>
  <c r="A1106" i="1" s="1"/>
  <c r="L1105" i="1"/>
  <c r="A1105" i="1" s="1" a="1"/>
  <c r="A1105" i="1" s="1"/>
  <c r="L1104" i="1"/>
  <c r="A1104" i="1" s="1" a="1"/>
  <c r="A1104" i="1" s="1"/>
  <c r="L1103" i="1"/>
  <c r="A1103" i="1" s="1" a="1"/>
  <c r="A1103" i="1" s="1"/>
  <c r="L1102" i="1"/>
  <c r="A1102" i="1" s="1" a="1"/>
  <c r="A1102" i="1" s="1"/>
  <c r="L1101" i="1"/>
  <c r="A1101" i="1" s="1" a="1"/>
  <c r="A1101" i="1" s="1"/>
  <c r="L1100" i="1"/>
  <c r="A1100" i="1" s="1" a="1"/>
  <c r="A1100" i="1" s="1"/>
  <c r="L1099" i="1"/>
  <c r="A1099" i="1" s="1" a="1"/>
  <c r="A1099" i="1" s="1"/>
  <c r="L1098" i="1"/>
  <c r="A1098" i="1" s="1" a="1"/>
  <c r="A1098" i="1" s="1"/>
  <c r="L1097" i="1"/>
  <c r="A1097" i="1" s="1" a="1"/>
  <c r="A1097" i="1" s="1"/>
  <c r="L1096" i="1"/>
  <c r="A1096" i="1" s="1" a="1"/>
  <c r="A1096" i="1" s="1"/>
  <c r="L1095" i="1"/>
  <c r="A1095" i="1" s="1" a="1"/>
  <c r="A1095" i="1" s="1"/>
  <c r="L1094" i="1"/>
  <c r="A1094" i="1" s="1" a="1"/>
  <c r="A1094" i="1" s="1"/>
  <c r="L1093" i="1"/>
  <c r="A1093" i="1" s="1" a="1"/>
  <c r="A1093" i="1" s="1"/>
  <c r="L1092" i="1"/>
  <c r="A1092" i="1" s="1" a="1"/>
  <c r="A1092" i="1" s="1"/>
  <c r="L1091" i="1"/>
  <c r="A1091" i="1" s="1" a="1"/>
  <c r="A1091" i="1" s="1"/>
  <c r="L1090" i="1"/>
  <c r="A1090" i="1" s="1" a="1"/>
  <c r="A1090" i="1" s="1"/>
  <c r="L1089" i="1"/>
  <c r="A1089" i="1" s="1" a="1"/>
  <c r="A1089" i="1" s="1"/>
  <c r="L1088" i="1"/>
  <c r="A1088" i="1" s="1" a="1"/>
  <c r="A1088" i="1" s="1"/>
  <c r="L1087" i="1"/>
  <c r="A1087" i="1" s="1" a="1"/>
  <c r="A1087" i="1" s="1"/>
  <c r="L1086" i="1"/>
  <c r="A1086" i="1" s="1" a="1"/>
  <c r="A1086" i="1" s="1"/>
  <c r="L1085" i="1"/>
  <c r="A1085" i="1" s="1" a="1"/>
  <c r="A1085" i="1" s="1"/>
  <c r="L1084" i="1"/>
  <c r="A1084" i="1" s="1" a="1"/>
  <c r="A1084" i="1" s="1"/>
  <c r="L1083" i="1"/>
  <c r="L1082" i="1"/>
  <c r="A1082" i="1" s="1" a="1"/>
  <c r="A1082" i="1" s="1"/>
  <c r="L1081" i="1"/>
  <c r="L1080" i="1"/>
  <c r="A1080" i="1" s="1" a="1"/>
  <c r="A1080" i="1" s="1"/>
  <c r="L1079" i="1"/>
  <c r="A1079" i="1" s="1" a="1"/>
  <c r="A1079" i="1" s="1"/>
  <c r="L1078" i="1"/>
  <c r="A1078" i="1" s="1" a="1"/>
  <c r="A1078" i="1" s="1"/>
  <c r="L1077" i="1"/>
  <c r="A1077" i="1" s="1" a="1"/>
  <c r="A1077" i="1" s="1"/>
  <c r="L1076" i="1"/>
  <c r="A1076" i="1" s="1" a="1"/>
  <c r="A1076" i="1" s="1"/>
  <c r="L1075" i="1"/>
  <c r="A1075" i="1" s="1" a="1"/>
  <c r="A1075" i="1" s="1"/>
  <c r="L1074" i="1"/>
  <c r="A1074" i="1" s="1" a="1"/>
  <c r="A1074" i="1" s="1"/>
  <c r="L1073" i="1"/>
  <c r="A1073" i="1" s="1" a="1"/>
  <c r="A1073" i="1" s="1"/>
  <c r="L1072" i="1"/>
  <c r="A1072" i="1" s="1" a="1"/>
  <c r="A1072" i="1" s="1"/>
  <c r="L1071" i="1"/>
  <c r="L1070" i="1"/>
  <c r="A1070" i="1" s="1" a="1"/>
  <c r="A1070" i="1" s="1"/>
  <c r="L1069" i="1"/>
  <c r="A1069" i="1" s="1" a="1"/>
  <c r="A1069" i="1" s="1"/>
  <c r="L1068" i="1"/>
  <c r="A1068" i="1" s="1" a="1"/>
  <c r="A1068" i="1" s="1"/>
  <c r="L1067" i="1"/>
  <c r="A1067" i="1" s="1" a="1"/>
  <c r="A1067" i="1" s="1"/>
  <c r="L1066" i="1"/>
  <c r="A1066" i="1" s="1" a="1"/>
  <c r="A1066" i="1" s="1"/>
  <c r="L1065" i="1"/>
  <c r="A1065" i="1" s="1" a="1"/>
  <c r="A1065" i="1" s="1"/>
  <c r="L1064" i="1"/>
  <c r="A1064" i="1" s="1" a="1"/>
  <c r="A1064" i="1" s="1"/>
  <c r="L1063" i="1"/>
  <c r="A1063" i="1" s="1" a="1"/>
  <c r="A1063" i="1" s="1"/>
  <c r="L1062" i="1"/>
  <c r="A1062" i="1" s="1" a="1"/>
  <c r="A1062" i="1" s="1"/>
  <c r="L1061" i="1"/>
  <c r="A1061" i="1" s="1" a="1"/>
  <c r="A1061" i="1" s="1"/>
  <c r="L1060" i="1"/>
  <c r="A1060" i="1" s="1" a="1"/>
  <c r="A1060" i="1" s="1"/>
  <c r="L1059" i="1"/>
  <c r="L1058" i="1"/>
  <c r="A1058" i="1" s="1" a="1"/>
  <c r="A1058" i="1" s="1"/>
  <c r="L1057" i="1"/>
  <c r="L1056" i="1"/>
  <c r="L1055" i="1"/>
  <c r="A1055" i="1" s="1" a="1"/>
  <c r="A1055" i="1" s="1"/>
  <c r="L1054" i="1"/>
  <c r="A1054" i="1" s="1" a="1"/>
  <c r="A1054" i="1" s="1"/>
  <c r="L1053" i="1"/>
  <c r="A1053" i="1" s="1" a="1"/>
  <c r="A1053" i="1" s="1"/>
  <c r="L1052" i="1"/>
  <c r="A1052" i="1" s="1" a="1"/>
  <c r="A1052" i="1" s="1"/>
  <c r="L1051" i="1"/>
  <c r="A1051" i="1" s="1" a="1"/>
  <c r="A1051" i="1" s="1"/>
  <c r="L1050" i="1"/>
  <c r="A1050" i="1" s="1" a="1"/>
  <c r="A1050" i="1" s="1"/>
  <c r="L1049" i="1"/>
  <c r="A1049" i="1" s="1" a="1"/>
  <c r="A1049" i="1" s="1"/>
  <c r="L1048" i="1"/>
  <c r="A1048" i="1" s="1" a="1"/>
  <c r="A1048" i="1" s="1"/>
  <c r="L1047" i="1"/>
  <c r="A1047" i="1" s="1" a="1"/>
  <c r="A1047" i="1" s="1"/>
  <c r="L1046" i="1"/>
  <c r="A1046" i="1" s="1" a="1"/>
  <c r="A1046" i="1" s="1"/>
  <c r="L1045" i="1"/>
  <c r="A1045" i="1" s="1" a="1"/>
  <c r="A1045" i="1" s="1"/>
  <c r="L1044" i="1"/>
  <c r="A1044" i="1" s="1" a="1"/>
  <c r="A1044" i="1" s="1"/>
  <c r="L1043" i="1"/>
  <c r="A1043" i="1" s="1" a="1"/>
  <c r="A1043" i="1" s="1"/>
  <c r="L1042" i="1"/>
  <c r="A1042" i="1" s="1" a="1"/>
  <c r="A1042" i="1" s="1"/>
  <c r="L1041" i="1"/>
  <c r="A1041" i="1" s="1" a="1"/>
  <c r="A1041" i="1" s="1"/>
  <c r="L1040" i="1"/>
  <c r="A1040" i="1" s="1" a="1"/>
  <c r="A1040" i="1" s="1"/>
  <c r="L1039" i="1"/>
  <c r="A1039" i="1" s="1" a="1"/>
  <c r="A1039" i="1" s="1"/>
  <c r="L1038" i="1"/>
  <c r="A1038" i="1" s="1" a="1"/>
  <c r="A1038" i="1" s="1"/>
  <c r="L1037" i="1"/>
  <c r="A1037" i="1" s="1" a="1"/>
  <c r="A1037" i="1" s="1"/>
  <c r="L1036" i="1"/>
  <c r="A1036" i="1" s="1" a="1"/>
  <c r="A1036" i="1" s="1"/>
  <c r="L1035" i="1"/>
  <c r="A1035" i="1" s="1" a="1"/>
  <c r="A1035" i="1" s="1"/>
  <c r="L1034" i="1"/>
  <c r="A1034" i="1" s="1" a="1"/>
  <c r="A1034" i="1" s="1"/>
  <c r="L1033" i="1"/>
  <c r="A1033" i="1" s="1" a="1"/>
  <c r="A1033" i="1" s="1"/>
  <c r="L1032" i="1"/>
  <c r="A1032" i="1" s="1" a="1"/>
  <c r="A1032" i="1" s="1"/>
  <c r="L1031" i="1"/>
  <c r="A1031" i="1" s="1" a="1"/>
  <c r="A1031" i="1" s="1"/>
  <c r="L1030" i="1"/>
  <c r="A1030" i="1" s="1" a="1"/>
  <c r="A1030" i="1" s="1"/>
  <c r="L1029" i="1"/>
  <c r="A1029" i="1" s="1" a="1"/>
  <c r="A1029" i="1" s="1"/>
  <c r="L1028" i="1"/>
  <c r="A1028" i="1" s="1" a="1"/>
  <c r="A1028" i="1" s="1"/>
  <c r="L1027" i="1"/>
  <c r="A1027" i="1" s="1" a="1"/>
  <c r="A1027" i="1" s="1"/>
  <c r="L1026" i="1"/>
  <c r="A1026" i="1" s="1" a="1"/>
  <c r="A1026" i="1" s="1"/>
  <c r="L1025" i="1"/>
  <c r="A1025" i="1" s="1" a="1"/>
  <c r="A1025" i="1" s="1"/>
  <c r="L1024" i="1"/>
  <c r="A1024" i="1" s="1" a="1"/>
  <c r="A1024" i="1" s="1"/>
  <c r="L1023" i="1"/>
  <c r="A1023" i="1" s="1" a="1"/>
  <c r="A1023" i="1" s="1"/>
  <c r="L1022" i="1"/>
  <c r="A1022" i="1" s="1" a="1"/>
  <c r="A1022" i="1" s="1"/>
  <c r="L1021" i="1"/>
  <c r="A1021" i="1" s="1" a="1"/>
  <c r="A1021" i="1" s="1"/>
  <c r="L1020" i="1"/>
  <c r="A1020" i="1" s="1" a="1"/>
  <c r="A1020" i="1" s="1"/>
  <c r="L1019" i="1"/>
  <c r="A1019" i="1" s="1" a="1"/>
  <c r="A1019" i="1" s="1"/>
  <c r="L1018" i="1"/>
  <c r="A1018" i="1" s="1" a="1"/>
  <c r="A1018" i="1" s="1"/>
  <c r="L1017" i="1"/>
  <c r="A1017" i="1" s="1" a="1"/>
  <c r="A1017" i="1" s="1"/>
  <c r="L1016" i="1"/>
  <c r="A1016" i="1" s="1" a="1"/>
  <c r="A1016" i="1" s="1"/>
  <c r="L1015" i="1"/>
  <c r="A1015" i="1" s="1" a="1"/>
  <c r="A1015" i="1" s="1"/>
  <c r="L1014" i="1"/>
  <c r="A1014" i="1" s="1" a="1"/>
  <c r="A1014" i="1" s="1"/>
  <c r="L1013" i="1"/>
  <c r="A1013" i="1" s="1" a="1"/>
  <c r="A1013" i="1" s="1"/>
  <c r="L1012" i="1"/>
  <c r="A1012" i="1" s="1" a="1"/>
  <c r="A1012" i="1" s="1"/>
  <c r="L1011" i="1"/>
  <c r="L1010" i="1"/>
  <c r="A1010" i="1" s="1" a="1"/>
  <c r="A1010" i="1" s="1"/>
  <c r="L1009" i="1"/>
  <c r="A1009" i="1" s="1" a="1"/>
  <c r="A1009" i="1" s="1"/>
  <c r="L1008" i="1"/>
  <c r="A1008" i="1" s="1" a="1"/>
  <c r="A1008" i="1" s="1"/>
  <c r="L1007" i="1"/>
  <c r="A1007" i="1" s="1" a="1"/>
  <c r="A1007" i="1" s="1"/>
  <c r="L1006" i="1"/>
  <c r="A1006" i="1" s="1" a="1"/>
  <c r="A1006" i="1" s="1"/>
  <c r="L1005" i="1"/>
  <c r="A1005" i="1" s="1" a="1"/>
  <c r="A1005" i="1" s="1"/>
  <c r="L1004" i="1"/>
  <c r="A1004" i="1" s="1" a="1"/>
  <c r="A1004" i="1" s="1"/>
  <c r="L1003" i="1"/>
  <c r="A1003" i="1" s="1" a="1"/>
  <c r="A1003" i="1" s="1"/>
  <c r="L1002" i="1"/>
  <c r="A1002" i="1" s="1" a="1"/>
  <c r="A1002" i="1" s="1"/>
  <c r="L1001" i="1"/>
  <c r="A1001" i="1" s="1" a="1"/>
  <c r="A1001" i="1" s="1"/>
  <c r="L1000" i="1"/>
  <c r="A1000" i="1" s="1" a="1"/>
  <c r="A1000" i="1" s="1"/>
  <c r="L999" i="1"/>
  <c r="A999" i="1" s="1" a="1"/>
  <c r="A999" i="1" s="1"/>
  <c r="L998" i="1"/>
  <c r="A998" i="1" s="1" a="1"/>
  <c r="A998" i="1" s="1"/>
  <c r="L997" i="1"/>
  <c r="A997" i="1" s="1" a="1"/>
  <c r="A997" i="1" s="1"/>
  <c r="L996" i="1"/>
  <c r="A996" i="1" s="1" a="1"/>
  <c r="A996" i="1" s="1"/>
  <c r="L995" i="1"/>
  <c r="A995" i="1" s="1" a="1"/>
  <c r="A995" i="1" s="1"/>
  <c r="L994" i="1"/>
  <c r="A994" i="1" s="1" a="1"/>
  <c r="A994" i="1" s="1"/>
  <c r="L993" i="1"/>
  <c r="A993" i="1" s="1" a="1"/>
  <c r="A993" i="1" s="1"/>
  <c r="L992" i="1"/>
  <c r="A992" i="1" s="1" a="1"/>
  <c r="A992" i="1" s="1"/>
  <c r="L991" i="1"/>
  <c r="A991" i="1" s="1" a="1"/>
  <c r="A991" i="1" s="1"/>
  <c r="L990" i="1"/>
  <c r="A990" i="1" s="1" a="1"/>
  <c r="A990" i="1" s="1"/>
  <c r="L989" i="1"/>
  <c r="A989" i="1" s="1" a="1"/>
  <c r="A989" i="1" s="1"/>
  <c r="L988" i="1"/>
  <c r="A988" i="1" s="1" a="1"/>
  <c r="A988" i="1" s="1"/>
  <c r="L987" i="1"/>
  <c r="L986" i="1"/>
  <c r="A986" i="1" s="1" a="1"/>
  <c r="A986" i="1" s="1"/>
  <c r="L985" i="1"/>
  <c r="A985" i="1" s="1" a="1"/>
  <c r="A985" i="1" s="1"/>
  <c r="L984" i="1"/>
  <c r="A984" i="1" s="1" a="1"/>
  <c r="A984" i="1" s="1"/>
  <c r="L983" i="1"/>
  <c r="A983" i="1" s="1" a="1"/>
  <c r="A983" i="1" s="1"/>
  <c r="L982" i="1"/>
  <c r="A982" i="1" s="1" a="1"/>
  <c r="A982" i="1" s="1"/>
  <c r="L981" i="1"/>
  <c r="A981" i="1" s="1" a="1"/>
  <c r="A981" i="1" s="1"/>
  <c r="L980" i="1"/>
  <c r="A980" i="1" s="1" a="1"/>
  <c r="A980" i="1" s="1"/>
  <c r="L979" i="1"/>
  <c r="A979" i="1" s="1" a="1"/>
  <c r="A979" i="1" s="1"/>
  <c r="L978" i="1"/>
  <c r="A978" i="1" s="1" a="1"/>
  <c r="A978" i="1" s="1"/>
  <c r="L977" i="1"/>
  <c r="A977" i="1" s="1" a="1"/>
  <c r="A977" i="1" s="1"/>
  <c r="L976" i="1"/>
  <c r="A976" i="1" s="1" a="1"/>
  <c r="A976" i="1" s="1"/>
  <c r="L975" i="1"/>
  <c r="L974" i="1"/>
  <c r="A974" i="1" s="1" a="1"/>
  <c r="A974" i="1" s="1"/>
  <c r="L973" i="1"/>
  <c r="L972" i="1"/>
  <c r="A972" i="1" s="1" a="1"/>
  <c r="A972" i="1" s="1"/>
  <c r="L971" i="1"/>
  <c r="A971" i="1" s="1" a="1"/>
  <c r="A971" i="1" s="1"/>
  <c r="L970" i="1"/>
  <c r="A970" i="1" s="1" a="1"/>
  <c r="A970" i="1" s="1"/>
  <c r="L969" i="1"/>
  <c r="A969" i="1" s="1" a="1"/>
  <c r="A969" i="1" s="1"/>
  <c r="L968" i="1"/>
  <c r="A968" i="1" s="1" a="1"/>
  <c r="A968" i="1" s="1"/>
  <c r="L967" i="1"/>
  <c r="A967" i="1" s="1" a="1"/>
  <c r="A967" i="1" s="1"/>
  <c r="L966" i="1"/>
  <c r="A966" i="1" s="1" a="1"/>
  <c r="A966" i="1" s="1"/>
  <c r="L965" i="1"/>
  <c r="A965" i="1" s="1" a="1"/>
  <c r="A965" i="1" s="1"/>
  <c r="L964" i="1"/>
  <c r="A964" i="1" s="1" a="1"/>
  <c r="A964" i="1" s="1"/>
  <c r="L963" i="1"/>
  <c r="A963" i="1" s="1" a="1"/>
  <c r="A963" i="1" s="1"/>
  <c r="L962" i="1"/>
  <c r="A962" i="1" s="1" a="1"/>
  <c r="A962" i="1" s="1"/>
  <c r="L961" i="1"/>
  <c r="L960" i="1"/>
  <c r="A960" i="1" s="1" a="1"/>
  <c r="A960" i="1" s="1"/>
  <c r="L959" i="1"/>
  <c r="A959" i="1" s="1" a="1"/>
  <c r="A959" i="1" s="1"/>
  <c r="L958" i="1"/>
  <c r="A958" i="1" s="1" a="1"/>
  <c r="A958" i="1" s="1"/>
  <c r="L957" i="1"/>
  <c r="A957" i="1" s="1" a="1"/>
  <c r="A957" i="1" s="1"/>
  <c r="L956" i="1"/>
  <c r="A956" i="1" s="1" a="1"/>
  <c r="A956" i="1" s="1"/>
  <c r="L955" i="1"/>
  <c r="A955" i="1" s="1" a="1"/>
  <c r="A955" i="1" s="1"/>
  <c r="L954" i="1"/>
  <c r="A954" i="1" s="1" a="1"/>
  <c r="A954" i="1" s="1"/>
  <c r="L953" i="1"/>
  <c r="A953" i="1" s="1" a="1"/>
  <c r="A953" i="1" s="1"/>
  <c r="L952" i="1"/>
  <c r="A952" i="1" s="1" a="1"/>
  <c r="A952" i="1" s="1"/>
  <c r="L951" i="1"/>
  <c r="A951" i="1" s="1" a="1"/>
  <c r="A951" i="1" s="1"/>
  <c r="L950" i="1"/>
  <c r="A950" i="1" s="1" a="1"/>
  <c r="A950" i="1" s="1"/>
  <c r="L949" i="1"/>
  <c r="A949" i="1" s="1" a="1"/>
  <c r="A949" i="1" s="1"/>
  <c r="L948" i="1"/>
  <c r="A948" i="1" s="1" a="1"/>
  <c r="A948" i="1" s="1"/>
  <c r="L947" i="1"/>
  <c r="A947" i="1" s="1" a="1"/>
  <c r="A947" i="1" s="1"/>
  <c r="L946" i="1"/>
  <c r="A946" i="1" s="1" a="1"/>
  <c r="A946" i="1" s="1"/>
  <c r="L945" i="1"/>
  <c r="A945" i="1" s="1" a="1"/>
  <c r="A945" i="1" s="1"/>
  <c r="L944" i="1"/>
  <c r="A944" i="1" s="1" a="1"/>
  <c r="A944" i="1" s="1"/>
  <c r="L943" i="1"/>
  <c r="A943" i="1" s="1" a="1"/>
  <c r="A943" i="1" s="1"/>
  <c r="L942" i="1"/>
  <c r="A942" i="1" s="1" a="1"/>
  <c r="A942" i="1" s="1"/>
  <c r="L941" i="1"/>
  <c r="A941" i="1" s="1" a="1"/>
  <c r="A941" i="1" s="1"/>
  <c r="L940" i="1"/>
  <c r="A940" i="1" s="1" a="1"/>
  <c r="A940" i="1" s="1"/>
  <c r="L939" i="1"/>
  <c r="A939" i="1" s="1" a="1"/>
  <c r="A939" i="1" s="1"/>
  <c r="L938" i="1"/>
  <c r="A938" i="1" s="1" a="1"/>
  <c r="A938" i="1" s="1"/>
  <c r="L937" i="1"/>
  <c r="A937" i="1" s="1" a="1"/>
  <c r="A937" i="1" s="1"/>
  <c r="L936" i="1"/>
  <c r="A936" i="1" s="1" a="1"/>
  <c r="A936" i="1" s="1"/>
  <c r="L935" i="1"/>
  <c r="A935" i="1" s="1" a="1"/>
  <c r="A935" i="1" s="1"/>
  <c r="L934" i="1"/>
  <c r="A934" i="1" s="1" a="1"/>
  <c r="A934" i="1" s="1"/>
  <c r="L933" i="1"/>
  <c r="A933" i="1" s="1" a="1"/>
  <c r="A933" i="1" s="1"/>
  <c r="L932" i="1"/>
  <c r="A932" i="1" s="1" a="1"/>
  <c r="A932" i="1" s="1"/>
  <c r="L931" i="1"/>
  <c r="A931" i="1" s="1" a="1"/>
  <c r="A931" i="1" s="1"/>
  <c r="L930" i="1"/>
  <c r="A930" i="1" s="1" a="1"/>
  <c r="A930" i="1" s="1"/>
  <c r="L929" i="1"/>
  <c r="A929" i="1" s="1" a="1"/>
  <c r="A929" i="1" s="1"/>
  <c r="L928" i="1"/>
  <c r="A928" i="1" s="1" a="1"/>
  <c r="A928" i="1" s="1"/>
  <c r="L927" i="1"/>
  <c r="A927" i="1" s="1" a="1"/>
  <c r="A927" i="1" s="1"/>
  <c r="L926" i="1"/>
  <c r="A926" i="1" s="1" a="1"/>
  <c r="A926" i="1" s="1"/>
  <c r="L925" i="1"/>
  <c r="A925" i="1" s="1" a="1"/>
  <c r="A925" i="1" s="1"/>
  <c r="L924" i="1"/>
  <c r="A924" i="1" s="1" a="1"/>
  <c r="A924" i="1" s="1"/>
  <c r="L923" i="1"/>
  <c r="A923" i="1" s="1" a="1"/>
  <c r="A923" i="1" s="1"/>
  <c r="L922" i="1"/>
  <c r="A922" i="1" s="1" a="1"/>
  <c r="A922" i="1" s="1"/>
  <c r="L921" i="1"/>
  <c r="A921" i="1" s="1" a="1"/>
  <c r="A921" i="1" s="1"/>
  <c r="L920" i="1"/>
  <c r="A920" i="1" s="1" a="1"/>
  <c r="A920" i="1" s="1"/>
  <c r="L919" i="1"/>
  <c r="A919" i="1" s="1" a="1"/>
  <c r="A919" i="1" s="1"/>
  <c r="L918" i="1"/>
  <c r="A918" i="1" s="1" a="1"/>
  <c r="A918" i="1" s="1"/>
  <c r="L917" i="1"/>
  <c r="A917" i="1" s="1" a="1"/>
  <c r="A917" i="1" s="1"/>
  <c r="L916" i="1"/>
  <c r="A916" i="1" s="1" a="1"/>
  <c r="A916" i="1" s="1"/>
  <c r="L915" i="1"/>
  <c r="A915" i="1" s="1" a="1"/>
  <c r="A915" i="1" s="1"/>
  <c r="L914" i="1"/>
  <c r="A914" i="1" s="1" a="1"/>
  <c r="A914" i="1" s="1"/>
  <c r="L913" i="1"/>
  <c r="A913" i="1" s="1" a="1"/>
  <c r="A913" i="1" s="1"/>
  <c r="L912" i="1"/>
  <c r="A912" i="1" s="1" a="1"/>
  <c r="A912" i="1" s="1"/>
  <c r="L911" i="1"/>
  <c r="A911" i="1" s="1" a="1"/>
  <c r="A911" i="1" s="1"/>
  <c r="L910" i="1"/>
  <c r="A910" i="1" s="1" a="1"/>
  <c r="A910" i="1" s="1"/>
  <c r="L909" i="1"/>
  <c r="A909" i="1" s="1" a="1"/>
  <c r="A909" i="1" s="1"/>
  <c r="L908" i="1"/>
  <c r="A908" i="1" s="1" a="1"/>
  <c r="A908" i="1" s="1"/>
  <c r="L907" i="1"/>
  <c r="A907" i="1" s="1" a="1"/>
  <c r="A907" i="1" s="1"/>
  <c r="L906" i="1"/>
  <c r="A906" i="1" s="1" a="1"/>
  <c r="A906" i="1" s="1"/>
  <c r="L905" i="1"/>
  <c r="A905" i="1" s="1" a="1"/>
  <c r="A905" i="1" s="1"/>
  <c r="L904" i="1"/>
  <c r="A904" i="1" s="1" a="1"/>
  <c r="A904" i="1" s="1"/>
  <c r="L903" i="1"/>
  <c r="L902" i="1"/>
  <c r="L901" i="1"/>
  <c r="L900" i="1"/>
  <c r="A900" i="1" s="1" a="1"/>
  <c r="A900" i="1" s="1"/>
  <c r="L899" i="1"/>
  <c r="A899" i="1" s="1" a="1"/>
  <c r="A899" i="1" s="1"/>
  <c r="L898" i="1"/>
  <c r="A898" i="1" s="1" a="1"/>
  <c r="A898" i="1" s="1"/>
  <c r="L897" i="1"/>
  <c r="A897" i="1" s="1" a="1"/>
  <c r="A897" i="1" s="1"/>
  <c r="L896" i="1"/>
  <c r="A896" i="1" s="1" a="1"/>
  <c r="A896" i="1" s="1"/>
  <c r="L895" i="1"/>
  <c r="A895" i="1" s="1" a="1"/>
  <c r="A895" i="1" s="1"/>
  <c r="L894" i="1"/>
  <c r="A894" i="1" s="1" a="1"/>
  <c r="A894" i="1" s="1"/>
  <c r="L893" i="1"/>
  <c r="A893" i="1" s="1" a="1"/>
  <c r="A893" i="1" s="1"/>
  <c r="L892" i="1"/>
  <c r="A892" i="1" s="1" a="1"/>
  <c r="A892" i="1" s="1"/>
  <c r="L891" i="1"/>
  <c r="A891" i="1" s="1" a="1"/>
  <c r="A891" i="1" s="1"/>
  <c r="L890" i="1"/>
  <c r="A890" i="1" s="1" a="1"/>
  <c r="A890" i="1" s="1"/>
  <c r="L889" i="1"/>
  <c r="L888" i="1"/>
  <c r="A888" i="1" s="1" a="1"/>
  <c r="A888" i="1" s="1"/>
  <c r="L887" i="1"/>
  <c r="A887" i="1" s="1" a="1"/>
  <c r="A887" i="1" s="1"/>
  <c r="L886" i="1"/>
  <c r="A886" i="1" s="1" a="1"/>
  <c r="A886" i="1" s="1"/>
  <c r="L885" i="1"/>
  <c r="A885" i="1" s="1" a="1"/>
  <c r="A885" i="1" s="1"/>
  <c r="L884" i="1"/>
  <c r="A884" i="1" s="1" a="1"/>
  <c r="A884" i="1" s="1"/>
  <c r="L883" i="1"/>
  <c r="A883" i="1" s="1" a="1"/>
  <c r="A883" i="1" s="1"/>
  <c r="L882" i="1"/>
  <c r="A882" i="1" s="1" a="1"/>
  <c r="A882" i="1" s="1"/>
  <c r="L881" i="1"/>
  <c r="A881" i="1" s="1" a="1"/>
  <c r="A881" i="1" s="1"/>
  <c r="L880" i="1"/>
  <c r="A880" i="1" s="1" a="1"/>
  <c r="A880" i="1" s="1"/>
  <c r="L879" i="1"/>
  <c r="A879" i="1" s="1" a="1"/>
  <c r="A879" i="1" s="1"/>
  <c r="L878" i="1"/>
  <c r="A878" i="1" s="1" a="1"/>
  <c r="A878" i="1" s="1"/>
  <c r="L877" i="1"/>
  <c r="L876" i="1"/>
  <c r="A876" i="1" s="1" a="1"/>
  <c r="A876" i="1" s="1"/>
  <c r="L875" i="1"/>
  <c r="A875" i="1" s="1" a="1"/>
  <c r="A875" i="1" s="1"/>
  <c r="L874" i="1"/>
  <c r="A874" i="1" s="1" a="1"/>
  <c r="A874" i="1" s="1"/>
  <c r="L873" i="1"/>
  <c r="A873" i="1" s="1" a="1"/>
  <c r="A873" i="1" s="1"/>
  <c r="L872" i="1"/>
  <c r="A872" i="1" s="1" a="1"/>
  <c r="A872" i="1" s="1"/>
  <c r="L871" i="1"/>
  <c r="A871" i="1" s="1" a="1"/>
  <c r="A871" i="1" s="1"/>
  <c r="L870" i="1"/>
  <c r="A870" i="1" s="1" a="1"/>
  <c r="A870" i="1" s="1"/>
  <c r="L869" i="1"/>
  <c r="A869" i="1" s="1" a="1"/>
  <c r="A869" i="1" s="1"/>
  <c r="L868" i="1"/>
  <c r="A868" i="1" s="1" a="1"/>
  <c r="A868" i="1" s="1"/>
  <c r="L867" i="1"/>
  <c r="A867" i="1" s="1" a="1"/>
  <c r="A867" i="1" s="1"/>
  <c r="L866" i="1"/>
  <c r="A866" i="1" s="1" a="1"/>
  <c r="A866" i="1" s="1"/>
  <c r="L865" i="1"/>
  <c r="A865" i="1" s="1" a="1"/>
  <c r="A865" i="1" s="1"/>
  <c r="L864" i="1"/>
  <c r="A864" i="1" s="1" a="1"/>
  <c r="A864" i="1" s="1"/>
  <c r="L863" i="1"/>
  <c r="A863" i="1" s="1" a="1"/>
  <c r="A863" i="1" s="1"/>
  <c r="L862" i="1"/>
  <c r="A862" i="1" s="1" a="1"/>
  <c r="A862" i="1" s="1"/>
  <c r="L861" i="1"/>
  <c r="A861" i="1" s="1" a="1"/>
  <c r="A861" i="1" s="1"/>
  <c r="L860" i="1"/>
  <c r="A860" i="1" s="1" a="1"/>
  <c r="A860" i="1" s="1"/>
  <c r="L859" i="1"/>
  <c r="A859" i="1" s="1" a="1"/>
  <c r="A859" i="1" s="1"/>
  <c r="L858" i="1"/>
  <c r="A858" i="1" s="1" a="1"/>
  <c r="A858" i="1" s="1"/>
  <c r="L857" i="1"/>
  <c r="A857" i="1" s="1" a="1"/>
  <c r="A857" i="1" s="1"/>
  <c r="L856" i="1"/>
  <c r="A856" i="1" s="1" a="1"/>
  <c r="A856" i="1" s="1"/>
  <c r="L855" i="1"/>
  <c r="A855" i="1" s="1" a="1"/>
  <c r="A855" i="1" s="1"/>
  <c r="L854" i="1"/>
  <c r="A854" i="1" s="1" a="1"/>
  <c r="A854" i="1" s="1"/>
  <c r="L853" i="1"/>
  <c r="A853" i="1" s="1" a="1"/>
  <c r="A853" i="1" s="1"/>
  <c r="L852" i="1"/>
  <c r="A852" i="1" s="1" a="1"/>
  <c r="A852" i="1" s="1"/>
  <c r="L851" i="1"/>
  <c r="A851" i="1" s="1" a="1"/>
  <c r="A851" i="1" s="1"/>
  <c r="L850" i="1"/>
  <c r="A850" i="1" s="1" a="1"/>
  <c r="A850" i="1" s="1"/>
  <c r="L849" i="1"/>
  <c r="A849" i="1" s="1" a="1"/>
  <c r="A849" i="1" s="1"/>
  <c r="L848" i="1"/>
  <c r="A848" i="1" s="1" a="1"/>
  <c r="A848" i="1" s="1"/>
  <c r="L847" i="1"/>
  <c r="A847" i="1" s="1" a="1"/>
  <c r="A847" i="1" s="1"/>
  <c r="L846" i="1"/>
  <c r="A846" i="1" s="1" a="1"/>
  <c r="A846" i="1" s="1"/>
  <c r="L845" i="1"/>
  <c r="A845" i="1" s="1" a="1"/>
  <c r="A845" i="1" s="1"/>
  <c r="L844" i="1"/>
  <c r="A844" i="1" s="1" a="1"/>
  <c r="A844" i="1" s="1"/>
  <c r="L843" i="1"/>
  <c r="A843" i="1" s="1" a="1"/>
  <c r="A843" i="1" s="1"/>
  <c r="L842" i="1"/>
  <c r="A842" i="1" s="1" a="1"/>
  <c r="A842" i="1" s="1"/>
  <c r="L841" i="1"/>
  <c r="A841" i="1" s="1" a="1"/>
  <c r="A841" i="1" s="1"/>
  <c r="L840" i="1"/>
  <c r="A840" i="1" s="1" a="1"/>
  <c r="A840" i="1" s="1"/>
  <c r="L839" i="1"/>
  <c r="A839" i="1" s="1" a="1"/>
  <c r="A839" i="1" s="1"/>
  <c r="L838" i="1"/>
  <c r="A838" i="1" s="1" a="1"/>
  <c r="A838" i="1" s="1"/>
  <c r="L837" i="1"/>
  <c r="A837" i="1" s="1" a="1"/>
  <c r="A837" i="1" s="1"/>
  <c r="L836" i="1"/>
  <c r="A836" i="1" s="1" a="1"/>
  <c r="A836" i="1" s="1"/>
  <c r="L835" i="1"/>
  <c r="A835" i="1" s="1" a="1"/>
  <c r="A835" i="1" s="1"/>
  <c r="L834" i="1"/>
  <c r="A834" i="1" s="1" a="1"/>
  <c r="A834" i="1" s="1"/>
  <c r="L833" i="1"/>
  <c r="L832" i="1"/>
  <c r="A832" i="1" s="1" a="1"/>
  <c r="A832" i="1" s="1"/>
  <c r="L831" i="1"/>
  <c r="L830" i="1"/>
  <c r="A830" i="1" s="1" a="1"/>
  <c r="A830" i="1" s="1"/>
  <c r="L829" i="1"/>
  <c r="L828" i="1"/>
  <c r="A828" i="1" s="1" a="1"/>
  <c r="A828" i="1" s="1"/>
  <c r="L827" i="1"/>
  <c r="A827" i="1" s="1" a="1"/>
  <c r="A827" i="1" s="1"/>
  <c r="L826" i="1"/>
  <c r="A826" i="1" s="1" a="1"/>
  <c r="A826" i="1" s="1"/>
  <c r="L825" i="1"/>
  <c r="A825" i="1" s="1" a="1"/>
  <c r="A825" i="1" s="1"/>
  <c r="L824" i="1"/>
  <c r="A824" i="1" s="1" a="1"/>
  <c r="A824" i="1" s="1"/>
  <c r="L823" i="1"/>
  <c r="A823" i="1" s="1" a="1"/>
  <c r="A823" i="1" s="1"/>
  <c r="L822" i="1"/>
  <c r="A822" i="1" s="1" a="1"/>
  <c r="A822" i="1" s="1"/>
  <c r="L821" i="1"/>
  <c r="A821" i="1" s="1" a="1"/>
  <c r="A821" i="1" s="1"/>
  <c r="L820" i="1"/>
  <c r="A820" i="1" s="1" a="1"/>
  <c r="A820" i="1" s="1"/>
  <c r="L819" i="1"/>
  <c r="A819" i="1" s="1" a="1"/>
  <c r="A819" i="1" s="1"/>
  <c r="L818" i="1"/>
  <c r="A818" i="1" s="1" a="1"/>
  <c r="A818" i="1" s="1"/>
  <c r="L817" i="1"/>
  <c r="A817" i="1" s="1" a="1"/>
  <c r="A817" i="1" s="1"/>
  <c r="L816" i="1"/>
  <c r="A816" i="1" s="1" a="1"/>
  <c r="A816" i="1" s="1"/>
  <c r="L815" i="1"/>
  <c r="A815" i="1" s="1" a="1"/>
  <c r="A815" i="1" s="1"/>
  <c r="L814" i="1"/>
  <c r="A814" i="1" s="1" a="1"/>
  <c r="A814" i="1" s="1"/>
  <c r="L813" i="1"/>
  <c r="A813" i="1" s="1" a="1"/>
  <c r="A813" i="1" s="1"/>
  <c r="L812" i="1"/>
  <c r="A812" i="1" s="1" a="1"/>
  <c r="A812" i="1" s="1"/>
  <c r="L811" i="1"/>
  <c r="A811" i="1" s="1" a="1"/>
  <c r="A811" i="1" s="1"/>
  <c r="L810" i="1"/>
  <c r="A810" i="1" s="1" a="1"/>
  <c r="A810" i="1" s="1"/>
  <c r="L809" i="1"/>
  <c r="A809" i="1" s="1" a="1"/>
  <c r="A809" i="1" s="1"/>
  <c r="L808" i="1"/>
  <c r="A808" i="1" s="1" a="1"/>
  <c r="A808" i="1" s="1"/>
  <c r="L807" i="1"/>
  <c r="A807" i="1" s="1" a="1"/>
  <c r="A807" i="1" s="1"/>
  <c r="L806" i="1"/>
  <c r="L805" i="1"/>
  <c r="L804" i="1"/>
  <c r="A804" i="1" s="1" a="1"/>
  <c r="A804" i="1" s="1"/>
  <c r="L803" i="1"/>
  <c r="A803" i="1" s="1" a="1"/>
  <c r="A803" i="1" s="1"/>
  <c r="L802" i="1"/>
  <c r="A802" i="1" s="1" a="1"/>
  <c r="A802" i="1" s="1"/>
  <c r="L801" i="1"/>
  <c r="A801" i="1" s="1" a="1"/>
  <c r="A801" i="1" s="1"/>
  <c r="L800" i="1"/>
  <c r="A800" i="1" s="1" a="1"/>
  <c r="A800" i="1" s="1"/>
  <c r="L799" i="1"/>
  <c r="A799" i="1" s="1" a="1"/>
  <c r="A799" i="1" s="1"/>
  <c r="L798" i="1"/>
  <c r="A798" i="1" s="1" a="1"/>
  <c r="A798" i="1" s="1"/>
  <c r="L797" i="1"/>
  <c r="A797" i="1" s="1" a="1"/>
  <c r="A797" i="1" s="1"/>
  <c r="L796" i="1"/>
  <c r="A796" i="1" s="1" a="1"/>
  <c r="A796" i="1" s="1"/>
  <c r="L795" i="1"/>
  <c r="A795" i="1" s="1" a="1"/>
  <c r="A795" i="1" s="1"/>
  <c r="L794" i="1"/>
  <c r="A794" i="1" s="1" a="1"/>
  <c r="A794" i="1" s="1"/>
  <c r="L793" i="1"/>
  <c r="L792" i="1"/>
  <c r="A792" i="1" s="1" a="1"/>
  <c r="A792" i="1" s="1"/>
  <c r="L791" i="1"/>
  <c r="A791" i="1" s="1" a="1"/>
  <c r="A791" i="1" s="1"/>
  <c r="L790" i="1"/>
  <c r="A790" i="1" s="1" a="1"/>
  <c r="A790" i="1" s="1"/>
  <c r="L789" i="1"/>
  <c r="A789" i="1" s="1" a="1"/>
  <c r="A789" i="1" s="1"/>
  <c r="L788" i="1"/>
  <c r="A788" i="1" s="1" a="1"/>
  <c r="A788" i="1" s="1"/>
  <c r="L787" i="1"/>
  <c r="A787" i="1" s="1" a="1"/>
  <c r="A787" i="1" s="1"/>
  <c r="L786" i="1"/>
  <c r="A786" i="1" s="1" a="1"/>
  <c r="A786" i="1" s="1"/>
  <c r="L785" i="1"/>
  <c r="A785" i="1" s="1" a="1"/>
  <c r="A785" i="1" s="1"/>
  <c r="L784" i="1"/>
  <c r="A784" i="1" s="1" a="1"/>
  <c r="A784" i="1" s="1"/>
  <c r="L783" i="1"/>
  <c r="A783" i="1" s="1" a="1"/>
  <c r="A783" i="1" s="1"/>
  <c r="L782" i="1"/>
  <c r="A782" i="1" s="1" a="1"/>
  <c r="A782" i="1" s="1"/>
  <c r="L781" i="1"/>
  <c r="A781" i="1" s="1" a="1"/>
  <c r="A781" i="1" s="1"/>
  <c r="L780" i="1"/>
  <c r="A780" i="1" s="1" a="1"/>
  <c r="A780" i="1" s="1"/>
  <c r="L779" i="1"/>
  <c r="A779" i="1" s="1" a="1"/>
  <c r="A779" i="1" s="1"/>
  <c r="L778" i="1"/>
  <c r="A778" i="1" s="1" a="1"/>
  <c r="A778" i="1" s="1"/>
  <c r="L777" i="1"/>
  <c r="A777" i="1" s="1" a="1"/>
  <c r="A777" i="1" s="1"/>
  <c r="L776" i="1"/>
  <c r="A776" i="1" s="1" a="1"/>
  <c r="A776" i="1" s="1"/>
  <c r="L775" i="1"/>
  <c r="A775" i="1" s="1" a="1"/>
  <c r="A775" i="1" s="1"/>
  <c r="L774" i="1"/>
  <c r="A774" i="1" s="1" a="1"/>
  <c r="A774" i="1" s="1"/>
  <c r="L773" i="1"/>
  <c r="A773" i="1" s="1" a="1"/>
  <c r="A773" i="1" s="1"/>
  <c r="L772" i="1"/>
  <c r="A772" i="1" s="1" a="1"/>
  <c r="A772" i="1" s="1"/>
  <c r="L771" i="1"/>
  <c r="A771" i="1" s="1" a="1"/>
  <c r="A771" i="1" s="1"/>
  <c r="L770" i="1"/>
  <c r="A770" i="1" s="1" a="1"/>
  <c r="A770" i="1" s="1"/>
  <c r="L769" i="1"/>
  <c r="A769" i="1" s="1" a="1"/>
  <c r="A769" i="1" s="1"/>
  <c r="L768" i="1"/>
  <c r="A768" i="1" s="1" a="1"/>
  <c r="A768" i="1" s="1"/>
  <c r="L767" i="1"/>
  <c r="A767" i="1" s="1" a="1"/>
  <c r="A767" i="1" s="1"/>
  <c r="L766" i="1"/>
  <c r="A766" i="1" s="1" a="1"/>
  <c r="A766" i="1" s="1"/>
  <c r="L765" i="1"/>
  <c r="A765" i="1" s="1" a="1"/>
  <c r="A765" i="1" s="1"/>
  <c r="L764" i="1"/>
  <c r="A764" i="1" s="1" a="1"/>
  <c r="A764" i="1" s="1"/>
  <c r="L763" i="1"/>
  <c r="A763" i="1" s="1" a="1"/>
  <c r="A763" i="1" s="1"/>
  <c r="L762" i="1"/>
  <c r="A762" i="1" s="1" a="1"/>
  <c r="A762" i="1" s="1"/>
  <c r="L761" i="1"/>
  <c r="A761" i="1" s="1" a="1"/>
  <c r="A761" i="1" s="1"/>
  <c r="L760" i="1"/>
  <c r="A760" i="1" s="1" a="1"/>
  <c r="A760" i="1" s="1"/>
  <c r="L759" i="1"/>
  <c r="A759" i="1" s="1" a="1"/>
  <c r="A759" i="1" s="1"/>
  <c r="L758" i="1"/>
  <c r="A758" i="1" s="1" a="1"/>
  <c r="A758" i="1" s="1"/>
  <c r="L757" i="1"/>
  <c r="A757" i="1" s="1" a="1"/>
  <c r="A757" i="1" s="1"/>
  <c r="L756" i="1"/>
  <c r="A756" i="1" s="1" a="1"/>
  <c r="A756" i="1" s="1"/>
  <c r="L755" i="1"/>
  <c r="A755" i="1" s="1" a="1"/>
  <c r="A755" i="1" s="1"/>
  <c r="L754" i="1"/>
  <c r="A754" i="1" s="1" a="1"/>
  <c r="A754" i="1" s="1"/>
  <c r="L753" i="1"/>
  <c r="A753" i="1" s="1" a="1"/>
  <c r="A753" i="1" s="1"/>
  <c r="L752" i="1"/>
  <c r="A752" i="1" s="1" a="1"/>
  <c r="A752" i="1" s="1"/>
  <c r="L751" i="1"/>
  <c r="A751" i="1" s="1" a="1"/>
  <c r="A751" i="1" s="1"/>
  <c r="L750" i="1"/>
  <c r="A750" i="1" s="1" a="1"/>
  <c r="A750" i="1" s="1"/>
  <c r="L749" i="1"/>
  <c r="A749" i="1" s="1" a="1"/>
  <c r="A749" i="1" s="1"/>
  <c r="L748" i="1"/>
  <c r="A748" i="1" s="1" a="1"/>
  <c r="A748" i="1" s="1"/>
  <c r="L747" i="1"/>
  <c r="A747" i="1" s="1" a="1"/>
  <c r="A747" i="1" s="1"/>
  <c r="L746" i="1"/>
  <c r="A746" i="1" s="1" a="1"/>
  <c r="A746" i="1" s="1"/>
  <c r="L745" i="1"/>
  <c r="A745" i="1" s="1" a="1"/>
  <c r="A745" i="1" s="1"/>
  <c r="L744" i="1"/>
  <c r="A744" i="1" s="1" a="1"/>
  <c r="A744" i="1" s="1"/>
  <c r="L743" i="1"/>
  <c r="A743" i="1" s="1" a="1"/>
  <c r="A743" i="1" s="1"/>
  <c r="L742" i="1"/>
  <c r="A742" i="1" s="1" a="1"/>
  <c r="A742" i="1" s="1"/>
  <c r="L741" i="1"/>
  <c r="A741" i="1" s="1" a="1"/>
  <c r="A741" i="1" s="1"/>
  <c r="L740" i="1"/>
  <c r="A740" i="1" s="1" a="1"/>
  <c r="A740" i="1" s="1"/>
  <c r="L739" i="1"/>
  <c r="A739" i="1" s="1" a="1"/>
  <c r="A739" i="1" s="1"/>
  <c r="L738" i="1"/>
  <c r="A738" i="1" s="1" a="1"/>
  <c r="A738" i="1" s="1"/>
  <c r="L737" i="1"/>
  <c r="A737" i="1" s="1" a="1"/>
  <c r="A737" i="1" s="1"/>
  <c r="L736" i="1"/>
  <c r="A736" i="1" s="1" a="1"/>
  <c r="A736" i="1" s="1"/>
  <c r="L735" i="1"/>
  <c r="L734" i="1"/>
  <c r="A734" i="1" s="1" a="1"/>
  <c r="A734" i="1" s="1"/>
  <c r="L733" i="1"/>
  <c r="A733" i="1" s="1" a="1"/>
  <c r="A733" i="1" s="1"/>
  <c r="L732" i="1"/>
  <c r="A732" i="1" s="1" a="1"/>
  <c r="A732" i="1" s="1"/>
  <c r="L731" i="1"/>
  <c r="A731" i="1" s="1" a="1"/>
  <c r="A731" i="1" s="1"/>
  <c r="L730" i="1"/>
  <c r="A730" i="1" s="1" a="1"/>
  <c r="A730" i="1" s="1"/>
  <c r="L729" i="1"/>
  <c r="A729" i="1" s="1" a="1"/>
  <c r="A729" i="1" s="1"/>
  <c r="L728" i="1"/>
  <c r="A728" i="1" s="1" a="1"/>
  <c r="A728" i="1" s="1"/>
  <c r="L727" i="1"/>
  <c r="A727" i="1" s="1" a="1"/>
  <c r="A727" i="1" s="1"/>
  <c r="L726" i="1"/>
  <c r="A726" i="1" s="1" a="1"/>
  <c r="A726" i="1" s="1"/>
  <c r="L725" i="1"/>
  <c r="A725" i="1" s="1" a="1"/>
  <c r="A725" i="1" s="1"/>
  <c r="L724" i="1"/>
  <c r="A724" i="1" s="1" a="1"/>
  <c r="A724" i="1" s="1"/>
  <c r="L723" i="1"/>
  <c r="A723" i="1" s="1" a="1"/>
  <c r="A723" i="1" s="1"/>
  <c r="L722" i="1"/>
  <c r="A722" i="1" s="1" a="1"/>
  <c r="A722" i="1" s="1"/>
  <c r="L721" i="1"/>
  <c r="L720" i="1"/>
  <c r="A720" i="1" s="1" a="1"/>
  <c r="A720" i="1" s="1"/>
  <c r="L719" i="1"/>
  <c r="A719" i="1" s="1" a="1"/>
  <c r="A719" i="1" s="1"/>
  <c r="L718" i="1"/>
  <c r="A718" i="1" s="1" a="1"/>
  <c r="A718" i="1" s="1"/>
  <c r="L717" i="1"/>
  <c r="A717" i="1" s="1" a="1"/>
  <c r="A717" i="1" s="1"/>
  <c r="L716" i="1"/>
  <c r="A716" i="1" s="1" a="1"/>
  <c r="A716" i="1" s="1"/>
  <c r="L715" i="1"/>
  <c r="A715" i="1" s="1" a="1"/>
  <c r="A715" i="1" s="1"/>
  <c r="L714" i="1"/>
  <c r="A714" i="1" s="1" a="1"/>
  <c r="A714" i="1" s="1"/>
  <c r="L713" i="1"/>
  <c r="A713" i="1" s="1" a="1"/>
  <c r="A713" i="1" s="1"/>
  <c r="L712" i="1"/>
  <c r="A712" i="1" s="1" a="1"/>
  <c r="A712" i="1" s="1"/>
  <c r="L711" i="1"/>
  <c r="A711" i="1" s="1" a="1"/>
  <c r="A711" i="1" s="1"/>
  <c r="L710" i="1"/>
  <c r="A710" i="1" s="1" a="1"/>
  <c r="A710" i="1" s="1"/>
  <c r="L709" i="1"/>
  <c r="A709" i="1" s="1" a="1"/>
  <c r="A709" i="1" s="1"/>
  <c r="L708" i="1"/>
  <c r="A708" i="1" s="1" a="1"/>
  <c r="A708" i="1" s="1"/>
  <c r="L707" i="1"/>
  <c r="A707" i="1" s="1" a="1"/>
  <c r="A707" i="1" s="1"/>
  <c r="L706" i="1"/>
  <c r="A706" i="1" s="1" a="1"/>
  <c r="A706" i="1" s="1"/>
  <c r="L705" i="1"/>
  <c r="A705" i="1" s="1" a="1"/>
  <c r="A705" i="1" s="1"/>
  <c r="L704" i="1"/>
  <c r="A704" i="1" s="1" a="1"/>
  <c r="A704" i="1" s="1"/>
  <c r="L703" i="1"/>
  <c r="A703" i="1" s="1" a="1"/>
  <c r="A703" i="1" s="1"/>
  <c r="L702" i="1"/>
  <c r="A702" i="1" s="1" a="1"/>
  <c r="A702" i="1" s="1"/>
  <c r="L701" i="1"/>
  <c r="A701" i="1" s="1" a="1"/>
  <c r="A701" i="1" s="1"/>
  <c r="L700" i="1"/>
  <c r="A700" i="1" s="1" a="1"/>
  <c r="A700" i="1" s="1"/>
  <c r="L699" i="1"/>
  <c r="A699" i="1" s="1" a="1"/>
  <c r="A699" i="1" s="1"/>
  <c r="L698" i="1"/>
  <c r="A698" i="1" s="1" a="1"/>
  <c r="A698" i="1" s="1"/>
  <c r="L697" i="1"/>
  <c r="A697" i="1" s="1" a="1"/>
  <c r="A697" i="1" s="1"/>
  <c r="L696" i="1"/>
  <c r="A696" i="1" s="1" a="1"/>
  <c r="A696" i="1" s="1"/>
  <c r="L695" i="1"/>
  <c r="A695" i="1" s="1" a="1"/>
  <c r="A695" i="1" s="1"/>
  <c r="L694" i="1"/>
  <c r="A694" i="1" s="1" a="1"/>
  <c r="A694" i="1" s="1"/>
  <c r="L693" i="1"/>
  <c r="A693" i="1" s="1" a="1"/>
  <c r="A693" i="1" s="1"/>
  <c r="L692" i="1"/>
  <c r="A692" i="1" s="1" a="1"/>
  <c r="A692" i="1" s="1"/>
  <c r="L691" i="1"/>
  <c r="A691" i="1" s="1" a="1"/>
  <c r="A691" i="1" s="1"/>
  <c r="L690" i="1"/>
  <c r="A690" i="1" s="1" a="1"/>
  <c r="A690" i="1" s="1"/>
  <c r="L689" i="1"/>
  <c r="A689" i="1" s="1" a="1"/>
  <c r="A689" i="1" s="1"/>
  <c r="L688" i="1"/>
  <c r="A688" i="1" s="1" a="1"/>
  <c r="A688" i="1" s="1"/>
  <c r="L687" i="1"/>
  <c r="A687" i="1" s="1" a="1"/>
  <c r="A687" i="1" s="1"/>
  <c r="L686" i="1"/>
  <c r="A686" i="1" s="1" a="1"/>
  <c r="A686" i="1" s="1"/>
  <c r="L685" i="1"/>
  <c r="A685" i="1" s="1" a="1"/>
  <c r="A685" i="1" s="1"/>
  <c r="L684" i="1"/>
  <c r="A684" i="1" s="1" a="1"/>
  <c r="A684" i="1" s="1"/>
  <c r="L683" i="1"/>
  <c r="A683" i="1" s="1" a="1"/>
  <c r="A683" i="1" s="1"/>
  <c r="L682" i="1"/>
  <c r="A682" i="1" s="1" a="1"/>
  <c r="A682" i="1" s="1"/>
  <c r="L681" i="1"/>
  <c r="A681" i="1" s="1" a="1"/>
  <c r="A681" i="1" s="1"/>
  <c r="L680" i="1"/>
  <c r="A680" i="1" s="1" a="1"/>
  <c r="A680" i="1" s="1"/>
  <c r="L679" i="1"/>
  <c r="A679" i="1" s="1" a="1"/>
  <c r="A679" i="1" s="1"/>
  <c r="L678" i="1"/>
  <c r="A678" i="1" s="1" a="1"/>
  <c r="A678" i="1" s="1"/>
  <c r="L677" i="1"/>
  <c r="A677" i="1" s="1" a="1"/>
  <c r="A677" i="1" s="1"/>
  <c r="L676" i="1"/>
  <c r="A676" i="1" s="1" a="1"/>
  <c r="A676" i="1" s="1"/>
  <c r="L675" i="1"/>
  <c r="A675" i="1" s="1" a="1"/>
  <c r="A675" i="1" s="1"/>
  <c r="L674" i="1"/>
  <c r="A674" i="1" s="1" a="1"/>
  <c r="A674" i="1" s="1"/>
  <c r="L673" i="1"/>
  <c r="A673" i="1" s="1" a="1"/>
  <c r="A673" i="1" s="1"/>
  <c r="L672" i="1"/>
  <c r="A672" i="1" s="1" a="1"/>
  <c r="A672" i="1" s="1"/>
  <c r="L671" i="1"/>
  <c r="A671" i="1" s="1" a="1"/>
  <c r="A671" i="1" s="1"/>
  <c r="L670" i="1"/>
  <c r="A670" i="1" s="1" a="1"/>
  <c r="A670" i="1" s="1"/>
  <c r="L669" i="1"/>
  <c r="A669" i="1" s="1" a="1"/>
  <c r="A669" i="1" s="1"/>
  <c r="L668" i="1"/>
  <c r="A668" i="1" s="1" a="1"/>
  <c r="A668" i="1" s="1"/>
  <c r="L667" i="1"/>
  <c r="A667" i="1" s="1" a="1"/>
  <c r="A667" i="1" s="1"/>
  <c r="L666" i="1"/>
  <c r="A666" i="1" s="1" a="1"/>
  <c r="A666" i="1" s="1"/>
  <c r="L665" i="1"/>
  <c r="A665" i="1" s="1" a="1"/>
  <c r="A665" i="1" s="1"/>
  <c r="L664" i="1"/>
  <c r="A664" i="1" s="1" a="1"/>
  <c r="A664" i="1" s="1"/>
  <c r="L663" i="1"/>
  <c r="A663" i="1" s="1" a="1"/>
  <c r="A663" i="1" s="1"/>
  <c r="L662" i="1"/>
  <c r="A662" i="1" s="1" a="1"/>
  <c r="A662" i="1" s="1"/>
  <c r="L661" i="1"/>
  <c r="A661" i="1" s="1" a="1"/>
  <c r="A661" i="1" s="1"/>
  <c r="L660" i="1"/>
  <c r="A660" i="1" s="1" a="1"/>
  <c r="A660" i="1" s="1"/>
  <c r="L659" i="1"/>
  <c r="A659" i="1" s="1" a="1"/>
  <c r="A659" i="1" s="1"/>
  <c r="L658" i="1"/>
  <c r="A658" i="1" s="1" a="1"/>
  <c r="A658" i="1" s="1"/>
  <c r="L657" i="1"/>
  <c r="A657" i="1" s="1" a="1"/>
  <c r="A657" i="1" s="1"/>
  <c r="L656" i="1"/>
  <c r="A656" i="1" s="1" a="1"/>
  <c r="A656" i="1" s="1"/>
  <c r="L655" i="1"/>
  <c r="A655" i="1" s="1" a="1"/>
  <c r="A655" i="1" s="1"/>
  <c r="L654" i="1"/>
  <c r="A654" i="1" s="1" a="1"/>
  <c r="A654" i="1" s="1"/>
  <c r="L653" i="1"/>
  <c r="A653" i="1" s="1" a="1"/>
  <c r="A653" i="1" s="1"/>
  <c r="L652" i="1"/>
  <c r="A652" i="1" s="1" a="1"/>
  <c r="A652" i="1" s="1"/>
  <c r="L651" i="1"/>
  <c r="L650" i="1"/>
  <c r="L649" i="1"/>
  <c r="A649" i="1" s="1" a="1"/>
  <c r="A649" i="1" s="1"/>
  <c r="L648" i="1"/>
  <c r="A648" i="1" s="1" a="1"/>
  <c r="A648" i="1" s="1"/>
  <c r="L647" i="1"/>
  <c r="A647" i="1" s="1" a="1"/>
  <c r="A647" i="1" s="1"/>
  <c r="L646" i="1"/>
  <c r="A646" i="1" s="1" a="1"/>
  <c r="A646" i="1" s="1"/>
  <c r="L645" i="1"/>
  <c r="A645" i="1" s="1" a="1"/>
  <c r="A645" i="1" s="1"/>
  <c r="L644" i="1"/>
  <c r="A644" i="1" s="1" a="1"/>
  <c r="A644" i="1" s="1"/>
  <c r="L643" i="1"/>
  <c r="A643" i="1" s="1" a="1"/>
  <c r="A643" i="1" s="1"/>
  <c r="L642" i="1"/>
  <c r="A642" i="1" s="1" a="1"/>
  <c r="A642" i="1" s="1"/>
  <c r="L641" i="1"/>
  <c r="A641" i="1" s="1" a="1"/>
  <c r="A641" i="1" s="1"/>
  <c r="L640" i="1"/>
  <c r="A640" i="1" s="1" a="1"/>
  <c r="A640" i="1" s="1"/>
  <c r="L639" i="1"/>
  <c r="A639" i="1" s="1" a="1"/>
  <c r="A639" i="1" s="1"/>
  <c r="L638" i="1"/>
  <c r="A638" i="1" s="1" a="1"/>
  <c r="A638" i="1" s="1"/>
  <c r="L637" i="1"/>
  <c r="L636" i="1"/>
  <c r="A636" i="1" s="1" a="1"/>
  <c r="A636" i="1" s="1"/>
  <c r="L635" i="1"/>
  <c r="A635" i="1" s="1" a="1"/>
  <c r="A635" i="1" s="1"/>
  <c r="L634" i="1"/>
  <c r="A634" i="1" s="1" a="1"/>
  <c r="A634" i="1" s="1"/>
  <c r="L633" i="1"/>
  <c r="A633" i="1" s="1" a="1"/>
  <c r="A633" i="1" s="1"/>
  <c r="L632" i="1"/>
  <c r="A632" i="1" s="1" a="1"/>
  <c r="A632" i="1" s="1"/>
  <c r="L631" i="1"/>
  <c r="A631" i="1" s="1" a="1"/>
  <c r="A631" i="1" s="1"/>
  <c r="L630" i="1"/>
  <c r="A630" i="1" s="1" a="1"/>
  <c r="A630" i="1" s="1"/>
  <c r="L629" i="1"/>
  <c r="A629" i="1" s="1" a="1"/>
  <c r="A629" i="1" s="1"/>
  <c r="L628" i="1"/>
  <c r="A628" i="1" s="1" a="1"/>
  <c r="A628" i="1" s="1"/>
  <c r="L627" i="1"/>
  <c r="A627" i="1" s="1" a="1"/>
  <c r="A627" i="1" s="1"/>
  <c r="L626" i="1"/>
  <c r="A626" i="1" s="1" a="1"/>
  <c r="A626" i="1" s="1"/>
  <c r="L625" i="1"/>
  <c r="A625" i="1" s="1" a="1"/>
  <c r="A625" i="1" s="1"/>
  <c r="L624" i="1"/>
  <c r="A624" i="1" s="1" a="1"/>
  <c r="A624" i="1" s="1"/>
  <c r="L623" i="1"/>
  <c r="A623" i="1" s="1" a="1"/>
  <c r="A623" i="1" s="1"/>
  <c r="L622" i="1"/>
  <c r="A622" i="1" s="1" a="1"/>
  <c r="A622" i="1" s="1"/>
  <c r="L621" i="1"/>
  <c r="A621" i="1" s="1" a="1"/>
  <c r="A621" i="1" s="1"/>
  <c r="L620" i="1"/>
  <c r="A620" i="1" s="1" a="1"/>
  <c r="A620" i="1" s="1"/>
  <c r="L619" i="1"/>
  <c r="A619" i="1" s="1" a="1"/>
  <c r="A619" i="1" s="1"/>
  <c r="L618" i="1"/>
  <c r="A618" i="1" s="1" a="1"/>
  <c r="A618" i="1" s="1"/>
  <c r="L617" i="1"/>
  <c r="A617" i="1" s="1" a="1"/>
  <c r="A617" i="1" s="1"/>
  <c r="L616" i="1"/>
  <c r="A616" i="1" s="1" a="1"/>
  <c r="A616" i="1" s="1"/>
  <c r="L615" i="1"/>
  <c r="A615" i="1" s="1" a="1"/>
  <c r="A615" i="1" s="1"/>
  <c r="L614" i="1"/>
  <c r="A614" i="1" s="1" a="1"/>
  <c r="A614" i="1" s="1"/>
  <c r="L613" i="1"/>
  <c r="A613" i="1" s="1" a="1"/>
  <c r="A613" i="1" s="1"/>
  <c r="L612" i="1"/>
  <c r="A612" i="1" s="1" a="1"/>
  <c r="A612" i="1" s="1"/>
  <c r="L611" i="1"/>
  <c r="A611" i="1" s="1" a="1"/>
  <c r="A611" i="1" s="1"/>
  <c r="L610" i="1"/>
  <c r="A610" i="1" s="1" a="1"/>
  <c r="A610" i="1" s="1"/>
  <c r="L609" i="1"/>
  <c r="A609" i="1" s="1" a="1"/>
  <c r="A609" i="1" s="1"/>
  <c r="L608" i="1"/>
  <c r="A608" i="1" s="1" a="1"/>
  <c r="A608" i="1" s="1"/>
  <c r="L607" i="1"/>
  <c r="A607" i="1" s="1" a="1"/>
  <c r="A607" i="1" s="1"/>
  <c r="L606" i="1"/>
  <c r="A606" i="1" s="1" a="1"/>
  <c r="A606" i="1" s="1"/>
  <c r="L605" i="1"/>
  <c r="A605" i="1" s="1" a="1"/>
  <c r="A605" i="1" s="1"/>
  <c r="L604" i="1"/>
  <c r="A604" i="1" s="1" a="1"/>
  <c r="A604" i="1" s="1"/>
  <c r="L603" i="1"/>
  <c r="A603" i="1" s="1" a="1"/>
  <c r="A603" i="1" s="1"/>
  <c r="L602" i="1"/>
  <c r="A602" i="1" s="1" a="1"/>
  <c r="A602" i="1" s="1"/>
  <c r="L601" i="1"/>
  <c r="A601" i="1" s="1" a="1"/>
  <c r="A601" i="1" s="1"/>
  <c r="L600" i="1"/>
  <c r="A600" i="1" s="1" a="1"/>
  <c r="A600" i="1" s="1"/>
  <c r="L599" i="1"/>
  <c r="A599" i="1" s="1" a="1"/>
  <c r="A599" i="1" s="1"/>
  <c r="L598" i="1"/>
  <c r="A598" i="1" s="1" a="1"/>
  <c r="A598" i="1" s="1"/>
  <c r="L597" i="1"/>
  <c r="A597" i="1" s="1" a="1"/>
  <c r="A597" i="1" s="1"/>
  <c r="L596" i="1"/>
  <c r="A596" i="1" s="1" a="1"/>
  <c r="A596" i="1" s="1"/>
  <c r="L595" i="1"/>
  <c r="A595" i="1" s="1" a="1"/>
  <c r="A595" i="1" s="1"/>
  <c r="L594" i="1"/>
  <c r="A594" i="1" s="1" a="1"/>
  <c r="A594" i="1" s="1"/>
  <c r="L593" i="1"/>
  <c r="A593" i="1" s="1" a="1"/>
  <c r="A593" i="1" s="1"/>
  <c r="L592" i="1"/>
  <c r="A592" i="1" s="1" a="1"/>
  <c r="A592" i="1" s="1"/>
  <c r="L591" i="1"/>
  <c r="L590" i="1"/>
  <c r="A590" i="1" s="1" a="1"/>
  <c r="A590" i="1" s="1"/>
  <c r="L589" i="1"/>
  <c r="A589" i="1" s="1" a="1"/>
  <c r="A589" i="1" s="1"/>
  <c r="L588" i="1"/>
  <c r="A588" i="1" s="1" a="1"/>
  <c r="A588" i="1" s="1"/>
  <c r="L587" i="1"/>
  <c r="A587" i="1" s="1" a="1"/>
  <c r="A587" i="1" s="1"/>
  <c r="L586" i="1"/>
  <c r="A586" i="1" s="1" a="1"/>
  <c r="A586" i="1" s="1"/>
  <c r="L585" i="1"/>
  <c r="A585" i="1" s="1" a="1"/>
  <c r="A585" i="1" s="1"/>
  <c r="L584" i="1"/>
  <c r="A584" i="1" s="1" a="1"/>
  <c r="A584" i="1" s="1"/>
  <c r="L583" i="1"/>
  <c r="A583" i="1" s="1" a="1"/>
  <c r="A583" i="1" s="1"/>
  <c r="L582" i="1"/>
  <c r="A582" i="1" s="1" a="1"/>
  <c r="A582" i="1" s="1"/>
  <c r="L581" i="1"/>
  <c r="A581" i="1" s="1" a="1"/>
  <c r="A581" i="1" s="1"/>
  <c r="L580" i="1"/>
  <c r="A580" i="1" s="1" a="1"/>
  <c r="A580" i="1" s="1"/>
  <c r="L579" i="1"/>
  <c r="A579" i="1" s="1" a="1"/>
  <c r="A579" i="1" s="1"/>
  <c r="L578" i="1"/>
  <c r="A578" i="1" s="1" a="1"/>
  <c r="A578" i="1" s="1"/>
  <c r="L577" i="1"/>
  <c r="A577" i="1" s="1" a="1"/>
  <c r="A577" i="1" s="1"/>
  <c r="L576" i="1"/>
  <c r="A576" i="1" s="1" a="1"/>
  <c r="A576" i="1" s="1"/>
  <c r="L575" i="1"/>
  <c r="A575" i="1" s="1" a="1"/>
  <c r="A575" i="1" s="1"/>
  <c r="L574" i="1"/>
  <c r="A574" i="1" s="1" a="1"/>
  <c r="A574" i="1" s="1"/>
  <c r="L573" i="1"/>
  <c r="A573" i="1" s="1" a="1"/>
  <c r="A573" i="1" s="1"/>
  <c r="L572" i="1"/>
  <c r="A572" i="1" s="1" a="1"/>
  <c r="A572" i="1" s="1"/>
  <c r="L571" i="1"/>
  <c r="A571" i="1" s="1" a="1"/>
  <c r="A571" i="1" s="1"/>
  <c r="L570" i="1"/>
  <c r="A570" i="1" s="1" a="1"/>
  <c r="A570" i="1" s="1"/>
  <c r="L569" i="1"/>
  <c r="A569" i="1" s="1" a="1"/>
  <c r="A569" i="1" s="1"/>
  <c r="L568" i="1"/>
  <c r="A568" i="1" s="1" a="1"/>
  <c r="A568" i="1" s="1"/>
  <c r="L567" i="1"/>
  <c r="L566" i="1"/>
  <c r="A566" i="1" s="1" a="1"/>
  <c r="A566" i="1" s="1"/>
  <c r="L565" i="1"/>
  <c r="A565" i="1" s="1" a="1"/>
  <c r="A565" i="1" s="1"/>
  <c r="L564" i="1"/>
  <c r="A564" i="1" s="1" a="1"/>
  <c r="A564" i="1" s="1"/>
  <c r="L563" i="1"/>
  <c r="A563" i="1" s="1" a="1"/>
  <c r="A563" i="1" s="1"/>
  <c r="L562" i="1"/>
  <c r="A562" i="1" s="1" a="1"/>
  <c r="A562" i="1" s="1"/>
  <c r="L561" i="1"/>
  <c r="A561" i="1" s="1" a="1"/>
  <c r="A561" i="1" s="1"/>
  <c r="L560" i="1"/>
  <c r="A560" i="1" s="1" a="1"/>
  <c r="A560" i="1" s="1"/>
  <c r="L559" i="1"/>
  <c r="A559" i="1" s="1" a="1"/>
  <c r="A559" i="1" s="1"/>
  <c r="L558" i="1"/>
  <c r="A558" i="1" s="1" a="1"/>
  <c r="A558" i="1" s="1"/>
  <c r="L557" i="1"/>
  <c r="A557" i="1" s="1" a="1"/>
  <c r="A557" i="1" s="1"/>
  <c r="L556" i="1"/>
  <c r="A556" i="1" s="1" a="1"/>
  <c r="A556" i="1" s="1"/>
  <c r="L555" i="1"/>
  <c r="A555" i="1" s="1" a="1"/>
  <c r="A555" i="1" s="1"/>
  <c r="L554" i="1"/>
  <c r="A554" i="1" s="1" a="1"/>
  <c r="A554" i="1" s="1"/>
  <c r="L553" i="1"/>
  <c r="A553" i="1" s="1" a="1"/>
  <c r="A553" i="1" s="1"/>
  <c r="L552" i="1"/>
  <c r="A552" i="1" s="1" a="1"/>
  <c r="A552" i="1" s="1"/>
  <c r="L551" i="1"/>
  <c r="A551" i="1" s="1" a="1"/>
  <c r="A551" i="1" s="1"/>
  <c r="L550" i="1"/>
  <c r="A550" i="1" s="1" a="1"/>
  <c r="A550" i="1" s="1"/>
  <c r="L549" i="1"/>
  <c r="A549" i="1" s="1" a="1"/>
  <c r="A549" i="1" s="1"/>
  <c r="L548" i="1"/>
  <c r="A548" i="1" s="1" a="1"/>
  <c r="A548" i="1" s="1"/>
  <c r="L547" i="1"/>
  <c r="A547" i="1" s="1" a="1"/>
  <c r="A547" i="1" s="1"/>
  <c r="L546" i="1"/>
  <c r="A546" i="1" s="1" a="1"/>
  <c r="A546" i="1" s="1"/>
  <c r="L545" i="1"/>
  <c r="A545" i="1" s="1" a="1"/>
  <c r="A545" i="1" s="1"/>
  <c r="L544" i="1"/>
  <c r="A544" i="1" s="1" a="1"/>
  <c r="A544" i="1" s="1"/>
  <c r="L543" i="1"/>
  <c r="A543" i="1" s="1" a="1"/>
  <c r="A543" i="1" s="1"/>
  <c r="L542" i="1"/>
  <c r="A542" i="1" s="1" a="1"/>
  <c r="A542" i="1" s="1"/>
  <c r="L541" i="1"/>
  <c r="A541" i="1" s="1" a="1"/>
  <c r="A541" i="1" s="1"/>
  <c r="L540" i="1"/>
  <c r="A540" i="1" s="1" a="1"/>
  <c r="A540" i="1" s="1"/>
  <c r="L539" i="1"/>
  <c r="A539" i="1" s="1" a="1"/>
  <c r="A539" i="1" s="1"/>
  <c r="L538" i="1"/>
  <c r="A538" i="1" s="1" a="1"/>
  <c r="A538" i="1" s="1"/>
  <c r="L537" i="1"/>
  <c r="A537" i="1" s="1" a="1"/>
  <c r="A537" i="1" s="1"/>
  <c r="L536" i="1"/>
  <c r="A536" i="1" s="1" a="1"/>
  <c r="A536" i="1" s="1"/>
  <c r="L535" i="1"/>
  <c r="A535" i="1" s="1" a="1"/>
  <c r="A535" i="1" s="1"/>
  <c r="L534" i="1"/>
  <c r="A534" i="1" s="1" a="1"/>
  <c r="A534" i="1" s="1"/>
  <c r="L533" i="1"/>
  <c r="A533" i="1" s="1" a="1"/>
  <c r="A533" i="1" s="1"/>
  <c r="L532" i="1"/>
  <c r="A532" i="1" s="1" a="1"/>
  <c r="A532" i="1" s="1"/>
  <c r="L531" i="1"/>
  <c r="A531" i="1" s="1" a="1"/>
  <c r="A531" i="1" s="1"/>
  <c r="L530" i="1"/>
  <c r="A530" i="1" s="1" a="1"/>
  <c r="A530" i="1" s="1"/>
  <c r="L529" i="1"/>
  <c r="A529" i="1" s="1" a="1"/>
  <c r="A529" i="1" s="1"/>
  <c r="L528" i="1"/>
  <c r="A528" i="1" s="1" a="1"/>
  <c r="A528" i="1" s="1"/>
  <c r="L527" i="1"/>
  <c r="A527" i="1" s="1" a="1"/>
  <c r="A527" i="1" s="1"/>
  <c r="L526" i="1"/>
  <c r="A526" i="1" s="1" a="1"/>
  <c r="A526" i="1" s="1"/>
  <c r="L525" i="1"/>
  <c r="A525" i="1" s="1" a="1"/>
  <c r="A525" i="1" s="1"/>
  <c r="L524" i="1"/>
  <c r="A524" i="1" s="1" a="1"/>
  <c r="A524" i="1" s="1"/>
  <c r="L523" i="1"/>
  <c r="A523" i="1" s="1" a="1"/>
  <c r="A523" i="1" s="1"/>
  <c r="L522" i="1"/>
  <c r="A522" i="1" s="1" a="1"/>
  <c r="A522" i="1" s="1"/>
  <c r="L521" i="1"/>
  <c r="A521" i="1" s="1" a="1"/>
  <c r="A521" i="1" s="1"/>
  <c r="L520" i="1"/>
  <c r="A520" i="1" s="1" a="1"/>
  <c r="A520" i="1" s="1"/>
  <c r="L519" i="1"/>
  <c r="A519" i="1" s="1" a="1"/>
  <c r="A519" i="1" s="1"/>
  <c r="L518" i="1"/>
  <c r="A518" i="1" s="1" a="1"/>
  <c r="A518" i="1" s="1"/>
  <c r="L517" i="1"/>
  <c r="A517" i="1" s="1" a="1"/>
  <c r="A517" i="1" s="1"/>
  <c r="L516" i="1"/>
  <c r="A516" i="1" s="1" a="1"/>
  <c r="A516" i="1" s="1"/>
  <c r="L515" i="1"/>
  <c r="A515" i="1" s="1" a="1"/>
  <c r="A515" i="1" s="1"/>
  <c r="L514" i="1"/>
  <c r="A514" i="1" s="1" a="1"/>
  <c r="A514" i="1" s="1"/>
  <c r="L513" i="1"/>
  <c r="A513" i="1" s="1" a="1"/>
  <c r="A513" i="1" s="1"/>
  <c r="L512" i="1"/>
  <c r="A512" i="1" s="1" a="1"/>
  <c r="A512" i="1" s="1"/>
  <c r="L511" i="1"/>
  <c r="A511" i="1" s="1" a="1"/>
  <c r="A511" i="1" s="1"/>
  <c r="L510" i="1"/>
  <c r="A510" i="1" s="1" a="1"/>
  <c r="A510" i="1" s="1"/>
  <c r="L509" i="1"/>
  <c r="A509" i="1" s="1" a="1"/>
  <c r="A509" i="1" s="1"/>
  <c r="L508" i="1"/>
  <c r="A508" i="1" s="1" a="1"/>
  <c r="A508" i="1" s="1"/>
  <c r="L507" i="1"/>
  <c r="A507" i="1" s="1" a="1"/>
  <c r="A507" i="1" s="1"/>
  <c r="L506" i="1"/>
  <c r="A506" i="1" s="1" a="1"/>
  <c r="A506" i="1" s="1"/>
  <c r="L505" i="1"/>
  <c r="A505" i="1" s="1" a="1"/>
  <c r="A505" i="1" s="1"/>
  <c r="L504" i="1"/>
  <c r="A504" i="1" s="1" a="1"/>
  <c r="A504" i="1" s="1"/>
  <c r="L503" i="1"/>
  <c r="A503" i="1" s="1" a="1"/>
  <c r="A503" i="1" s="1"/>
  <c r="L502" i="1"/>
  <c r="A502" i="1" s="1" a="1"/>
  <c r="A502" i="1" s="1"/>
  <c r="L501" i="1"/>
  <c r="A501" i="1" s="1" a="1"/>
  <c r="A501" i="1" s="1"/>
  <c r="L500" i="1"/>
  <c r="A500" i="1" s="1" a="1"/>
  <c r="A500" i="1" s="1"/>
  <c r="L499" i="1"/>
  <c r="A499" i="1" s="1" a="1"/>
  <c r="A499" i="1" s="1"/>
  <c r="L498" i="1"/>
  <c r="A498" i="1" s="1" a="1"/>
  <c r="A498" i="1" s="1"/>
  <c r="L497" i="1"/>
  <c r="A497" i="1" s="1" a="1"/>
  <c r="A497" i="1" s="1"/>
  <c r="L496" i="1"/>
  <c r="A496" i="1" s="1" a="1"/>
  <c r="A496" i="1" s="1"/>
  <c r="L495" i="1"/>
  <c r="A495" i="1" s="1" a="1"/>
  <c r="A495" i="1" s="1"/>
  <c r="L494" i="1"/>
  <c r="A494" i="1" s="1" a="1"/>
  <c r="A494" i="1" s="1"/>
  <c r="L493" i="1"/>
  <c r="A493" i="1" s="1" a="1"/>
  <c r="A493" i="1" s="1"/>
  <c r="L492" i="1"/>
  <c r="A492" i="1" s="1" a="1"/>
  <c r="A492" i="1" s="1"/>
  <c r="L491" i="1"/>
  <c r="A491" i="1" s="1" a="1"/>
  <c r="A491" i="1" s="1"/>
  <c r="L490" i="1"/>
  <c r="A490" i="1" s="1" a="1"/>
  <c r="A490" i="1" s="1"/>
  <c r="L489" i="1"/>
  <c r="A489" i="1" s="1" a="1"/>
  <c r="A489" i="1" s="1"/>
  <c r="L488" i="1"/>
  <c r="A488" i="1" s="1" a="1"/>
  <c r="A488" i="1" s="1"/>
  <c r="L487" i="1"/>
  <c r="A487" i="1" s="1" a="1"/>
  <c r="A487" i="1" s="1"/>
  <c r="L486" i="1"/>
  <c r="A486" i="1" s="1" a="1"/>
  <c r="A486" i="1" s="1"/>
  <c r="L485" i="1"/>
  <c r="A485" i="1" s="1" a="1"/>
  <c r="A485" i="1" s="1"/>
  <c r="L484" i="1"/>
  <c r="A484" i="1" s="1" a="1"/>
  <c r="A484" i="1" s="1"/>
  <c r="L483" i="1"/>
  <c r="L482" i="1"/>
  <c r="L481" i="1"/>
  <c r="A481" i="1" s="1" a="1"/>
  <c r="A481" i="1" s="1"/>
  <c r="L480" i="1"/>
  <c r="A480" i="1" s="1" a="1"/>
  <c r="A480" i="1" s="1"/>
  <c r="L479" i="1"/>
  <c r="A479" i="1" s="1" a="1"/>
  <c r="A479" i="1" s="1"/>
  <c r="L478" i="1"/>
  <c r="A478" i="1" s="1" a="1"/>
  <c r="A478" i="1" s="1"/>
  <c r="L477" i="1"/>
  <c r="A477" i="1" s="1" a="1"/>
  <c r="A477" i="1" s="1"/>
  <c r="L476" i="1"/>
  <c r="A476" i="1" s="1" a="1"/>
  <c r="A476" i="1" s="1"/>
  <c r="L475" i="1"/>
  <c r="A475" i="1" s="1" a="1"/>
  <c r="A475" i="1" s="1"/>
  <c r="L474" i="1"/>
  <c r="A474" i="1" s="1" a="1"/>
  <c r="A474" i="1" s="1"/>
  <c r="L473" i="1"/>
  <c r="A473" i="1" s="1" a="1"/>
  <c r="A473" i="1" s="1"/>
  <c r="L472" i="1"/>
  <c r="A472" i="1" s="1" a="1"/>
  <c r="A472" i="1" s="1"/>
  <c r="L471" i="1"/>
  <c r="A471" i="1" s="1" a="1"/>
  <c r="A471" i="1" s="1"/>
  <c r="L470" i="1"/>
  <c r="L469" i="1"/>
  <c r="L468" i="1"/>
  <c r="A468" i="1" s="1" a="1"/>
  <c r="A468" i="1" s="1"/>
  <c r="L467" i="1"/>
  <c r="A467" i="1" s="1" a="1"/>
  <c r="A467" i="1" s="1"/>
  <c r="L466" i="1"/>
  <c r="A466" i="1" s="1" a="1"/>
  <c r="A466" i="1" s="1"/>
  <c r="L465" i="1"/>
  <c r="A465" i="1" s="1" a="1"/>
  <c r="A465" i="1" s="1"/>
  <c r="L464" i="1"/>
  <c r="A464" i="1" s="1" a="1"/>
  <c r="A464" i="1" s="1"/>
  <c r="L463" i="1"/>
  <c r="A463" i="1" s="1" a="1"/>
  <c r="A463" i="1" s="1"/>
  <c r="L462" i="1"/>
  <c r="A462" i="1" s="1" a="1"/>
  <c r="A462" i="1" s="1"/>
  <c r="L461" i="1"/>
  <c r="A461" i="1" s="1" a="1"/>
  <c r="A461" i="1" s="1"/>
  <c r="L460" i="1"/>
  <c r="A460" i="1" s="1" a="1"/>
  <c r="A460" i="1" s="1"/>
  <c r="L459" i="1"/>
  <c r="A459" i="1" s="1" a="1"/>
  <c r="A459" i="1" s="1"/>
  <c r="L458" i="1"/>
  <c r="A458" i="1" s="1" a="1"/>
  <c r="A458" i="1" s="1"/>
  <c r="L457" i="1"/>
  <c r="A457" i="1" s="1" a="1"/>
  <c r="A457" i="1" s="1"/>
  <c r="L456" i="1"/>
  <c r="A456" i="1" s="1" a="1"/>
  <c r="A456" i="1" s="1"/>
  <c r="L455" i="1"/>
  <c r="A455" i="1" s="1" a="1"/>
  <c r="A455" i="1" s="1"/>
  <c r="L454" i="1"/>
  <c r="A454" i="1" s="1" a="1"/>
  <c r="A454" i="1" s="1"/>
  <c r="L453" i="1"/>
  <c r="A453" i="1" s="1" a="1"/>
  <c r="A453" i="1" s="1"/>
  <c r="L452" i="1"/>
  <c r="A452" i="1" s="1" a="1"/>
  <c r="A452" i="1" s="1"/>
  <c r="L451" i="1"/>
  <c r="A451" i="1" s="1" a="1"/>
  <c r="A451" i="1" s="1"/>
  <c r="L450" i="1"/>
  <c r="A450" i="1" s="1" a="1"/>
  <c r="A450" i="1" s="1"/>
  <c r="L449" i="1"/>
  <c r="A449" i="1" s="1" a="1"/>
  <c r="A449" i="1" s="1"/>
  <c r="L448" i="1"/>
  <c r="A448" i="1" s="1" a="1"/>
  <c r="A448" i="1" s="1"/>
  <c r="L447" i="1"/>
  <c r="A447" i="1" s="1" a="1"/>
  <c r="A447" i="1" s="1"/>
  <c r="L446" i="1"/>
  <c r="A446" i="1" s="1" a="1"/>
  <c r="A446" i="1" s="1"/>
  <c r="L445" i="1"/>
  <c r="A445" i="1" s="1" a="1"/>
  <c r="A445" i="1" s="1"/>
  <c r="L444" i="1"/>
  <c r="A444" i="1" s="1" a="1"/>
  <c r="A444" i="1" s="1"/>
  <c r="L443" i="1"/>
  <c r="A443" i="1" s="1" a="1"/>
  <c r="A443" i="1" s="1"/>
  <c r="L442" i="1"/>
  <c r="A442" i="1" s="1" a="1"/>
  <c r="A442" i="1" s="1"/>
  <c r="L441" i="1"/>
  <c r="A441" i="1" s="1" a="1"/>
  <c r="A441" i="1" s="1"/>
  <c r="L440" i="1"/>
  <c r="A440" i="1" s="1" a="1"/>
  <c r="A440" i="1" s="1"/>
  <c r="L439" i="1"/>
  <c r="A439" i="1" s="1" a="1"/>
  <c r="A439" i="1" s="1"/>
  <c r="L438" i="1"/>
  <c r="A438" i="1" s="1" a="1"/>
  <c r="A438" i="1" s="1"/>
  <c r="L437" i="1"/>
  <c r="A437" i="1" s="1" a="1"/>
  <c r="A437" i="1" s="1"/>
  <c r="L436" i="1"/>
  <c r="A436" i="1" s="1" a="1"/>
  <c r="A436" i="1" s="1"/>
  <c r="L435" i="1"/>
  <c r="A435" i="1" s="1" a="1"/>
  <c r="A435" i="1" s="1"/>
  <c r="L434" i="1"/>
  <c r="A434" i="1" s="1" a="1"/>
  <c r="A434" i="1" s="1"/>
  <c r="L433" i="1"/>
  <c r="A433" i="1" s="1" a="1"/>
  <c r="A433" i="1" s="1"/>
  <c r="L432" i="1"/>
  <c r="A432" i="1" s="1" a="1"/>
  <c r="A432" i="1" s="1"/>
  <c r="L431" i="1"/>
  <c r="A431" i="1" s="1" a="1"/>
  <c r="A431" i="1" s="1"/>
  <c r="L430" i="1"/>
  <c r="A430" i="1" s="1" a="1"/>
  <c r="A430" i="1" s="1"/>
  <c r="L429" i="1"/>
  <c r="A429" i="1" s="1" a="1"/>
  <c r="A429" i="1" s="1"/>
  <c r="L428" i="1"/>
  <c r="A428" i="1" s="1" a="1"/>
  <c r="A428" i="1" s="1"/>
  <c r="L427" i="1"/>
  <c r="A427" i="1" s="1" a="1"/>
  <c r="A427" i="1" s="1"/>
  <c r="L426" i="1"/>
  <c r="A426" i="1" s="1" a="1"/>
  <c r="A426" i="1" s="1"/>
  <c r="L425" i="1"/>
  <c r="A425" i="1" s="1" a="1"/>
  <c r="A425" i="1" s="1"/>
  <c r="L424" i="1"/>
  <c r="A424" i="1" s="1" a="1"/>
  <c r="A424" i="1" s="1"/>
  <c r="L423" i="1"/>
  <c r="A423" i="1" s="1" a="1"/>
  <c r="A423" i="1" s="1"/>
  <c r="L422" i="1"/>
  <c r="A422" i="1" s="1" a="1"/>
  <c r="A422" i="1" s="1"/>
  <c r="L421" i="1"/>
  <c r="A421" i="1" s="1" a="1"/>
  <c r="A421" i="1" s="1"/>
  <c r="L420" i="1"/>
  <c r="A420" i="1" s="1" a="1"/>
  <c r="A420" i="1" s="1"/>
  <c r="L419" i="1"/>
  <c r="A419" i="1" s="1" a="1"/>
  <c r="A419" i="1" s="1"/>
  <c r="L418" i="1"/>
  <c r="A418" i="1" s="1" a="1"/>
  <c r="A418" i="1" s="1"/>
  <c r="L417" i="1"/>
  <c r="A417" i="1" s="1" a="1"/>
  <c r="A417" i="1" s="1"/>
  <c r="L416" i="1"/>
  <c r="A416" i="1" s="1" a="1"/>
  <c r="A416" i="1" s="1"/>
  <c r="L415" i="1"/>
  <c r="A415" i="1" s="1" a="1"/>
  <c r="A415" i="1" s="1"/>
  <c r="L414" i="1"/>
  <c r="A414" i="1" s="1" a="1"/>
  <c r="A414" i="1" s="1"/>
  <c r="L413" i="1"/>
  <c r="A413" i="1" s="1" a="1"/>
  <c r="A413" i="1" s="1"/>
  <c r="L412" i="1"/>
  <c r="A412" i="1" s="1" a="1"/>
  <c r="A412" i="1" s="1"/>
  <c r="L411" i="1"/>
  <c r="A411" i="1" s="1" a="1"/>
  <c r="A411" i="1" s="1"/>
  <c r="L410" i="1"/>
  <c r="A410" i="1" s="1" a="1"/>
  <c r="A410" i="1" s="1"/>
  <c r="L409" i="1"/>
  <c r="A409" i="1" s="1" a="1"/>
  <c r="A409" i="1" s="1"/>
  <c r="L408" i="1"/>
  <c r="A408" i="1" s="1" a="1"/>
  <c r="A408" i="1" s="1"/>
  <c r="L407" i="1"/>
  <c r="A407" i="1" s="1" a="1"/>
  <c r="A407" i="1" s="1"/>
  <c r="L406" i="1"/>
  <c r="A406" i="1" s="1" a="1"/>
  <c r="A406" i="1" s="1"/>
  <c r="L405" i="1"/>
  <c r="A405" i="1" s="1" a="1"/>
  <c r="A405" i="1" s="1"/>
  <c r="L404" i="1"/>
  <c r="A404" i="1" s="1" a="1"/>
  <c r="A404" i="1" s="1"/>
  <c r="L403" i="1"/>
  <c r="A403" i="1" s="1" a="1"/>
  <c r="A403" i="1" s="1"/>
  <c r="L402" i="1"/>
  <c r="A402" i="1" s="1" a="1"/>
  <c r="A402" i="1" s="1"/>
  <c r="L401" i="1"/>
  <c r="A401" i="1" s="1" a="1"/>
  <c r="A401" i="1" s="1"/>
  <c r="L400" i="1"/>
  <c r="A400" i="1" s="1" a="1"/>
  <c r="A400" i="1" s="1"/>
  <c r="L399" i="1"/>
  <c r="L398" i="1"/>
  <c r="A398" i="1" s="1" a="1"/>
  <c r="A398" i="1" s="1"/>
  <c r="L397" i="1"/>
  <c r="A397" i="1" s="1" a="1"/>
  <c r="A397" i="1" s="1"/>
  <c r="L396" i="1"/>
  <c r="A396" i="1" s="1" a="1"/>
  <c r="A396" i="1" s="1"/>
  <c r="L395" i="1"/>
  <c r="A395" i="1" s="1" a="1"/>
  <c r="A395" i="1" s="1"/>
  <c r="L394" i="1"/>
  <c r="A394" i="1" s="1" a="1"/>
  <c r="A394" i="1" s="1"/>
  <c r="L393" i="1"/>
  <c r="A393" i="1" s="1" a="1"/>
  <c r="A393" i="1" s="1"/>
  <c r="L392" i="1"/>
  <c r="A392" i="1" s="1" a="1"/>
  <c r="A392" i="1" s="1"/>
  <c r="L391" i="1"/>
  <c r="A391" i="1" s="1" a="1"/>
  <c r="A391" i="1" s="1"/>
  <c r="L390" i="1"/>
  <c r="A390" i="1" s="1" a="1"/>
  <c r="A390" i="1" s="1"/>
  <c r="L389" i="1"/>
  <c r="A389" i="1" s="1" a="1"/>
  <c r="A389" i="1" s="1"/>
  <c r="L388" i="1"/>
  <c r="A388" i="1" s="1" a="1"/>
  <c r="A388" i="1" s="1"/>
  <c r="L387" i="1"/>
  <c r="A387" i="1" s="1" a="1"/>
  <c r="A387" i="1" s="1"/>
  <c r="L386" i="1"/>
  <c r="A386" i="1" s="1" a="1"/>
  <c r="A386" i="1" s="1"/>
  <c r="L385" i="1"/>
  <c r="L384" i="1"/>
  <c r="A384" i="1" s="1" a="1"/>
  <c r="A384" i="1" s="1"/>
  <c r="L383" i="1"/>
  <c r="A383" i="1" s="1" a="1"/>
  <c r="A383" i="1" s="1"/>
  <c r="L382" i="1"/>
  <c r="A382" i="1" s="1" a="1"/>
  <c r="A382" i="1" s="1"/>
  <c r="L381" i="1"/>
  <c r="A381" i="1" s="1" a="1"/>
  <c r="A381" i="1" s="1"/>
  <c r="L380" i="1"/>
  <c r="A380" i="1" s="1" a="1"/>
  <c r="A380" i="1" s="1"/>
  <c r="L379" i="1"/>
  <c r="A379" i="1" s="1" a="1"/>
  <c r="A379" i="1" s="1"/>
  <c r="L378" i="1"/>
  <c r="A378" i="1" s="1" a="1"/>
  <c r="A378" i="1" s="1"/>
  <c r="L377" i="1"/>
  <c r="A377" i="1" s="1" a="1"/>
  <c r="A377" i="1" s="1"/>
  <c r="L376" i="1"/>
  <c r="A376" i="1" s="1" a="1"/>
  <c r="A376" i="1" s="1"/>
  <c r="L375" i="1"/>
  <c r="A375" i="1" s="1" a="1"/>
  <c r="A375" i="1" s="1"/>
  <c r="L374" i="1"/>
  <c r="A374" i="1" s="1" a="1"/>
  <c r="A374" i="1" s="1"/>
  <c r="L373" i="1"/>
  <c r="A373" i="1" s="1" a="1"/>
  <c r="A373" i="1" s="1"/>
  <c r="L372" i="1"/>
  <c r="A372" i="1" s="1" a="1"/>
  <c r="A372" i="1" s="1"/>
  <c r="L371" i="1"/>
  <c r="A371" i="1" s="1" a="1"/>
  <c r="A371" i="1" s="1"/>
  <c r="L370" i="1"/>
  <c r="A370" i="1" s="1" a="1"/>
  <c r="A370" i="1" s="1"/>
  <c r="L369" i="1"/>
  <c r="A369" i="1" s="1" a="1"/>
  <c r="A369" i="1" s="1"/>
  <c r="L368" i="1"/>
  <c r="A368" i="1" s="1" a="1"/>
  <c r="A368" i="1" s="1"/>
  <c r="L367" i="1"/>
  <c r="A367" i="1" s="1" a="1"/>
  <c r="A367" i="1" s="1"/>
  <c r="L366" i="1"/>
  <c r="A366" i="1" s="1" a="1"/>
  <c r="A366" i="1" s="1"/>
  <c r="L365" i="1"/>
  <c r="A365" i="1" s="1" a="1"/>
  <c r="A365" i="1" s="1"/>
  <c r="L364" i="1"/>
  <c r="A364" i="1" s="1" a="1"/>
  <c r="A364" i="1" s="1"/>
  <c r="L363" i="1"/>
  <c r="A363" i="1" s="1" a="1"/>
  <c r="A363" i="1" s="1"/>
  <c r="L362" i="1"/>
  <c r="A362" i="1" s="1" a="1"/>
  <c r="A362" i="1" s="1"/>
  <c r="L361" i="1"/>
  <c r="A361" i="1" s="1" a="1"/>
  <c r="A361" i="1" s="1"/>
  <c r="L360" i="1"/>
  <c r="A360" i="1" s="1" a="1"/>
  <c r="A360" i="1" s="1"/>
  <c r="L359" i="1"/>
  <c r="A359" i="1" s="1" a="1"/>
  <c r="A359" i="1" s="1"/>
  <c r="L358" i="1"/>
  <c r="A358" i="1" s="1" a="1"/>
  <c r="A358" i="1" s="1"/>
  <c r="L357" i="1"/>
  <c r="A357" i="1" s="1" a="1"/>
  <c r="A357" i="1" s="1"/>
  <c r="L356" i="1"/>
  <c r="A356" i="1" s="1" a="1"/>
  <c r="A356" i="1" s="1"/>
  <c r="L355" i="1"/>
  <c r="A355" i="1" s="1" a="1"/>
  <c r="A355" i="1" s="1"/>
  <c r="L354" i="1"/>
  <c r="A354" i="1" s="1" a="1"/>
  <c r="A354" i="1" s="1"/>
  <c r="L353" i="1"/>
  <c r="A353" i="1" s="1" a="1"/>
  <c r="A353" i="1" s="1"/>
  <c r="L352" i="1"/>
  <c r="A352" i="1" s="1" a="1"/>
  <c r="A352" i="1" s="1"/>
  <c r="L351" i="1"/>
  <c r="A351" i="1" s="1" a="1"/>
  <c r="A351" i="1" s="1"/>
  <c r="L350" i="1"/>
  <c r="A350" i="1" s="1" a="1"/>
  <c r="A350" i="1" s="1"/>
  <c r="L349" i="1"/>
  <c r="A349" i="1" s="1" a="1"/>
  <c r="A349" i="1" s="1"/>
  <c r="L348" i="1"/>
  <c r="A348" i="1" s="1" a="1"/>
  <c r="A348" i="1" s="1"/>
  <c r="L347" i="1"/>
  <c r="A347" i="1" s="1" a="1"/>
  <c r="A347" i="1" s="1"/>
  <c r="L346" i="1"/>
  <c r="A346" i="1" s="1" a="1"/>
  <c r="A346" i="1" s="1"/>
  <c r="L345" i="1"/>
  <c r="A345" i="1" s="1" a="1"/>
  <c r="A345" i="1" s="1"/>
  <c r="L344" i="1"/>
  <c r="A344" i="1" s="1" a="1"/>
  <c r="A344" i="1" s="1"/>
  <c r="L343" i="1"/>
  <c r="A343" i="1" s="1" a="1"/>
  <c r="A343" i="1" s="1"/>
  <c r="L342" i="1"/>
  <c r="A342" i="1" s="1" a="1"/>
  <c r="A342" i="1" s="1"/>
  <c r="L341" i="1"/>
  <c r="A341" i="1" s="1" a="1"/>
  <c r="A341" i="1" s="1"/>
  <c r="L340" i="1"/>
  <c r="A340" i="1" s="1" a="1"/>
  <c r="A340" i="1" s="1"/>
  <c r="L339" i="1"/>
  <c r="A339" i="1" s="1" a="1"/>
  <c r="A339" i="1" s="1"/>
  <c r="L338" i="1"/>
  <c r="A338" i="1" s="1" a="1"/>
  <c r="A338" i="1" s="1"/>
  <c r="L337" i="1"/>
  <c r="A337" i="1" s="1" a="1"/>
  <c r="A337" i="1" s="1"/>
  <c r="L336" i="1"/>
  <c r="A336" i="1" s="1" a="1"/>
  <c r="A336" i="1" s="1"/>
  <c r="L335" i="1"/>
  <c r="A335" i="1" s="1" a="1"/>
  <c r="A335" i="1" s="1"/>
  <c r="L334" i="1"/>
  <c r="A334" i="1" s="1" a="1"/>
  <c r="A334" i="1" s="1"/>
  <c r="L333" i="1"/>
  <c r="A333" i="1" s="1" a="1"/>
  <c r="A333" i="1" s="1"/>
  <c r="L332" i="1"/>
  <c r="A332" i="1" s="1" a="1"/>
  <c r="A332" i="1" s="1"/>
  <c r="L331" i="1"/>
  <c r="A331" i="1" s="1" a="1"/>
  <c r="A331" i="1" s="1"/>
  <c r="L330" i="1"/>
  <c r="A330" i="1" s="1" a="1"/>
  <c r="A330" i="1" s="1"/>
  <c r="L329" i="1"/>
  <c r="A329" i="1" s="1" a="1"/>
  <c r="A329" i="1" s="1"/>
  <c r="L328" i="1"/>
  <c r="A328" i="1" s="1" a="1"/>
  <c r="A328" i="1" s="1"/>
  <c r="L327" i="1"/>
  <c r="A327" i="1" s="1" a="1"/>
  <c r="A327" i="1" s="1"/>
  <c r="L326" i="1"/>
  <c r="A326" i="1" s="1" a="1"/>
  <c r="A326" i="1" s="1"/>
  <c r="L325" i="1"/>
  <c r="A325" i="1" s="1" a="1"/>
  <c r="A325" i="1" s="1"/>
  <c r="L324" i="1"/>
  <c r="A324" i="1" s="1" a="1"/>
  <c r="A324" i="1" s="1"/>
  <c r="L323" i="1"/>
  <c r="A323" i="1" s="1" a="1"/>
  <c r="A323" i="1" s="1"/>
  <c r="L322" i="1"/>
  <c r="A322" i="1" s="1" a="1"/>
  <c r="A322" i="1" s="1"/>
  <c r="L321" i="1"/>
  <c r="A321" i="1" s="1" a="1"/>
  <c r="A321" i="1" s="1"/>
  <c r="L320" i="1"/>
  <c r="A320" i="1" s="1" a="1"/>
  <c r="A320" i="1" s="1"/>
  <c r="L319" i="1"/>
  <c r="A319" i="1" s="1" a="1"/>
  <c r="A319" i="1" s="1"/>
  <c r="L318" i="1"/>
  <c r="A318" i="1" s="1" a="1"/>
  <c r="A318" i="1" s="1"/>
  <c r="L317" i="1"/>
  <c r="A317" i="1" s="1" a="1"/>
  <c r="A317" i="1" s="1"/>
  <c r="L316" i="1"/>
  <c r="A316" i="1" s="1" a="1"/>
  <c r="A316" i="1" s="1"/>
  <c r="L315" i="1"/>
  <c r="L314" i="1"/>
  <c r="A314" i="1" s="1" a="1"/>
  <c r="A314" i="1" s="1"/>
  <c r="L313" i="1"/>
  <c r="A313" i="1" s="1" a="1"/>
  <c r="A313" i="1" s="1"/>
  <c r="L312" i="1"/>
  <c r="A312" i="1" s="1" a="1"/>
  <c r="A312" i="1" s="1"/>
  <c r="L311" i="1"/>
  <c r="A311" i="1" s="1" a="1"/>
  <c r="A311" i="1" s="1"/>
  <c r="L310" i="1"/>
  <c r="A310" i="1" s="1" a="1"/>
  <c r="A310" i="1" s="1"/>
  <c r="L309" i="1"/>
  <c r="A309" i="1" s="1" a="1"/>
  <c r="A309" i="1" s="1"/>
  <c r="L308" i="1"/>
  <c r="A308" i="1" s="1" a="1"/>
  <c r="A308" i="1" s="1"/>
  <c r="L307" i="1"/>
  <c r="A307" i="1" s="1" a="1"/>
  <c r="A307" i="1" s="1"/>
  <c r="L306" i="1"/>
  <c r="A306" i="1" s="1" a="1"/>
  <c r="A306" i="1" s="1"/>
  <c r="L305" i="1"/>
  <c r="A305" i="1" s="1" a="1"/>
  <c r="A305" i="1" s="1"/>
  <c r="L304" i="1"/>
  <c r="A304" i="1" s="1" a="1"/>
  <c r="A304" i="1" s="1"/>
  <c r="L303" i="1"/>
  <c r="A303" i="1" s="1" a="1"/>
  <c r="A303" i="1" s="1"/>
  <c r="L302" i="1"/>
  <c r="A302" i="1" s="1" a="1"/>
  <c r="A302" i="1" s="1"/>
  <c r="L301" i="1"/>
  <c r="A301" i="1" s="1" a="1"/>
  <c r="A301" i="1" s="1"/>
  <c r="L300" i="1"/>
  <c r="A300" i="1" s="1" a="1"/>
  <c r="A300" i="1" s="1"/>
  <c r="L299" i="1"/>
  <c r="A299" i="1" s="1" a="1"/>
  <c r="A299" i="1" s="1"/>
  <c r="L298" i="1"/>
  <c r="A298" i="1" s="1" a="1"/>
  <c r="A298" i="1" s="1"/>
  <c r="L297" i="1"/>
  <c r="A297" i="1" s="1" a="1"/>
  <c r="A297" i="1" s="1"/>
  <c r="L296" i="1"/>
  <c r="A296" i="1" s="1" a="1"/>
  <c r="A296" i="1" s="1"/>
  <c r="L295" i="1"/>
  <c r="A295" i="1" s="1" a="1"/>
  <c r="A295" i="1" s="1"/>
  <c r="L294" i="1"/>
  <c r="A294" i="1" s="1" a="1"/>
  <c r="A294" i="1" s="1"/>
  <c r="L293" i="1"/>
  <c r="A293" i="1" s="1" a="1"/>
  <c r="A293" i="1" s="1"/>
  <c r="L292" i="1"/>
  <c r="A292" i="1" s="1" a="1"/>
  <c r="A292" i="1" s="1"/>
  <c r="L291" i="1"/>
  <c r="A291" i="1" s="1" a="1"/>
  <c r="A291" i="1" s="1"/>
  <c r="L290" i="1"/>
  <c r="A290" i="1" s="1" a="1"/>
  <c r="A290" i="1" s="1"/>
  <c r="L289" i="1"/>
  <c r="A289" i="1" s="1" a="1"/>
  <c r="A289" i="1" s="1"/>
  <c r="L288" i="1"/>
  <c r="A288" i="1" s="1" a="1"/>
  <c r="A288" i="1" s="1"/>
  <c r="L287" i="1"/>
  <c r="A287" i="1" s="1" a="1"/>
  <c r="A287" i="1" s="1"/>
  <c r="L286" i="1"/>
  <c r="A286" i="1" s="1" a="1"/>
  <c r="A286" i="1" s="1"/>
  <c r="L285" i="1"/>
  <c r="A285" i="1" s="1" a="1"/>
  <c r="A285" i="1" s="1"/>
  <c r="L284" i="1"/>
  <c r="A284" i="1" s="1" a="1"/>
  <c r="A284" i="1" s="1"/>
  <c r="L283" i="1"/>
  <c r="A283" i="1" s="1" a="1"/>
  <c r="A283" i="1" s="1"/>
  <c r="L282" i="1"/>
  <c r="A282" i="1" s="1" a="1"/>
  <c r="A282" i="1" s="1"/>
  <c r="L281" i="1"/>
  <c r="A281" i="1" s="1" a="1"/>
  <c r="A281" i="1" s="1"/>
  <c r="L280" i="1"/>
  <c r="A280" i="1" s="1" a="1"/>
  <c r="A280" i="1" s="1"/>
  <c r="L279" i="1"/>
  <c r="A279" i="1" s="1" a="1"/>
  <c r="A279" i="1" s="1"/>
  <c r="L278" i="1"/>
  <c r="A278" i="1" s="1" a="1"/>
  <c r="A278" i="1" s="1"/>
  <c r="L277" i="1"/>
  <c r="A277" i="1" s="1" a="1"/>
  <c r="A277" i="1" s="1"/>
  <c r="L276" i="1"/>
  <c r="A276" i="1" s="1" a="1"/>
  <c r="A276" i="1" s="1"/>
  <c r="L275" i="1"/>
  <c r="A275" i="1" s="1" a="1"/>
  <c r="A275" i="1" s="1"/>
  <c r="L274" i="1"/>
  <c r="A274" i="1" s="1" a="1"/>
  <c r="A274" i="1" s="1"/>
  <c r="L273" i="1"/>
  <c r="A273" i="1" s="1" a="1"/>
  <c r="A273" i="1" s="1"/>
  <c r="L272" i="1"/>
  <c r="A272" i="1" s="1" a="1"/>
  <c r="A272" i="1" s="1"/>
  <c r="L271" i="1"/>
  <c r="A271" i="1" s="1" a="1"/>
  <c r="A271" i="1" s="1"/>
  <c r="L270" i="1"/>
  <c r="A270" i="1" s="1" a="1"/>
  <c r="A270" i="1" s="1"/>
  <c r="L269" i="1"/>
  <c r="A269" i="1" s="1" a="1"/>
  <c r="A269" i="1" s="1"/>
  <c r="L268" i="1"/>
  <c r="A268" i="1" s="1" a="1"/>
  <c r="A268" i="1" s="1"/>
  <c r="L267" i="1"/>
  <c r="A267" i="1" s="1" a="1"/>
  <c r="A267" i="1" s="1"/>
  <c r="L266" i="1"/>
  <c r="A266" i="1" s="1" a="1"/>
  <c r="A266" i="1" s="1"/>
  <c r="L265" i="1"/>
  <c r="A265" i="1" s="1" a="1"/>
  <c r="A265" i="1" s="1"/>
  <c r="L264" i="1"/>
  <c r="A264" i="1" s="1" a="1"/>
  <c r="A264" i="1" s="1"/>
  <c r="L263" i="1"/>
  <c r="A263" i="1" s="1" a="1"/>
  <c r="A263" i="1" s="1"/>
  <c r="L262" i="1"/>
  <c r="A262" i="1" s="1" a="1"/>
  <c r="A262" i="1" s="1"/>
  <c r="L261" i="1"/>
  <c r="A261" i="1" s="1" a="1"/>
  <c r="A261" i="1" s="1"/>
  <c r="L260" i="1"/>
  <c r="A260" i="1" s="1" a="1"/>
  <c r="A260" i="1" s="1"/>
  <c r="L259" i="1"/>
  <c r="A259" i="1" s="1" a="1"/>
  <c r="A259" i="1" s="1"/>
  <c r="L258" i="1"/>
  <c r="A258" i="1" s="1" a="1"/>
  <c r="A258" i="1" s="1"/>
  <c r="L257" i="1"/>
  <c r="A257" i="1" s="1" a="1"/>
  <c r="A257" i="1" s="1"/>
  <c r="L256" i="1"/>
  <c r="A256" i="1" s="1" a="1"/>
  <c r="A256" i="1" s="1"/>
  <c r="L255" i="1"/>
  <c r="A255" i="1" s="1" a="1"/>
  <c r="A255" i="1" s="1"/>
  <c r="L254" i="1"/>
  <c r="A254" i="1" s="1" a="1"/>
  <c r="A254" i="1" s="1"/>
  <c r="L253" i="1"/>
  <c r="A253" i="1" s="1" a="1"/>
  <c r="A253" i="1" s="1"/>
  <c r="L252" i="1"/>
  <c r="A252" i="1" s="1" a="1"/>
  <c r="A252" i="1" s="1"/>
  <c r="L251" i="1"/>
  <c r="A251" i="1" s="1" a="1"/>
  <c r="A251" i="1" s="1"/>
  <c r="L250" i="1"/>
  <c r="A250" i="1" s="1" a="1"/>
  <c r="A250" i="1" s="1"/>
  <c r="L249" i="1"/>
  <c r="A249" i="1" s="1" a="1"/>
  <c r="A249" i="1" s="1"/>
  <c r="L248" i="1"/>
  <c r="A248" i="1" s="1" a="1"/>
  <c r="A248" i="1" s="1"/>
  <c r="L247" i="1"/>
  <c r="A247" i="1" s="1" a="1"/>
  <c r="A247" i="1" s="1"/>
  <c r="L246" i="1"/>
  <c r="A246" i="1" s="1" a="1"/>
  <c r="A246" i="1" s="1"/>
  <c r="L245" i="1"/>
  <c r="A245" i="1" s="1" a="1"/>
  <c r="A245" i="1" s="1"/>
  <c r="L244" i="1"/>
  <c r="A244" i="1" s="1" a="1"/>
  <c r="A244" i="1" s="1"/>
  <c r="L243" i="1"/>
  <c r="A243" i="1" s="1" a="1"/>
  <c r="A243" i="1" s="1"/>
  <c r="L242" i="1"/>
  <c r="A242" i="1" s="1" a="1"/>
  <c r="A242" i="1" s="1"/>
  <c r="L241" i="1"/>
  <c r="A241" i="1" s="1" a="1"/>
  <c r="A241" i="1" s="1"/>
  <c r="L240" i="1"/>
  <c r="A240" i="1" s="1" a="1"/>
  <c r="A240" i="1" s="1"/>
  <c r="L239" i="1"/>
  <c r="A239" i="1" s="1" a="1"/>
  <c r="A239" i="1" s="1"/>
  <c r="L238" i="1"/>
  <c r="A238" i="1" s="1" a="1"/>
  <c r="A238" i="1" s="1"/>
  <c r="L237" i="1"/>
  <c r="A237" i="1" s="1" a="1"/>
  <c r="A237" i="1" s="1"/>
  <c r="L236" i="1"/>
  <c r="A236" i="1" s="1" a="1"/>
  <c r="A236" i="1" s="1"/>
  <c r="L235" i="1"/>
  <c r="A235" i="1" s="1" a="1"/>
  <c r="A235" i="1" s="1"/>
  <c r="L234" i="1"/>
  <c r="A234" i="1" s="1" a="1"/>
  <c r="A234" i="1" s="1"/>
  <c r="L233" i="1"/>
  <c r="A233" i="1" s="1" a="1"/>
  <c r="A233" i="1" s="1"/>
  <c r="L232" i="1"/>
  <c r="A232" i="1" s="1" a="1"/>
  <c r="A232" i="1" s="1"/>
  <c r="L231" i="1"/>
  <c r="A231" i="1" s="1" a="1"/>
  <c r="A231" i="1" s="1"/>
  <c r="L230" i="1"/>
  <c r="A230" i="1" s="1" a="1"/>
  <c r="A230" i="1" s="1"/>
  <c r="L229" i="1"/>
  <c r="A229" i="1" s="1" a="1"/>
  <c r="A229" i="1" s="1"/>
  <c r="L228" i="1"/>
  <c r="A228" i="1" s="1" a="1"/>
  <c r="A228" i="1" s="1"/>
  <c r="L227" i="1"/>
  <c r="A227" i="1" s="1" a="1"/>
  <c r="A227" i="1" s="1"/>
  <c r="L226" i="1"/>
  <c r="A226" i="1" s="1" a="1"/>
  <c r="A226" i="1" s="1"/>
  <c r="L225" i="1"/>
  <c r="A225" i="1" s="1" a="1"/>
  <c r="A225" i="1" s="1"/>
  <c r="L224" i="1"/>
  <c r="A224" i="1" s="1" a="1"/>
  <c r="A224" i="1" s="1"/>
  <c r="L223" i="1"/>
  <c r="A223" i="1" s="1" a="1"/>
  <c r="A223" i="1" s="1"/>
  <c r="L222" i="1"/>
  <c r="A222" i="1" s="1" a="1"/>
  <c r="A222" i="1" s="1"/>
  <c r="L221" i="1"/>
  <c r="A221" i="1" s="1" a="1"/>
  <c r="A221" i="1" s="1"/>
  <c r="L220" i="1"/>
  <c r="A220" i="1" s="1" a="1"/>
  <c r="A220" i="1" s="1"/>
  <c r="L219" i="1"/>
  <c r="A219" i="1" s="1" a="1"/>
  <c r="A219" i="1" s="1"/>
  <c r="L218" i="1"/>
  <c r="A218" i="1" s="1" a="1"/>
  <c r="A218" i="1" s="1"/>
  <c r="L217" i="1"/>
  <c r="A217" i="1" s="1" a="1"/>
  <c r="A217" i="1" s="1"/>
  <c r="L216" i="1"/>
  <c r="A216" i="1" s="1" a="1"/>
  <c r="A216" i="1" s="1"/>
  <c r="L215" i="1"/>
  <c r="A215" i="1" s="1" a="1"/>
  <c r="A215" i="1" s="1"/>
  <c r="L214" i="1"/>
  <c r="A214" i="1" s="1" a="1"/>
  <c r="A214" i="1" s="1"/>
  <c r="L213" i="1"/>
  <c r="A213" i="1" s="1" a="1"/>
  <c r="A213" i="1" s="1"/>
  <c r="L212" i="1"/>
  <c r="A212" i="1" s="1" a="1"/>
  <c r="A212" i="1" s="1"/>
  <c r="L211" i="1"/>
  <c r="A211" i="1" s="1" a="1"/>
  <c r="A211" i="1" s="1"/>
  <c r="L210" i="1"/>
  <c r="A210" i="1" s="1" a="1"/>
  <c r="A210" i="1" s="1"/>
  <c r="L209" i="1"/>
  <c r="A209" i="1" s="1" a="1"/>
  <c r="A209" i="1" s="1"/>
  <c r="L208" i="1"/>
  <c r="A208" i="1" s="1" a="1"/>
  <c r="A208" i="1" s="1"/>
  <c r="L207" i="1"/>
  <c r="A207" i="1" s="1" a="1"/>
  <c r="A207" i="1" s="1"/>
  <c r="L206" i="1"/>
  <c r="A206" i="1" s="1" a="1"/>
  <c r="A206" i="1" s="1"/>
  <c r="L205" i="1"/>
  <c r="A205" i="1" s="1" a="1"/>
  <c r="A205" i="1" s="1"/>
  <c r="L204" i="1"/>
  <c r="A204" i="1" s="1" a="1"/>
  <c r="A204" i="1" s="1"/>
  <c r="L203" i="1"/>
  <c r="A203" i="1" s="1" a="1"/>
  <c r="A203" i="1" s="1"/>
  <c r="L202" i="1"/>
  <c r="A202" i="1" s="1" a="1"/>
  <c r="A202" i="1" s="1"/>
  <c r="L201" i="1"/>
  <c r="A201" i="1" s="1" a="1"/>
  <c r="A201" i="1" s="1"/>
  <c r="L200" i="1"/>
  <c r="A200" i="1" s="1" a="1"/>
  <c r="A200" i="1" s="1"/>
  <c r="L199" i="1"/>
  <c r="A199" i="1" s="1" a="1"/>
  <c r="A199" i="1" s="1"/>
  <c r="L198" i="1"/>
  <c r="A198" i="1" s="1" a="1"/>
  <c r="A198" i="1" s="1"/>
  <c r="L197" i="1"/>
  <c r="A197" i="1" s="1" a="1"/>
  <c r="A197" i="1" s="1"/>
  <c r="L196" i="1"/>
  <c r="A196" i="1" s="1" a="1"/>
  <c r="A196" i="1" s="1"/>
  <c r="L195" i="1"/>
  <c r="A195" i="1" s="1" a="1"/>
  <c r="A195" i="1" s="1"/>
  <c r="L194" i="1"/>
  <c r="A194" i="1" s="1" a="1"/>
  <c r="A194" i="1" s="1"/>
  <c r="L193" i="1"/>
  <c r="A193" i="1" s="1" a="1"/>
  <c r="A193" i="1" s="1"/>
  <c r="L192" i="1"/>
  <c r="A192" i="1" s="1" a="1"/>
  <c r="A192" i="1" s="1"/>
  <c r="L191" i="1"/>
  <c r="A191" i="1" s="1" a="1"/>
  <c r="A191" i="1" s="1"/>
  <c r="L190" i="1"/>
  <c r="A190" i="1" s="1" a="1"/>
  <c r="A190" i="1" s="1"/>
  <c r="L189" i="1"/>
  <c r="A189" i="1" s="1" a="1"/>
  <c r="A189" i="1" s="1"/>
  <c r="L188" i="1"/>
  <c r="A188" i="1" s="1" a="1"/>
  <c r="A188" i="1" s="1"/>
  <c r="L187" i="1"/>
  <c r="A187" i="1" s="1" a="1"/>
  <c r="A187" i="1" s="1"/>
  <c r="L186" i="1"/>
  <c r="A186" i="1" s="1" a="1"/>
  <c r="A186" i="1" s="1"/>
  <c r="L185" i="1"/>
  <c r="A185" i="1" s="1" a="1"/>
  <c r="A185" i="1" s="1"/>
  <c r="L184" i="1"/>
  <c r="A184" i="1" s="1" a="1"/>
  <c r="A184" i="1" s="1"/>
  <c r="L183" i="1"/>
  <c r="A183" i="1" s="1" a="1"/>
  <c r="A183" i="1" s="1"/>
  <c r="L182" i="1"/>
  <c r="A182" i="1" s="1" a="1"/>
  <c r="A182" i="1" s="1"/>
  <c r="L181" i="1"/>
  <c r="A181" i="1" s="1" a="1"/>
  <c r="A181" i="1" s="1"/>
  <c r="L180" i="1"/>
  <c r="A180" i="1" s="1" a="1"/>
  <c r="A180" i="1" s="1"/>
  <c r="L179" i="1"/>
  <c r="A179" i="1" s="1" a="1"/>
  <c r="A179" i="1" s="1"/>
  <c r="L178" i="1"/>
  <c r="A178" i="1" s="1" a="1"/>
  <c r="A178" i="1" s="1"/>
  <c r="L177" i="1"/>
  <c r="A177" i="1" s="1" a="1"/>
  <c r="A177" i="1" s="1"/>
  <c r="L176" i="1"/>
  <c r="A176" i="1" s="1" a="1"/>
  <c r="A176" i="1" s="1"/>
  <c r="L175" i="1"/>
  <c r="A175" i="1" s="1" a="1"/>
  <c r="A175" i="1" s="1"/>
  <c r="L174" i="1"/>
  <c r="A174" i="1" s="1" a="1"/>
  <c r="A174" i="1" s="1"/>
  <c r="L173" i="1"/>
  <c r="A173" i="1" s="1" a="1"/>
  <c r="A173" i="1" s="1"/>
  <c r="L172" i="1"/>
  <c r="A172" i="1" s="1" a="1"/>
  <c r="A172" i="1" s="1"/>
  <c r="L171" i="1"/>
  <c r="A171" i="1" s="1" a="1"/>
  <c r="A171" i="1" s="1"/>
  <c r="L170" i="1"/>
  <c r="A170" i="1" s="1" a="1"/>
  <c r="A170" i="1" s="1"/>
  <c r="L169" i="1"/>
  <c r="A169" i="1" s="1" a="1"/>
  <c r="A169" i="1" s="1"/>
  <c r="L168" i="1"/>
  <c r="A168" i="1" s="1" a="1"/>
  <c r="A168" i="1" s="1"/>
  <c r="L167" i="1"/>
  <c r="A167" i="1" s="1" a="1"/>
  <c r="A167" i="1" s="1"/>
  <c r="L166" i="1"/>
  <c r="A166" i="1" s="1" a="1"/>
  <c r="A166" i="1" s="1"/>
  <c r="L165" i="1"/>
  <c r="A165" i="1" s="1" a="1"/>
  <c r="A165" i="1" s="1"/>
  <c r="L164" i="1"/>
  <c r="A164" i="1" s="1" a="1"/>
  <c r="A164" i="1" s="1"/>
  <c r="L163" i="1"/>
  <c r="A163" i="1" s="1" a="1"/>
  <c r="A163" i="1" s="1"/>
  <c r="L162" i="1"/>
  <c r="A162" i="1" s="1" a="1"/>
  <c r="A162" i="1" s="1"/>
  <c r="L161" i="1"/>
  <c r="A161" i="1" s="1" a="1"/>
  <c r="A161" i="1" s="1"/>
  <c r="L160" i="1"/>
  <c r="A160" i="1" s="1" a="1"/>
  <c r="A160" i="1" s="1"/>
  <c r="L159" i="1"/>
  <c r="A159" i="1" s="1" a="1"/>
  <c r="A159" i="1" s="1"/>
  <c r="L158" i="1"/>
  <c r="A158" i="1" s="1" a="1"/>
  <c r="A158" i="1" s="1"/>
  <c r="L157" i="1"/>
  <c r="A157" i="1" s="1" a="1"/>
  <c r="A157" i="1" s="1"/>
  <c r="L156" i="1"/>
  <c r="A156" i="1" s="1" a="1"/>
  <c r="A156" i="1" s="1"/>
  <c r="L155" i="1"/>
  <c r="A155" i="1" s="1" a="1"/>
  <c r="A155" i="1" s="1"/>
  <c r="L154" i="1"/>
  <c r="A154" i="1" s="1" a="1"/>
  <c r="A154" i="1" s="1"/>
  <c r="L153" i="1"/>
  <c r="A153" i="1" s="1" a="1"/>
  <c r="A153" i="1" s="1"/>
  <c r="L152" i="1"/>
  <c r="A152" i="1" s="1" a="1"/>
  <c r="A152" i="1" s="1"/>
  <c r="L151" i="1"/>
  <c r="A151" i="1" s="1" a="1"/>
  <c r="A151" i="1" s="1"/>
  <c r="L150" i="1"/>
  <c r="A150" i="1" s="1" a="1"/>
  <c r="A150" i="1" s="1"/>
  <c r="L149" i="1"/>
  <c r="A149" i="1" s="1" a="1"/>
  <c r="A149" i="1" s="1"/>
  <c r="L148" i="1"/>
  <c r="A148" i="1" s="1" a="1"/>
  <c r="A148" i="1" s="1"/>
  <c r="L147" i="1"/>
  <c r="A147" i="1" s="1" a="1"/>
  <c r="A147" i="1" s="1"/>
  <c r="L146" i="1"/>
  <c r="L145" i="1"/>
  <c r="A145" i="1" s="1" a="1"/>
  <c r="A145" i="1" s="1"/>
  <c r="L144" i="1"/>
  <c r="A144" i="1" s="1" a="1"/>
  <c r="A144" i="1" s="1"/>
  <c r="L143" i="1"/>
  <c r="A143" i="1" s="1" a="1"/>
  <c r="A143" i="1" s="1"/>
  <c r="L142" i="1"/>
  <c r="A142" i="1" s="1" a="1"/>
  <c r="A142" i="1" s="1"/>
  <c r="L141" i="1"/>
  <c r="A141" i="1" s="1" a="1"/>
  <c r="A141" i="1" s="1"/>
  <c r="L140" i="1"/>
  <c r="A140" i="1" s="1" a="1"/>
  <c r="A140" i="1" s="1"/>
  <c r="L139" i="1"/>
  <c r="A139" i="1" s="1" a="1"/>
  <c r="A139" i="1" s="1"/>
  <c r="L138" i="1"/>
  <c r="A138" i="1" s="1" a="1"/>
  <c r="A138" i="1" s="1"/>
  <c r="L137" i="1"/>
  <c r="A137" i="1" s="1" a="1"/>
  <c r="A137" i="1" s="1"/>
  <c r="L136" i="1"/>
  <c r="A136" i="1" s="1" a="1"/>
  <c r="A136" i="1" s="1"/>
  <c r="L135" i="1"/>
  <c r="A135" i="1" s="1" a="1"/>
  <c r="A135" i="1" s="1"/>
  <c r="L134" i="1"/>
  <c r="A134" i="1" s="1" a="1"/>
  <c r="A134" i="1" s="1"/>
  <c r="L133" i="1"/>
  <c r="A133" i="1" s="1" a="1"/>
  <c r="A133" i="1" s="1"/>
  <c r="L132" i="1"/>
  <c r="A132" i="1" s="1" a="1"/>
  <c r="A132" i="1" s="1"/>
  <c r="L131" i="1"/>
  <c r="A131" i="1" s="1" a="1"/>
  <c r="A131" i="1" s="1"/>
  <c r="L130" i="1"/>
  <c r="A130" i="1" s="1" a="1"/>
  <c r="A130" i="1" s="1"/>
  <c r="L129" i="1"/>
  <c r="A129" i="1" s="1" a="1"/>
  <c r="A129" i="1" s="1"/>
  <c r="L128" i="1"/>
  <c r="A128" i="1" s="1" a="1"/>
  <c r="A128" i="1" s="1"/>
  <c r="L127" i="1"/>
  <c r="A127" i="1" s="1" a="1"/>
  <c r="A127" i="1" s="1"/>
  <c r="L126" i="1"/>
  <c r="A126" i="1" s="1" a="1"/>
  <c r="A126" i="1" s="1"/>
  <c r="L125" i="1"/>
  <c r="A125" i="1" s="1" a="1"/>
  <c r="A125" i="1" s="1"/>
  <c r="L124" i="1"/>
  <c r="A124" i="1" s="1" a="1"/>
  <c r="A124" i="1" s="1"/>
  <c r="L123" i="1"/>
  <c r="A123" i="1" s="1" a="1"/>
  <c r="A123" i="1" s="1"/>
  <c r="L122" i="1"/>
  <c r="A122" i="1" s="1" a="1"/>
  <c r="A122" i="1" s="1"/>
  <c r="L121" i="1"/>
  <c r="A121" i="1" s="1" a="1"/>
  <c r="A121" i="1" s="1"/>
  <c r="L120" i="1"/>
  <c r="A120" i="1" s="1" a="1"/>
  <c r="A120" i="1" s="1"/>
  <c r="L119" i="1"/>
  <c r="A119" i="1" s="1" a="1"/>
  <c r="A119" i="1" s="1"/>
  <c r="L118" i="1"/>
  <c r="A118" i="1" s="1" a="1"/>
  <c r="A118" i="1" s="1"/>
  <c r="L117" i="1"/>
  <c r="A117" i="1" s="1" a="1"/>
  <c r="A117" i="1" s="1"/>
  <c r="L116" i="1"/>
  <c r="A116" i="1" s="1" a="1"/>
  <c r="A116" i="1" s="1"/>
  <c r="L115" i="1"/>
  <c r="A115" i="1" s="1" a="1"/>
  <c r="A115" i="1" s="1"/>
  <c r="L114" i="1"/>
  <c r="A114" i="1" s="1" a="1"/>
  <c r="A114" i="1" s="1"/>
  <c r="L113" i="1"/>
  <c r="A113" i="1" s="1" a="1"/>
  <c r="A113" i="1" s="1"/>
  <c r="L112" i="1"/>
  <c r="A112" i="1" s="1" a="1"/>
  <c r="A112" i="1" s="1"/>
  <c r="L111" i="1"/>
  <c r="A111" i="1" s="1" a="1"/>
  <c r="A111" i="1" s="1"/>
  <c r="L110" i="1"/>
  <c r="A110" i="1" s="1" a="1"/>
  <c r="A110" i="1" s="1"/>
  <c r="L109" i="1"/>
  <c r="A109" i="1" s="1" a="1"/>
  <c r="A109" i="1" s="1"/>
  <c r="L108" i="1"/>
  <c r="A108" i="1" s="1" a="1"/>
  <c r="A108" i="1" s="1"/>
  <c r="L107" i="1"/>
  <c r="A107" i="1" s="1" a="1"/>
  <c r="A107" i="1" s="1"/>
  <c r="L106" i="1"/>
  <c r="A106" i="1" s="1" a="1"/>
  <c r="A106" i="1" s="1"/>
  <c r="L105" i="1"/>
  <c r="A105" i="1" s="1" a="1"/>
  <c r="A105" i="1" s="1"/>
  <c r="L104" i="1"/>
  <c r="A104" i="1" s="1" a="1"/>
  <c r="A104" i="1" s="1"/>
  <c r="L103" i="1"/>
  <c r="A103" i="1" s="1" a="1"/>
  <c r="A103" i="1" s="1"/>
  <c r="L102" i="1"/>
  <c r="A102" i="1" s="1" a="1"/>
  <c r="A102" i="1" s="1"/>
  <c r="L101" i="1"/>
  <c r="A101" i="1" s="1" a="1"/>
  <c r="A101" i="1" s="1"/>
  <c r="L100" i="1"/>
  <c r="A100" i="1" s="1" a="1"/>
  <c r="A100" i="1" s="1"/>
  <c r="L99" i="1"/>
  <c r="A99" i="1" s="1" a="1"/>
  <c r="A99" i="1" s="1"/>
  <c r="L98" i="1"/>
  <c r="A98" i="1" s="1" a="1"/>
  <c r="A98" i="1" s="1"/>
  <c r="L97" i="1"/>
  <c r="A97" i="1" s="1" a="1"/>
  <c r="A97" i="1" s="1"/>
  <c r="L96" i="1"/>
  <c r="A96" i="1" s="1" a="1"/>
  <c r="A96" i="1" s="1"/>
  <c r="L95" i="1"/>
  <c r="A95" i="1" s="1" a="1"/>
  <c r="A95" i="1" s="1"/>
  <c r="L94" i="1"/>
  <c r="A94" i="1" s="1" a="1"/>
  <c r="A94" i="1" s="1"/>
  <c r="L93" i="1"/>
  <c r="A93" i="1" s="1" a="1"/>
  <c r="A93" i="1" s="1"/>
  <c r="L92" i="1"/>
  <c r="A92" i="1" s="1" a="1"/>
  <c r="A92" i="1" s="1"/>
  <c r="L91" i="1"/>
  <c r="A91" i="1" s="1" a="1"/>
  <c r="A91" i="1" s="1"/>
  <c r="L90" i="1"/>
  <c r="A90" i="1" s="1" a="1"/>
  <c r="A90" i="1" s="1"/>
  <c r="L89" i="1"/>
  <c r="A89" i="1" s="1" a="1"/>
  <c r="A89" i="1" s="1"/>
  <c r="L88" i="1"/>
  <c r="A88" i="1" s="1" a="1"/>
  <c r="A88" i="1" s="1"/>
  <c r="L87" i="1"/>
  <c r="A87" i="1" s="1" a="1"/>
  <c r="A87" i="1" s="1"/>
  <c r="L86" i="1"/>
  <c r="A86" i="1" s="1" a="1"/>
  <c r="A86" i="1" s="1"/>
  <c r="L85" i="1"/>
  <c r="A85" i="1" s="1" a="1"/>
  <c r="A85" i="1" s="1"/>
  <c r="L84" i="1"/>
  <c r="A84" i="1" s="1" a="1"/>
  <c r="A84" i="1" s="1"/>
  <c r="L83" i="1"/>
  <c r="A83" i="1" s="1" a="1"/>
  <c r="A83" i="1" s="1"/>
  <c r="L82" i="1"/>
  <c r="A82" i="1" s="1" a="1"/>
  <c r="A82" i="1" s="1"/>
  <c r="L81" i="1"/>
  <c r="A81" i="1" s="1" a="1"/>
  <c r="A81" i="1" s="1"/>
  <c r="L80" i="1"/>
  <c r="A80" i="1" s="1" a="1"/>
  <c r="A80" i="1" s="1"/>
  <c r="L79" i="1"/>
  <c r="A79" i="1" s="1" a="1"/>
  <c r="A79" i="1" s="1"/>
  <c r="L78" i="1"/>
  <c r="A78" i="1" s="1" a="1"/>
  <c r="A78" i="1" s="1"/>
  <c r="L77" i="1"/>
  <c r="A77" i="1" s="1" a="1"/>
  <c r="A77" i="1" s="1"/>
  <c r="L76" i="1"/>
  <c r="A76" i="1" s="1" a="1"/>
  <c r="A76" i="1" s="1"/>
  <c r="L75" i="1"/>
  <c r="A75" i="1" s="1" a="1"/>
  <c r="A75" i="1" s="1"/>
  <c r="L74" i="1"/>
  <c r="A74" i="1" s="1" a="1"/>
  <c r="A74" i="1" s="1"/>
  <c r="L73" i="1"/>
  <c r="A73" i="1" s="1" a="1"/>
  <c r="A73" i="1" s="1"/>
  <c r="L72" i="1"/>
  <c r="A72" i="1" s="1" a="1"/>
  <c r="A72" i="1" s="1"/>
  <c r="L71" i="1"/>
  <c r="A71" i="1" s="1" a="1"/>
  <c r="A71" i="1" s="1"/>
  <c r="L70" i="1"/>
  <c r="A70" i="1" s="1" a="1"/>
  <c r="A70" i="1" s="1"/>
  <c r="L69" i="1"/>
  <c r="A69" i="1" s="1" a="1"/>
  <c r="A69" i="1" s="1"/>
  <c r="L68" i="1"/>
  <c r="A68" i="1" s="1" a="1"/>
  <c r="A68" i="1" s="1"/>
  <c r="L67" i="1"/>
  <c r="A67" i="1" s="1" a="1"/>
  <c r="A67" i="1" s="1"/>
  <c r="L66" i="1"/>
  <c r="A66" i="1" s="1" a="1"/>
  <c r="A66" i="1" s="1"/>
  <c r="L65" i="1"/>
  <c r="A65" i="1" s="1" a="1"/>
  <c r="A65" i="1" s="1"/>
  <c r="L64" i="1"/>
  <c r="A64" i="1" s="1" a="1"/>
  <c r="A64" i="1" s="1"/>
  <c r="L63" i="1"/>
  <c r="A63" i="1" s="1" a="1"/>
  <c r="A63" i="1" s="1"/>
  <c r="L62" i="1"/>
  <c r="A62" i="1" s="1" a="1"/>
  <c r="A62" i="1" s="1"/>
  <c r="L61" i="1"/>
  <c r="A61" i="1" s="1" a="1"/>
  <c r="A61" i="1" s="1"/>
  <c r="L60" i="1"/>
  <c r="A60" i="1" s="1" a="1"/>
  <c r="A60" i="1" s="1"/>
  <c r="L59" i="1"/>
  <c r="A59" i="1" s="1" a="1"/>
  <c r="A59" i="1" s="1"/>
  <c r="L58" i="1"/>
  <c r="A58" i="1" s="1" a="1"/>
  <c r="A58" i="1" s="1"/>
  <c r="L57" i="1"/>
  <c r="A57" i="1" s="1" a="1"/>
  <c r="A57" i="1" s="1"/>
  <c r="L56" i="1"/>
  <c r="A56" i="1" s="1" a="1"/>
  <c r="A56" i="1" s="1"/>
  <c r="L55" i="1"/>
  <c r="A55" i="1" s="1" a="1"/>
  <c r="A55" i="1" s="1"/>
  <c r="L54" i="1"/>
  <c r="A54" i="1" s="1" a="1"/>
  <c r="A54" i="1" s="1"/>
  <c r="L53" i="1"/>
  <c r="A53" i="1" s="1" a="1"/>
  <c r="A53" i="1" s="1"/>
  <c r="L52" i="1"/>
  <c r="A52" i="1" s="1" a="1"/>
  <c r="A52" i="1" s="1"/>
  <c r="L51" i="1"/>
  <c r="A51" i="1" s="1" a="1"/>
  <c r="A51" i="1" s="1"/>
  <c r="L50" i="1"/>
  <c r="A50" i="1" s="1" a="1"/>
  <c r="A50" i="1" s="1"/>
  <c r="L49" i="1"/>
  <c r="A49" i="1" s="1" a="1"/>
  <c r="A49" i="1" s="1"/>
  <c r="L48" i="1"/>
  <c r="A48" i="1" s="1" a="1"/>
  <c r="A48" i="1" s="1"/>
  <c r="L47" i="1"/>
  <c r="A47" i="1" s="1" a="1"/>
  <c r="A47" i="1" s="1"/>
  <c r="L46" i="1"/>
  <c r="A46" i="1" s="1" a="1"/>
  <c r="A46" i="1" s="1"/>
  <c r="L45" i="1"/>
  <c r="A45" i="1" s="1" a="1"/>
  <c r="A45" i="1" s="1"/>
  <c r="L44" i="1"/>
  <c r="A44" i="1" s="1" a="1"/>
  <c r="A44" i="1" s="1"/>
  <c r="L43" i="1"/>
  <c r="A43" i="1" s="1" a="1"/>
  <c r="A43" i="1" s="1"/>
  <c r="L42" i="1"/>
  <c r="A42" i="1" s="1" a="1"/>
  <c r="A42" i="1" s="1"/>
  <c r="L41" i="1"/>
  <c r="A41" i="1" s="1" a="1"/>
  <c r="A41" i="1" s="1"/>
  <c r="L40" i="1"/>
  <c r="A40" i="1" s="1" a="1"/>
  <c r="A40" i="1" s="1"/>
  <c r="L39" i="1"/>
  <c r="A39" i="1" s="1" a="1"/>
  <c r="A39" i="1" s="1"/>
  <c r="L38" i="1"/>
  <c r="A38" i="1" s="1" a="1"/>
  <c r="A38" i="1" s="1"/>
  <c r="L37" i="1"/>
  <c r="A37" i="1" s="1" a="1"/>
  <c r="A37" i="1" s="1"/>
  <c r="L36" i="1"/>
  <c r="A36" i="1" s="1" a="1"/>
  <c r="A36" i="1" s="1"/>
  <c r="L35" i="1"/>
  <c r="A35" i="1" s="1" a="1"/>
  <c r="A35" i="1" s="1"/>
  <c r="L34" i="1"/>
  <c r="A34" i="1" s="1" a="1"/>
  <c r="A34" i="1" s="1"/>
  <c r="L33" i="1"/>
  <c r="A33" i="1" s="1" a="1"/>
  <c r="A33" i="1" s="1"/>
  <c r="L32" i="1"/>
  <c r="A32" i="1" s="1" a="1"/>
  <c r="A32" i="1" s="1"/>
  <c r="L31" i="1"/>
  <c r="A31" i="1" s="1" a="1"/>
  <c r="A31" i="1" s="1"/>
  <c r="L30" i="1"/>
  <c r="A30" i="1" s="1" a="1"/>
  <c r="A30" i="1" s="1"/>
  <c r="L29" i="1"/>
  <c r="A29" i="1" s="1" a="1"/>
  <c r="A29" i="1" s="1"/>
  <c r="L28" i="1"/>
  <c r="A28" i="1" s="1" a="1"/>
  <c r="A28" i="1" s="1"/>
  <c r="L27" i="1"/>
  <c r="A27" i="1" s="1" a="1"/>
  <c r="A27" i="1" s="1"/>
  <c r="L26" i="1"/>
  <c r="A26" i="1" s="1" a="1"/>
  <c r="A26" i="1" s="1"/>
  <c r="L25" i="1"/>
  <c r="A25" i="1" s="1" a="1"/>
  <c r="A25" i="1" s="1"/>
  <c r="L24" i="1"/>
  <c r="A24" i="1" s="1" a="1"/>
  <c r="A24" i="1" s="1"/>
  <c r="L23" i="1"/>
  <c r="A23" i="1" s="1" a="1"/>
  <c r="A23" i="1" s="1"/>
  <c r="L22" i="1"/>
  <c r="A22" i="1" s="1" a="1"/>
  <c r="A22" i="1" s="1"/>
  <c r="L21" i="1"/>
  <c r="A21" i="1" s="1" a="1"/>
  <c r="A21" i="1" s="1"/>
  <c r="L20" i="1"/>
  <c r="A20" i="1" s="1" a="1"/>
  <c r="A20" i="1" s="1"/>
  <c r="L19" i="1"/>
  <c r="A19" i="1" s="1" a="1"/>
  <c r="A19" i="1" s="1"/>
  <c r="L18" i="1"/>
  <c r="A18" i="1" s="1" a="1"/>
  <c r="A18" i="1" s="1"/>
  <c r="L17" i="1"/>
  <c r="A17" i="1" s="1" a="1"/>
  <c r="A17" i="1" s="1"/>
  <c r="L16" i="1"/>
  <c r="A16" i="1" s="1" a="1"/>
  <c r="A16" i="1" s="1"/>
  <c r="L15" i="1"/>
  <c r="A15" i="1" s="1" a="1"/>
  <c r="A15" i="1" s="1"/>
  <c r="L14" i="1"/>
  <c r="A14" i="1" s="1" a="1"/>
  <c r="A14" i="1" s="1"/>
  <c r="L13" i="1"/>
  <c r="A13" i="1" s="1" a="1"/>
  <c r="A13" i="1" s="1"/>
  <c r="L12" i="1"/>
  <c r="A12" i="1" s="1" a="1"/>
  <c r="A12" i="1" s="1"/>
  <c r="L11" i="1"/>
  <c r="A11" i="1" s="1" a="1"/>
  <c r="A11" i="1" s="1"/>
  <c r="L10" i="1"/>
  <c r="A10" i="1" s="1" a="1"/>
  <c r="A10" i="1" s="1"/>
  <c r="L9" i="1"/>
  <c r="A9" i="1" s="1" a="1"/>
  <c r="A9" i="1" s="1"/>
  <c r="L8" i="1"/>
  <c r="A8" i="1" s="1" a="1"/>
  <c r="A8" i="1" s="1"/>
  <c r="L7" i="1"/>
  <c r="A7" i="1" s="1" a="1"/>
  <c r="A7" i="1" s="1"/>
  <c r="L6" i="1"/>
  <c r="A6" i="1" s="1" a="1"/>
  <c r="A6" i="1" s="1"/>
  <c r="A1515" i="1" a="1"/>
  <c r="A1515" i="1" s="1"/>
  <c r="A1503" i="1" a="1"/>
  <c r="A1503" i="1" s="1"/>
  <c r="A1492" i="1" a="1"/>
  <c r="A1492" i="1" s="1"/>
  <c r="A1491" i="1" a="1"/>
  <c r="A1491" i="1" s="1"/>
  <c r="A1477" i="1" a="1"/>
  <c r="A1477" i="1" s="1"/>
  <c r="A1432" i="1" a="1"/>
  <c r="A1432" i="1" s="1"/>
  <c r="A1431" i="1" a="1"/>
  <c r="A1431" i="1" s="1"/>
  <c r="A1420" i="1" a="1"/>
  <c r="A1420" i="1" s="1"/>
  <c r="A1407" i="1" a="1"/>
  <c r="A1407" i="1" s="1"/>
  <c r="A1395" i="1" a="1"/>
  <c r="A1395" i="1" s="1"/>
  <c r="A1394" i="1" a="1"/>
  <c r="A1394" i="1" s="1"/>
  <c r="A1393" i="1" a="1"/>
  <c r="A1393" i="1" s="1"/>
  <c r="A1381" i="1" a="1"/>
  <c r="A1381" i="1" s="1"/>
  <c r="A1323" i="1" a="1"/>
  <c r="A1323" i="1" s="1"/>
  <c r="A1322" i="1" a="1"/>
  <c r="A1322" i="1" s="1"/>
  <c r="A1309" i="1" a="1"/>
  <c r="A1309" i="1" s="1"/>
  <c r="A1253" i="1" a="1"/>
  <c r="A1253" i="1" s="1"/>
  <c r="A1251" i="1" a="1"/>
  <c r="A1251" i="1" s="1"/>
  <c r="A1249" i="1" a="1"/>
  <c r="A1249" i="1" s="1"/>
  <c r="A1239" i="1" a="1"/>
  <c r="A1239" i="1" s="1"/>
  <c r="A1225" i="1" a="1"/>
  <c r="A1225" i="1" s="1"/>
  <c r="A1224" i="1" a="1"/>
  <c r="A1224" i="1" s="1"/>
  <c r="A1167" i="1" a="1"/>
  <c r="A1167" i="1" s="1"/>
  <c r="A1165" i="1" a="1"/>
  <c r="A1165" i="1" s="1"/>
  <c r="A1155" i="1" a="1"/>
  <c r="A1155" i="1" s="1"/>
  <c r="A1142" i="1" a="1"/>
  <c r="A1142" i="1" s="1"/>
  <c r="A1141" i="1" a="1"/>
  <c r="A1141" i="1" s="1"/>
  <c r="A1083" i="1" a="1"/>
  <c r="A1083" i="1" s="1"/>
  <c r="A1081" i="1" a="1"/>
  <c r="A1081" i="1" s="1"/>
  <c r="A1071" i="1" a="1"/>
  <c r="A1071" i="1" s="1"/>
  <c r="A1059" i="1" a="1"/>
  <c r="A1059" i="1" s="1"/>
  <c r="A1057" i="1" a="1"/>
  <c r="A1057" i="1" s="1"/>
  <c r="A1056" i="1" a="1"/>
  <c r="A1056" i="1" s="1"/>
  <c r="A1011" i="1" a="1"/>
  <c r="A1011" i="1" s="1"/>
  <c r="A987" i="1" a="1"/>
  <c r="A987" i="1" s="1"/>
  <c r="A975" i="1" a="1"/>
  <c r="A975" i="1" s="1"/>
  <c r="A973" i="1" a="1"/>
  <c r="A973" i="1" s="1"/>
  <c r="A961" i="1" a="1"/>
  <c r="A961" i="1" s="1"/>
  <c r="A903" i="1" a="1"/>
  <c r="A903" i="1" s="1"/>
  <c r="A902" i="1" a="1"/>
  <c r="A902" i="1" s="1"/>
  <c r="A901" i="1" a="1"/>
  <c r="A901" i="1" s="1"/>
  <c r="A889" i="1" a="1"/>
  <c r="A889" i="1" s="1"/>
  <c r="A877" i="1" a="1"/>
  <c r="A877" i="1" s="1"/>
  <c r="A833" i="1" a="1"/>
  <c r="A833" i="1" s="1"/>
  <c r="A831" i="1" a="1"/>
  <c r="A831" i="1" s="1"/>
  <c r="A829" i="1" a="1"/>
  <c r="A829" i="1" s="1"/>
  <c r="A806" i="1" a="1"/>
  <c r="A806" i="1" s="1"/>
  <c r="A805" i="1" a="1"/>
  <c r="A805" i="1" s="1"/>
  <c r="A793" i="1" a="1"/>
  <c r="A793" i="1" s="1"/>
  <c r="A735" i="1" a="1"/>
  <c r="A735" i="1" s="1"/>
  <c r="A721" i="1" a="1"/>
  <c r="A721" i="1" s="1"/>
  <c r="A651" i="1" a="1"/>
  <c r="A651" i="1" s="1"/>
  <c r="A650" i="1" a="1"/>
  <c r="A650" i="1" s="1"/>
  <c r="A637" i="1" a="1"/>
  <c r="A637" i="1" s="1"/>
  <c r="A591" i="1" a="1"/>
  <c r="A591" i="1" s="1"/>
  <c r="A567" i="1" a="1"/>
  <c r="A567" i="1" s="1"/>
  <c r="A483" i="1" a="1"/>
  <c r="A483" i="1" s="1"/>
  <c r="A482" i="1" a="1"/>
  <c r="A482" i="1" s="1"/>
  <c r="A470" i="1" a="1"/>
  <c r="A470" i="1" s="1"/>
  <c r="A469" i="1" a="1"/>
  <c r="A469" i="1" s="1"/>
  <c r="A399" i="1" a="1"/>
  <c r="A399" i="1" s="1"/>
  <c r="A385" i="1" a="1"/>
  <c r="A385" i="1" s="1"/>
  <c r="A315" i="1" a="1"/>
  <c r="A315" i="1" s="1"/>
  <c r="A146" i="1" a="1"/>
  <c r="A146" i="1" s="1"/>
  <c r="L5" i="1"/>
  <c r="A5" i="1" s="1" a="1"/>
  <c r="A5" i="1" s="1"/>
  <c r="L4" i="1"/>
  <c r="A4" i="1" s="1" a="1"/>
  <c r="A4" i="1" s="1"/>
  <c r="L3" i="1"/>
  <c r="A3" i="1" s="1" a="1"/>
  <c r="A3" i="1" s="1"/>
  <c r="L2" i="1"/>
  <c r="A2" i="1" s="1" a="1"/>
  <c r="A2" i="1" s="1"/>
  <c r="R469" i="3" l="1"/>
  <c r="R210" i="3"/>
  <c r="R247" i="3"/>
  <c r="R461" i="3"/>
  <c r="R410" i="3"/>
  <c r="S222" i="4"/>
  <c r="S368" i="4"/>
  <c r="S371" i="4"/>
  <c r="S362" i="4"/>
  <c r="S369" i="4"/>
  <c r="S223" i="4"/>
  <c r="S364" i="4"/>
  <c r="S353" i="4"/>
  <c r="R332" i="3"/>
  <c r="R335" i="3"/>
  <c r="R449" i="3"/>
  <c r="R429" i="3"/>
  <c r="R180" i="3"/>
  <c r="R329" i="3"/>
  <c r="R188" i="3"/>
  <c r="R256" i="3"/>
  <c r="R149" i="3"/>
  <c r="R156" i="3"/>
  <c r="R440" i="3"/>
  <c r="R446" i="3"/>
  <c r="R480" i="3"/>
  <c r="R293" i="3"/>
  <c r="R407" i="3"/>
  <c r="R238" i="3"/>
  <c r="R314" i="3"/>
  <c r="R324" i="3"/>
  <c r="R146" i="3"/>
  <c r="R448" i="3"/>
  <c r="R153" i="3"/>
  <c r="R278" i="3"/>
  <c r="R438" i="3"/>
  <c r="R224" i="3"/>
  <c r="R234" i="3"/>
  <c r="R405" i="3"/>
  <c r="R450" i="3"/>
  <c r="R462" i="3"/>
  <c r="R200" i="3"/>
  <c r="R263" i="3"/>
  <c r="R274" i="3"/>
  <c r="R327" i="3"/>
  <c r="R185" i="3"/>
  <c r="R275" i="3"/>
  <c r="R435" i="3"/>
  <c r="R338" i="3"/>
  <c r="R348" i="3"/>
  <c r="R333" i="3"/>
  <c r="R453" i="3"/>
  <c r="R252" i="3"/>
  <c r="R181" i="3"/>
  <c r="R373" i="3"/>
  <c r="R235" i="3"/>
  <c r="R336" i="3"/>
  <c r="R255" i="3"/>
  <c r="R315" i="3"/>
  <c r="R334" i="3"/>
  <c r="R403" i="3"/>
  <c r="R148" i="3"/>
  <c r="R427" i="3"/>
  <c r="R226" i="3"/>
  <c r="R377" i="3"/>
  <c r="R383" i="3"/>
  <c r="R389" i="3"/>
  <c r="R380" i="3"/>
  <c r="R386" i="3"/>
  <c r="R430" i="3"/>
  <c r="R445" i="3"/>
  <c r="R479" i="3"/>
  <c r="R442" i="3"/>
  <c r="S363" i="4"/>
  <c r="R498" i="3"/>
  <c r="R340" i="3"/>
  <c r="R346" i="3"/>
  <c r="R402" i="3"/>
  <c r="R452" i="3"/>
  <c r="R458" i="3"/>
  <c r="R501" i="3"/>
  <c r="R165" i="3"/>
  <c r="R421" i="3"/>
  <c r="R459" i="3"/>
  <c r="R404" i="3"/>
  <c r="R187" i="3"/>
  <c r="R482" i="3"/>
  <c r="R497" i="3"/>
  <c r="R178" i="3"/>
  <c r="R190" i="3"/>
  <c r="R350" i="3"/>
  <c r="R356" i="3"/>
  <c r="R362" i="3"/>
  <c r="R368" i="3"/>
  <c r="R236" i="3"/>
  <c r="R296" i="3"/>
  <c r="R331" i="3"/>
  <c r="R239" i="3"/>
  <c r="R219" i="3"/>
  <c r="S355" i="4"/>
  <c r="R228" i="3"/>
  <c r="R250" i="3"/>
  <c r="R322" i="3"/>
  <c r="R432" i="3"/>
  <c r="R463" i="3"/>
  <c r="R470" i="3"/>
  <c r="R289" i="3"/>
  <c r="R211" i="3"/>
  <c r="R262" i="3"/>
  <c r="R318" i="3"/>
  <c r="R504" i="3"/>
  <c r="R325" i="3"/>
  <c r="R434" i="3"/>
  <c r="R481" i="3"/>
  <c r="R182" i="3"/>
  <c r="R217" i="3"/>
  <c r="R223" i="3"/>
  <c r="R259" i="3"/>
  <c r="R265" i="3"/>
  <c r="R413" i="3"/>
  <c r="R456" i="3"/>
  <c r="R162" i="3"/>
  <c r="R292" i="3"/>
  <c r="R436" i="3"/>
  <c r="R139" i="3"/>
  <c r="R237" i="3"/>
  <c r="R243" i="3"/>
  <c r="R253" i="3"/>
  <c r="R257" i="3"/>
  <c r="R290" i="3"/>
  <c r="R294" i="3"/>
  <c r="R299" i="3"/>
  <c r="R341" i="3"/>
  <c r="R347" i="3"/>
  <c r="R424" i="3"/>
  <c r="R464" i="3"/>
  <c r="R471" i="3"/>
  <c r="R254" i="3"/>
  <c r="R291" i="3"/>
  <c r="R310" i="3"/>
  <c r="R328" i="3"/>
  <c r="R358" i="3"/>
  <c r="R364" i="3"/>
  <c r="R370" i="3"/>
  <c r="R425" i="3"/>
  <c r="R439" i="3"/>
  <c r="R465" i="3"/>
  <c r="R507" i="3"/>
  <c r="R174" i="3"/>
  <c r="R179" i="3"/>
  <c r="R184" i="3"/>
  <c r="R189" i="3"/>
  <c r="R218" i="3"/>
  <c r="R249" i="3"/>
  <c r="R270" i="3"/>
  <c r="R319" i="3"/>
  <c r="R337" i="3"/>
  <c r="R431" i="3"/>
  <c r="R444" i="3"/>
  <c r="R454" i="3"/>
  <c r="R460" i="3"/>
  <c r="R240" i="3"/>
  <c r="R260" i="3"/>
  <c r="R297" i="3"/>
  <c r="R306" i="3"/>
  <c r="R508" i="3"/>
  <c r="R186" i="3"/>
  <c r="R229" i="3"/>
  <c r="R241" i="3"/>
  <c r="R261" i="3"/>
  <c r="R298" i="3"/>
  <c r="R307" i="3"/>
  <c r="R321" i="3"/>
  <c r="R330" i="3"/>
  <c r="R345" i="3"/>
  <c r="R475" i="3"/>
  <c r="R484" i="3"/>
  <c r="R77" i="3"/>
  <c r="S360" i="4"/>
  <c r="R316" i="3"/>
  <c r="R378" i="3"/>
  <c r="R384" i="3"/>
  <c r="R390" i="3"/>
  <c r="R406" i="3"/>
  <c r="R411" i="3"/>
  <c r="R423" i="3"/>
  <c r="R428" i="3"/>
  <c r="R433" i="3"/>
  <c r="R441" i="3"/>
  <c r="R457" i="3"/>
  <c r="R478" i="3"/>
  <c r="R485" i="3"/>
  <c r="R500" i="3"/>
  <c r="R503" i="3"/>
  <c r="R510" i="3"/>
  <c r="S489" i="4"/>
  <c r="B491" i="4"/>
  <c r="B515" i="3"/>
  <c r="S340" i="4"/>
  <c r="R183" i="3"/>
  <c r="R244" i="3"/>
  <c r="R277" i="3"/>
  <c r="R280" i="3"/>
  <c r="R288" i="3"/>
  <c r="R355" i="3"/>
  <c r="R361" i="3"/>
  <c r="R367" i="3"/>
  <c r="R437" i="3"/>
  <c r="G491" i="4"/>
  <c r="R175" i="3"/>
  <c r="R269" i="3"/>
  <c r="R273" i="3"/>
  <c r="R379" i="3"/>
  <c r="R385" i="3"/>
  <c r="R391" i="3"/>
  <c r="R426" i="3"/>
  <c r="R472" i="3"/>
  <c r="R483" i="3"/>
  <c r="S348" i="4"/>
  <c r="R281" i="3"/>
  <c r="R351" i="3"/>
  <c r="R357" i="3"/>
  <c r="R363" i="3"/>
  <c r="R369" i="3"/>
  <c r="R422" i="3"/>
  <c r="R512" i="3"/>
  <c r="R374" i="3"/>
  <c r="R295" i="3"/>
  <c r="R381" i="3"/>
  <c r="R387" i="3"/>
  <c r="R412" i="3"/>
  <c r="R455" i="3"/>
  <c r="R513" i="3"/>
  <c r="R266" i="3"/>
  <c r="S361" i="4"/>
  <c r="R353" i="3"/>
  <c r="R359" i="3"/>
  <c r="R365" i="3"/>
  <c r="R371" i="3"/>
  <c r="R451" i="3"/>
  <c r="R276" i="3"/>
  <c r="R287" i="3"/>
  <c r="R382" i="3"/>
  <c r="R388" i="3"/>
  <c r="R447" i="3"/>
  <c r="R499" i="3"/>
  <c r="R502" i="3"/>
  <c r="R159" i="3"/>
  <c r="R191" i="3"/>
  <c r="R216" i="3"/>
  <c r="R225" i="3"/>
  <c r="R354" i="3"/>
  <c r="R360" i="3"/>
  <c r="R366" i="3"/>
  <c r="R372" i="3"/>
  <c r="R443" i="3"/>
  <c r="G515" i="3"/>
  <c r="D490" i="4"/>
  <c r="F515" i="3"/>
  <c r="C490" i="4"/>
  <c r="S150" i="4"/>
  <c r="E515" i="3"/>
  <c r="B490" i="4"/>
  <c r="D515" i="3"/>
  <c r="E491" i="4"/>
  <c r="S345" i="4"/>
  <c r="C515" i="3"/>
  <c r="F491" i="4"/>
  <c r="G490" i="4"/>
  <c r="D491" i="4"/>
  <c r="F490" i="4"/>
  <c r="C491" i="4"/>
  <c r="E490" i="4"/>
  <c r="B514" i="3"/>
  <c r="C514" i="3"/>
  <c r="D514" i="3"/>
  <c r="E514" i="3"/>
  <c r="F514" i="3"/>
  <c r="G514" i="3"/>
  <c r="B489" i="4"/>
  <c r="C489" i="4"/>
  <c r="D489" i="4"/>
  <c r="E489" i="4"/>
  <c r="F489" i="4"/>
  <c r="G489" i="4"/>
  <c r="G488" i="4"/>
  <c r="F488" i="4"/>
  <c r="E488" i="4"/>
  <c r="D488" i="4"/>
  <c r="C488" i="4"/>
  <c r="B488" i="4"/>
  <c r="S488" i="4"/>
  <c r="B513" i="3"/>
  <c r="C513" i="3"/>
  <c r="D513" i="3"/>
  <c r="E513" i="3"/>
  <c r="F513" i="3"/>
  <c r="G513" i="3"/>
  <c r="B512" i="3"/>
  <c r="C512" i="3"/>
  <c r="D512" i="3"/>
  <c r="E512" i="3"/>
  <c r="F512" i="3"/>
  <c r="G512" i="3"/>
  <c r="G487" i="4"/>
  <c r="F487" i="4"/>
  <c r="E487" i="4"/>
  <c r="D487" i="4"/>
  <c r="C487" i="4"/>
  <c r="B487" i="4"/>
  <c r="G511" i="3"/>
  <c r="F511" i="3"/>
  <c r="E511" i="3"/>
  <c r="D511" i="3"/>
  <c r="C511" i="3"/>
  <c r="B511" i="3"/>
  <c r="R511" i="3"/>
  <c r="B510" i="3"/>
  <c r="C510" i="3"/>
  <c r="D510" i="3"/>
  <c r="E510" i="3"/>
  <c r="F510" i="3"/>
  <c r="G510" i="3"/>
  <c r="C364" i="4"/>
  <c r="G486" i="4"/>
  <c r="F486" i="4"/>
  <c r="E486" i="4"/>
  <c r="D486" i="4"/>
  <c r="C486" i="4"/>
  <c r="B486" i="4"/>
  <c r="G509" i="3"/>
  <c r="F509" i="3"/>
  <c r="E509" i="3"/>
  <c r="D509" i="3"/>
  <c r="C509" i="3"/>
  <c r="B509" i="3"/>
  <c r="R509" i="3"/>
  <c r="B508" i="3"/>
  <c r="C508" i="3"/>
  <c r="D508" i="3"/>
  <c r="E508" i="3"/>
  <c r="F508" i="3"/>
  <c r="G508" i="3"/>
  <c r="B206" i="5"/>
  <c r="C206" i="5"/>
  <c r="D206" i="5"/>
  <c r="E206" i="5"/>
  <c r="F206" i="5"/>
  <c r="G206" i="5"/>
  <c r="B485" i="4"/>
  <c r="C485" i="4"/>
  <c r="D485" i="4"/>
  <c r="E485" i="4"/>
  <c r="F485" i="4"/>
  <c r="G485" i="4"/>
  <c r="B205" i="5"/>
  <c r="C205" i="5"/>
  <c r="D205" i="5"/>
  <c r="E205" i="5"/>
  <c r="F205" i="5"/>
  <c r="G205" i="5"/>
  <c r="B484" i="4"/>
  <c r="C484" i="4"/>
  <c r="D484" i="4"/>
  <c r="E484" i="4"/>
  <c r="F484" i="4"/>
  <c r="G484" i="4"/>
  <c r="B204" i="5"/>
  <c r="C204" i="5"/>
  <c r="D204" i="5"/>
  <c r="E204" i="5"/>
  <c r="F204" i="5"/>
  <c r="G204" i="5"/>
  <c r="B203" i="5"/>
  <c r="C203" i="5"/>
  <c r="D203" i="5"/>
  <c r="E203" i="5"/>
  <c r="F203" i="5"/>
  <c r="G203" i="5"/>
  <c r="B483" i="4"/>
  <c r="C483" i="4"/>
  <c r="D483" i="4"/>
  <c r="E483" i="4"/>
  <c r="F483" i="4"/>
  <c r="G483" i="4"/>
  <c r="B482" i="4"/>
  <c r="C482" i="4"/>
  <c r="D482" i="4"/>
  <c r="E482" i="4"/>
  <c r="F482" i="4"/>
  <c r="G482" i="4"/>
  <c r="B202" i="5"/>
  <c r="C202" i="5"/>
  <c r="D202" i="5"/>
  <c r="E202" i="5"/>
  <c r="F202" i="5"/>
  <c r="G202" i="5"/>
  <c r="B481" i="4"/>
  <c r="C481" i="4"/>
  <c r="D481" i="4"/>
  <c r="E481" i="4"/>
  <c r="F481" i="4"/>
  <c r="G481" i="4"/>
  <c r="B201" i="5"/>
  <c r="C201" i="5"/>
  <c r="D201" i="5"/>
  <c r="E201" i="5"/>
  <c r="F201" i="5"/>
  <c r="G201" i="5"/>
  <c r="B480" i="4"/>
  <c r="C480" i="4"/>
  <c r="D480" i="4"/>
  <c r="E480" i="4"/>
  <c r="F480" i="4"/>
  <c r="G480" i="4"/>
  <c r="B479" i="4"/>
  <c r="C479" i="4"/>
  <c r="D479" i="4"/>
  <c r="E479" i="4"/>
  <c r="F479" i="4"/>
  <c r="G479" i="4"/>
  <c r="B478" i="4"/>
  <c r="C478" i="4"/>
  <c r="D478" i="4"/>
  <c r="E478" i="4"/>
  <c r="F478" i="4"/>
  <c r="G478" i="4"/>
  <c r="B200" i="5"/>
  <c r="C200" i="5"/>
  <c r="D200" i="5"/>
  <c r="E200" i="5"/>
  <c r="F200" i="5"/>
  <c r="G200" i="5"/>
  <c r="B477" i="4"/>
  <c r="C477" i="4"/>
  <c r="D477" i="4"/>
  <c r="E477" i="4"/>
  <c r="F477" i="4"/>
  <c r="G477" i="4"/>
  <c r="B199" i="5"/>
  <c r="C199" i="5"/>
  <c r="D199" i="5"/>
  <c r="E199" i="5"/>
  <c r="F199" i="5"/>
  <c r="G199" i="5"/>
  <c r="B198" i="5"/>
  <c r="C198" i="5"/>
  <c r="D198" i="5"/>
  <c r="E198" i="5"/>
  <c r="F198" i="5"/>
  <c r="G198" i="5"/>
  <c r="B197" i="5"/>
  <c r="C197" i="5"/>
  <c r="D197" i="5"/>
  <c r="E197" i="5"/>
  <c r="F197" i="5"/>
  <c r="G197" i="5"/>
  <c r="B476" i="4"/>
  <c r="C476" i="4"/>
  <c r="D476" i="4"/>
  <c r="E476" i="4"/>
  <c r="F476" i="4"/>
  <c r="G476" i="4"/>
  <c r="B475" i="4"/>
  <c r="C475" i="4"/>
  <c r="D475" i="4"/>
  <c r="E475" i="4"/>
  <c r="F475" i="4"/>
  <c r="G475" i="4"/>
  <c r="G196" i="5"/>
  <c r="F196" i="5"/>
  <c r="E196" i="5"/>
  <c r="D196" i="5"/>
  <c r="C196" i="5"/>
  <c r="B196" i="5"/>
  <c r="G474" i="4"/>
  <c r="F474" i="4"/>
  <c r="E474" i="4"/>
  <c r="D474" i="4"/>
  <c r="C474" i="4"/>
  <c r="B474" i="4"/>
  <c r="B195" i="5"/>
  <c r="C195" i="5"/>
  <c r="D195" i="5"/>
  <c r="E195" i="5"/>
  <c r="F195" i="5"/>
  <c r="G195" i="5"/>
  <c r="B473" i="4"/>
  <c r="C473" i="4"/>
  <c r="D473" i="4"/>
  <c r="E473" i="4"/>
  <c r="F473" i="4"/>
  <c r="G473" i="4"/>
  <c r="B194" i="5"/>
  <c r="C194" i="5"/>
  <c r="D194" i="5"/>
  <c r="E194" i="5"/>
  <c r="F194" i="5"/>
  <c r="G194" i="5"/>
  <c r="B472" i="4"/>
  <c r="C472" i="4"/>
  <c r="D472" i="4"/>
  <c r="E472" i="4"/>
  <c r="F472" i="4"/>
  <c r="G472" i="4"/>
  <c r="B193" i="5"/>
  <c r="C193" i="5"/>
  <c r="D193" i="5"/>
  <c r="E193" i="5"/>
  <c r="F193" i="5"/>
  <c r="G193" i="5"/>
  <c r="B471" i="4"/>
  <c r="C471" i="4"/>
  <c r="D471" i="4"/>
  <c r="E471" i="4"/>
  <c r="F471" i="4"/>
  <c r="G471" i="4"/>
  <c r="B192" i="5"/>
  <c r="C192" i="5"/>
  <c r="D192" i="5"/>
  <c r="E192" i="5"/>
  <c r="F192" i="5"/>
  <c r="G192" i="5"/>
  <c r="B470" i="4"/>
  <c r="C470" i="4"/>
  <c r="D470" i="4"/>
  <c r="E470" i="4"/>
  <c r="F470" i="4"/>
  <c r="G470" i="4"/>
  <c r="B507" i="3"/>
  <c r="C507" i="3"/>
  <c r="D507" i="3"/>
  <c r="E507" i="3"/>
  <c r="F507" i="3"/>
  <c r="G507" i="3"/>
  <c r="B191" i="5"/>
  <c r="C191" i="5"/>
  <c r="D191" i="5"/>
  <c r="E191" i="5"/>
  <c r="F191" i="5"/>
  <c r="G191" i="5"/>
  <c r="B469" i="4"/>
  <c r="C469" i="4"/>
  <c r="D469" i="4"/>
  <c r="E469" i="4"/>
  <c r="F469" i="4"/>
  <c r="G469" i="4"/>
  <c r="B190" i="5"/>
  <c r="C190" i="5"/>
  <c r="D190" i="5"/>
  <c r="E190" i="5"/>
  <c r="F190" i="5"/>
  <c r="G190" i="5"/>
  <c r="B468" i="4"/>
  <c r="C468" i="4"/>
  <c r="D468" i="4"/>
  <c r="E468" i="4"/>
  <c r="F468" i="4"/>
  <c r="G468" i="4"/>
  <c r="B189" i="5"/>
  <c r="C189" i="5"/>
  <c r="D189" i="5"/>
  <c r="E189" i="5"/>
  <c r="F189" i="5"/>
  <c r="G189" i="5"/>
  <c r="B467" i="4"/>
  <c r="C467" i="4"/>
  <c r="D467" i="4"/>
  <c r="E467" i="4"/>
  <c r="F467" i="4"/>
  <c r="G467" i="4"/>
  <c r="B188" i="5"/>
  <c r="C188" i="5"/>
  <c r="D188" i="5"/>
  <c r="E188" i="5"/>
  <c r="F188" i="5"/>
  <c r="G188" i="5"/>
  <c r="B466" i="4"/>
  <c r="C466" i="4"/>
  <c r="D466" i="4"/>
  <c r="E466" i="4"/>
  <c r="F466" i="4"/>
  <c r="G466" i="4"/>
  <c r="B187" i="5"/>
  <c r="C187" i="5"/>
  <c r="D187" i="5"/>
  <c r="E187" i="5"/>
  <c r="F187" i="5"/>
  <c r="G187" i="5"/>
  <c r="B465" i="4"/>
  <c r="C465" i="4"/>
  <c r="D465" i="4"/>
  <c r="E465" i="4"/>
  <c r="F465" i="4"/>
  <c r="G465" i="4"/>
  <c r="B464" i="4"/>
  <c r="C464" i="4"/>
  <c r="D464" i="4"/>
  <c r="E464" i="4"/>
  <c r="F464" i="4"/>
  <c r="G464" i="4"/>
  <c r="B186" i="5"/>
  <c r="C186" i="5"/>
  <c r="D186" i="5"/>
  <c r="E186" i="5"/>
  <c r="F186" i="5"/>
  <c r="G186" i="5"/>
  <c r="B463" i="4"/>
  <c r="C463" i="4"/>
  <c r="D463" i="4"/>
  <c r="E463" i="4"/>
  <c r="F463" i="4"/>
  <c r="G463" i="4"/>
  <c r="B185" i="5"/>
  <c r="C185" i="5"/>
  <c r="D185" i="5"/>
  <c r="E185" i="5"/>
  <c r="F185" i="5"/>
  <c r="G185" i="5"/>
  <c r="B462" i="4"/>
  <c r="C462" i="4"/>
  <c r="D462" i="4"/>
  <c r="E462" i="4"/>
  <c r="F462" i="4"/>
  <c r="G462" i="4"/>
  <c r="B184" i="5"/>
  <c r="C184" i="5"/>
  <c r="D184" i="5"/>
  <c r="E184" i="5"/>
  <c r="F184" i="5"/>
  <c r="G184" i="5"/>
  <c r="B461" i="4"/>
  <c r="C461" i="4"/>
  <c r="D461" i="4"/>
  <c r="E461" i="4"/>
  <c r="F461" i="4"/>
  <c r="G461" i="4"/>
  <c r="B183" i="5"/>
  <c r="C183" i="5"/>
  <c r="D183" i="5"/>
  <c r="E183" i="5"/>
  <c r="F183" i="5"/>
  <c r="G183" i="5"/>
  <c r="B460" i="4"/>
  <c r="C460" i="4"/>
  <c r="D460" i="4"/>
  <c r="E460" i="4"/>
  <c r="F460" i="4"/>
  <c r="G460" i="4"/>
  <c r="B182" i="5"/>
  <c r="C182" i="5"/>
  <c r="D182" i="5"/>
  <c r="E182" i="5"/>
  <c r="F182" i="5"/>
  <c r="G182" i="5"/>
  <c r="B181" i="5"/>
  <c r="C181" i="5"/>
  <c r="D181" i="5"/>
  <c r="E181" i="5"/>
  <c r="F181" i="5"/>
  <c r="G181" i="5"/>
  <c r="B180" i="5"/>
  <c r="C180" i="5"/>
  <c r="D180" i="5"/>
  <c r="E180" i="5"/>
  <c r="F180" i="5"/>
  <c r="G180" i="5"/>
  <c r="B459" i="4"/>
  <c r="C459" i="4"/>
  <c r="D459" i="4"/>
  <c r="E459" i="4"/>
  <c r="F459" i="4"/>
  <c r="G459" i="4"/>
  <c r="G506" i="3"/>
  <c r="F506" i="3"/>
  <c r="E506" i="3"/>
  <c r="D506" i="3"/>
  <c r="C506" i="3"/>
  <c r="B506" i="3"/>
  <c r="B458" i="4"/>
  <c r="C458" i="4"/>
  <c r="D458" i="4"/>
  <c r="E458" i="4"/>
  <c r="F458" i="4"/>
  <c r="G458" i="4"/>
  <c r="B179" i="5"/>
  <c r="C179" i="5"/>
  <c r="D179" i="5"/>
  <c r="E179" i="5"/>
  <c r="F179" i="5"/>
  <c r="G179" i="5"/>
  <c r="B457" i="4"/>
  <c r="C457" i="4"/>
  <c r="D457" i="4"/>
  <c r="E457" i="4"/>
  <c r="F457" i="4"/>
  <c r="G457" i="4"/>
  <c r="R506" i="3"/>
  <c r="S455" i="4"/>
  <c r="B178" i="5"/>
  <c r="C178" i="5"/>
  <c r="D178" i="5"/>
  <c r="E178" i="5"/>
  <c r="F178" i="5"/>
  <c r="G178" i="5"/>
  <c r="B456" i="4"/>
  <c r="C456" i="4"/>
  <c r="D456" i="4"/>
  <c r="E456" i="4"/>
  <c r="F456" i="4"/>
  <c r="G456" i="4"/>
  <c r="G455" i="4"/>
  <c r="F455" i="4"/>
  <c r="E455" i="4"/>
  <c r="D455" i="4"/>
  <c r="C455" i="4"/>
  <c r="B455" i="4"/>
  <c r="B454" i="4"/>
  <c r="C454" i="4"/>
  <c r="D454" i="4"/>
  <c r="E454" i="4"/>
  <c r="F454" i="4"/>
  <c r="G454" i="4"/>
  <c r="B177" i="5"/>
  <c r="C177" i="5"/>
  <c r="D177" i="5"/>
  <c r="E177" i="5"/>
  <c r="F177" i="5"/>
  <c r="G177" i="5"/>
  <c r="B453" i="4"/>
  <c r="C453" i="4"/>
  <c r="D453" i="4"/>
  <c r="E453" i="4"/>
  <c r="F453" i="4"/>
  <c r="G453" i="4"/>
  <c r="B452" i="4"/>
  <c r="C452" i="4"/>
  <c r="D452" i="4"/>
  <c r="E452" i="4"/>
  <c r="F452" i="4"/>
  <c r="G452" i="4"/>
  <c r="B176" i="5"/>
  <c r="C176" i="5"/>
  <c r="D176" i="5"/>
  <c r="E176" i="5"/>
  <c r="F176" i="5"/>
  <c r="G176" i="5"/>
  <c r="B451" i="4"/>
  <c r="C451" i="4"/>
  <c r="D451" i="4"/>
  <c r="E451" i="4"/>
  <c r="F451" i="4"/>
  <c r="G451" i="4"/>
  <c r="B175" i="5"/>
  <c r="C175" i="5"/>
  <c r="D175" i="5"/>
  <c r="E175" i="5"/>
  <c r="F175" i="5"/>
  <c r="G175" i="5"/>
  <c r="B174" i="5"/>
  <c r="C174" i="5"/>
  <c r="D174" i="5"/>
  <c r="E174" i="5"/>
  <c r="F174" i="5"/>
  <c r="G174" i="5"/>
  <c r="B450" i="4"/>
  <c r="C450" i="4"/>
  <c r="D450" i="4"/>
  <c r="E450" i="4"/>
  <c r="F450" i="4"/>
  <c r="G450" i="4"/>
  <c r="B449" i="4"/>
  <c r="C449" i="4"/>
  <c r="D449" i="4"/>
  <c r="E449" i="4"/>
  <c r="F449" i="4"/>
  <c r="G449" i="4"/>
  <c r="B448" i="4"/>
  <c r="C448" i="4"/>
  <c r="D448" i="4"/>
  <c r="E448" i="4"/>
  <c r="F448" i="4"/>
  <c r="G448" i="4"/>
  <c r="B173" i="5"/>
  <c r="C173" i="5"/>
  <c r="D173" i="5"/>
  <c r="E173" i="5"/>
  <c r="F173" i="5"/>
  <c r="G173" i="5"/>
  <c r="B447" i="4"/>
  <c r="C447" i="4"/>
  <c r="D447" i="4"/>
  <c r="E447" i="4"/>
  <c r="F447" i="4"/>
  <c r="G447" i="4"/>
  <c r="B172" i="5"/>
  <c r="C172" i="5"/>
  <c r="D172" i="5"/>
  <c r="E172" i="5"/>
  <c r="F172" i="5"/>
  <c r="G172" i="5"/>
  <c r="B171" i="5"/>
  <c r="C171" i="5"/>
  <c r="D171" i="5"/>
  <c r="E171" i="5"/>
  <c r="F171" i="5"/>
  <c r="G171" i="5"/>
  <c r="B446" i="4"/>
  <c r="C446" i="4"/>
  <c r="D446" i="4"/>
  <c r="E446" i="4"/>
  <c r="F446" i="4"/>
  <c r="G446" i="4"/>
  <c r="B170" i="5"/>
  <c r="C170" i="5"/>
  <c r="D170" i="5"/>
  <c r="E170" i="5"/>
  <c r="F170" i="5"/>
  <c r="G170" i="5"/>
  <c r="B169" i="5"/>
  <c r="C169" i="5"/>
  <c r="D169" i="5"/>
  <c r="E169" i="5"/>
  <c r="F169" i="5"/>
  <c r="G169" i="5"/>
  <c r="B168" i="5"/>
  <c r="C168" i="5"/>
  <c r="D168" i="5"/>
  <c r="E168" i="5"/>
  <c r="F168" i="5"/>
  <c r="G168" i="5"/>
  <c r="B445" i="4"/>
  <c r="C445" i="4"/>
  <c r="D445" i="4"/>
  <c r="E445" i="4"/>
  <c r="F445" i="4"/>
  <c r="G445" i="4"/>
  <c r="B167" i="5"/>
  <c r="C167" i="5"/>
  <c r="D167" i="5"/>
  <c r="E167" i="5"/>
  <c r="F167" i="5"/>
  <c r="G167" i="5"/>
  <c r="B444" i="4"/>
  <c r="C444" i="4"/>
  <c r="D444" i="4"/>
  <c r="E444" i="4"/>
  <c r="F444" i="4"/>
  <c r="G444" i="4"/>
  <c r="B166" i="5"/>
  <c r="C166" i="5"/>
  <c r="D166" i="5"/>
  <c r="E166" i="5"/>
  <c r="F166" i="5"/>
  <c r="G166" i="5"/>
  <c r="B443" i="4"/>
  <c r="C443" i="4"/>
  <c r="D443" i="4"/>
  <c r="E443" i="4"/>
  <c r="F443" i="4"/>
  <c r="G443" i="4"/>
  <c r="B165" i="5"/>
  <c r="C165" i="5"/>
  <c r="D165" i="5"/>
  <c r="E165" i="5"/>
  <c r="F165" i="5"/>
  <c r="G165" i="5"/>
  <c r="B442" i="4"/>
  <c r="C442" i="4"/>
  <c r="D442" i="4"/>
  <c r="E442" i="4"/>
  <c r="F442" i="4"/>
  <c r="G442" i="4"/>
  <c r="B164" i="5"/>
  <c r="C164" i="5"/>
  <c r="D164" i="5"/>
  <c r="E164" i="5"/>
  <c r="F164" i="5"/>
  <c r="G164" i="5"/>
  <c r="B441" i="4"/>
  <c r="C441" i="4"/>
  <c r="D441" i="4"/>
  <c r="E441" i="4"/>
  <c r="F441" i="4"/>
  <c r="G441" i="4"/>
  <c r="B163" i="5"/>
  <c r="C163" i="5"/>
  <c r="D163" i="5"/>
  <c r="E163" i="5"/>
  <c r="F163" i="5"/>
  <c r="G163" i="5"/>
  <c r="B440" i="4"/>
  <c r="C440" i="4"/>
  <c r="D440" i="4"/>
  <c r="E440" i="4"/>
  <c r="F440" i="4"/>
  <c r="G440" i="4"/>
  <c r="B162" i="5"/>
  <c r="C162" i="5"/>
  <c r="D162" i="5"/>
  <c r="E162" i="5"/>
  <c r="F162" i="5"/>
  <c r="G162" i="5"/>
  <c r="B439" i="4"/>
  <c r="C439" i="4"/>
  <c r="D439" i="4"/>
  <c r="E439" i="4"/>
  <c r="F439" i="4"/>
  <c r="G439" i="4"/>
  <c r="B161" i="5"/>
  <c r="C161" i="5"/>
  <c r="D161" i="5"/>
  <c r="E161" i="5"/>
  <c r="F161" i="5"/>
  <c r="G161" i="5"/>
  <c r="B438" i="4"/>
  <c r="C438" i="4"/>
  <c r="D438" i="4"/>
  <c r="E438" i="4"/>
  <c r="F438" i="4"/>
  <c r="G438" i="4"/>
  <c r="B160" i="5"/>
  <c r="C160" i="5"/>
  <c r="D160" i="5"/>
  <c r="E160" i="5"/>
  <c r="F160" i="5"/>
  <c r="G160" i="5"/>
  <c r="B437" i="4"/>
  <c r="C437" i="4"/>
  <c r="D437" i="4"/>
  <c r="E437" i="4"/>
  <c r="F437" i="4"/>
  <c r="G437" i="4"/>
  <c r="B159" i="5"/>
  <c r="C159" i="5"/>
  <c r="D159" i="5"/>
  <c r="E159" i="5"/>
  <c r="F159" i="5"/>
  <c r="G159" i="5"/>
  <c r="B436" i="4"/>
  <c r="C436" i="4"/>
  <c r="D436" i="4"/>
  <c r="E436" i="4"/>
  <c r="F436" i="4"/>
  <c r="G436" i="4"/>
  <c r="B158" i="5"/>
  <c r="C158" i="5"/>
  <c r="D158" i="5"/>
  <c r="E158" i="5"/>
  <c r="F158" i="5"/>
  <c r="G158" i="5"/>
  <c r="B435" i="4"/>
  <c r="C435" i="4"/>
  <c r="D435" i="4"/>
  <c r="E435" i="4"/>
  <c r="F435" i="4"/>
  <c r="G435" i="4"/>
  <c r="B434" i="4"/>
  <c r="C434" i="4"/>
  <c r="D434" i="4"/>
  <c r="E434" i="4"/>
  <c r="F434" i="4"/>
  <c r="G434" i="4"/>
  <c r="G157" i="5"/>
  <c r="F157" i="5"/>
  <c r="E157" i="5"/>
  <c r="D157" i="5"/>
  <c r="C157" i="5"/>
  <c r="B157" i="5"/>
  <c r="C433" i="4"/>
  <c r="B433" i="4"/>
  <c r="D433" i="4"/>
  <c r="E433" i="4"/>
  <c r="F433" i="4"/>
  <c r="G433" i="4"/>
  <c r="B156" i="5"/>
  <c r="C156" i="5"/>
  <c r="D156" i="5"/>
  <c r="E156" i="5"/>
  <c r="F156" i="5"/>
  <c r="G156" i="5"/>
  <c r="B155" i="5"/>
  <c r="C155" i="5"/>
  <c r="D155" i="5"/>
  <c r="E155" i="5"/>
  <c r="F155" i="5"/>
  <c r="G155" i="5"/>
  <c r="G505" i="3"/>
  <c r="F505" i="3"/>
  <c r="E505" i="3"/>
  <c r="D505" i="3"/>
  <c r="C505" i="3"/>
  <c r="B505" i="3"/>
  <c r="B154" i="5"/>
  <c r="C154" i="5"/>
  <c r="D154" i="5"/>
  <c r="E154" i="5"/>
  <c r="F154" i="5"/>
  <c r="G154" i="5"/>
  <c r="B432" i="4"/>
  <c r="C432" i="4"/>
  <c r="D432" i="4"/>
  <c r="E432" i="4"/>
  <c r="F432" i="4"/>
  <c r="G432" i="4"/>
  <c r="B431" i="4"/>
  <c r="C431" i="4"/>
  <c r="D431" i="4"/>
  <c r="E431" i="4"/>
  <c r="F431" i="4"/>
  <c r="G431" i="4"/>
  <c r="B430" i="4"/>
  <c r="C430" i="4"/>
  <c r="D430" i="4"/>
  <c r="E430" i="4"/>
  <c r="F430" i="4"/>
  <c r="G430" i="4"/>
  <c r="B153" i="5"/>
  <c r="C153" i="5"/>
  <c r="D153" i="5"/>
  <c r="E153" i="5"/>
  <c r="F153" i="5"/>
  <c r="G153" i="5"/>
  <c r="B429" i="4"/>
  <c r="C429" i="4"/>
  <c r="D429" i="4"/>
  <c r="E429" i="4"/>
  <c r="F429" i="4"/>
  <c r="G429" i="4"/>
  <c r="B428" i="4"/>
  <c r="C428" i="4"/>
  <c r="D428" i="4"/>
  <c r="E428" i="4"/>
  <c r="F428" i="4"/>
  <c r="G428" i="4"/>
  <c r="B152" i="5"/>
  <c r="C152" i="5"/>
  <c r="D152" i="5"/>
  <c r="E152" i="5"/>
  <c r="F152" i="5"/>
  <c r="G152" i="5"/>
  <c r="B427" i="4"/>
  <c r="C427" i="4"/>
  <c r="D427" i="4"/>
  <c r="E427" i="4"/>
  <c r="F427" i="4"/>
  <c r="G427" i="4"/>
  <c r="B151" i="5"/>
  <c r="C151" i="5"/>
  <c r="D151" i="5"/>
  <c r="E151" i="5"/>
  <c r="F151" i="5"/>
  <c r="G151" i="5"/>
  <c r="B426" i="4"/>
  <c r="C426" i="4"/>
  <c r="D426" i="4"/>
  <c r="E426" i="4"/>
  <c r="F426" i="4"/>
  <c r="G426" i="4"/>
  <c r="B150" i="5"/>
  <c r="C150" i="5"/>
  <c r="D150" i="5"/>
  <c r="E150" i="5"/>
  <c r="F150" i="5"/>
  <c r="G150" i="5"/>
  <c r="B425" i="4"/>
  <c r="C425" i="4"/>
  <c r="D425" i="4"/>
  <c r="E425" i="4"/>
  <c r="F425" i="4"/>
  <c r="G425" i="4"/>
  <c r="B149" i="5"/>
  <c r="C149" i="5"/>
  <c r="D149" i="5"/>
  <c r="E149" i="5"/>
  <c r="F149" i="5"/>
  <c r="G149" i="5"/>
  <c r="B424" i="4"/>
  <c r="C424" i="4"/>
  <c r="D424" i="4"/>
  <c r="E424" i="4"/>
  <c r="F424" i="4"/>
  <c r="G424" i="4"/>
  <c r="B423" i="4"/>
  <c r="C423" i="4"/>
  <c r="D423" i="4"/>
  <c r="E423" i="4"/>
  <c r="F423" i="4"/>
  <c r="G423" i="4"/>
  <c r="B148" i="5"/>
  <c r="C148" i="5"/>
  <c r="D148" i="5"/>
  <c r="E148" i="5"/>
  <c r="F148" i="5"/>
  <c r="G148" i="5"/>
  <c r="B422" i="4"/>
  <c r="C422" i="4"/>
  <c r="D422" i="4"/>
  <c r="E422" i="4"/>
  <c r="F422" i="4"/>
  <c r="G422" i="4"/>
  <c r="B421" i="4"/>
  <c r="C421" i="4"/>
  <c r="D421" i="4"/>
  <c r="E421" i="4"/>
  <c r="F421" i="4"/>
  <c r="G421" i="4"/>
  <c r="B147" i="5"/>
  <c r="C147" i="5"/>
  <c r="D147" i="5"/>
  <c r="E147" i="5"/>
  <c r="F147" i="5"/>
  <c r="G147" i="5"/>
  <c r="B420" i="4"/>
  <c r="C420" i="4"/>
  <c r="D420" i="4"/>
  <c r="E420" i="4"/>
  <c r="F420" i="4"/>
  <c r="G420" i="4"/>
  <c r="B419" i="4"/>
  <c r="C419" i="4"/>
  <c r="D419" i="4"/>
  <c r="E419" i="4"/>
  <c r="F419" i="4"/>
  <c r="G419" i="4"/>
  <c r="B146" i="5"/>
  <c r="C146" i="5"/>
  <c r="D146" i="5"/>
  <c r="E146" i="5"/>
  <c r="F146" i="5"/>
  <c r="G146" i="5"/>
  <c r="B418" i="4"/>
  <c r="C418" i="4"/>
  <c r="D418" i="4"/>
  <c r="E418" i="4"/>
  <c r="F418" i="4"/>
  <c r="G418" i="4"/>
  <c r="B145" i="5"/>
  <c r="C145" i="5"/>
  <c r="D145" i="5"/>
  <c r="E145" i="5"/>
  <c r="F145" i="5"/>
  <c r="G145" i="5"/>
  <c r="B417" i="4"/>
  <c r="C417" i="4"/>
  <c r="D417" i="4"/>
  <c r="E417" i="4"/>
  <c r="F417" i="4"/>
  <c r="G417" i="4"/>
  <c r="G416" i="4"/>
  <c r="F416" i="4"/>
  <c r="E416" i="4"/>
  <c r="D416" i="4"/>
  <c r="C416" i="4"/>
  <c r="B416" i="4"/>
  <c r="G144" i="5"/>
  <c r="F144" i="5"/>
  <c r="E144" i="5"/>
  <c r="D144" i="5"/>
  <c r="C144" i="5"/>
  <c r="B144" i="5"/>
  <c r="G415" i="4"/>
  <c r="F415" i="4"/>
  <c r="E415" i="4"/>
  <c r="D415" i="4"/>
  <c r="C415" i="4"/>
  <c r="B415" i="4"/>
  <c r="B504" i="3"/>
  <c r="C504" i="3"/>
  <c r="D504" i="3"/>
  <c r="E504" i="3"/>
  <c r="F504" i="3"/>
  <c r="G504" i="3"/>
  <c r="G143" i="5"/>
  <c r="F143" i="5"/>
  <c r="E143" i="5"/>
  <c r="D143" i="5"/>
  <c r="C143" i="5"/>
  <c r="B143" i="5"/>
  <c r="B503" i="3"/>
  <c r="C503" i="3"/>
  <c r="D503" i="3"/>
  <c r="E503" i="3"/>
  <c r="F503" i="3"/>
  <c r="G503" i="3"/>
  <c r="G142" i="5"/>
  <c r="F142" i="5"/>
  <c r="E142" i="5"/>
  <c r="D142" i="5"/>
  <c r="C142" i="5"/>
  <c r="B142" i="5"/>
  <c r="B502" i="3"/>
  <c r="C502" i="3"/>
  <c r="D502" i="3"/>
  <c r="E502" i="3"/>
  <c r="F502" i="3"/>
  <c r="G502" i="3"/>
  <c r="G414" i="4"/>
  <c r="F414" i="4"/>
  <c r="E414" i="4"/>
  <c r="D414" i="4"/>
  <c r="C414" i="4"/>
  <c r="B414" i="4"/>
  <c r="G413" i="4"/>
  <c r="F413" i="4"/>
  <c r="E413" i="4"/>
  <c r="D413" i="4"/>
  <c r="C413" i="4"/>
  <c r="B413" i="4"/>
  <c r="S412" i="4"/>
  <c r="G141" i="5"/>
  <c r="F141" i="5"/>
  <c r="E141" i="5"/>
  <c r="D141" i="5"/>
  <c r="C141" i="5"/>
  <c r="B141" i="5"/>
  <c r="G412" i="4"/>
  <c r="F412" i="4"/>
  <c r="E412" i="4"/>
  <c r="D412" i="4"/>
  <c r="C412" i="4"/>
  <c r="B412" i="4"/>
  <c r="B501" i="3"/>
  <c r="C501" i="3"/>
  <c r="D501" i="3"/>
  <c r="E501" i="3"/>
  <c r="F501" i="3"/>
  <c r="G501" i="3"/>
  <c r="B500" i="3"/>
  <c r="C500" i="3"/>
  <c r="D500" i="3"/>
  <c r="E500" i="3"/>
  <c r="F500" i="3"/>
  <c r="G500" i="3"/>
  <c r="B499" i="3"/>
  <c r="C499" i="3"/>
  <c r="D499" i="3"/>
  <c r="E499" i="3"/>
  <c r="F499" i="3"/>
  <c r="G499" i="3"/>
  <c r="G140" i="5"/>
  <c r="F140" i="5"/>
  <c r="E140" i="5"/>
  <c r="D140" i="5"/>
  <c r="C140" i="5"/>
  <c r="B140" i="5"/>
  <c r="G411" i="4"/>
  <c r="F411" i="4"/>
  <c r="E411" i="4"/>
  <c r="D411" i="4"/>
  <c r="C411" i="4"/>
  <c r="B411" i="4"/>
  <c r="B410" i="4"/>
  <c r="C410" i="4"/>
  <c r="D410" i="4"/>
  <c r="E410" i="4"/>
  <c r="F410" i="4"/>
  <c r="G410" i="4"/>
  <c r="G139" i="5"/>
  <c r="F139" i="5"/>
  <c r="E139" i="5"/>
  <c r="D139" i="5"/>
  <c r="C139" i="5"/>
  <c r="B139" i="5"/>
  <c r="G409" i="4"/>
  <c r="F409" i="4"/>
  <c r="E409" i="4"/>
  <c r="D409" i="4"/>
  <c r="C409" i="4"/>
  <c r="B409" i="4"/>
  <c r="B498" i="3"/>
  <c r="C498" i="3"/>
  <c r="D498" i="3"/>
  <c r="E498" i="3"/>
  <c r="F498" i="3"/>
  <c r="G498" i="3"/>
  <c r="G408" i="4"/>
  <c r="F408" i="4"/>
  <c r="E408" i="4"/>
  <c r="D408" i="4"/>
  <c r="C408" i="4"/>
  <c r="B408" i="4"/>
  <c r="G138" i="5"/>
  <c r="F138" i="5"/>
  <c r="E138" i="5"/>
  <c r="D138" i="5"/>
  <c r="C138" i="5"/>
  <c r="B138" i="5"/>
  <c r="G407" i="4"/>
  <c r="F407" i="4"/>
  <c r="E407" i="4"/>
  <c r="D407" i="4"/>
  <c r="C407" i="4"/>
  <c r="B407" i="4"/>
  <c r="B497" i="3"/>
  <c r="C497" i="3"/>
  <c r="D497" i="3"/>
  <c r="E497" i="3"/>
  <c r="F497" i="3"/>
  <c r="G497" i="3"/>
  <c r="G406" i="4"/>
  <c r="F406" i="4"/>
  <c r="E406" i="4"/>
  <c r="D406" i="4"/>
  <c r="C406" i="4"/>
  <c r="B406" i="4"/>
  <c r="B137" i="5"/>
  <c r="C137" i="5"/>
  <c r="D137" i="5"/>
  <c r="E137" i="5"/>
  <c r="F137" i="5"/>
  <c r="G137" i="5"/>
  <c r="B405" i="4"/>
  <c r="C405" i="4"/>
  <c r="D405" i="4"/>
  <c r="E405" i="4"/>
  <c r="F405" i="4"/>
  <c r="G405" i="4"/>
  <c r="B136" i="5"/>
  <c r="C136" i="5"/>
  <c r="D136" i="5"/>
  <c r="E136" i="5"/>
  <c r="F136" i="5"/>
  <c r="G136" i="5"/>
  <c r="B404" i="4"/>
  <c r="C404" i="4"/>
  <c r="D404" i="4"/>
  <c r="E404" i="4"/>
  <c r="F404" i="4"/>
  <c r="G404" i="4"/>
  <c r="B403" i="4"/>
  <c r="C403" i="4"/>
  <c r="D403" i="4"/>
  <c r="E403" i="4"/>
  <c r="F403" i="4"/>
  <c r="G403" i="4"/>
  <c r="B135" i="5"/>
  <c r="C135" i="5"/>
  <c r="D135" i="5"/>
  <c r="E135" i="5"/>
  <c r="F135" i="5"/>
  <c r="G135" i="5"/>
  <c r="B402" i="4"/>
  <c r="C402" i="4"/>
  <c r="D402" i="4"/>
  <c r="E402" i="4"/>
  <c r="F402" i="4"/>
  <c r="G402" i="4"/>
  <c r="G401" i="4"/>
  <c r="F401" i="4"/>
  <c r="E401" i="4"/>
  <c r="D401" i="4"/>
  <c r="C401" i="4"/>
  <c r="B401" i="4"/>
  <c r="B400" i="4"/>
  <c r="C400" i="4"/>
  <c r="D400" i="4"/>
  <c r="E400" i="4"/>
  <c r="F400" i="4"/>
  <c r="G400" i="4"/>
  <c r="G496" i="3"/>
  <c r="F496" i="3"/>
  <c r="E496" i="3"/>
  <c r="D496" i="3"/>
  <c r="C496" i="3"/>
  <c r="B496" i="3"/>
  <c r="G495" i="3"/>
  <c r="F495" i="3"/>
  <c r="E495" i="3"/>
  <c r="D495" i="3"/>
  <c r="C495" i="3"/>
  <c r="B495" i="3"/>
  <c r="G494" i="3"/>
  <c r="F494" i="3"/>
  <c r="E494" i="3"/>
  <c r="D494" i="3"/>
  <c r="C494" i="3"/>
  <c r="B494" i="3"/>
  <c r="B134" i="5"/>
  <c r="C134" i="5"/>
  <c r="D134" i="5"/>
  <c r="E134" i="5"/>
  <c r="F134" i="5"/>
  <c r="G134" i="5"/>
  <c r="B399" i="4"/>
  <c r="C399" i="4"/>
  <c r="D399" i="4"/>
  <c r="E399" i="4"/>
  <c r="F399" i="4"/>
  <c r="G399" i="4"/>
  <c r="B133" i="5"/>
  <c r="C133" i="5"/>
  <c r="D133" i="5"/>
  <c r="E133" i="5"/>
  <c r="F133" i="5"/>
  <c r="G133" i="5"/>
  <c r="B398" i="4"/>
  <c r="C398" i="4"/>
  <c r="D398" i="4"/>
  <c r="E398" i="4"/>
  <c r="F398" i="4"/>
  <c r="G398" i="4"/>
  <c r="R496" i="3"/>
  <c r="R495" i="3"/>
  <c r="R494" i="3"/>
  <c r="R493" i="3"/>
  <c r="B132" i="5"/>
  <c r="C132" i="5"/>
  <c r="D132" i="5"/>
  <c r="E132" i="5"/>
  <c r="F132" i="5"/>
  <c r="G132" i="5"/>
  <c r="B397" i="4"/>
  <c r="C397" i="4"/>
  <c r="D397" i="4"/>
  <c r="E397" i="4"/>
  <c r="F397" i="4"/>
  <c r="G397" i="4"/>
  <c r="B131" i="5"/>
  <c r="C131" i="5"/>
  <c r="D131" i="5"/>
  <c r="E131" i="5"/>
  <c r="F131" i="5"/>
  <c r="G131" i="5"/>
  <c r="G493" i="3"/>
  <c r="F493" i="3"/>
  <c r="E493" i="3"/>
  <c r="D493" i="3"/>
  <c r="C493" i="3"/>
  <c r="B493" i="3"/>
  <c r="B130" i="5"/>
  <c r="C130" i="5"/>
  <c r="D130" i="5"/>
  <c r="E130" i="5"/>
  <c r="F130" i="5"/>
  <c r="G130" i="5"/>
  <c r="B396" i="4"/>
  <c r="C396" i="4"/>
  <c r="D396" i="4"/>
  <c r="E396" i="4"/>
  <c r="F396" i="4"/>
  <c r="G396" i="4"/>
  <c r="B395" i="4"/>
  <c r="C395" i="4"/>
  <c r="D395" i="4"/>
  <c r="E395" i="4"/>
  <c r="F395" i="4"/>
  <c r="G395" i="4"/>
  <c r="G492" i="3"/>
  <c r="F492" i="3"/>
  <c r="E492" i="3"/>
  <c r="D492" i="3"/>
  <c r="C492" i="3"/>
  <c r="B492" i="3"/>
  <c r="B129" i="5"/>
  <c r="C129" i="5"/>
  <c r="D129" i="5"/>
  <c r="E129" i="5"/>
  <c r="F129" i="5"/>
  <c r="G129" i="5"/>
  <c r="B394" i="4"/>
  <c r="C394" i="4"/>
  <c r="D394" i="4"/>
  <c r="E394" i="4"/>
  <c r="F394" i="4"/>
  <c r="G394" i="4"/>
  <c r="R492" i="3"/>
  <c r="G393" i="4"/>
  <c r="F393" i="4"/>
  <c r="E393" i="4"/>
  <c r="D393" i="4"/>
  <c r="C393" i="4"/>
  <c r="B393" i="4"/>
  <c r="D491" i="3"/>
  <c r="B128" i="5"/>
  <c r="C128" i="5"/>
  <c r="D128" i="5"/>
  <c r="E128" i="5"/>
  <c r="F128" i="5"/>
  <c r="G128" i="5"/>
  <c r="B392" i="4"/>
  <c r="C392" i="4"/>
  <c r="D392" i="4"/>
  <c r="E392" i="4"/>
  <c r="F392" i="4"/>
  <c r="G392" i="4"/>
  <c r="G491" i="3"/>
  <c r="F491" i="3"/>
  <c r="E491" i="3"/>
  <c r="C491" i="3"/>
  <c r="B491" i="3"/>
  <c r="G391" i="4"/>
  <c r="E391" i="4"/>
  <c r="D391" i="4"/>
  <c r="C391" i="4"/>
  <c r="B391" i="4"/>
  <c r="G490" i="3"/>
  <c r="F490" i="3"/>
  <c r="E490" i="3"/>
  <c r="D490" i="3"/>
  <c r="C490" i="3"/>
  <c r="B490" i="3"/>
  <c r="B127" i="5"/>
  <c r="C127" i="5"/>
  <c r="D127" i="5"/>
  <c r="E127" i="5"/>
  <c r="F127" i="5"/>
  <c r="G127" i="5"/>
  <c r="B390" i="4"/>
  <c r="C390" i="4"/>
  <c r="D390" i="4"/>
  <c r="E390" i="4"/>
  <c r="F390" i="4"/>
  <c r="G390" i="4"/>
  <c r="G489" i="3"/>
  <c r="F489" i="3"/>
  <c r="E489" i="3"/>
  <c r="D489" i="3"/>
  <c r="C489" i="3"/>
  <c r="B489" i="3"/>
  <c r="B389" i="4"/>
  <c r="C389" i="4"/>
  <c r="D389" i="4"/>
  <c r="E389" i="4"/>
  <c r="F389" i="4"/>
  <c r="G389" i="4"/>
  <c r="B388" i="4"/>
  <c r="C388" i="4"/>
  <c r="D388" i="4"/>
  <c r="E388" i="4"/>
  <c r="F388" i="4"/>
  <c r="G388" i="4"/>
  <c r="G488" i="3"/>
  <c r="F488" i="3"/>
  <c r="E488" i="3"/>
  <c r="D488" i="3"/>
  <c r="C488" i="3"/>
  <c r="B488" i="3"/>
  <c r="B126" i="5"/>
  <c r="C126" i="5"/>
  <c r="D126" i="5"/>
  <c r="E126" i="5"/>
  <c r="F126" i="5"/>
  <c r="G126" i="5"/>
  <c r="B387" i="4"/>
  <c r="C387" i="4"/>
  <c r="D387" i="4"/>
  <c r="E387" i="4"/>
  <c r="F387" i="4"/>
  <c r="G387" i="4"/>
  <c r="B125" i="5"/>
  <c r="C125" i="5"/>
  <c r="D125" i="5"/>
  <c r="E125" i="5"/>
  <c r="F125" i="5"/>
  <c r="G125" i="5"/>
  <c r="G487" i="3"/>
  <c r="F487" i="3"/>
  <c r="E487" i="3"/>
  <c r="D487" i="3"/>
  <c r="C487" i="3"/>
  <c r="B487" i="3"/>
  <c r="B386" i="4"/>
  <c r="C386" i="4"/>
  <c r="D386" i="4"/>
  <c r="E386" i="4"/>
  <c r="F386" i="4"/>
  <c r="G386" i="4"/>
  <c r="R491" i="3"/>
  <c r="R490" i="3"/>
  <c r="R489" i="3"/>
  <c r="R488" i="3"/>
  <c r="R487" i="3"/>
  <c r="G486" i="3"/>
  <c r="F486" i="3"/>
  <c r="E486" i="3"/>
  <c r="D486" i="3"/>
  <c r="C486" i="3"/>
  <c r="B486" i="3"/>
  <c r="B385" i="4"/>
  <c r="C385" i="4"/>
  <c r="D385" i="4"/>
  <c r="E385" i="4"/>
  <c r="F385" i="4"/>
  <c r="G385" i="4"/>
  <c r="R486" i="3"/>
  <c r="B485" i="3"/>
  <c r="C485" i="3"/>
  <c r="D485" i="3"/>
  <c r="E485" i="3"/>
  <c r="F485" i="3"/>
  <c r="G485" i="3"/>
  <c r="B484" i="3"/>
  <c r="C484" i="3"/>
  <c r="D484" i="3"/>
  <c r="E484" i="3"/>
  <c r="F484" i="3"/>
  <c r="G484" i="3"/>
  <c r="B124" i="5"/>
  <c r="C124" i="5"/>
  <c r="D124" i="5"/>
  <c r="E124" i="5"/>
  <c r="F124" i="5"/>
  <c r="G124" i="5"/>
  <c r="B384" i="4"/>
  <c r="C384" i="4"/>
  <c r="D384" i="4"/>
  <c r="E384" i="4"/>
  <c r="F384" i="4"/>
  <c r="G384" i="4"/>
  <c r="B383" i="4"/>
  <c r="C383" i="4"/>
  <c r="D383" i="4"/>
  <c r="E383" i="4"/>
  <c r="F383" i="4"/>
  <c r="G383" i="4"/>
  <c r="B123" i="5"/>
  <c r="C123" i="5"/>
  <c r="D123" i="5"/>
  <c r="E123" i="5"/>
  <c r="F123" i="5"/>
  <c r="G123" i="5"/>
  <c r="B382" i="4"/>
  <c r="C382" i="4"/>
  <c r="D382" i="4"/>
  <c r="E382" i="4"/>
  <c r="F382" i="4"/>
  <c r="G382" i="4"/>
  <c r="B122" i="5"/>
  <c r="C122" i="5"/>
  <c r="D122" i="5"/>
  <c r="E122" i="5"/>
  <c r="F122" i="5"/>
  <c r="G122" i="5"/>
  <c r="B381" i="4"/>
  <c r="C381" i="4"/>
  <c r="D381" i="4"/>
  <c r="E381" i="4"/>
  <c r="F381" i="4"/>
  <c r="G381" i="4"/>
  <c r="B121" i="5"/>
  <c r="C121" i="5"/>
  <c r="D121" i="5"/>
  <c r="E121" i="5"/>
  <c r="F121" i="5"/>
  <c r="G121" i="5"/>
  <c r="B380" i="4"/>
  <c r="C380" i="4"/>
  <c r="D380" i="4"/>
  <c r="E380" i="4"/>
  <c r="F380" i="4"/>
  <c r="G380" i="4"/>
  <c r="B379" i="4"/>
  <c r="C379" i="4"/>
  <c r="D379" i="4"/>
  <c r="E379" i="4"/>
  <c r="F379" i="4"/>
  <c r="G379" i="4"/>
  <c r="B378" i="4"/>
  <c r="C378" i="4"/>
  <c r="D378" i="4"/>
  <c r="E378" i="4"/>
  <c r="F378" i="4"/>
  <c r="G378" i="4"/>
  <c r="B120" i="5"/>
  <c r="C120" i="5"/>
  <c r="D120" i="5"/>
  <c r="E120" i="5"/>
  <c r="F120" i="5"/>
  <c r="G120" i="5"/>
  <c r="B377" i="4"/>
  <c r="C377" i="4"/>
  <c r="D377" i="4"/>
  <c r="E377" i="4"/>
  <c r="F377" i="4"/>
  <c r="G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S372" i="4"/>
  <c r="G372" i="4"/>
  <c r="F372" i="4"/>
  <c r="E372" i="4"/>
  <c r="D372" i="4"/>
  <c r="C372" i="4"/>
  <c r="B372" i="4"/>
  <c r="B483" i="3"/>
  <c r="C483" i="3"/>
  <c r="D483" i="3"/>
  <c r="E483" i="3"/>
  <c r="F483" i="3"/>
  <c r="G483" i="3"/>
  <c r="B482" i="3"/>
  <c r="C482" i="3"/>
  <c r="D482" i="3"/>
  <c r="E482" i="3"/>
  <c r="F482" i="3"/>
  <c r="G482" i="3"/>
  <c r="B481" i="3"/>
  <c r="C481" i="3"/>
  <c r="D481" i="3"/>
  <c r="E481" i="3"/>
  <c r="F481" i="3"/>
  <c r="G481" i="3"/>
  <c r="B480" i="3"/>
  <c r="C480" i="3"/>
  <c r="D480" i="3"/>
  <c r="E480" i="3"/>
  <c r="F480" i="3"/>
  <c r="G480" i="3"/>
  <c r="B479" i="3"/>
  <c r="C479" i="3"/>
  <c r="D479" i="3"/>
  <c r="E479" i="3"/>
  <c r="F479" i="3"/>
  <c r="G479" i="3"/>
  <c r="B478" i="3"/>
  <c r="C478" i="3"/>
  <c r="D478" i="3"/>
  <c r="E478" i="3"/>
  <c r="F478" i="3"/>
  <c r="G478" i="3"/>
  <c r="E371" i="4"/>
  <c r="F371" i="4"/>
  <c r="G371" i="4"/>
  <c r="G477" i="3"/>
  <c r="F477" i="3"/>
  <c r="E477" i="3"/>
  <c r="D477" i="3"/>
  <c r="C477" i="3"/>
  <c r="B477" i="3"/>
  <c r="F50" i="4"/>
  <c r="G476" i="3"/>
  <c r="F476" i="3"/>
  <c r="E476" i="3"/>
  <c r="D476" i="3"/>
  <c r="C476" i="3"/>
  <c r="B476" i="3"/>
  <c r="R477" i="3"/>
  <c r="B475" i="3"/>
  <c r="C475" i="3"/>
  <c r="D475" i="3"/>
  <c r="E475" i="3"/>
  <c r="F475" i="3"/>
  <c r="G475" i="3"/>
  <c r="G474" i="3"/>
  <c r="F474" i="3"/>
  <c r="E474" i="3"/>
  <c r="D474" i="3"/>
  <c r="C474" i="3"/>
  <c r="B474" i="3"/>
  <c r="G473" i="3"/>
  <c r="F473" i="3"/>
  <c r="E473" i="3"/>
  <c r="D473" i="3"/>
  <c r="C473" i="3"/>
  <c r="B473" i="3"/>
  <c r="B472" i="3"/>
  <c r="C472" i="3"/>
  <c r="D472" i="3"/>
  <c r="E472" i="3"/>
  <c r="F472" i="3"/>
  <c r="G472" i="3"/>
  <c r="B471" i="3"/>
  <c r="C471" i="3"/>
  <c r="D471" i="3"/>
  <c r="E471" i="3"/>
  <c r="F471" i="3"/>
  <c r="G471" i="3"/>
  <c r="B470" i="3"/>
  <c r="C470" i="3"/>
  <c r="D470" i="3"/>
  <c r="E470" i="3"/>
  <c r="F470" i="3"/>
  <c r="G470" i="3"/>
  <c r="B469" i="3"/>
  <c r="C469" i="3"/>
  <c r="D469" i="3"/>
  <c r="E469" i="3"/>
  <c r="F469" i="3"/>
  <c r="G469" i="3"/>
  <c r="B468" i="3"/>
  <c r="C468" i="3"/>
  <c r="D468" i="3"/>
  <c r="E468" i="3"/>
  <c r="F468" i="3"/>
  <c r="G468" i="3"/>
  <c r="R473" i="3"/>
  <c r="R474" i="3"/>
  <c r="D301" i="3"/>
  <c r="S164" i="4"/>
  <c r="S157" i="4"/>
  <c r="G467" i="3"/>
  <c r="F467" i="3"/>
  <c r="E467" i="3"/>
  <c r="D467" i="3"/>
  <c r="C467" i="3"/>
  <c r="B467" i="3"/>
  <c r="R467" i="3"/>
  <c r="G466" i="3"/>
  <c r="F466" i="3"/>
  <c r="E466" i="3"/>
  <c r="D466" i="3"/>
  <c r="C466" i="3"/>
  <c r="B466" i="3"/>
  <c r="G370" i="4"/>
  <c r="F370" i="4"/>
  <c r="E370" i="4"/>
  <c r="D370" i="4"/>
  <c r="C370" i="4"/>
  <c r="B370" i="4"/>
  <c r="B465" i="3"/>
  <c r="C465" i="3"/>
  <c r="D465" i="3"/>
  <c r="E465" i="3"/>
  <c r="F465" i="3"/>
  <c r="G465" i="3"/>
  <c r="B464" i="3"/>
  <c r="C464" i="3"/>
  <c r="D464" i="3"/>
  <c r="E464" i="3"/>
  <c r="F464" i="3"/>
  <c r="G464" i="3"/>
  <c r="B463" i="3"/>
  <c r="C463" i="3"/>
  <c r="D463" i="3"/>
  <c r="E463" i="3"/>
  <c r="F463" i="3"/>
  <c r="G463" i="3"/>
  <c r="B462" i="3"/>
  <c r="C462" i="3"/>
  <c r="D462" i="3"/>
  <c r="E462" i="3"/>
  <c r="F462" i="3"/>
  <c r="G462" i="3"/>
  <c r="B461" i="3"/>
  <c r="C461" i="3"/>
  <c r="D461" i="3"/>
  <c r="E461" i="3"/>
  <c r="F461" i="3"/>
  <c r="G461" i="3"/>
  <c r="B460" i="3"/>
  <c r="C460" i="3"/>
  <c r="D460" i="3"/>
  <c r="E460" i="3"/>
  <c r="F460" i="3"/>
  <c r="G460" i="3"/>
  <c r="B459" i="3"/>
  <c r="C459" i="3"/>
  <c r="D459" i="3"/>
  <c r="E459" i="3"/>
  <c r="F459" i="3"/>
  <c r="G459" i="3"/>
  <c r="B458" i="3"/>
  <c r="C458" i="3"/>
  <c r="D458" i="3"/>
  <c r="E458" i="3"/>
  <c r="F458" i="3"/>
  <c r="G458" i="3"/>
  <c r="B457" i="3"/>
  <c r="C457" i="3"/>
  <c r="D457" i="3"/>
  <c r="E457" i="3"/>
  <c r="F457" i="3"/>
  <c r="G457" i="3"/>
  <c r="B456" i="3"/>
  <c r="C456" i="3"/>
  <c r="D456" i="3"/>
  <c r="E456" i="3"/>
  <c r="F456" i="3"/>
  <c r="G456" i="3"/>
  <c r="B455" i="3"/>
  <c r="C455" i="3"/>
  <c r="D455" i="3"/>
  <c r="E455" i="3"/>
  <c r="F455" i="3"/>
  <c r="G455" i="3"/>
  <c r="B454" i="3"/>
  <c r="C454" i="3"/>
  <c r="D454" i="3"/>
  <c r="E454" i="3"/>
  <c r="F454" i="3"/>
  <c r="G454" i="3"/>
  <c r="B453" i="3"/>
  <c r="C453" i="3"/>
  <c r="D453" i="3"/>
  <c r="E453" i="3"/>
  <c r="F453" i="3"/>
  <c r="G453" i="3"/>
  <c r="B452" i="3"/>
  <c r="C452" i="3"/>
  <c r="D452" i="3"/>
  <c r="E452" i="3"/>
  <c r="F452" i="3"/>
  <c r="G452" i="3"/>
  <c r="B451" i="3"/>
  <c r="C451" i="3"/>
  <c r="D451" i="3"/>
  <c r="E451" i="3"/>
  <c r="F451" i="3"/>
  <c r="G451" i="3"/>
  <c r="B450" i="3"/>
  <c r="C450" i="3"/>
  <c r="D450" i="3"/>
  <c r="E450" i="3"/>
  <c r="F450" i="3"/>
  <c r="G450" i="3"/>
  <c r="B449" i="3"/>
  <c r="C449" i="3"/>
  <c r="D449" i="3"/>
  <c r="E449" i="3"/>
  <c r="F449" i="3"/>
  <c r="G449" i="3"/>
  <c r="B448" i="3"/>
  <c r="C448" i="3"/>
  <c r="D448" i="3"/>
  <c r="E448" i="3"/>
  <c r="F448" i="3"/>
  <c r="G448" i="3"/>
  <c r="B447" i="3"/>
  <c r="C447" i="3"/>
  <c r="D447" i="3"/>
  <c r="E447" i="3"/>
  <c r="F447" i="3"/>
  <c r="G447" i="3"/>
  <c r="B446" i="3"/>
  <c r="C446" i="3"/>
  <c r="D446" i="3"/>
  <c r="E446" i="3"/>
  <c r="F446" i="3"/>
  <c r="G446" i="3"/>
  <c r="B445" i="3"/>
  <c r="C445" i="3"/>
  <c r="D445" i="3"/>
  <c r="E445" i="3"/>
  <c r="F445" i="3"/>
  <c r="G445" i="3"/>
  <c r="B444" i="3"/>
  <c r="C444" i="3"/>
  <c r="D444" i="3"/>
  <c r="E444" i="3"/>
  <c r="F444" i="3"/>
  <c r="G444" i="3"/>
  <c r="B443" i="3"/>
  <c r="C443" i="3"/>
  <c r="D443" i="3"/>
  <c r="E443" i="3"/>
  <c r="F443" i="3"/>
  <c r="G443" i="3"/>
  <c r="B442" i="3"/>
  <c r="C442" i="3"/>
  <c r="D442" i="3"/>
  <c r="E442" i="3"/>
  <c r="F442" i="3"/>
  <c r="G442" i="3"/>
  <c r="B441" i="3"/>
  <c r="C441" i="3"/>
  <c r="D441" i="3"/>
  <c r="E441" i="3"/>
  <c r="F441" i="3"/>
  <c r="G441" i="3"/>
  <c r="S370" i="4"/>
  <c r="B440" i="3"/>
  <c r="C440" i="3"/>
  <c r="D440" i="3"/>
  <c r="E440" i="3"/>
  <c r="F440" i="3"/>
  <c r="G440" i="3"/>
  <c r="B439" i="3"/>
  <c r="C439" i="3"/>
  <c r="D439" i="3"/>
  <c r="E439" i="3"/>
  <c r="F439" i="3"/>
  <c r="G439" i="3"/>
  <c r="B369" i="4"/>
  <c r="C369" i="4"/>
  <c r="D369" i="4"/>
  <c r="E369" i="4"/>
  <c r="F369" i="4"/>
  <c r="G369" i="4"/>
  <c r="B438" i="3"/>
  <c r="C438" i="3"/>
  <c r="D438" i="3"/>
  <c r="E438" i="3"/>
  <c r="F438" i="3"/>
  <c r="G438" i="3"/>
  <c r="B437" i="3"/>
  <c r="C437" i="3"/>
  <c r="D437" i="3"/>
  <c r="E437" i="3"/>
  <c r="F437" i="3"/>
  <c r="G437" i="3"/>
  <c r="R214" i="3"/>
  <c r="B436" i="3"/>
  <c r="C436" i="3"/>
  <c r="D436" i="3"/>
  <c r="E436" i="3"/>
  <c r="F436" i="3"/>
  <c r="G436" i="3"/>
  <c r="B435" i="3"/>
  <c r="C435" i="3"/>
  <c r="D435" i="3"/>
  <c r="E435" i="3"/>
  <c r="F435" i="3"/>
  <c r="G435" i="3"/>
  <c r="B434" i="3"/>
  <c r="C434" i="3"/>
  <c r="D434" i="3"/>
  <c r="E434" i="3"/>
  <c r="F434" i="3"/>
  <c r="G434" i="3"/>
  <c r="B433" i="3"/>
  <c r="C433" i="3"/>
  <c r="D433" i="3"/>
  <c r="E433" i="3"/>
  <c r="F433" i="3"/>
  <c r="G433" i="3"/>
  <c r="B432" i="3"/>
  <c r="C432" i="3"/>
  <c r="D432" i="3"/>
  <c r="E432" i="3"/>
  <c r="F432" i="3"/>
  <c r="G432" i="3"/>
  <c r="B431" i="3"/>
  <c r="C431" i="3"/>
  <c r="D431" i="3"/>
  <c r="E431" i="3"/>
  <c r="F431" i="3"/>
  <c r="G431" i="3"/>
  <c r="B430" i="3"/>
  <c r="C430" i="3"/>
  <c r="D430" i="3"/>
  <c r="E430" i="3"/>
  <c r="F430" i="3"/>
  <c r="G430" i="3"/>
  <c r="B429" i="3"/>
  <c r="C429" i="3"/>
  <c r="D429" i="3"/>
  <c r="E429" i="3"/>
  <c r="F429" i="3"/>
  <c r="G429" i="3"/>
  <c r="B428" i="3"/>
  <c r="C428" i="3"/>
  <c r="D428" i="3"/>
  <c r="E428" i="3"/>
  <c r="F428" i="3"/>
  <c r="G428" i="3"/>
  <c r="B427" i="3"/>
  <c r="C427" i="3"/>
  <c r="D427" i="3"/>
  <c r="E427" i="3"/>
  <c r="F427" i="3"/>
  <c r="G427" i="3"/>
  <c r="B426" i="3"/>
  <c r="C426" i="3"/>
  <c r="D426" i="3"/>
  <c r="E426" i="3"/>
  <c r="F426" i="3"/>
  <c r="G426" i="3"/>
  <c r="B425" i="3"/>
  <c r="C425" i="3"/>
  <c r="D425" i="3"/>
  <c r="E425" i="3"/>
  <c r="F425" i="3"/>
  <c r="G425" i="3"/>
  <c r="B424" i="3"/>
  <c r="C424" i="3"/>
  <c r="D424" i="3"/>
  <c r="E424" i="3"/>
  <c r="F424" i="3"/>
  <c r="G424" i="3"/>
  <c r="B423" i="3"/>
  <c r="C423" i="3"/>
  <c r="D423" i="3"/>
  <c r="E423" i="3"/>
  <c r="F423" i="3"/>
  <c r="G423" i="3"/>
  <c r="D421" i="3"/>
  <c r="B422" i="3"/>
  <c r="C422" i="3"/>
  <c r="D422" i="3"/>
  <c r="E422" i="3"/>
  <c r="F422" i="3"/>
  <c r="G422" i="3"/>
  <c r="B421" i="3"/>
  <c r="C421" i="3"/>
  <c r="E421" i="3"/>
  <c r="F421" i="3"/>
  <c r="G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R420" i="3"/>
  <c r="S100" i="4"/>
  <c r="S98" i="4"/>
  <c r="S94" i="4"/>
  <c r="S78" i="4"/>
  <c r="S75" i="4"/>
  <c r="S68" i="4"/>
  <c r="S63" i="4"/>
  <c r="S62" i="4"/>
  <c r="S57" i="4"/>
  <c r="S55" i="4"/>
  <c r="S54" i="4"/>
  <c r="S53" i="4"/>
  <c r="S52" i="4"/>
  <c r="S48" i="4"/>
  <c r="S41" i="4"/>
  <c r="S30" i="4"/>
  <c r="S28" i="4"/>
  <c r="S27" i="4"/>
  <c r="S26" i="4"/>
  <c r="S19" i="4"/>
  <c r="S17" i="4"/>
  <c r="S14" i="4"/>
  <c r="S13" i="4"/>
  <c r="S12" i="4"/>
  <c r="S8" i="4"/>
  <c r="S7" i="4"/>
  <c r="S6" i="4"/>
  <c r="S128" i="4"/>
  <c r="R419" i="3"/>
  <c r="R418" i="3"/>
  <c r="G417" i="3"/>
  <c r="F417" i="3"/>
  <c r="E417" i="3"/>
  <c r="D417" i="3"/>
  <c r="C417" i="3"/>
  <c r="B417" i="3"/>
  <c r="R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R416" i="3"/>
  <c r="R415" i="3"/>
  <c r="R414" i="3"/>
  <c r="B413" i="3"/>
  <c r="C413" i="3"/>
  <c r="D413" i="3"/>
  <c r="E413" i="3"/>
  <c r="F413" i="3"/>
  <c r="G413" i="3"/>
  <c r="B412" i="3"/>
  <c r="C412" i="3"/>
  <c r="D412" i="3"/>
  <c r="E412" i="3"/>
  <c r="F412" i="3"/>
  <c r="G412" i="3"/>
  <c r="B411" i="3"/>
  <c r="C411" i="3"/>
  <c r="D411" i="3"/>
  <c r="E411" i="3"/>
  <c r="F411" i="3"/>
  <c r="G411" i="3"/>
  <c r="B410" i="3"/>
  <c r="C410" i="3"/>
  <c r="D410" i="3"/>
  <c r="E410" i="3"/>
  <c r="F410" i="3"/>
  <c r="G410" i="3"/>
  <c r="R409" i="3"/>
  <c r="G409" i="3"/>
  <c r="F409" i="3"/>
  <c r="E409" i="3"/>
  <c r="D409" i="3"/>
  <c r="C409" i="3"/>
  <c r="B409" i="3"/>
  <c r="B408" i="3"/>
  <c r="C408" i="3"/>
  <c r="D408" i="3"/>
  <c r="E408" i="3"/>
  <c r="F408" i="3"/>
  <c r="G408" i="3"/>
  <c r="B407" i="3"/>
  <c r="C407" i="3"/>
  <c r="D407" i="3"/>
  <c r="E407" i="3"/>
  <c r="F407" i="3"/>
  <c r="G407" i="3"/>
  <c r="B406" i="3"/>
  <c r="C406" i="3"/>
  <c r="D406" i="3"/>
  <c r="E406" i="3"/>
  <c r="F406" i="3"/>
  <c r="G406" i="3"/>
  <c r="B405" i="3"/>
  <c r="C405" i="3"/>
  <c r="D405" i="3"/>
  <c r="E405" i="3"/>
  <c r="F405" i="3"/>
  <c r="G405" i="3"/>
  <c r="B404" i="3"/>
  <c r="C404" i="3"/>
  <c r="D404" i="3"/>
  <c r="E404" i="3"/>
  <c r="F404" i="3"/>
  <c r="G404" i="3"/>
  <c r="B403" i="3"/>
  <c r="C403" i="3"/>
  <c r="D403" i="3"/>
  <c r="E403" i="3"/>
  <c r="F403" i="3"/>
  <c r="G403" i="3"/>
  <c r="B402" i="3"/>
  <c r="C402" i="3"/>
  <c r="D402" i="3"/>
  <c r="E402" i="3"/>
  <c r="F402" i="3"/>
  <c r="G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R401" i="3"/>
  <c r="R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R399" i="3"/>
  <c r="R398" i="3"/>
  <c r="S58" i="4"/>
  <c r="G397" i="3"/>
  <c r="F397" i="3"/>
  <c r="E397" i="3"/>
  <c r="D397" i="3"/>
  <c r="C397" i="3"/>
  <c r="B397" i="3"/>
  <c r="S212" i="4"/>
  <c r="R397" i="3"/>
  <c r="G396" i="3"/>
  <c r="F396" i="3"/>
  <c r="E396" i="3"/>
  <c r="D396" i="3"/>
  <c r="C396" i="3"/>
  <c r="B396" i="3"/>
  <c r="R396" i="3"/>
  <c r="R376" i="3"/>
  <c r="R395" i="3"/>
  <c r="R394" i="3"/>
  <c r="G395" i="3"/>
  <c r="F395" i="3"/>
  <c r="E395" i="3"/>
  <c r="D395" i="3"/>
  <c r="C395" i="3"/>
  <c r="B395" i="3"/>
  <c r="R393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R392" i="3"/>
  <c r="B391" i="3"/>
  <c r="C391" i="3"/>
  <c r="D391" i="3"/>
  <c r="E391" i="3"/>
  <c r="F391" i="3"/>
  <c r="G391" i="3"/>
  <c r="B390" i="3"/>
  <c r="C390" i="3"/>
  <c r="D390" i="3"/>
  <c r="E390" i="3"/>
  <c r="F390" i="3"/>
  <c r="G390" i="3"/>
  <c r="B389" i="3"/>
  <c r="C389" i="3"/>
  <c r="D389" i="3"/>
  <c r="E389" i="3"/>
  <c r="F389" i="3"/>
  <c r="G389" i="3"/>
  <c r="B388" i="3"/>
  <c r="C388" i="3"/>
  <c r="D388" i="3"/>
  <c r="E388" i="3"/>
  <c r="F388" i="3"/>
  <c r="G388" i="3"/>
  <c r="B387" i="3"/>
  <c r="C387" i="3"/>
  <c r="D387" i="3"/>
  <c r="E387" i="3"/>
  <c r="F387" i="3"/>
  <c r="G387" i="3"/>
  <c r="B386" i="3"/>
  <c r="C386" i="3"/>
  <c r="D386" i="3"/>
  <c r="E386" i="3"/>
  <c r="F386" i="3"/>
  <c r="G386" i="3"/>
  <c r="B385" i="3"/>
  <c r="C385" i="3"/>
  <c r="D385" i="3"/>
  <c r="E385" i="3"/>
  <c r="F385" i="3"/>
  <c r="G385" i="3"/>
  <c r="B384" i="3"/>
  <c r="C384" i="3"/>
  <c r="D384" i="3"/>
  <c r="E384" i="3"/>
  <c r="F384" i="3"/>
  <c r="G384" i="3"/>
  <c r="B383" i="3"/>
  <c r="C383" i="3"/>
  <c r="D383" i="3"/>
  <c r="E383" i="3"/>
  <c r="F383" i="3"/>
  <c r="G383" i="3"/>
  <c r="B382" i="3"/>
  <c r="C382" i="3"/>
  <c r="D382" i="3"/>
  <c r="E382" i="3"/>
  <c r="F382" i="3"/>
  <c r="G382" i="3"/>
  <c r="B381" i="3"/>
  <c r="C381" i="3"/>
  <c r="D381" i="3"/>
  <c r="E381" i="3"/>
  <c r="F381" i="3"/>
  <c r="G381" i="3"/>
  <c r="B380" i="3"/>
  <c r="C380" i="3"/>
  <c r="D380" i="3"/>
  <c r="E380" i="3"/>
  <c r="F380" i="3"/>
  <c r="G380" i="3"/>
  <c r="B379" i="3"/>
  <c r="C379" i="3"/>
  <c r="D379" i="3"/>
  <c r="E379" i="3"/>
  <c r="F379" i="3"/>
  <c r="G379" i="3"/>
  <c r="B378" i="3"/>
  <c r="C378" i="3"/>
  <c r="D378" i="3"/>
  <c r="E378" i="3"/>
  <c r="F378" i="3"/>
  <c r="G378" i="3"/>
  <c r="B377" i="3"/>
  <c r="C377" i="3"/>
  <c r="D377" i="3"/>
  <c r="E377" i="3"/>
  <c r="F377" i="3"/>
  <c r="G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B374" i="3"/>
  <c r="C374" i="3"/>
  <c r="D374" i="3"/>
  <c r="E374" i="3"/>
  <c r="F374" i="3"/>
  <c r="G374" i="3"/>
  <c r="B373" i="3"/>
  <c r="C373" i="3"/>
  <c r="D373" i="3"/>
  <c r="E373" i="3"/>
  <c r="F373" i="3"/>
  <c r="G373" i="3"/>
  <c r="B372" i="3"/>
  <c r="C372" i="3"/>
  <c r="D372" i="3"/>
  <c r="E372" i="3"/>
  <c r="F372" i="3"/>
  <c r="G372" i="3"/>
  <c r="B371" i="3"/>
  <c r="C371" i="3"/>
  <c r="D371" i="3"/>
  <c r="E371" i="3"/>
  <c r="F371" i="3"/>
  <c r="G371" i="3"/>
  <c r="B370" i="3"/>
  <c r="C370" i="3"/>
  <c r="D370" i="3"/>
  <c r="E370" i="3"/>
  <c r="F370" i="3"/>
  <c r="G370" i="3"/>
  <c r="B369" i="3"/>
  <c r="C369" i="3"/>
  <c r="D369" i="3"/>
  <c r="E369" i="3"/>
  <c r="F369" i="3"/>
  <c r="G369" i="3"/>
  <c r="B368" i="3"/>
  <c r="C368" i="3"/>
  <c r="D368" i="3"/>
  <c r="E368" i="3"/>
  <c r="F368" i="3"/>
  <c r="G368" i="3"/>
  <c r="B367" i="3"/>
  <c r="C367" i="3"/>
  <c r="D367" i="3"/>
  <c r="E367" i="3"/>
  <c r="F367" i="3"/>
  <c r="G367" i="3"/>
  <c r="B366" i="3"/>
  <c r="C366" i="3"/>
  <c r="D366" i="3"/>
  <c r="E366" i="3"/>
  <c r="F366" i="3"/>
  <c r="G366" i="3"/>
  <c r="B365" i="3"/>
  <c r="C365" i="3"/>
  <c r="D365" i="3"/>
  <c r="E365" i="3"/>
  <c r="F365" i="3"/>
  <c r="G365" i="3"/>
  <c r="B364" i="3"/>
  <c r="C364" i="3"/>
  <c r="D364" i="3"/>
  <c r="E364" i="3"/>
  <c r="F364" i="3"/>
  <c r="G364" i="3"/>
  <c r="B363" i="3"/>
  <c r="C363" i="3"/>
  <c r="D363" i="3"/>
  <c r="E363" i="3"/>
  <c r="F363" i="3"/>
  <c r="G363" i="3"/>
  <c r="B362" i="3"/>
  <c r="C362" i="3"/>
  <c r="D362" i="3"/>
  <c r="E362" i="3"/>
  <c r="F362" i="3"/>
  <c r="G362" i="3"/>
  <c r="B361" i="3"/>
  <c r="C361" i="3"/>
  <c r="D361" i="3"/>
  <c r="E361" i="3"/>
  <c r="F361" i="3"/>
  <c r="G361" i="3"/>
  <c r="B360" i="3"/>
  <c r="C360" i="3"/>
  <c r="D360" i="3"/>
  <c r="E360" i="3"/>
  <c r="F360" i="3"/>
  <c r="G360" i="3"/>
  <c r="B359" i="3"/>
  <c r="C359" i="3"/>
  <c r="D359" i="3"/>
  <c r="E359" i="3"/>
  <c r="F359" i="3"/>
  <c r="G359" i="3"/>
  <c r="B358" i="3"/>
  <c r="C358" i="3"/>
  <c r="D358" i="3"/>
  <c r="E358" i="3"/>
  <c r="F358" i="3"/>
  <c r="G358" i="3"/>
  <c r="B357" i="3"/>
  <c r="C357" i="3"/>
  <c r="D357" i="3"/>
  <c r="E357" i="3"/>
  <c r="F357" i="3"/>
  <c r="G357" i="3"/>
  <c r="B356" i="3"/>
  <c r="C356" i="3"/>
  <c r="D356" i="3"/>
  <c r="E356" i="3"/>
  <c r="F356" i="3"/>
  <c r="G356" i="3"/>
  <c r="B355" i="3"/>
  <c r="C355" i="3"/>
  <c r="D355" i="3"/>
  <c r="E355" i="3"/>
  <c r="F355" i="3"/>
  <c r="G355" i="3"/>
  <c r="B354" i="3"/>
  <c r="C354" i="3"/>
  <c r="D354" i="3"/>
  <c r="E354" i="3"/>
  <c r="F354" i="3"/>
  <c r="G354" i="3"/>
  <c r="B353" i="3"/>
  <c r="C353" i="3"/>
  <c r="D353" i="3"/>
  <c r="E353" i="3"/>
  <c r="F353" i="3"/>
  <c r="G353" i="3"/>
  <c r="R349" i="3"/>
  <c r="B352" i="3"/>
  <c r="C352" i="3"/>
  <c r="D352" i="3"/>
  <c r="E352" i="3"/>
  <c r="F352" i="3"/>
  <c r="G352" i="3"/>
  <c r="B351" i="3"/>
  <c r="C351" i="3"/>
  <c r="D351" i="3"/>
  <c r="E351" i="3"/>
  <c r="F351" i="3"/>
  <c r="G351" i="3"/>
  <c r="B350" i="3"/>
  <c r="C350" i="3"/>
  <c r="D350" i="3"/>
  <c r="E350" i="3"/>
  <c r="F350" i="3"/>
  <c r="G350" i="3"/>
  <c r="G349" i="3"/>
  <c r="F349" i="3"/>
  <c r="E349" i="3"/>
  <c r="D349" i="3"/>
  <c r="C349" i="3"/>
  <c r="B349" i="3"/>
  <c r="B348" i="3"/>
  <c r="C348" i="3"/>
  <c r="D348" i="3"/>
  <c r="E348" i="3"/>
  <c r="F348" i="3"/>
  <c r="G348" i="3"/>
  <c r="B347" i="3"/>
  <c r="C347" i="3"/>
  <c r="D347" i="3"/>
  <c r="E347" i="3"/>
  <c r="F347" i="3"/>
  <c r="G347" i="3"/>
  <c r="B346" i="3"/>
  <c r="C346" i="3"/>
  <c r="D346" i="3"/>
  <c r="E346" i="3"/>
  <c r="F346" i="3"/>
  <c r="G346" i="3"/>
  <c r="B345" i="3"/>
  <c r="C345" i="3"/>
  <c r="D345" i="3"/>
  <c r="E345" i="3"/>
  <c r="F345" i="3"/>
  <c r="G345" i="3"/>
  <c r="G344" i="3"/>
  <c r="F344" i="3"/>
  <c r="E344" i="3"/>
  <c r="D344" i="3"/>
  <c r="C344" i="3"/>
  <c r="B344" i="3"/>
  <c r="R344" i="3"/>
  <c r="G343" i="3"/>
  <c r="F343" i="3"/>
  <c r="E343" i="3"/>
  <c r="D343" i="3"/>
  <c r="C343" i="3"/>
  <c r="B343" i="3"/>
  <c r="R343" i="3"/>
  <c r="G342" i="3"/>
  <c r="F342" i="3"/>
  <c r="E342" i="3"/>
  <c r="D342" i="3"/>
  <c r="C342" i="3"/>
  <c r="B342" i="3"/>
  <c r="R342" i="3"/>
  <c r="B341" i="3"/>
  <c r="C341" i="3"/>
  <c r="D341" i="3"/>
  <c r="E341" i="3"/>
  <c r="F341" i="3"/>
  <c r="G341" i="3"/>
  <c r="E174" i="3"/>
  <c r="B340" i="3"/>
  <c r="C340" i="3"/>
  <c r="D340" i="3"/>
  <c r="E340" i="3"/>
  <c r="F340" i="3"/>
  <c r="G340" i="3"/>
  <c r="G339" i="3"/>
  <c r="F339" i="3"/>
  <c r="E339" i="3"/>
  <c r="D339" i="3"/>
  <c r="C339" i="3"/>
  <c r="B339" i="3"/>
  <c r="B338" i="3"/>
  <c r="C338" i="3"/>
  <c r="D338" i="3"/>
  <c r="E338" i="3"/>
  <c r="F338" i="3"/>
  <c r="G338" i="3"/>
  <c r="R339" i="3"/>
  <c r="B337" i="3"/>
  <c r="C337" i="3"/>
  <c r="D337" i="3"/>
  <c r="E337" i="3"/>
  <c r="F337" i="3"/>
  <c r="G337" i="3"/>
  <c r="B336" i="3"/>
  <c r="C336" i="3"/>
  <c r="D336" i="3"/>
  <c r="E336" i="3"/>
  <c r="F336" i="3"/>
  <c r="G336" i="3"/>
  <c r="B335" i="3"/>
  <c r="C335" i="3"/>
  <c r="D335" i="3"/>
  <c r="E335" i="3"/>
  <c r="F335" i="3"/>
  <c r="G335" i="3"/>
  <c r="B334" i="3"/>
  <c r="C334" i="3"/>
  <c r="D334" i="3"/>
  <c r="E334" i="3"/>
  <c r="F334" i="3"/>
  <c r="G334" i="3"/>
  <c r="B333" i="3"/>
  <c r="C333" i="3"/>
  <c r="D333" i="3"/>
  <c r="E333" i="3"/>
  <c r="F333" i="3"/>
  <c r="G333" i="3"/>
  <c r="B368" i="4"/>
  <c r="C368" i="4"/>
  <c r="D368" i="4"/>
  <c r="E368" i="4"/>
  <c r="F368" i="4"/>
  <c r="G368" i="4"/>
  <c r="B332" i="3"/>
  <c r="C332" i="3"/>
  <c r="D332" i="3"/>
  <c r="E332" i="3"/>
  <c r="F332" i="3"/>
  <c r="G332" i="3"/>
  <c r="B331" i="3"/>
  <c r="C331" i="3"/>
  <c r="D331" i="3"/>
  <c r="E331" i="3"/>
  <c r="F331" i="3"/>
  <c r="G331" i="3"/>
  <c r="B330" i="3"/>
  <c r="C330" i="3"/>
  <c r="D330" i="3"/>
  <c r="E330" i="3"/>
  <c r="F330" i="3"/>
  <c r="G330" i="3"/>
  <c r="B329" i="3"/>
  <c r="C329" i="3"/>
  <c r="D329" i="3"/>
  <c r="E329" i="3"/>
  <c r="F329" i="3"/>
  <c r="G329" i="3"/>
  <c r="G367" i="4"/>
  <c r="F367" i="4"/>
  <c r="E367" i="4"/>
  <c r="D367" i="4"/>
  <c r="C367" i="4"/>
  <c r="B367" i="4"/>
  <c r="S367" i="4"/>
  <c r="B328" i="3"/>
  <c r="C328" i="3"/>
  <c r="D328" i="3"/>
  <c r="E328" i="3"/>
  <c r="F328" i="3"/>
  <c r="G328" i="3"/>
  <c r="G366" i="4"/>
  <c r="F366" i="4"/>
  <c r="E366" i="4"/>
  <c r="D366" i="4"/>
  <c r="C366" i="4"/>
  <c r="B366" i="4"/>
  <c r="B327" i="3"/>
  <c r="C327" i="3"/>
  <c r="D327" i="3"/>
  <c r="E327" i="3"/>
  <c r="F327" i="3"/>
  <c r="G327" i="3"/>
  <c r="G326" i="3"/>
  <c r="F326" i="3"/>
  <c r="E326" i="3"/>
  <c r="D326" i="3"/>
  <c r="C326" i="3"/>
  <c r="B326" i="3"/>
  <c r="S366" i="4"/>
  <c r="R326" i="3"/>
  <c r="B325" i="3"/>
  <c r="C325" i="3"/>
  <c r="D325" i="3"/>
  <c r="E325" i="3"/>
  <c r="F325" i="3"/>
  <c r="G325" i="3"/>
  <c r="B324" i="3"/>
  <c r="C324" i="3"/>
  <c r="D324" i="3"/>
  <c r="E324" i="3"/>
  <c r="F324" i="3"/>
  <c r="G324" i="3"/>
  <c r="G323" i="3"/>
  <c r="F323" i="3"/>
  <c r="E323" i="3"/>
  <c r="D323" i="3"/>
  <c r="C323" i="3"/>
  <c r="B323" i="3"/>
  <c r="B322" i="3"/>
  <c r="C322" i="3"/>
  <c r="D322" i="3"/>
  <c r="E322" i="3"/>
  <c r="F322" i="3"/>
  <c r="G322" i="3"/>
  <c r="B321" i="3"/>
  <c r="C321" i="3"/>
  <c r="D321" i="3"/>
  <c r="E321" i="3"/>
  <c r="F321" i="3"/>
  <c r="G321" i="3"/>
  <c r="G320" i="3"/>
  <c r="F320" i="3"/>
  <c r="E320" i="3"/>
  <c r="D320" i="3"/>
  <c r="C320" i="3"/>
  <c r="B320" i="3"/>
  <c r="B319" i="3"/>
  <c r="C319" i="3"/>
  <c r="D319" i="3"/>
  <c r="E319" i="3"/>
  <c r="F319" i="3"/>
  <c r="G319" i="3"/>
  <c r="R320" i="3"/>
  <c r="B318" i="3"/>
  <c r="C318" i="3"/>
  <c r="D318" i="3"/>
  <c r="E318" i="3"/>
  <c r="F318" i="3"/>
  <c r="G318" i="3"/>
  <c r="R317" i="3"/>
  <c r="G317" i="3"/>
  <c r="F317" i="3"/>
  <c r="E317" i="3"/>
  <c r="D317" i="3"/>
  <c r="C317" i="3"/>
  <c r="B317" i="3"/>
  <c r="B316" i="3"/>
  <c r="C316" i="3"/>
  <c r="D316" i="3"/>
  <c r="E316" i="3"/>
  <c r="F316" i="3"/>
  <c r="G316" i="3"/>
  <c r="B365" i="4"/>
  <c r="C365" i="4"/>
  <c r="D365" i="4"/>
  <c r="E365" i="4"/>
  <c r="F365" i="4"/>
  <c r="G365" i="4"/>
  <c r="B315" i="3"/>
  <c r="C315" i="3"/>
  <c r="D315" i="3"/>
  <c r="E315" i="3"/>
  <c r="F315" i="3"/>
  <c r="G315" i="3"/>
  <c r="B314" i="3"/>
  <c r="C314" i="3"/>
  <c r="D314" i="3"/>
  <c r="E314" i="3"/>
  <c r="F314" i="3"/>
  <c r="G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B364" i="4"/>
  <c r="D364" i="4"/>
  <c r="E364" i="4"/>
  <c r="F364" i="4"/>
  <c r="G364" i="4"/>
  <c r="G311" i="3"/>
  <c r="F311" i="3"/>
  <c r="E311" i="3"/>
  <c r="D311" i="3"/>
  <c r="C311" i="3"/>
  <c r="B311" i="3"/>
  <c r="B310" i="3"/>
  <c r="C310" i="3"/>
  <c r="D310" i="3"/>
  <c r="E310" i="3"/>
  <c r="F310" i="3"/>
  <c r="G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B307" i="3"/>
  <c r="C307" i="3"/>
  <c r="D307" i="3"/>
  <c r="E307" i="3"/>
  <c r="F307" i="3"/>
  <c r="G307" i="3"/>
  <c r="B306" i="3"/>
  <c r="C306" i="3"/>
  <c r="D306" i="3"/>
  <c r="E306" i="3"/>
  <c r="F306" i="3"/>
  <c r="G306" i="3"/>
  <c r="R313" i="3"/>
  <c r="R312" i="3"/>
  <c r="R311" i="3"/>
  <c r="R309" i="3"/>
  <c r="R308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R305" i="3"/>
  <c r="R304" i="3"/>
  <c r="R303" i="3"/>
  <c r="G303" i="3"/>
  <c r="F303" i="3"/>
  <c r="E303" i="3"/>
  <c r="D303" i="3"/>
  <c r="C303" i="3"/>
  <c r="B303" i="3"/>
  <c r="B363" i="4"/>
  <c r="C363" i="4"/>
  <c r="D363" i="4"/>
  <c r="E363" i="4"/>
  <c r="F363" i="4"/>
  <c r="G363" i="4"/>
  <c r="G302" i="3"/>
  <c r="F302" i="3"/>
  <c r="E302" i="3"/>
  <c r="D302" i="3"/>
  <c r="C302" i="3"/>
  <c r="B302" i="3"/>
  <c r="G301" i="3"/>
  <c r="F301" i="3"/>
  <c r="E301" i="3"/>
  <c r="C301" i="3"/>
  <c r="B301" i="3"/>
  <c r="G300" i="3"/>
  <c r="F300" i="3"/>
  <c r="E300" i="3"/>
  <c r="D300" i="3"/>
  <c r="C300" i="3"/>
  <c r="B300" i="3"/>
  <c r="R301" i="3"/>
  <c r="R300" i="3"/>
  <c r="B362" i="4"/>
  <c r="C362" i="4"/>
  <c r="D362" i="4"/>
  <c r="E362" i="4"/>
  <c r="F362" i="4"/>
  <c r="G362" i="4"/>
  <c r="B299" i="3"/>
  <c r="C299" i="3"/>
  <c r="D299" i="3"/>
  <c r="E299" i="3"/>
  <c r="F299" i="3"/>
  <c r="G299" i="3"/>
  <c r="B298" i="3"/>
  <c r="C298" i="3"/>
  <c r="D298" i="3"/>
  <c r="E298" i="3"/>
  <c r="F298" i="3"/>
  <c r="G298" i="3"/>
  <c r="B297" i="3"/>
  <c r="C297" i="3"/>
  <c r="D297" i="3"/>
  <c r="E297" i="3"/>
  <c r="F297" i="3"/>
  <c r="G297" i="3"/>
  <c r="B296" i="3"/>
  <c r="C296" i="3"/>
  <c r="D296" i="3"/>
  <c r="E296" i="3"/>
  <c r="F296" i="3"/>
  <c r="G296" i="3"/>
  <c r="B295" i="3"/>
  <c r="C295" i="3"/>
  <c r="D295" i="3"/>
  <c r="E295" i="3"/>
  <c r="F295" i="3"/>
  <c r="G295" i="3"/>
  <c r="B294" i="3"/>
  <c r="C294" i="3"/>
  <c r="D294" i="3"/>
  <c r="E294" i="3"/>
  <c r="F294" i="3"/>
  <c r="G294" i="3"/>
  <c r="B293" i="3"/>
  <c r="C293" i="3"/>
  <c r="D293" i="3"/>
  <c r="E293" i="3"/>
  <c r="F293" i="3"/>
  <c r="G293" i="3"/>
  <c r="B292" i="3"/>
  <c r="C292" i="3"/>
  <c r="D292" i="3"/>
  <c r="E292" i="3"/>
  <c r="F292" i="3"/>
  <c r="G292" i="3"/>
  <c r="B361" i="4"/>
  <c r="C361" i="4"/>
  <c r="D361" i="4"/>
  <c r="E361" i="4"/>
  <c r="F361" i="4"/>
  <c r="G361" i="4"/>
  <c r="B291" i="3"/>
  <c r="C291" i="3"/>
  <c r="D291" i="3"/>
  <c r="E291" i="3"/>
  <c r="F291" i="3"/>
  <c r="G291" i="3"/>
  <c r="B290" i="3"/>
  <c r="C290" i="3"/>
  <c r="D290" i="3"/>
  <c r="E290" i="3"/>
  <c r="F290" i="3"/>
  <c r="G290" i="3"/>
  <c r="B289" i="3"/>
  <c r="C289" i="3"/>
  <c r="D289" i="3"/>
  <c r="E289" i="3"/>
  <c r="F289" i="3"/>
  <c r="G289" i="3"/>
  <c r="B288" i="3"/>
  <c r="C288" i="3"/>
  <c r="D288" i="3"/>
  <c r="E288" i="3"/>
  <c r="F288" i="3"/>
  <c r="G288" i="3"/>
  <c r="B287" i="3"/>
  <c r="C287" i="3"/>
  <c r="D287" i="3"/>
  <c r="E287" i="3"/>
  <c r="F287" i="3"/>
  <c r="G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B281" i="3"/>
  <c r="C281" i="3"/>
  <c r="D281" i="3"/>
  <c r="E281" i="3"/>
  <c r="F281" i="3"/>
  <c r="G281" i="3"/>
  <c r="R286" i="3"/>
  <c r="R285" i="3"/>
  <c r="R284" i="3"/>
  <c r="R283" i="3"/>
  <c r="R282" i="3"/>
  <c r="B280" i="3"/>
  <c r="C280" i="3"/>
  <c r="D280" i="3"/>
  <c r="E280" i="3"/>
  <c r="F280" i="3"/>
  <c r="G280" i="3"/>
  <c r="R279" i="3"/>
  <c r="G279" i="3"/>
  <c r="F279" i="3"/>
  <c r="E279" i="3"/>
  <c r="D279" i="3"/>
  <c r="C279" i="3"/>
  <c r="B279" i="3"/>
  <c r="B278" i="3"/>
  <c r="C278" i="3"/>
  <c r="D278" i="3"/>
  <c r="E278" i="3"/>
  <c r="F278" i="3"/>
  <c r="G278" i="3"/>
  <c r="B277" i="3"/>
  <c r="C277" i="3"/>
  <c r="D277" i="3"/>
  <c r="E277" i="3"/>
  <c r="F277" i="3"/>
  <c r="G277" i="3"/>
  <c r="B276" i="3"/>
  <c r="C276" i="3"/>
  <c r="D276" i="3"/>
  <c r="E276" i="3"/>
  <c r="F276" i="3"/>
  <c r="G276" i="3"/>
  <c r="B275" i="3"/>
  <c r="C275" i="3"/>
  <c r="D275" i="3"/>
  <c r="E275" i="3"/>
  <c r="F275" i="3"/>
  <c r="G275" i="3"/>
  <c r="B274" i="3"/>
  <c r="C274" i="3"/>
  <c r="D274" i="3"/>
  <c r="E274" i="3"/>
  <c r="F274" i="3"/>
  <c r="G274" i="3"/>
  <c r="B273" i="3"/>
  <c r="C273" i="3"/>
  <c r="D273" i="3"/>
  <c r="E273" i="3"/>
  <c r="F273" i="3"/>
  <c r="G273" i="3"/>
  <c r="B360" i="4"/>
  <c r="C360" i="4"/>
  <c r="D360" i="4"/>
  <c r="E360" i="4"/>
  <c r="F360" i="4"/>
  <c r="G360" i="4"/>
  <c r="R258" i="3"/>
  <c r="R272" i="3"/>
  <c r="R271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B270" i="3"/>
  <c r="C270" i="3"/>
  <c r="D270" i="3"/>
  <c r="E270" i="3"/>
  <c r="F270" i="3"/>
  <c r="G270" i="3"/>
  <c r="B269" i="3"/>
  <c r="C269" i="3"/>
  <c r="D269" i="3"/>
  <c r="E269" i="3"/>
  <c r="F269" i="3"/>
  <c r="G269" i="3"/>
  <c r="G268" i="3"/>
  <c r="F268" i="3"/>
  <c r="E268" i="3"/>
  <c r="D268" i="3"/>
  <c r="C268" i="3"/>
  <c r="B268" i="3"/>
  <c r="R268" i="3"/>
  <c r="R267" i="3"/>
  <c r="G267" i="3"/>
  <c r="F267" i="3"/>
  <c r="E267" i="3"/>
  <c r="D267" i="3"/>
  <c r="C267" i="3"/>
  <c r="B267" i="3"/>
  <c r="B266" i="3"/>
  <c r="C266" i="3"/>
  <c r="D266" i="3"/>
  <c r="E266" i="3"/>
  <c r="F266" i="3"/>
  <c r="G266" i="3"/>
  <c r="B265" i="3"/>
  <c r="C265" i="3"/>
  <c r="D265" i="3"/>
  <c r="E265" i="3"/>
  <c r="F265" i="3"/>
  <c r="G265" i="3"/>
  <c r="G264" i="3"/>
  <c r="F264" i="3"/>
  <c r="E264" i="3"/>
  <c r="D264" i="3"/>
  <c r="C264" i="3"/>
  <c r="B264" i="3"/>
  <c r="R264" i="3"/>
  <c r="B263" i="3"/>
  <c r="C263" i="3"/>
  <c r="D263" i="3"/>
  <c r="E263" i="3"/>
  <c r="F263" i="3"/>
  <c r="G263" i="3"/>
  <c r="B262" i="3"/>
  <c r="C262" i="3"/>
  <c r="D262" i="3"/>
  <c r="E262" i="3"/>
  <c r="F262" i="3"/>
  <c r="G262" i="3"/>
  <c r="B261" i="3"/>
  <c r="C261" i="3"/>
  <c r="D261" i="3"/>
  <c r="E261" i="3"/>
  <c r="F261" i="3"/>
  <c r="G261" i="3"/>
  <c r="B260" i="3"/>
  <c r="C260" i="3"/>
  <c r="D260" i="3"/>
  <c r="E260" i="3"/>
  <c r="F260" i="3"/>
  <c r="G260" i="3"/>
  <c r="B259" i="3"/>
  <c r="C259" i="3"/>
  <c r="D259" i="3"/>
  <c r="E259" i="3"/>
  <c r="F259" i="3"/>
  <c r="G259" i="3"/>
  <c r="G258" i="3"/>
  <c r="F258" i="3"/>
  <c r="E258" i="3"/>
  <c r="D258" i="3"/>
  <c r="C258" i="3"/>
  <c r="B258" i="3"/>
  <c r="B257" i="3"/>
  <c r="C257" i="3"/>
  <c r="D257" i="3"/>
  <c r="E257" i="3"/>
  <c r="F257" i="3"/>
  <c r="G257" i="3"/>
  <c r="B256" i="3"/>
  <c r="C256" i="3"/>
  <c r="D256" i="3"/>
  <c r="E256" i="3"/>
  <c r="F256" i="3"/>
  <c r="G256" i="3"/>
  <c r="B255" i="3"/>
  <c r="C255" i="3"/>
  <c r="D255" i="3"/>
  <c r="E255" i="3"/>
  <c r="F255" i="3"/>
  <c r="G255" i="3"/>
  <c r="B254" i="3"/>
  <c r="C254" i="3"/>
  <c r="D254" i="3"/>
  <c r="E254" i="3"/>
  <c r="F254" i="3"/>
  <c r="G254" i="3"/>
  <c r="B253" i="3"/>
  <c r="C253" i="3"/>
  <c r="D253" i="3"/>
  <c r="E253" i="3"/>
  <c r="F253" i="3"/>
  <c r="G253" i="3"/>
  <c r="R251" i="3"/>
  <c r="S161" i="4"/>
  <c r="B252" i="3"/>
  <c r="C252" i="3"/>
  <c r="D252" i="3"/>
  <c r="E252" i="3"/>
  <c r="F252" i="3"/>
  <c r="G252" i="3"/>
  <c r="G251" i="3"/>
  <c r="F251" i="3"/>
  <c r="E251" i="3"/>
  <c r="D251" i="3"/>
  <c r="C251" i="3"/>
  <c r="B251" i="3"/>
  <c r="S154" i="4"/>
  <c r="S151" i="4"/>
  <c r="B250" i="3"/>
  <c r="C250" i="3"/>
  <c r="D250" i="3"/>
  <c r="E250" i="3"/>
  <c r="F250" i="3"/>
  <c r="G250" i="3"/>
  <c r="B249" i="3"/>
  <c r="C249" i="3"/>
  <c r="D249" i="3"/>
  <c r="E249" i="3"/>
  <c r="F249" i="3"/>
  <c r="G249" i="3"/>
  <c r="R248" i="3"/>
  <c r="G248" i="3"/>
  <c r="F248" i="3"/>
  <c r="E248" i="3"/>
  <c r="D248" i="3"/>
  <c r="C248" i="3"/>
  <c r="B248" i="3"/>
  <c r="B247" i="3"/>
  <c r="C247" i="3"/>
  <c r="D247" i="3"/>
  <c r="E247" i="3"/>
  <c r="F247" i="3"/>
  <c r="G247" i="3"/>
  <c r="G246" i="3"/>
  <c r="F246" i="3"/>
  <c r="E246" i="3"/>
  <c r="D246" i="3"/>
  <c r="C246" i="3"/>
  <c r="B246" i="3"/>
  <c r="R246" i="3"/>
  <c r="R245" i="3"/>
  <c r="G245" i="3"/>
  <c r="F245" i="3"/>
  <c r="E245" i="3"/>
  <c r="D245" i="3"/>
  <c r="C245" i="3"/>
  <c r="B245" i="3"/>
  <c r="B244" i="3"/>
  <c r="C244" i="3"/>
  <c r="D244" i="3"/>
  <c r="E244" i="3"/>
  <c r="F244" i="3"/>
  <c r="G244" i="3"/>
  <c r="R242" i="3"/>
  <c r="G359" i="4"/>
  <c r="F359" i="4"/>
  <c r="E359" i="4"/>
  <c r="D359" i="4"/>
  <c r="C359" i="4"/>
  <c r="B359" i="4"/>
  <c r="B243" i="3"/>
  <c r="C243" i="3"/>
  <c r="D243" i="3"/>
  <c r="E243" i="3"/>
  <c r="F243" i="3"/>
  <c r="G243" i="3"/>
  <c r="S359" i="4"/>
  <c r="G242" i="3"/>
  <c r="F242" i="3"/>
  <c r="E242" i="3"/>
  <c r="D242" i="3"/>
  <c r="C242" i="3"/>
  <c r="B242" i="3"/>
  <c r="B241" i="3"/>
  <c r="C241" i="3"/>
  <c r="D241" i="3"/>
  <c r="E241" i="3"/>
  <c r="F241" i="3"/>
  <c r="G241" i="3"/>
  <c r="B240" i="3"/>
  <c r="C240" i="3"/>
  <c r="D240" i="3"/>
  <c r="E240" i="3"/>
  <c r="F240" i="3"/>
  <c r="G240" i="3"/>
  <c r="B239" i="3"/>
  <c r="C239" i="3"/>
  <c r="D239" i="3"/>
  <c r="E239" i="3"/>
  <c r="F239" i="3"/>
  <c r="G239" i="3"/>
  <c r="S148" i="4"/>
  <c r="B238" i="3"/>
  <c r="C238" i="3"/>
  <c r="D238" i="3"/>
  <c r="E238" i="3"/>
  <c r="F238" i="3"/>
  <c r="G238" i="3"/>
  <c r="S145" i="4"/>
  <c r="B237" i="3"/>
  <c r="C237" i="3"/>
  <c r="D237" i="3"/>
  <c r="E237" i="3"/>
  <c r="F237" i="3"/>
  <c r="G237" i="3"/>
  <c r="B236" i="3"/>
  <c r="C236" i="3"/>
  <c r="D236" i="3"/>
  <c r="E236" i="3"/>
  <c r="F236" i="3"/>
  <c r="G236" i="3"/>
  <c r="B235" i="3"/>
  <c r="C235" i="3"/>
  <c r="D235" i="3"/>
  <c r="E235" i="3"/>
  <c r="F235" i="3"/>
  <c r="G235" i="3"/>
  <c r="B234" i="3"/>
  <c r="C234" i="3"/>
  <c r="D234" i="3"/>
  <c r="E234" i="3"/>
  <c r="F234" i="3"/>
  <c r="G234" i="3"/>
  <c r="R233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R232" i="3"/>
  <c r="R230" i="3"/>
  <c r="R231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B229" i="3"/>
  <c r="C229" i="3"/>
  <c r="D229" i="3"/>
  <c r="E229" i="3"/>
  <c r="F229" i="3"/>
  <c r="G229" i="3"/>
  <c r="D227" i="3"/>
  <c r="B228" i="3"/>
  <c r="C228" i="3"/>
  <c r="D228" i="3"/>
  <c r="E228" i="3"/>
  <c r="F228" i="3"/>
  <c r="G228" i="3"/>
  <c r="C227" i="3"/>
  <c r="C155" i="3"/>
  <c r="C177" i="3"/>
  <c r="G227" i="3"/>
  <c r="F227" i="3"/>
  <c r="E227" i="3"/>
  <c r="B227" i="3"/>
  <c r="R227" i="3"/>
  <c r="B226" i="3"/>
  <c r="C226" i="3"/>
  <c r="D226" i="3"/>
  <c r="E226" i="3"/>
  <c r="F226" i="3"/>
  <c r="G226" i="3"/>
  <c r="B225" i="3"/>
  <c r="C225" i="3"/>
  <c r="D225" i="3"/>
  <c r="E225" i="3"/>
  <c r="F225" i="3"/>
  <c r="G225" i="3"/>
  <c r="G358" i="4"/>
  <c r="F358" i="4"/>
  <c r="E358" i="4"/>
  <c r="D358" i="4"/>
  <c r="C358" i="4"/>
  <c r="B358" i="4"/>
  <c r="S358" i="4"/>
  <c r="S357" i="4"/>
  <c r="B224" i="3"/>
  <c r="C224" i="3"/>
  <c r="D224" i="3"/>
  <c r="E224" i="3"/>
  <c r="F224" i="3"/>
  <c r="G224" i="3"/>
  <c r="G357" i="4"/>
  <c r="F357" i="4"/>
  <c r="E357" i="4"/>
  <c r="D357" i="4"/>
  <c r="C357" i="4"/>
  <c r="B357" i="4"/>
  <c r="B223" i="3"/>
  <c r="C223" i="3"/>
  <c r="D223" i="3"/>
  <c r="E223" i="3"/>
  <c r="F223" i="3"/>
  <c r="G223" i="3"/>
  <c r="G222" i="3"/>
  <c r="F222" i="3"/>
  <c r="E222" i="3"/>
  <c r="D222" i="3"/>
  <c r="C222" i="3"/>
  <c r="B222" i="3"/>
  <c r="R222" i="3"/>
  <c r="G221" i="3"/>
  <c r="F221" i="3"/>
  <c r="E221" i="3"/>
  <c r="D221" i="3"/>
  <c r="C221" i="3"/>
  <c r="B221" i="3"/>
  <c r="R221" i="3"/>
  <c r="G220" i="3"/>
  <c r="F220" i="3"/>
  <c r="E220" i="3"/>
  <c r="D220" i="3"/>
  <c r="C220" i="3"/>
  <c r="B220" i="3"/>
  <c r="R220" i="3"/>
  <c r="B219" i="3"/>
  <c r="C219" i="3"/>
  <c r="D219" i="3"/>
  <c r="E219" i="3"/>
  <c r="F219" i="3"/>
  <c r="G219" i="3"/>
  <c r="B218" i="3"/>
  <c r="C218" i="3"/>
  <c r="D218" i="3"/>
  <c r="E218" i="3"/>
  <c r="F218" i="3"/>
  <c r="G218" i="3"/>
  <c r="R215" i="3"/>
  <c r="B217" i="3"/>
  <c r="C217" i="3"/>
  <c r="D217" i="3"/>
  <c r="E217" i="3"/>
  <c r="F217" i="3"/>
  <c r="G217" i="3"/>
  <c r="B216" i="3"/>
  <c r="C216" i="3"/>
  <c r="D216" i="3"/>
  <c r="E216" i="3"/>
  <c r="F216" i="3"/>
  <c r="G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S214" i="4"/>
  <c r="S211" i="4"/>
  <c r="S206" i="4"/>
  <c r="S217" i="4"/>
  <c r="S203" i="4"/>
  <c r="S200" i="4"/>
  <c r="S197" i="4"/>
  <c r="S194" i="4"/>
  <c r="S191" i="4"/>
  <c r="S188" i="4"/>
  <c r="S184" i="4"/>
  <c r="S181" i="4"/>
  <c r="S178" i="4"/>
  <c r="S175" i="4"/>
  <c r="S172" i="4"/>
  <c r="S169" i="4"/>
  <c r="S166" i="4"/>
  <c r="S163" i="4"/>
  <c r="S160" i="4"/>
  <c r="S156" i="4"/>
  <c r="S153" i="4"/>
  <c r="S147" i="4"/>
  <c r="S144" i="4"/>
  <c r="S140" i="4"/>
  <c r="S136" i="4"/>
  <c r="S133" i="4"/>
  <c r="S130" i="4"/>
  <c r="R172" i="3"/>
  <c r="R171" i="3"/>
  <c r="S124" i="4"/>
  <c r="S127" i="4"/>
  <c r="S126" i="4"/>
  <c r="S125" i="4"/>
  <c r="S123" i="4"/>
  <c r="S118" i="4"/>
  <c r="S117" i="4"/>
  <c r="S116" i="4"/>
  <c r="S115" i="4"/>
  <c r="S113" i="4"/>
  <c r="S111" i="4"/>
  <c r="S110" i="4"/>
  <c r="S109" i="4"/>
  <c r="S108" i="4"/>
  <c r="S104" i="4"/>
  <c r="G356" i="4"/>
  <c r="F356" i="4"/>
  <c r="E356" i="4"/>
  <c r="D356" i="4"/>
  <c r="C356" i="4"/>
  <c r="B356" i="4"/>
  <c r="S103" i="4"/>
  <c r="S356" i="4"/>
  <c r="G156" i="3"/>
  <c r="B355" i="4"/>
  <c r="C355" i="4"/>
  <c r="D355" i="4"/>
  <c r="E355" i="4"/>
  <c r="F355" i="4"/>
  <c r="G355" i="4"/>
  <c r="G354" i="4"/>
  <c r="F354" i="4"/>
  <c r="E354" i="4"/>
  <c r="D354" i="4"/>
  <c r="C354" i="4"/>
  <c r="B354" i="4"/>
  <c r="S354" i="4"/>
  <c r="D149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B211" i="3"/>
  <c r="C211" i="3"/>
  <c r="D211" i="3"/>
  <c r="E211" i="3"/>
  <c r="F211" i="3"/>
  <c r="G211" i="3"/>
  <c r="B210" i="3"/>
  <c r="C210" i="3"/>
  <c r="D210" i="3"/>
  <c r="E210" i="3"/>
  <c r="F210" i="3"/>
  <c r="G210" i="3"/>
  <c r="B209" i="3"/>
  <c r="C209" i="3"/>
  <c r="D209" i="3"/>
  <c r="E209" i="3"/>
  <c r="F209" i="3"/>
  <c r="G209" i="3"/>
  <c r="B208" i="3"/>
  <c r="C208" i="3"/>
  <c r="D208" i="3"/>
  <c r="E208" i="3"/>
  <c r="F208" i="3"/>
  <c r="G208" i="3"/>
  <c r="B207" i="3"/>
  <c r="C207" i="3"/>
  <c r="D207" i="3"/>
  <c r="E207" i="3"/>
  <c r="F207" i="3"/>
  <c r="G207" i="3"/>
  <c r="B206" i="3"/>
  <c r="C206" i="3"/>
  <c r="D206" i="3"/>
  <c r="E206" i="3"/>
  <c r="F206" i="3"/>
  <c r="G206" i="3"/>
  <c r="B205" i="3"/>
  <c r="C205" i="3"/>
  <c r="D205" i="3"/>
  <c r="E205" i="3"/>
  <c r="F205" i="3"/>
  <c r="G205" i="3"/>
  <c r="B204" i="3"/>
  <c r="C204" i="3"/>
  <c r="D204" i="3"/>
  <c r="E204" i="3"/>
  <c r="F204" i="3"/>
  <c r="G204" i="3"/>
  <c r="B203" i="3"/>
  <c r="C203" i="3"/>
  <c r="D203" i="3"/>
  <c r="E203" i="3"/>
  <c r="F203" i="3"/>
  <c r="G203" i="3"/>
  <c r="B202" i="3"/>
  <c r="C202" i="3"/>
  <c r="D202" i="3"/>
  <c r="E202" i="3"/>
  <c r="F202" i="3"/>
  <c r="G202" i="3"/>
  <c r="B201" i="3"/>
  <c r="C201" i="3"/>
  <c r="D201" i="3"/>
  <c r="E201" i="3"/>
  <c r="F201" i="3"/>
  <c r="G201" i="3"/>
  <c r="B200" i="3"/>
  <c r="C200" i="3"/>
  <c r="D200" i="3"/>
  <c r="E200" i="3"/>
  <c r="F200" i="3"/>
  <c r="G200" i="3"/>
  <c r="B199" i="3"/>
  <c r="C199" i="3"/>
  <c r="D199" i="3"/>
  <c r="E199" i="3"/>
  <c r="F199" i="3"/>
  <c r="G199" i="3"/>
  <c r="B198" i="3"/>
  <c r="C198" i="3"/>
  <c r="D198" i="3"/>
  <c r="E198" i="3"/>
  <c r="F198" i="3"/>
  <c r="G198" i="3"/>
  <c r="B197" i="3"/>
  <c r="C197" i="3"/>
  <c r="D197" i="3"/>
  <c r="E197" i="3"/>
  <c r="F197" i="3"/>
  <c r="G197" i="3"/>
  <c r="B196" i="3"/>
  <c r="C196" i="3"/>
  <c r="D196" i="3"/>
  <c r="E196" i="3"/>
  <c r="F196" i="3"/>
  <c r="G196" i="3"/>
  <c r="G195" i="3"/>
  <c r="F195" i="3"/>
  <c r="E195" i="3"/>
  <c r="D195" i="3"/>
  <c r="C195" i="3"/>
  <c r="B195" i="3"/>
  <c r="R195" i="3"/>
  <c r="R194" i="3"/>
  <c r="G194" i="3"/>
  <c r="F194" i="3"/>
  <c r="E194" i="3"/>
  <c r="D194" i="3"/>
  <c r="C194" i="3"/>
  <c r="B194" i="3"/>
  <c r="B193" i="3"/>
  <c r="C193" i="3"/>
  <c r="D193" i="3"/>
  <c r="E193" i="3"/>
  <c r="F193" i="3"/>
  <c r="G193" i="3"/>
  <c r="R192" i="3"/>
  <c r="G192" i="3"/>
  <c r="F192" i="3"/>
  <c r="E192" i="3"/>
  <c r="D192" i="3"/>
  <c r="C192" i="3"/>
  <c r="B192" i="3"/>
  <c r="B191" i="3"/>
  <c r="C191" i="3"/>
  <c r="D191" i="3"/>
  <c r="E191" i="3"/>
  <c r="F191" i="3"/>
  <c r="G191" i="3"/>
  <c r="B190" i="3"/>
  <c r="C190" i="3"/>
  <c r="D190" i="3"/>
  <c r="E190" i="3"/>
  <c r="F190" i="3"/>
  <c r="G190" i="3"/>
  <c r="B189" i="3"/>
  <c r="C189" i="3"/>
  <c r="D189" i="3"/>
  <c r="E189" i="3"/>
  <c r="F189" i="3"/>
  <c r="G189" i="3"/>
  <c r="B188" i="3"/>
  <c r="C188" i="3"/>
  <c r="D188" i="3"/>
  <c r="E188" i="3"/>
  <c r="F188" i="3"/>
  <c r="G188" i="3"/>
  <c r="B187" i="3"/>
  <c r="C187" i="3"/>
  <c r="D187" i="3"/>
  <c r="E187" i="3"/>
  <c r="F187" i="3"/>
  <c r="G187" i="3"/>
  <c r="B186" i="3"/>
  <c r="C186" i="3"/>
  <c r="D186" i="3"/>
  <c r="E186" i="3"/>
  <c r="F186" i="3"/>
  <c r="G186" i="3"/>
  <c r="B185" i="3"/>
  <c r="C185" i="3"/>
  <c r="D185" i="3"/>
  <c r="E185" i="3"/>
  <c r="F185" i="3"/>
  <c r="G185" i="3"/>
  <c r="B184" i="3"/>
  <c r="C184" i="3"/>
  <c r="D184" i="3"/>
  <c r="E184" i="3"/>
  <c r="F184" i="3"/>
  <c r="G184" i="3"/>
  <c r="B183" i="3"/>
  <c r="C183" i="3"/>
  <c r="D183" i="3"/>
  <c r="E183" i="3"/>
  <c r="F183" i="3"/>
  <c r="G183" i="3"/>
  <c r="B182" i="3"/>
  <c r="C182" i="3"/>
  <c r="D182" i="3"/>
  <c r="E182" i="3"/>
  <c r="F182" i="3"/>
  <c r="G182" i="3"/>
  <c r="B181" i="3"/>
  <c r="C181" i="3"/>
  <c r="D181" i="3"/>
  <c r="E181" i="3"/>
  <c r="F181" i="3"/>
  <c r="G181" i="3"/>
  <c r="B180" i="3"/>
  <c r="C180" i="3"/>
  <c r="D180" i="3"/>
  <c r="E180" i="3"/>
  <c r="F180" i="3"/>
  <c r="G180" i="3"/>
  <c r="B179" i="3"/>
  <c r="C179" i="3"/>
  <c r="D179" i="3"/>
  <c r="E179" i="3"/>
  <c r="F179" i="3"/>
  <c r="G179" i="3"/>
  <c r="B178" i="3"/>
  <c r="C178" i="3"/>
  <c r="D178" i="3"/>
  <c r="E178" i="3"/>
  <c r="F178" i="3"/>
  <c r="G178" i="3"/>
  <c r="B177" i="3"/>
  <c r="D177" i="3"/>
  <c r="E177" i="3"/>
  <c r="F177" i="3"/>
  <c r="G177" i="3"/>
  <c r="B176" i="3"/>
  <c r="C176" i="3"/>
  <c r="D176" i="3"/>
  <c r="E176" i="3"/>
  <c r="F176" i="3"/>
  <c r="G176" i="3"/>
  <c r="B175" i="3"/>
  <c r="C175" i="3"/>
  <c r="D175" i="3"/>
  <c r="E175" i="3"/>
  <c r="F175" i="3"/>
  <c r="G175" i="3"/>
  <c r="B353" i="4"/>
  <c r="C353" i="4"/>
  <c r="D353" i="4"/>
  <c r="E353" i="4"/>
  <c r="F353" i="4"/>
  <c r="G353" i="4"/>
  <c r="B174" i="3"/>
  <c r="C174" i="3"/>
  <c r="D174" i="3"/>
  <c r="F174" i="3"/>
  <c r="G174" i="3"/>
  <c r="B173" i="3"/>
  <c r="C173" i="3"/>
  <c r="D173" i="3"/>
  <c r="E173" i="3"/>
  <c r="F173" i="3"/>
  <c r="G173" i="3"/>
  <c r="G159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S122" i="4"/>
  <c r="S121" i="4"/>
  <c r="S120" i="4"/>
  <c r="S119" i="4"/>
  <c r="S114" i="4"/>
  <c r="R170" i="3"/>
  <c r="R169" i="3"/>
  <c r="E16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B168" i="3"/>
  <c r="C168" i="3"/>
  <c r="D168" i="3"/>
  <c r="E168" i="3"/>
  <c r="F168" i="3"/>
  <c r="G168" i="3"/>
  <c r="B167" i="3"/>
  <c r="C167" i="3"/>
  <c r="D167" i="3"/>
  <c r="E167" i="3"/>
  <c r="F167" i="3"/>
  <c r="G167" i="3"/>
  <c r="B166" i="3"/>
  <c r="C166" i="3"/>
  <c r="D166" i="3"/>
  <c r="E166" i="3"/>
  <c r="F166" i="3"/>
  <c r="G166" i="3"/>
  <c r="R164" i="3"/>
  <c r="S101" i="4"/>
  <c r="S99" i="4"/>
  <c r="S96" i="4"/>
  <c r="S95" i="4"/>
  <c r="B165" i="3"/>
  <c r="C165" i="3"/>
  <c r="D165" i="3"/>
  <c r="E165" i="3"/>
  <c r="F165" i="3"/>
  <c r="G165" i="3"/>
  <c r="G164" i="3"/>
  <c r="F164" i="3"/>
  <c r="E164" i="3"/>
  <c r="D164" i="3"/>
  <c r="C164" i="3"/>
  <c r="B164" i="3"/>
  <c r="R163" i="3"/>
  <c r="G163" i="3"/>
  <c r="F163" i="3"/>
  <c r="E163" i="3"/>
  <c r="D163" i="3"/>
  <c r="C163" i="3"/>
  <c r="B163" i="3"/>
  <c r="B162" i="3"/>
  <c r="C162" i="3"/>
  <c r="D162" i="3"/>
  <c r="E162" i="3"/>
  <c r="F162" i="3"/>
  <c r="G162" i="3"/>
  <c r="S112" i="4"/>
  <c r="G161" i="3"/>
  <c r="F161" i="3"/>
  <c r="D161" i="3"/>
  <c r="C161" i="3"/>
  <c r="B161" i="3"/>
  <c r="S107" i="4"/>
  <c r="B160" i="3"/>
  <c r="C160" i="3"/>
  <c r="D160" i="3"/>
  <c r="E160" i="3"/>
  <c r="F160" i="3"/>
  <c r="G160" i="3"/>
  <c r="S106" i="4"/>
  <c r="S105" i="4"/>
  <c r="S102" i="4"/>
  <c r="B159" i="3"/>
  <c r="C159" i="3"/>
  <c r="D159" i="3"/>
  <c r="E159" i="3"/>
  <c r="F159" i="3"/>
  <c r="B158" i="3"/>
  <c r="C158" i="3"/>
  <c r="D158" i="3"/>
  <c r="E158" i="3"/>
  <c r="F158" i="3"/>
  <c r="G158" i="3"/>
  <c r="B157" i="3"/>
  <c r="C157" i="3"/>
  <c r="D157" i="3"/>
  <c r="E157" i="3"/>
  <c r="F157" i="3"/>
  <c r="G157" i="3"/>
  <c r="B156" i="3"/>
  <c r="C156" i="3"/>
  <c r="D156" i="3"/>
  <c r="E156" i="3"/>
  <c r="F156" i="3"/>
  <c r="B155" i="3"/>
  <c r="D155" i="3"/>
  <c r="E155" i="3"/>
  <c r="F155" i="3"/>
  <c r="G155" i="3"/>
  <c r="B154" i="3"/>
  <c r="C154" i="3"/>
  <c r="D154" i="3"/>
  <c r="E154" i="3"/>
  <c r="F154" i="3"/>
  <c r="G154" i="3"/>
  <c r="B153" i="3"/>
  <c r="C153" i="3"/>
  <c r="D153" i="3"/>
  <c r="E153" i="3"/>
  <c r="F153" i="3"/>
  <c r="G153" i="3"/>
  <c r="B152" i="3"/>
  <c r="C152" i="3"/>
  <c r="D152" i="3"/>
  <c r="E152" i="3"/>
  <c r="F152" i="3"/>
  <c r="G152" i="3"/>
  <c r="B151" i="3"/>
  <c r="C151" i="3"/>
  <c r="D151" i="3"/>
  <c r="F151" i="3"/>
  <c r="G151" i="3"/>
  <c r="B150" i="3"/>
  <c r="C150" i="3"/>
  <c r="D150" i="3"/>
  <c r="E150" i="3"/>
  <c r="F150" i="3"/>
  <c r="G150" i="3"/>
  <c r="B149" i="3"/>
  <c r="C149" i="3"/>
  <c r="E149" i="3"/>
  <c r="F149" i="3"/>
  <c r="G149" i="3"/>
  <c r="B148" i="3"/>
  <c r="C148" i="3"/>
  <c r="D148" i="3"/>
  <c r="E148" i="3"/>
  <c r="F148" i="3"/>
  <c r="G148" i="3"/>
  <c r="B147" i="3"/>
  <c r="C147" i="3"/>
  <c r="D147" i="3"/>
  <c r="E147" i="3"/>
  <c r="F147" i="3"/>
  <c r="G147" i="3"/>
  <c r="B146" i="3"/>
  <c r="C146" i="3"/>
  <c r="D146" i="3"/>
  <c r="E146" i="3"/>
  <c r="F146" i="3"/>
  <c r="G146" i="3"/>
  <c r="B145" i="3"/>
  <c r="C145" i="3"/>
  <c r="D145" i="3"/>
  <c r="E145" i="3"/>
  <c r="F145" i="3"/>
  <c r="G145" i="3"/>
  <c r="S97" i="4"/>
  <c r="S87" i="4"/>
  <c r="R79" i="3"/>
  <c r="R80" i="3"/>
  <c r="R81" i="3"/>
  <c r="R82" i="3"/>
  <c r="S84" i="4"/>
  <c r="R144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S82" i="4"/>
  <c r="S93" i="4"/>
  <c r="S92" i="4"/>
  <c r="R143" i="3"/>
  <c r="S91" i="4"/>
  <c r="G142" i="3"/>
  <c r="F142" i="3"/>
  <c r="E142" i="3"/>
  <c r="D142" i="3"/>
  <c r="C142" i="3"/>
  <c r="B142" i="3"/>
  <c r="G141" i="3"/>
  <c r="F141" i="3"/>
  <c r="E141" i="3"/>
  <c r="D141" i="3"/>
  <c r="C141" i="3"/>
  <c r="B141" i="3"/>
  <c r="R142" i="3"/>
  <c r="S90" i="4"/>
  <c r="R141" i="3"/>
  <c r="S89" i="4"/>
  <c r="E82" i="3"/>
  <c r="G140" i="3"/>
  <c r="F140" i="3"/>
  <c r="E140" i="3"/>
  <c r="D140" i="3"/>
  <c r="C140" i="3"/>
  <c r="B140" i="3"/>
  <c r="R140" i="3"/>
  <c r="B139" i="3"/>
  <c r="C139" i="3"/>
  <c r="D139" i="3"/>
  <c r="E139" i="3"/>
  <c r="F139" i="3"/>
  <c r="G139" i="3"/>
  <c r="R78" i="3"/>
  <c r="G138" i="3"/>
  <c r="F138" i="3"/>
  <c r="E138" i="3"/>
  <c r="D138" i="3"/>
  <c r="C138" i="3"/>
  <c r="B138" i="3"/>
  <c r="D55" i="3"/>
  <c r="S88" i="4"/>
  <c r="S79" i="4"/>
  <c r="R138" i="3"/>
  <c r="G137" i="3"/>
  <c r="F137" i="3"/>
  <c r="E137" i="3"/>
  <c r="D137" i="3"/>
  <c r="C137" i="3"/>
  <c r="B137" i="3"/>
  <c r="R137" i="3"/>
  <c r="G136" i="3"/>
  <c r="F136" i="3"/>
  <c r="E136" i="3"/>
  <c r="D136" i="3"/>
  <c r="C136" i="3"/>
  <c r="B136" i="3"/>
  <c r="S86" i="4"/>
  <c r="S73" i="4"/>
  <c r="S85" i="4"/>
  <c r="S83" i="4"/>
  <c r="S72" i="4"/>
  <c r="R136" i="3"/>
  <c r="D83" i="4"/>
  <c r="G135" i="3"/>
  <c r="F135" i="3"/>
  <c r="E135" i="3"/>
  <c r="D135" i="3"/>
  <c r="C135" i="3"/>
  <c r="B135" i="3"/>
  <c r="S71" i="4"/>
  <c r="R135" i="3"/>
  <c r="G134" i="3"/>
  <c r="F134" i="3"/>
  <c r="E134" i="3"/>
  <c r="D134" i="3"/>
  <c r="C134" i="3"/>
  <c r="B134" i="3"/>
  <c r="S70" i="4"/>
  <c r="S69" i="4"/>
  <c r="S81" i="4"/>
  <c r="S80" i="4"/>
  <c r="S64" i="4"/>
  <c r="R134" i="3"/>
  <c r="S59" i="4"/>
  <c r="S56" i="4"/>
  <c r="G133" i="3"/>
  <c r="F133" i="3"/>
  <c r="E133" i="3"/>
  <c r="D133" i="3"/>
  <c r="C133" i="3"/>
  <c r="B133" i="3"/>
  <c r="R133" i="3"/>
  <c r="S77" i="4"/>
  <c r="S352" i="4"/>
  <c r="G352" i="4"/>
  <c r="F352" i="4"/>
  <c r="E352" i="4"/>
  <c r="D352" i="4"/>
  <c r="C352" i="4"/>
  <c r="B352" i="4"/>
  <c r="R132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R131" i="3"/>
  <c r="S76" i="4"/>
  <c r="G130" i="3"/>
  <c r="F130" i="3"/>
  <c r="E130" i="3"/>
  <c r="D130" i="3"/>
  <c r="C130" i="3"/>
  <c r="B130" i="3"/>
  <c r="R130" i="3"/>
  <c r="G129" i="3"/>
  <c r="F129" i="3"/>
  <c r="E129" i="3"/>
  <c r="D129" i="3"/>
  <c r="C129" i="3"/>
  <c r="B129" i="3"/>
  <c r="R129" i="3"/>
  <c r="R128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351" i="4"/>
  <c r="F351" i="4"/>
  <c r="E351" i="4"/>
  <c r="D351" i="4"/>
  <c r="C351" i="4"/>
  <c r="B351" i="4"/>
  <c r="G124" i="3"/>
  <c r="F124" i="3"/>
  <c r="E124" i="3"/>
  <c r="D124" i="3"/>
  <c r="C124" i="3"/>
  <c r="B124" i="3"/>
  <c r="R127" i="3"/>
  <c r="R126" i="3"/>
  <c r="S351" i="4"/>
  <c r="R125" i="3"/>
  <c r="R124" i="3"/>
  <c r="R123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350" i="4"/>
  <c r="F350" i="4"/>
  <c r="E350" i="4"/>
  <c r="D350" i="4"/>
  <c r="C350" i="4"/>
  <c r="B350" i="4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D37" i="4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S67" i="4"/>
  <c r="S66" i="4"/>
  <c r="R122" i="3"/>
  <c r="S65" i="4"/>
  <c r="S51" i="4"/>
  <c r="R121" i="3"/>
  <c r="S350" i="4"/>
  <c r="R120" i="3"/>
  <c r="R119" i="3"/>
  <c r="R118" i="3"/>
  <c r="S61" i="4"/>
  <c r="R117" i="3"/>
  <c r="S50" i="4"/>
  <c r="R116" i="3"/>
  <c r="S60" i="4"/>
  <c r="S49" i="4"/>
  <c r="S44" i="4"/>
  <c r="S40" i="4"/>
  <c r="S47" i="4"/>
  <c r="S39" i="4"/>
  <c r="S37" i="4"/>
  <c r="S46" i="4"/>
  <c r="R115" i="3"/>
  <c r="R114" i="3"/>
  <c r="S45" i="4"/>
  <c r="R113" i="3"/>
  <c r="R112" i="3"/>
  <c r="R111" i="3"/>
  <c r="R110" i="3"/>
  <c r="R109" i="3"/>
  <c r="R108" i="3"/>
  <c r="R107" i="3"/>
  <c r="S43" i="4"/>
  <c r="S36" i="4"/>
  <c r="S42" i="4"/>
  <c r="S38" i="4"/>
  <c r="S34" i="4"/>
  <c r="S35" i="4"/>
  <c r="S33" i="4"/>
  <c r="S31" i="4"/>
  <c r="S32" i="4"/>
  <c r="R106" i="3"/>
  <c r="S29" i="4"/>
  <c r="S25" i="4"/>
  <c r="S24" i="4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S21" i="4"/>
  <c r="R92" i="3"/>
  <c r="R89" i="3"/>
  <c r="G91" i="3"/>
  <c r="F91" i="3"/>
  <c r="E91" i="3"/>
  <c r="D91" i="3"/>
  <c r="C91" i="3"/>
  <c r="B91" i="3"/>
  <c r="G90" i="3"/>
  <c r="F90" i="3"/>
  <c r="E90" i="3"/>
  <c r="D90" i="3"/>
  <c r="C90" i="3"/>
  <c r="B90" i="3"/>
  <c r="R91" i="3"/>
  <c r="R90" i="3"/>
  <c r="G89" i="3"/>
  <c r="F89" i="3"/>
  <c r="E89" i="3"/>
  <c r="D89" i="3"/>
  <c r="C89" i="3"/>
  <c r="B89" i="3"/>
  <c r="S9" i="4"/>
  <c r="S22" i="4"/>
  <c r="G88" i="3"/>
  <c r="F88" i="3"/>
  <c r="E88" i="3"/>
  <c r="D88" i="3"/>
  <c r="C88" i="3"/>
  <c r="B88" i="3"/>
  <c r="R88" i="3"/>
  <c r="G87" i="3"/>
  <c r="F87" i="3"/>
  <c r="E87" i="3"/>
  <c r="D87" i="3"/>
  <c r="C87" i="3"/>
  <c r="B87" i="3"/>
  <c r="S23" i="4"/>
  <c r="R87" i="3"/>
  <c r="S20" i="4"/>
  <c r="S18" i="4"/>
  <c r="S16" i="4"/>
  <c r="S15" i="4"/>
  <c r="S11" i="4"/>
  <c r="G86" i="3"/>
  <c r="F86" i="3"/>
  <c r="E86" i="3"/>
  <c r="D86" i="3"/>
  <c r="C86" i="3"/>
  <c r="B86" i="3"/>
  <c r="R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R85" i="3"/>
  <c r="R84" i="3"/>
  <c r="R83" i="3"/>
  <c r="R72" i="3"/>
  <c r="B77" i="3"/>
  <c r="C77" i="3"/>
  <c r="D77" i="3"/>
  <c r="E77" i="3"/>
  <c r="F77" i="3"/>
  <c r="G77" i="3"/>
  <c r="G76" i="3"/>
  <c r="F76" i="3"/>
  <c r="E76" i="3"/>
  <c r="D76" i="3"/>
  <c r="C76" i="3"/>
  <c r="B76" i="3"/>
  <c r="R76" i="3"/>
  <c r="G75" i="3"/>
  <c r="F75" i="3"/>
  <c r="E75" i="3"/>
  <c r="D75" i="3"/>
  <c r="C75" i="3"/>
  <c r="B75" i="3"/>
  <c r="R75" i="3"/>
  <c r="R74" i="3"/>
  <c r="G74" i="3"/>
  <c r="F74" i="3"/>
  <c r="E74" i="3"/>
  <c r="D74" i="3"/>
  <c r="C74" i="3"/>
  <c r="B74" i="3"/>
  <c r="R73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R71" i="3"/>
  <c r="R70" i="3"/>
  <c r="F69" i="3"/>
  <c r="G69" i="3"/>
  <c r="E69" i="3"/>
  <c r="G68" i="3"/>
  <c r="G70" i="3"/>
  <c r="F70" i="3"/>
  <c r="E70" i="3"/>
  <c r="D70" i="3"/>
  <c r="D69" i="3"/>
  <c r="B69" i="3"/>
  <c r="C70" i="3"/>
  <c r="C69" i="3"/>
  <c r="B70" i="3"/>
  <c r="R69" i="3"/>
  <c r="B68" i="3"/>
  <c r="C68" i="3"/>
  <c r="D68" i="3"/>
  <c r="E68" i="3"/>
  <c r="F68" i="3"/>
  <c r="B67" i="3"/>
  <c r="C67" i="3"/>
  <c r="R68" i="3"/>
  <c r="D67" i="3"/>
  <c r="E67" i="3"/>
  <c r="F67" i="3"/>
  <c r="G67" i="3"/>
  <c r="R67" i="3"/>
  <c r="E65" i="3"/>
  <c r="B65" i="3"/>
  <c r="E62" i="3"/>
  <c r="E64" i="3"/>
  <c r="C64" i="3"/>
  <c r="F60" i="3"/>
  <c r="B63" i="3"/>
  <c r="D65" i="3"/>
  <c r="G66" i="3"/>
  <c r="B62" i="3"/>
  <c r="G61" i="3"/>
  <c r="D59" i="3"/>
  <c r="F61" i="3"/>
  <c r="B64" i="3"/>
  <c r="D66" i="3"/>
  <c r="C65" i="3"/>
  <c r="F62" i="3"/>
  <c r="G64" i="3"/>
  <c r="F59" i="3"/>
  <c r="C59" i="3"/>
  <c r="E61" i="3"/>
  <c r="G63" i="3"/>
  <c r="C66" i="3"/>
  <c r="D60" i="3"/>
  <c r="B59" i="3"/>
  <c r="D61" i="3"/>
  <c r="F63" i="3"/>
  <c r="B66" i="3"/>
  <c r="E60" i="3"/>
  <c r="F64" i="3"/>
  <c r="C62" i="3"/>
  <c r="E66" i="3"/>
  <c r="C61" i="3"/>
  <c r="E63" i="3"/>
  <c r="G65" i="3"/>
  <c r="G62" i="3"/>
  <c r="D62" i="3"/>
  <c r="G59" i="3"/>
  <c r="F66" i="3"/>
  <c r="B61" i="3"/>
  <c r="D63" i="3"/>
  <c r="F65" i="3"/>
  <c r="C60" i="3"/>
  <c r="B60" i="3"/>
  <c r="D64" i="3"/>
  <c r="G60" i="3"/>
  <c r="R62" i="3"/>
  <c r="C63" i="3"/>
  <c r="R59" i="3"/>
  <c r="R66" i="3"/>
  <c r="R64" i="3"/>
  <c r="R55" i="3"/>
  <c r="R63" i="3"/>
  <c r="R60" i="3"/>
  <c r="R61" i="3"/>
  <c r="R65" i="3"/>
  <c r="S10" i="4"/>
  <c r="G57" i="3"/>
  <c r="D54" i="3"/>
  <c r="C57" i="3"/>
  <c r="E57" i="3"/>
  <c r="F57" i="3"/>
  <c r="R58" i="3"/>
  <c r="D57" i="3"/>
  <c r="B58" i="3"/>
  <c r="C58" i="3"/>
  <c r="D58" i="3"/>
  <c r="E58" i="3"/>
  <c r="F58" i="3"/>
  <c r="G58" i="3"/>
  <c r="B57" i="3"/>
  <c r="R57" i="3"/>
  <c r="E51" i="3"/>
  <c r="B51" i="3"/>
  <c r="G47" i="3"/>
  <c r="E49" i="3"/>
  <c r="C51" i="3"/>
  <c r="G55" i="3"/>
  <c r="B46" i="3"/>
  <c r="F49" i="3"/>
  <c r="D51" i="3"/>
  <c r="G53" i="3"/>
  <c r="F55" i="3"/>
  <c r="C46" i="3"/>
  <c r="G49" i="3"/>
  <c r="E55" i="3"/>
  <c r="D46" i="3"/>
  <c r="B48" i="3"/>
  <c r="F51" i="3"/>
  <c r="E46" i="3"/>
  <c r="C48" i="3"/>
  <c r="G51" i="3"/>
  <c r="B54" i="3"/>
  <c r="C55" i="3"/>
  <c r="F46" i="3"/>
  <c r="D48" i="3"/>
  <c r="B50" i="3"/>
  <c r="C54" i="3"/>
  <c r="B55" i="3"/>
  <c r="G46" i="3"/>
  <c r="E48" i="3"/>
  <c r="C50" i="3"/>
  <c r="B56" i="3"/>
  <c r="F48" i="3"/>
  <c r="D50" i="3"/>
  <c r="B52" i="3"/>
  <c r="E54" i="3"/>
  <c r="C56" i="3"/>
  <c r="G48" i="3"/>
  <c r="E50" i="3"/>
  <c r="C52" i="3"/>
  <c r="F54" i="3"/>
  <c r="D56" i="3"/>
  <c r="B47" i="3"/>
  <c r="F50" i="3"/>
  <c r="D52" i="3"/>
  <c r="G54" i="3"/>
  <c r="E56" i="3"/>
  <c r="C47" i="3"/>
  <c r="G50" i="3"/>
  <c r="E52" i="3"/>
  <c r="F56" i="3"/>
  <c r="D47" i="3"/>
  <c r="B49" i="3"/>
  <c r="F52" i="3"/>
  <c r="G56" i="3"/>
  <c r="E47" i="3"/>
  <c r="C49" i="3"/>
  <c r="G52" i="3"/>
  <c r="F47" i="3"/>
  <c r="D49" i="3"/>
  <c r="R56" i="3"/>
  <c r="S5" i="4"/>
  <c r="R54" i="3"/>
  <c r="R53" i="3"/>
  <c r="R52" i="3"/>
  <c r="R50" i="3"/>
  <c r="R49" i="3"/>
  <c r="R48" i="3"/>
  <c r="R46" i="3"/>
  <c r="R47" i="3"/>
  <c r="D43" i="3"/>
  <c r="F44" i="3"/>
  <c r="B42" i="3"/>
  <c r="G44" i="3"/>
  <c r="B43" i="3"/>
  <c r="C45" i="3"/>
  <c r="F43" i="3"/>
  <c r="D45" i="3"/>
  <c r="E43" i="3"/>
  <c r="G43" i="3"/>
  <c r="E45" i="3"/>
  <c r="B45" i="3"/>
  <c r="C42" i="3"/>
  <c r="G45" i="3"/>
  <c r="D42" i="3"/>
  <c r="E42" i="3"/>
  <c r="C44" i="3"/>
  <c r="C43" i="3"/>
  <c r="F45" i="3"/>
  <c r="B44" i="3"/>
  <c r="F42" i="3"/>
  <c r="D44" i="3"/>
  <c r="G42" i="3"/>
  <c r="E44" i="3"/>
  <c r="R45" i="3"/>
  <c r="R44" i="3"/>
  <c r="R43" i="3"/>
  <c r="R40" i="3"/>
  <c r="R41" i="3"/>
  <c r="S2" i="4"/>
  <c r="S186" i="4"/>
  <c r="B41" i="3"/>
  <c r="C41" i="3"/>
  <c r="D41" i="3"/>
  <c r="E41" i="3"/>
  <c r="F41" i="3"/>
  <c r="G41" i="3"/>
  <c r="B40" i="3"/>
  <c r="C40" i="3"/>
  <c r="D40" i="3"/>
  <c r="E40" i="3"/>
  <c r="F40" i="3"/>
  <c r="G40" i="3"/>
  <c r="S3" i="4"/>
  <c r="D38" i="3"/>
  <c r="B39" i="3"/>
  <c r="C39" i="3"/>
  <c r="D39" i="3"/>
  <c r="E39" i="3"/>
  <c r="F39" i="3"/>
  <c r="G39" i="3"/>
  <c r="R39" i="3"/>
  <c r="D34" i="3"/>
  <c r="B36" i="3"/>
  <c r="E34" i="3"/>
  <c r="C36" i="3"/>
  <c r="B32" i="3"/>
  <c r="F34" i="3"/>
  <c r="D36" i="3"/>
  <c r="B38" i="3"/>
  <c r="C32" i="3"/>
  <c r="G34" i="3"/>
  <c r="E36" i="3"/>
  <c r="C38" i="3"/>
  <c r="D32" i="3"/>
  <c r="F36" i="3"/>
  <c r="F30" i="3"/>
  <c r="E32" i="3"/>
  <c r="G36" i="3"/>
  <c r="E38" i="3"/>
  <c r="F32" i="3"/>
  <c r="B35" i="3"/>
  <c r="F38" i="3"/>
  <c r="G32" i="3"/>
  <c r="C35" i="3"/>
  <c r="G38" i="3"/>
  <c r="D35" i="3"/>
  <c r="B37" i="3"/>
  <c r="E35" i="3"/>
  <c r="C37" i="3"/>
  <c r="F35" i="3"/>
  <c r="D37" i="3"/>
  <c r="G33" i="3"/>
  <c r="R33" i="3"/>
  <c r="G35" i="3"/>
  <c r="E37" i="3"/>
  <c r="B34" i="3"/>
  <c r="F37" i="3"/>
  <c r="C34" i="3"/>
  <c r="G37" i="3"/>
  <c r="R32" i="3"/>
  <c r="R38" i="3"/>
  <c r="R37" i="3"/>
  <c r="R35" i="3"/>
  <c r="R34" i="3"/>
  <c r="R36" i="3"/>
  <c r="R31" i="3"/>
  <c r="B39" i="5"/>
  <c r="F42" i="5"/>
  <c r="G110" i="5"/>
  <c r="G96" i="5"/>
  <c r="G82" i="5"/>
  <c r="G68" i="5"/>
  <c r="G54" i="5"/>
  <c r="F117" i="5"/>
  <c r="F101" i="5"/>
  <c r="F86" i="5"/>
  <c r="F72" i="5"/>
  <c r="F57" i="5"/>
  <c r="F43" i="5"/>
  <c r="E106" i="5"/>
  <c r="E92" i="5"/>
  <c r="E78" i="5"/>
  <c r="E64" i="5"/>
  <c r="E50" i="5"/>
  <c r="D113" i="5"/>
  <c r="D97" i="5"/>
  <c r="D82" i="5"/>
  <c r="D68" i="5"/>
  <c r="D53" i="5"/>
  <c r="C116" i="5"/>
  <c r="C101" i="5"/>
  <c r="C87" i="5"/>
  <c r="C73" i="5"/>
  <c r="C59" i="5"/>
  <c r="C45" i="5"/>
  <c r="B108" i="5"/>
  <c r="B92" i="5"/>
  <c r="B77" i="5"/>
  <c r="B63" i="5"/>
  <c r="B48" i="5"/>
  <c r="B21" i="3"/>
  <c r="G23" i="3"/>
  <c r="F25" i="3"/>
  <c r="B28" i="3"/>
  <c r="G30" i="3"/>
  <c r="G40" i="5"/>
  <c r="E42" i="5"/>
  <c r="G109" i="5"/>
  <c r="G95" i="5"/>
  <c r="G81" i="5"/>
  <c r="G67" i="5"/>
  <c r="G53" i="5"/>
  <c r="F116" i="5"/>
  <c r="F100" i="5"/>
  <c r="F85" i="5"/>
  <c r="F71" i="5"/>
  <c r="F56" i="5"/>
  <c r="E119" i="5"/>
  <c r="E105" i="5"/>
  <c r="E91" i="5"/>
  <c r="E77" i="5"/>
  <c r="E63" i="5"/>
  <c r="E49" i="5"/>
  <c r="D112" i="5"/>
  <c r="D96" i="5"/>
  <c r="D81" i="5"/>
  <c r="D67" i="5"/>
  <c r="D52" i="5"/>
  <c r="C115" i="5"/>
  <c r="C100" i="5"/>
  <c r="C86" i="5"/>
  <c r="C72" i="5"/>
  <c r="C58" i="5"/>
  <c r="C44" i="5"/>
  <c r="B107" i="5"/>
  <c r="B91" i="5"/>
  <c r="B76" i="5"/>
  <c r="B61" i="5"/>
  <c r="B47" i="5"/>
  <c r="E25" i="3"/>
  <c r="G27" i="3"/>
  <c r="B29" i="3"/>
  <c r="C29" i="3"/>
  <c r="G80" i="5"/>
  <c r="F99" i="5"/>
  <c r="E90" i="5"/>
  <c r="D111" i="5"/>
  <c r="D80" i="5"/>
  <c r="D66" i="5"/>
  <c r="D51" i="5"/>
  <c r="C114" i="5"/>
  <c r="C99" i="5"/>
  <c r="C85" i="5"/>
  <c r="C71" i="5"/>
  <c r="C57" i="5"/>
  <c r="C43" i="5"/>
  <c r="B106" i="5"/>
  <c r="B89" i="5"/>
  <c r="B75" i="5"/>
  <c r="F27" i="3"/>
  <c r="G38" i="5"/>
  <c r="E40" i="5"/>
  <c r="C42" i="5"/>
  <c r="G107" i="5"/>
  <c r="G93" i="5"/>
  <c r="G79" i="5"/>
  <c r="G65" i="5"/>
  <c r="G51" i="5"/>
  <c r="F114" i="5"/>
  <c r="F98" i="5"/>
  <c r="F83" i="5"/>
  <c r="F69" i="5"/>
  <c r="F54" i="5"/>
  <c r="E117" i="5"/>
  <c r="E103" i="5"/>
  <c r="E89" i="5"/>
  <c r="E75" i="5"/>
  <c r="E61" i="5"/>
  <c r="E47" i="5"/>
  <c r="D110" i="5"/>
  <c r="D94" i="5"/>
  <c r="D79" i="5"/>
  <c r="D65" i="5"/>
  <c r="D50" i="5"/>
  <c r="C113" i="5"/>
  <c r="C98" i="5"/>
  <c r="C84" i="5"/>
  <c r="C70" i="5"/>
  <c r="C56" i="5"/>
  <c r="B119" i="5"/>
  <c r="B105" i="5"/>
  <c r="B88" i="5"/>
  <c r="B74" i="5"/>
  <c r="B59" i="5"/>
  <c r="B45" i="5"/>
  <c r="G22" i="3"/>
  <c r="C25" i="3"/>
  <c r="E27" i="3"/>
  <c r="D29" i="3"/>
  <c r="B31" i="3"/>
  <c r="F38" i="5"/>
  <c r="D40" i="5"/>
  <c r="B42" i="5"/>
  <c r="G106" i="5"/>
  <c r="G92" i="5"/>
  <c r="G78" i="5"/>
  <c r="G64" i="5"/>
  <c r="G50" i="5"/>
  <c r="F113" i="5"/>
  <c r="F97" i="5"/>
  <c r="F82" i="5"/>
  <c r="F68" i="5"/>
  <c r="F53" i="5"/>
  <c r="E116" i="5"/>
  <c r="E102" i="5"/>
  <c r="E88" i="5"/>
  <c r="E74" i="5"/>
  <c r="E60" i="5"/>
  <c r="E46" i="5"/>
  <c r="D109" i="5"/>
  <c r="D93" i="5"/>
  <c r="D78" i="5"/>
  <c r="D64" i="5"/>
  <c r="D49" i="5"/>
  <c r="C112" i="5"/>
  <c r="C97" i="5"/>
  <c r="C83" i="5"/>
  <c r="C69" i="5"/>
  <c r="C55" i="5"/>
  <c r="B118" i="5"/>
  <c r="B103" i="5"/>
  <c r="B87" i="5"/>
  <c r="B73" i="5"/>
  <c r="B58" i="5"/>
  <c r="B44" i="5"/>
  <c r="F22" i="3"/>
  <c r="B25" i="3"/>
  <c r="D27" i="3"/>
  <c r="E29" i="3"/>
  <c r="C31" i="3"/>
  <c r="D42" i="5"/>
  <c r="B46" i="5"/>
  <c r="E38" i="5"/>
  <c r="C40" i="5"/>
  <c r="G119" i="5"/>
  <c r="G105" i="5"/>
  <c r="G91" i="5"/>
  <c r="G77" i="5"/>
  <c r="G63" i="5"/>
  <c r="G49" i="5"/>
  <c r="F112" i="5"/>
  <c r="F96" i="5"/>
  <c r="F81" i="5"/>
  <c r="F67" i="5"/>
  <c r="F52" i="5"/>
  <c r="E115" i="5"/>
  <c r="E101" i="5"/>
  <c r="E87" i="5"/>
  <c r="E73" i="5"/>
  <c r="E59" i="5"/>
  <c r="E45" i="5"/>
  <c r="D108" i="5"/>
  <c r="D92" i="5"/>
  <c r="D77" i="5"/>
  <c r="D63" i="5"/>
  <c r="D48" i="5"/>
  <c r="C111" i="5"/>
  <c r="C96" i="5"/>
  <c r="C82" i="5"/>
  <c r="C68" i="5"/>
  <c r="C54" i="5"/>
  <c r="B117" i="5"/>
  <c r="B101" i="5"/>
  <c r="B86" i="5"/>
  <c r="B72" i="5"/>
  <c r="B57" i="5"/>
  <c r="B43" i="5"/>
  <c r="E22" i="3"/>
  <c r="G24" i="3"/>
  <c r="C27" i="3"/>
  <c r="F29" i="3"/>
  <c r="D31" i="3"/>
  <c r="G108" i="5"/>
  <c r="G66" i="5"/>
  <c r="G52" i="5"/>
  <c r="F84" i="5"/>
  <c r="F70" i="5"/>
  <c r="E118" i="5"/>
  <c r="E62" i="5"/>
  <c r="D25" i="3"/>
  <c r="D38" i="5"/>
  <c r="B40" i="5"/>
  <c r="G118" i="5"/>
  <c r="G104" i="5"/>
  <c r="G90" i="5"/>
  <c r="G76" i="5"/>
  <c r="G62" i="5"/>
  <c r="G48" i="5"/>
  <c r="F111" i="5"/>
  <c r="F95" i="5"/>
  <c r="F80" i="5"/>
  <c r="F66" i="5"/>
  <c r="F51" i="5"/>
  <c r="E114" i="5"/>
  <c r="E100" i="5"/>
  <c r="E86" i="5"/>
  <c r="E72" i="5"/>
  <c r="E58" i="5"/>
  <c r="E44" i="5"/>
  <c r="D107" i="5"/>
  <c r="D91" i="5"/>
  <c r="D76" i="5"/>
  <c r="D61" i="5"/>
  <c r="D47" i="5"/>
  <c r="C110" i="5"/>
  <c r="C95" i="5"/>
  <c r="C81" i="5"/>
  <c r="C67" i="5"/>
  <c r="C53" i="5"/>
  <c r="B116" i="5"/>
  <c r="B100" i="5"/>
  <c r="B85" i="5"/>
  <c r="B71" i="5"/>
  <c r="B56" i="5"/>
  <c r="D14" i="3"/>
  <c r="D22" i="3"/>
  <c r="F24" i="3"/>
  <c r="B27" i="3"/>
  <c r="G29" i="3"/>
  <c r="E31" i="3"/>
  <c r="F40" i="5"/>
  <c r="G94" i="5"/>
  <c r="F115" i="5"/>
  <c r="F55" i="5"/>
  <c r="E104" i="5"/>
  <c r="E48" i="5"/>
  <c r="B60" i="5"/>
  <c r="C38" i="5"/>
  <c r="G41" i="5"/>
  <c r="G117" i="5"/>
  <c r="G103" i="5"/>
  <c r="G89" i="5"/>
  <c r="G75" i="5"/>
  <c r="G61" i="5"/>
  <c r="G47" i="5"/>
  <c r="F110" i="5"/>
  <c r="F94" i="5"/>
  <c r="F79" i="5"/>
  <c r="F65" i="5"/>
  <c r="F50" i="5"/>
  <c r="E113" i="5"/>
  <c r="E99" i="5"/>
  <c r="E85" i="5"/>
  <c r="E71" i="5"/>
  <c r="E57" i="5"/>
  <c r="E43" i="5"/>
  <c r="D106" i="5"/>
  <c r="D89" i="5"/>
  <c r="D75" i="5"/>
  <c r="D60" i="5"/>
  <c r="D46" i="5"/>
  <c r="C109" i="5"/>
  <c r="C94" i="5"/>
  <c r="C80" i="5"/>
  <c r="C66" i="5"/>
  <c r="C52" i="5"/>
  <c r="B115" i="5"/>
  <c r="B99" i="5"/>
  <c r="B84" i="5"/>
  <c r="B70" i="5"/>
  <c r="B55" i="5"/>
  <c r="C22" i="3"/>
  <c r="E24" i="3"/>
  <c r="G26" i="3"/>
  <c r="F31" i="3"/>
  <c r="D95" i="5"/>
  <c r="B38" i="5"/>
  <c r="F41" i="5"/>
  <c r="G116" i="5"/>
  <c r="G102" i="5"/>
  <c r="G88" i="5"/>
  <c r="G74" i="5"/>
  <c r="G60" i="5"/>
  <c r="G46" i="5"/>
  <c r="F109" i="5"/>
  <c r="F93" i="5"/>
  <c r="F78" i="5"/>
  <c r="F64" i="5"/>
  <c r="F49" i="5"/>
  <c r="E112" i="5"/>
  <c r="E98" i="5"/>
  <c r="E84" i="5"/>
  <c r="E70" i="5"/>
  <c r="E56" i="5"/>
  <c r="D119" i="5"/>
  <c r="D105" i="5"/>
  <c r="D88" i="5"/>
  <c r="D74" i="5"/>
  <c r="D59" i="5"/>
  <c r="D45" i="5"/>
  <c r="C108" i="5"/>
  <c r="C93" i="5"/>
  <c r="C79" i="5"/>
  <c r="C65" i="5"/>
  <c r="C51" i="5"/>
  <c r="B114" i="5"/>
  <c r="B98" i="5"/>
  <c r="B83" i="5"/>
  <c r="B69" i="5"/>
  <c r="B54" i="5"/>
  <c r="B22" i="3"/>
  <c r="D24" i="3"/>
  <c r="F26" i="3"/>
  <c r="G31" i="3"/>
  <c r="E76" i="5"/>
  <c r="G39" i="5"/>
  <c r="E41" i="5"/>
  <c r="G115" i="5"/>
  <c r="G101" i="5"/>
  <c r="G87" i="5"/>
  <c r="G73" i="5"/>
  <c r="G59" i="5"/>
  <c r="G45" i="5"/>
  <c r="F108" i="5"/>
  <c r="F92" i="5"/>
  <c r="F77" i="5"/>
  <c r="F63" i="5"/>
  <c r="F48" i="5"/>
  <c r="E111" i="5"/>
  <c r="E97" i="5"/>
  <c r="E83" i="5"/>
  <c r="E69" i="5"/>
  <c r="E55" i="5"/>
  <c r="D118" i="5"/>
  <c r="D103" i="5"/>
  <c r="D87" i="5"/>
  <c r="D73" i="5"/>
  <c r="D58" i="5"/>
  <c r="D44" i="5"/>
  <c r="C107" i="5"/>
  <c r="C92" i="5"/>
  <c r="C78" i="5"/>
  <c r="C64" i="5"/>
  <c r="C50" i="5"/>
  <c r="B113" i="5"/>
  <c r="B97" i="5"/>
  <c r="B82" i="5"/>
  <c r="B68" i="5"/>
  <c r="B53" i="5"/>
  <c r="G21" i="3"/>
  <c r="B23" i="3"/>
  <c r="C24" i="3"/>
  <c r="E26" i="3"/>
  <c r="G28" i="3"/>
  <c r="B30" i="3"/>
  <c r="F39" i="5"/>
  <c r="D41" i="5"/>
  <c r="G114" i="5"/>
  <c r="G100" i="5"/>
  <c r="G86" i="5"/>
  <c r="G72" i="5"/>
  <c r="G58" i="5"/>
  <c r="G44" i="5"/>
  <c r="F107" i="5"/>
  <c r="F91" i="5"/>
  <c r="F76" i="5"/>
  <c r="F61" i="5"/>
  <c r="F47" i="5"/>
  <c r="E110" i="5"/>
  <c r="E96" i="5"/>
  <c r="E82" i="5"/>
  <c r="E68" i="5"/>
  <c r="E54" i="5"/>
  <c r="D117" i="5"/>
  <c r="D101" i="5"/>
  <c r="D86" i="5"/>
  <c r="D72" i="5"/>
  <c r="D57" i="5"/>
  <c r="D43" i="5"/>
  <c r="C106" i="5"/>
  <c r="C91" i="5"/>
  <c r="C77" i="5"/>
  <c r="C63" i="5"/>
  <c r="C49" i="5"/>
  <c r="B112" i="5"/>
  <c r="B96" i="5"/>
  <c r="B81" i="5"/>
  <c r="B67" i="5"/>
  <c r="B52" i="5"/>
  <c r="F21" i="3"/>
  <c r="C23" i="3"/>
  <c r="B24" i="3"/>
  <c r="D26" i="3"/>
  <c r="F28" i="3"/>
  <c r="C30" i="3"/>
  <c r="E39" i="5"/>
  <c r="C41" i="5"/>
  <c r="G113" i="5"/>
  <c r="G99" i="5"/>
  <c r="G85" i="5"/>
  <c r="G71" i="5"/>
  <c r="G57" i="5"/>
  <c r="G43" i="5"/>
  <c r="F106" i="5"/>
  <c r="F89" i="5"/>
  <c r="F75" i="5"/>
  <c r="F60" i="5"/>
  <c r="F46" i="5"/>
  <c r="E109" i="5"/>
  <c r="E95" i="5"/>
  <c r="E81" i="5"/>
  <c r="E67" i="5"/>
  <c r="E53" i="5"/>
  <c r="D116" i="5"/>
  <c r="D100" i="5"/>
  <c r="D85" i="5"/>
  <c r="D71" i="5"/>
  <c r="D56" i="5"/>
  <c r="C119" i="5"/>
  <c r="C105" i="5"/>
  <c r="C90" i="5"/>
  <c r="C76" i="5"/>
  <c r="C62" i="5"/>
  <c r="C48" i="5"/>
  <c r="B111" i="5"/>
  <c r="B95" i="5"/>
  <c r="B80" i="5"/>
  <c r="B66" i="5"/>
  <c r="B51" i="5"/>
  <c r="E21" i="3"/>
  <c r="D23" i="3"/>
  <c r="C26" i="3"/>
  <c r="E28" i="3"/>
  <c r="D30" i="3"/>
  <c r="D39" i="5"/>
  <c r="B41" i="5"/>
  <c r="G112" i="5"/>
  <c r="G98" i="5"/>
  <c r="G84" i="5"/>
  <c r="G70" i="5"/>
  <c r="G56" i="5"/>
  <c r="F119" i="5"/>
  <c r="F105" i="5"/>
  <c r="F88" i="5"/>
  <c r="F74" i="5"/>
  <c r="F59" i="5"/>
  <c r="F45" i="5"/>
  <c r="E108" i="5"/>
  <c r="E94" i="5"/>
  <c r="E80" i="5"/>
  <c r="E66" i="5"/>
  <c r="E52" i="5"/>
  <c r="D115" i="5"/>
  <c r="D99" i="5"/>
  <c r="D84" i="5"/>
  <c r="D70" i="5"/>
  <c r="D55" i="5"/>
  <c r="C118" i="5"/>
  <c r="C104" i="5"/>
  <c r="C89" i="5"/>
  <c r="C75" i="5"/>
  <c r="C61" i="5"/>
  <c r="C47" i="5"/>
  <c r="B110" i="5"/>
  <c r="B94" i="5"/>
  <c r="B79" i="5"/>
  <c r="B65" i="5"/>
  <c r="B50" i="5"/>
  <c r="D21" i="3"/>
  <c r="E23" i="3"/>
  <c r="B26" i="3"/>
  <c r="D28" i="3"/>
  <c r="E30" i="3"/>
  <c r="F102" i="5"/>
  <c r="C39" i="5"/>
  <c r="G42" i="5"/>
  <c r="G111" i="5"/>
  <c r="G97" i="5"/>
  <c r="G83" i="5"/>
  <c r="G69" i="5"/>
  <c r="G55" i="5"/>
  <c r="F118" i="5"/>
  <c r="F103" i="5"/>
  <c r="F87" i="5"/>
  <c r="F73" i="5"/>
  <c r="F58" i="5"/>
  <c r="F44" i="5"/>
  <c r="E107" i="5"/>
  <c r="E93" i="5"/>
  <c r="E79" i="5"/>
  <c r="E65" i="5"/>
  <c r="E51" i="5"/>
  <c r="D114" i="5"/>
  <c r="D98" i="5"/>
  <c r="D83" i="5"/>
  <c r="D69" i="5"/>
  <c r="D54" i="5"/>
  <c r="C117" i="5"/>
  <c r="C103" i="5"/>
  <c r="C88" i="5"/>
  <c r="C74" i="5"/>
  <c r="C60" i="5"/>
  <c r="C46" i="5"/>
  <c r="B109" i="5"/>
  <c r="B93" i="5"/>
  <c r="B78" i="5"/>
  <c r="B64" i="5"/>
  <c r="B49" i="5"/>
  <c r="C21" i="3"/>
  <c r="F23" i="3"/>
  <c r="G25" i="3"/>
  <c r="C28" i="3"/>
  <c r="R30" i="3"/>
  <c r="R29" i="3"/>
  <c r="R23" i="3"/>
  <c r="R28" i="3"/>
  <c r="R27" i="3"/>
  <c r="R26" i="3"/>
  <c r="R25" i="3"/>
  <c r="R24" i="3"/>
  <c r="R22" i="3"/>
  <c r="R21" i="3"/>
  <c r="R10" i="3"/>
  <c r="R20" i="3"/>
  <c r="C102" i="5"/>
  <c r="D104" i="5"/>
  <c r="D90" i="5"/>
  <c r="D62" i="5"/>
  <c r="B104" i="5"/>
  <c r="B90" i="5"/>
  <c r="B62" i="5"/>
  <c r="D102" i="5"/>
  <c r="B102" i="5"/>
  <c r="F104" i="5"/>
  <c r="F62" i="5"/>
  <c r="F90" i="5"/>
  <c r="G3" i="6"/>
  <c r="D34" i="5"/>
  <c r="F32" i="5"/>
  <c r="B29" i="5"/>
  <c r="D27" i="5"/>
  <c r="F25" i="5"/>
  <c r="B22" i="5"/>
  <c r="D20" i="5"/>
  <c r="F18" i="5"/>
  <c r="B15" i="5"/>
  <c r="D13" i="5"/>
  <c r="F11" i="5"/>
  <c r="B8" i="5"/>
  <c r="D6" i="5"/>
  <c r="F4" i="5"/>
  <c r="E31" i="5"/>
  <c r="C19" i="5"/>
  <c r="G8" i="5"/>
  <c r="F3" i="6"/>
  <c r="E34" i="5"/>
  <c r="G32" i="5"/>
  <c r="C29" i="5"/>
  <c r="E27" i="5"/>
  <c r="G25" i="5"/>
  <c r="C22" i="5"/>
  <c r="E20" i="5"/>
  <c r="G18" i="5"/>
  <c r="C15" i="5"/>
  <c r="E13" i="5"/>
  <c r="G11" i="5"/>
  <c r="C8" i="5"/>
  <c r="E6" i="5"/>
  <c r="G4" i="5"/>
  <c r="C26" i="5"/>
  <c r="C12" i="5"/>
  <c r="E4" i="5"/>
  <c r="B37" i="5"/>
  <c r="E3" i="6"/>
  <c r="F34" i="5"/>
  <c r="B31" i="5"/>
  <c r="D29" i="5"/>
  <c r="F27" i="5"/>
  <c r="B24" i="5"/>
  <c r="D22" i="5"/>
  <c r="F20" i="5"/>
  <c r="B17" i="5"/>
  <c r="D15" i="5"/>
  <c r="F13" i="5"/>
  <c r="B10" i="5"/>
  <c r="D8" i="5"/>
  <c r="F6" i="5"/>
  <c r="G29" i="5"/>
  <c r="G15" i="5"/>
  <c r="C6" i="5"/>
  <c r="C37" i="5"/>
  <c r="D3" i="6"/>
  <c r="G34" i="5"/>
  <c r="C31" i="5"/>
  <c r="E29" i="5"/>
  <c r="G27" i="5"/>
  <c r="C24" i="5"/>
  <c r="E22" i="5"/>
  <c r="G20" i="5"/>
  <c r="C17" i="5"/>
  <c r="E15" i="5"/>
  <c r="G13" i="5"/>
  <c r="C10" i="5"/>
  <c r="E8" i="5"/>
  <c r="G6" i="5"/>
  <c r="E24" i="5"/>
  <c r="E17" i="5"/>
  <c r="F20" i="3"/>
  <c r="D37" i="5"/>
  <c r="C3" i="6"/>
  <c r="B33" i="5"/>
  <c r="D31" i="5"/>
  <c r="F29" i="5"/>
  <c r="B26" i="5"/>
  <c r="D24" i="5"/>
  <c r="F22" i="5"/>
  <c r="B19" i="5"/>
  <c r="D17" i="5"/>
  <c r="F15" i="5"/>
  <c r="B12" i="5"/>
  <c r="D10" i="5"/>
  <c r="F8" i="5"/>
  <c r="B5" i="5"/>
  <c r="G20" i="3"/>
  <c r="B3" i="6"/>
  <c r="C33" i="5"/>
  <c r="G22" i="5"/>
  <c r="E10" i="5"/>
  <c r="C5" i="5"/>
  <c r="E37" i="5"/>
  <c r="F37" i="5"/>
  <c r="B35" i="5"/>
  <c r="D33" i="5"/>
  <c r="F31" i="5"/>
  <c r="B28" i="5"/>
  <c r="D26" i="5"/>
  <c r="F24" i="5"/>
  <c r="B21" i="5"/>
  <c r="D19" i="5"/>
  <c r="F17" i="5"/>
  <c r="B14" i="5"/>
  <c r="D12" i="5"/>
  <c r="F10" i="5"/>
  <c r="B7" i="5"/>
  <c r="D5" i="5"/>
  <c r="E20" i="3"/>
  <c r="E5" i="5"/>
  <c r="C20" i="3"/>
  <c r="G36" i="5"/>
  <c r="C20" i="5"/>
  <c r="G37" i="5"/>
  <c r="C35" i="5"/>
  <c r="E33" i="5"/>
  <c r="G31" i="5"/>
  <c r="C28" i="5"/>
  <c r="E26" i="5"/>
  <c r="G24" i="5"/>
  <c r="C21" i="5"/>
  <c r="E19" i="5"/>
  <c r="G17" i="5"/>
  <c r="C14" i="5"/>
  <c r="E12" i="5"/>
  <c r="G10" i="5"/>
  <c r="C7" i="5"/>
  <c r="D20" i="3"/>
  <c r="C27" i="5"/>
  <c r="E11" i="5"/>
  <c r="B36" i="5"/>
  <c r="D35" i="5"/>
  <c r="F33" i="5"/>
  <c r="B30" i="5"/>
  <c r="D28" i="5"/>
  <c r="F26" i="5"/>
  <c r="B23" i="5"/>
  <c r="D21" i="5"/>
  <c r="F19" i="5"/>
  <c r="B16" i="5"/>
  <c r="D14" i="5"/>
  <c r="F12" i="5"/>
  <c r="B9" i="5"/>
  <c r="D7" i="5"/>
  <c r="F5" i="5"/>
  <c r="G30" i="5"/>
  <c r="G16" i="5"/>
  <c r="C36" i="5"/>
  <c r="E35" i="5"/>
  <c r="G33" i="5"/>
  <c r="C30" i="5"/>
  <c r="E28" i="5"/>
  <c r="G26" i="5"/>
  <c r="C23" i="5"/>
  <c r="E21" i="5"/>
  <c r="G19" i="5"/>
  <c r="C16" i="5"/>
  <c r="E14" i="5"/>
  <c r="G12" i="5"/>
  <c r="C9" i="5"/>
  <c r="E7" i="5"/>
  <c r="G5" i="5"/>
  <c r="B20" i="3"/>
  <c r="E32" i="5"/>
  <c r="C13" i="5"/>
  <c r="D36" i="5"/>
  <c r="F35" i="5"/>
  <c r="B32" i="5"/>
  <c r="D30" i="5"/>
  <c r="F28" i="5"/>
  <c r="B25" i="5"/>
  <c r="D23" i="5"/>
  <c r="F21" i="5"/>
  <c r="B18" i="5"/>
  <c r="D16" i="5"/>
  <c r="F14" i="5"/>
  <c r="B11" i="5"/>
  <c r="D9" i="5"/>
  <c r="F7" i="5"/>
  <c r="B4" i="5"/>
  <c r="E9" i="5"/>
  <c r="C4" i="5"/>
  <c r="B6" i="5"/>
  <c r="E25" i="5"/>
  <c r="G9" i="5"/>
  <c r="E36" i="5"/>
  <c r="G35" i="5"/>
  <c r="C32" i="5"/>
  <c r="E30" i="5"/>
  <c r="G28" i="5"/>
  <c r="C25" i="5"/>
  <c r="E23" i="5"/>
  <c r="G21" i="5"/>
  <c r="C18" i="5"/>
  <c r="E16" i="5"/>
  <c r="G14" i="5"/>
  <c r="C11" i="5"/>
  <c r="G7" i="5"/>
  <c r="D4" i="5"/>
  <c r="G23" i="5"/>
  <c r="F36" i="5"/>
  <c r="B34" i="5"/>
  <c r="D32" i="5"/>
  <c r="F30" i="5"/>
  <c r="B27" i="5"/>
  <c r="D25" i="5"/>
  <c r="F23" i="5"/>
  <c r="B20" i="5"/>
  <c r="D18" i="5"/>
  <c r="F16" i="5"/>
  <c r="B13" i="5"/>
  <c r="D11" i="5"/>
  <c r="F9" i="5"/>
  <c r="C34" i="5"/>
  <c r="E18" i="5"/>
  <c r="R19" i="3"/>
  <c r="R16" i="3"/>
  <c r="R18" i="3"/>
  <c r="R11" i="3"/>
  <c r="S221" i="4"/>
  <c r="B19" i="3"/>
  <c r="C19" i="3"/>
  <c r="D19" i="3"/>
  <c r="E19" i="3"/>
  <c r="F19" i="3"/>
  <c r="G19" i="3"/>
  <c r="B18" i="3"/>
  <c r="C18" i="3"/>
  <c r="D18" i="3"/>
  <c r="E18" i="3"/>
  <c r="F18" i="3"/>
  <c r="G18" i="3"/>
  <c r="R17" i="3"/>
  <c r="G17" i="3"/>
  <c r="F17" i="3"/>
  <c r="E17" i="3"/>
  <c r="D17" i="3"/>
  <c r="C17" i="3"/>
  <c r="B17" i="3"/>
  <c r="B16" i="3"/>
  <c r="C16" i="3"/>
  <c r="D16" i="3"/>
  <c r="E16" i="3"/>
  <c r="F16" i="3"/>
  <c r="G16" i="3"/>
  <c r="B15" i="3"/>
  <c r="C15" i="3"/>
  <c r="D15" i="3"/>
  <c r="E15" i="3"/>
  <c r="F15" i="3"/>
  <c r="G15" i="3"/>
  <c r="R15" i="3"/>
  <c r="S4" i="4"/>
  <c r="R14" i="3"/>
  <c r="B349" i="4"/>
  <c r="C349" i="4"/>
  <c r="D349" i="4"/>
  <c r="E349" i="4"/>
  <c r="F349" i="4"/>
  <c r="G349" i="4"/>
  <c r="B348" i="4"/>
  <c r="C348" i="4"/>
  <c r="D348" i="4"/>
  <c r="E348" i="4"/>
  <c r="F348" i="4"/>
  <c r="G348" i="4"/>
  <c r="B347" i="4"/>
  <c r="C347" i="4"/>
  <c r="D347" i="4"/>
  <c r="E347" i="4"/>
  <c r="F347" i="4"/>
  <c r="G347" i="4"/>
  <c r="B346" i="4"/>
  <c r="C346" i="4"/>
  <c r="D346" i="4"/>
  <c r="E346" i="4"/>
  <c r="F346" i="4"/>
  <c r="G346" i="4"/>
  <c r="B345" i="4"/>
  <c r="C345" i="4"/>
  <c r="D345" i="4"/>
  <c r="E345" i="4"/>
  <c r="F345" i="4"/>
  <c r="G345" i="4"/>
  <c r="B344" i="4"/>
  <c r="C344" i="4"/>
  <c r="D344" i="4"/>
  <c r="E344" i="4"/>
  <c r="F344" i="4"/>
  <c r="G344" i="4"/>
  <c r="B343" i="4"/>
  <c r="C343" i="4"/>
  <c r="D343" i="4"/>
  <c r="E343" i="4"/>
  <c r="F343" i="4"/>
  <c r="G343" i="4"/>
  <c r="B342" i="4"/>
  <c r="C342" i="4"/>
  <c r="D342" i="4"/>
  <c r="E342" i="4"/>
  <c r="F342" i="4"/>
  <c r="G342" i="4"/>
  <c r="B341" i="4"/>
  <c r="C341" i="4"/>
  <c r="D341" i="4"/>
  <c r="E341" i="4"/>
  <c r="F341" i="4"/>
  <c r="G341" i="4"/>
  <c r="B340" i="4"/>
  <c r="C340" i="4"/>
  <c r="D340" i="4"/>
  <c r="E340" i="4"/>
  <c r="F340" i="4"/>
  <c r="G340" i="4"/>
  <c r="B339" i="4"/>
  <c r="C339" i="4"/>
  <c r="D339" i="4"/>
  <c r="E339" i="4"/>
  <c r="F339" i="4"/>
  <c r="G339" i="4"/>
  <c r="B338" i="4"/>
  <c r="C338" i="4"/>
  <c r="D338" i="4"/>
  <c r="E338" i="4"/>
  <c r="F338" i="4"/>
  <c r="G338" i="4"/>
  <c r="B337" i="4"/>
  <c r="C337" i="4"/>
  <c r="D337" i="4"/>
  <c r="E337" i="4"/>
  <c r="F337" i="4"/>
  <c r="G337" i="4"/>
  <c r="B336" i="4"/>
  <c r="C336" i="4"/>
  <c r="D336" i="4"/>
  <c r="E336" i="4"/>
  <c r="F336" i="4"/>
  <c r="G336" i="4"/>
  <c r="B335" i="4"/>
  <c r="C335" i="4"/>
  <c r="D335" i="4"/>
  <c r="E335" i="4"/>
  <c r="F335" i="4"/>
  <c r="G335" i="4"/>
  <c r="B334" i="4"/>
  <c r="C334" i="4"/>
  <c r="D334" i="4"/>
  <c r="E334" i="4"/>
  <c r="F334" i="4"/>
  <c r="G334" i="4"/>
  <c r="B333" i="4"/>
  <c r="C333" i="4"/>
  <c r="D333" i="4"/>
  <c r="E333" i="4"/>
  <c r="F333" i="4"/>
  <c r="G333" i="4"/>
  <c r="B332" i="4"/>
  <c r="C332" i="4"/>
  <c r="D332" i="4"/>
  <c r="E332" i="4"/>
  <c r="F332" i="4"/>
  <c r="G332" i="4"/>
  <c r="B331" i="4"/>
  <c r="C331" i="4"/>
  <c r="D331" i="4"/>
  <c r="E331" i="4"/>
  <c r="F331" i="4"/>
  <c r="G331" i="4"/>
  <c r="B330" i="4"/>
  <c r="C330" i="4"/>
  <c r="D330" i="4"/>
  <c r="E330" i="4"/>
  <c r="F330" i="4"/>
  <c r="G330" i="4"/>
  <c r="B329" i="4"/>
  <c r="C329" i="4"/>
  <c r="D329" i="4"/>
  <c r="E329" i="4"/>
  <c r="F329" i="4"/>
  <c r="G329" i="4"/>
  <c r="B328" i="4"/>
  <c r="C328" i="4"/>
  <c r="D328" i="4"/>
  <c r="E328" i="4"/>
  <c r="F328" i="4"/>
  <c r="G328" i="4"/>
  <c r="B327" i="4"/>
  <c r="C327" i="4"/>
  <c r="D327" i="4"/>
  <c r="E327" i="4"/>
  <c r="F327" i="4"/>
  <c r="G327" i="4"/>
  <c r="B326" i="4"/>
  <c r="C326" i="4"/>
  <c r="D326" i="4"/>
  <c r="E326" i="4"/>
  <c r="F326" i="4"/>
  <c r="G326" i="4"/>
  <c r="B325" i="4"/>
  <c r="C325" i="4"/>
  <c r="D325" i="4"/>
  <c r="E325" i="4"/>
  <c r="F325" i="4"/>
  <c r="G325" i="4"/>
  <c r="B324" i="4"/>
  <c r="C324" i="4"/>
  <c r="D324" i="4"/>
  <c r="E324" i="4"/>
  <c r="F324" i="4"/>
  <c r="G324" i="4"/>
  <c r="B323" i="4"/>
  <c r="C323" i="4"/>
  <c r="D323" i="4"/>
  <c r="E323" i="4"/>
  <c r="F323" i="4"/>
  <c r="G323" i="4"/>
  <c r="B322" i="4"/>
  <c r="C322" i="4"/>
  <c r="D322" i="4"/>
  <c r="E322" i="4"/>
  <c r="F322" i="4"/>
  <c r="G322" i="4"/>
  <c r="B321" i="4"/>
  <c r="C321" i="4"/>
  <c r="D321" i="4"/>
  <c r="E321" i="4"/>
  <c r="F321" i="4"/>
  <c r="G321" i="4"/>
  <c r="B320" i="4"/>
  <c r="C320" i="4"/>
  <c r="D320" i="4"/>
  <c r="E320" i="4"/>
  <c r="F320" i="4"/>
  <c r="G320" i="4"/>
  <c r="B319" i="4"/>
  <c r="C319" i="4"/>
  <c r="D319" i="4"/>
  <c r="E319" i="4"/>
  <c r="F319" i="4"/>
  <c r="G319" i="4"/>
  <c r="B318" i="4"/>
  <c r="C318" i="4"/>
  <c r="D318" i="4"/>
  <c r="E318" i="4"/>
  <c r="F318" i="4"/>
  <c r="G318" i="4"/>
  <c r="B317" i="4"/>
  <c r="C317" i="4"/>
  <c r="D317" i="4"/>
  <c r="E317" i="4"/>
  <c r="F317" i="4"/>
  <c r="G317" i="4"/>
  <c r="B316" i="4"/>
  <c r="C316" i="4"/>
  <c r="D316" i="4"/>
  <c r="E316" i="4"/>
  <c r="F316" i="4"/>
  <c r="G316" i="4"/>
  <c r="B315" i="4"/>
  <c r="C315" i="4"/>
  <c r="D315" i="4"/>
  <c r="E315" i="4"/>
  <c r="F315" i="4"/>
  <c r="G315" i="4"/>
  <c r="B314" i="4"/>
  <c r="C314" i="4"/>
  <c r="D314" i="4"/>
  <c r="E314" i="4"/>
  <c r="F314" i="4"/>
  <c r="G314" i="4"/>
  <c r="B313" i="4"/>
  <c r="C313" i="4"/>
  <c r="D313" i="4"/>
  <c r="E313" i="4"/>
  <c r="F313" i="4"/>
  <c r="G313" i="4"/>
  <c r="B312" i="4"/>
  <c r="C312" i="4"/>
  <c r="D312" i="4"/>
  <c r="E312" i="4"/>
  <c r="F312" i="4"/>
  <c r="G312" i="4"/>
  <c r="B311" i="4"/>
  <c r="C311" i="4"/>
  <c r="D311" i="4"/>
  <c r="E311" i="4"/>
  <c r="F311" i="4"/>
  <c r="G311" i="4"/>
  <c r="B310" i="4"/>
  <c r="C310" i="4"/>
  <c r="D310" i="4"/>
  <c r="E310" i="4"/>
  <c r="F310" i="4"/>
  <c r="G310" i="4"/>
  <c r="B309" i="4"/>
  <c r="C309" i="4"/>
  <c r="D309" i="4"/>
  <c r="E309" i="4"/>
  <c r="F309" i="4"/>
  <c r="G309" i="4"/>
  <c r="B308" i="4"/>
  <c r="C308" i="4"/>
  <c r="D308" i="4"/>
  <c r="E308" i="4"/>
  <c r="F308" i="4"/>
  <c r="G308" i="4"/>
  <c r="B307" i="4"/>
  <c r="C307" i="4"/>
  <c r="D307" i="4"/>
  <c r="E307" i="4"/>
  <c r="F307" i="4"/>
  <c r="G307" i="4"/>
  <c r="B306" i="4"/>
  <c r="C306" i="4"/>
  <c r="D306" i="4"/>
  <c r="E306" i="4"/>
  <c r="F306" i="4"/>
  <c r="G306" i="4"/>
  <c r="B305" i="4"/>
  <c r="C305" i="4"/>
  <c r="D305" i="4"/>
  <c r="E305" i="4"/>
  <c r="F305" i="4"/>
  <c r="G305" i="4"/>
  <c r="B304" i="4"/>
  <c r="C304" i="4"/>
  <c r="D304" i="4"/>
  <c r="E304" i="4"/>
  <c r="F304" i="4"/>
  <c r="G304" i="4"/>
  <c r="B303" i="4"/>
  <c r="C303" i="4"/>
  <c r="D303" i="4"/>
  <c r="E303" i="4"/>
  <c r="F303" i="4"/>
  <c r="G303" i="4"/>
  <c r="B302" i="4"/>
  <c r="C302" i="4"/>
  <c r="D302" i="4"/>
  <c r="E302" i="4"/>
  <c r="F302" i="4"/>
  <c r="G302" i="4"/>
  <c r="B301" i="4"/>
  <c r="C301" i="4"/>
  <c r="D301" i="4"/>
  <c r="E301" i="4"/>
  <c r="F301" i="4"/>
  <c r="G301" i="4"/>
  <c r="B300" i="4"/>
  <c r="C300" i="4"/>
  <c r="D300" i="4"/>
  <c r="E300" i="4"/>
  <c r="F300" i="4"/>
  <c r="G300" i="4"/>
  <c r="B299" i="4"/>
  <c r="C299" i="4"/>
  <c r="D299" i="4"/>
  <c r="E299" i="4"/>
  <c r="F299" i="4"/>
  <c r="G299" i="4"/>
  <c r="B298" i="4"/>
  <c r="C298" i="4"/>
  <c r="D298" i="4"/>
  <c r="E298" i="4"/>
  <c r="F298" i="4"/>
  <c r="G298" i="4"/>
  <c r="B297" i="4"/>
  <c r="C297" i="4"/>
  <c r="D297" i="4"/>
  <c r="E297" i="4"/>
  <c r="F297" i="4"/>
  <c r="G297" i="4"/>
  <c r="B296" i="4"/>
  <c r="C296" i="4"/>
  <c r="D296" i="4"/>
  <c r="E296" i="4"/>
  <c r="F296" i="4"/>
  <c r="G296" i="4"/>
  <c r="B295" i="4"/>
  <c r="C295" i="4"/>
  <c r="D295" i="4"/>
  <c r="E295" i="4"/>
  <c r="F295" i="4"/>
  <c r="G295" i="4"/>
  <c r="B294" i="4"/>
  <c r="C294" i="4"/>
  <c r="D294" i="4"/>
  <c r="E294" i="4"/>
  <c r="F294" i="4"/>
  <c r="G294" i="4"/>
  <c r="B293" i="4"/>
  <c r="C293" i="4"/>
  <c r="D293" i="4"/>
  <c r="E293" i="4"/>
  <c r="F293" i="4"/>
  <c r="G293" i="4"/>
  <c r="B292" i="4"/>
  <c r="C292" i="4"/>
  <c r="D292" i="4"/>
  <c r="E292" i="4"/>
  <c r="F292" i="4"/>
  <c r="G292" i="4"/>
  <c r="B291" i="4"/>
  <c r="C291" i="4"/>
  <c r="D291" i="4"/>
  <c r="E291" i="4"/>
  <c r="F291" i="4"/>
  <c r="G291" i="4"/>
  <c r="B290" i="4"/>
  <c r="C290" i="4"/>
  <c r="D290" i="4"/>
  <c r="E290" i="4"/>
  <c r="F290" i="4"/>
  <c r="G290" i="4"/>
  <c r="B289" i="4"/>
  <c r="C289" i="4"/>
  <c r="D289" i="4"/>
  <c r="E289" i="4"/>
  <c r="F289" i="4"/>
  <c r="G289" i="4"/>
  <c r="B14" i="3"/>
  <c r="C14" i="3"/>
  <c r="E14" i="3"/>
  <c r="F14" i="3"/>
  <c r="G14" i="3"/>
  <c r="R5" i="3"/>
  <c r="R4" i="3"/>
  <c r="R3" i="3"/>
  <c r="R9" i="3"/>
  <c r="R2" i="3"/>
  <c r="R12" i="3"/>
  <c r="R13" i="3"/>
  <c r="R8" i="3"/>
  <c r="R7" i="3"/>
  <c r="R6" i="3"/>
  <c r="B288" i="4"/>
  <c r="C288" i="4"/>
  <c r="D288" i="4"/>
  <c r="E288" i="4"/>
  <c r="F288" i="4"/>
  <c r="G288" i="4"/>
  <c r="B287" i="4"/>
  <c r="C287" i="4"/>
  <c r="D287" i="4"/>
  <c r="E287" i="4"/>
  <c r="F287" i="4"/>
  <c r="G287" i="4"/>
  <c r="B286" i="4"/>
  <c r="C286" i="4"/>
  <c r="D286" i="4"/>
  <c r="E286" i="4"/>
  <c r="F286" i="4"/>
  <c r="G286" i="4"/>
  <c r="B285" i="4"/>
  <c r="C285" i="4"/>
  <c r="D285" i="4"/>
  <c r="E285" i="4"/>
  <c r="F285" i="4"/>
  <c r="G285" i="4"/>
  <c r="B284" i="4"/>
  <c r="C284" i="4"/>
  <c r="D284" i="4"/>
  <c r="E284" i="4"/>
  <c r="F284" i="4"/>
  <c r="G284" i="4"/>
  <c r="B283" i="4"/>
  <c r="C283" i="4"/>
  <c r="D283" i="4"/>
  <c r="E283" i="4"/>
  <c r="F283" i="4"/>
  <c r="G283" i="4"/>
  <c r="B282" i="4"/>
  <c r="C282" i="4"/>
  <c r="D282" i="4"/>
  <c r="E282" i="4"/>
  <c r="F282" i="4"/>
  <c r="G282" i="4"/>
  <c r="B281" i="4"/>
  <c r="C281" i="4"/>
  <c r="D281" i="4"/>
  <c r="E281" i="4"/>
  <c r="F281" i="4"/>
  <c r="G281" i="4"/>
  <c r="B280" i="4"/>
  <c r="C280" i="4"/>
  <c r="D280" i="4"/>
  <c r="E280" i="4"/>
  <c r="F280" i="4"/>
  <c r="G280" i="4"/>
  <c r="B279" i="4"/>
  <c r="C279" i="4"/>
  <c r="D279" i="4"/>
  <c r="E279" i="4"/>
  <c r="F279" i="4"/>
  <c r="G279" i="4"/>
  <c r="B278" i="4"/>
  <c r="C278" i="4"/>
  <c r="D278" i="4"/>
  <c r="E278" i="4"/>
  <c r="F278" i="4"/>
  <c r="G278" i="4"/>
  <c r="B277" i="4"/>
  <c r="C277" i="4"/>
  <c r="D277" i="4"/>
  <c r="E277" i="4"/>
  <c r="F277" i="4"/>
  <c r="G277" i="4"/>
  <c r="B276" i="4"/>
  <c r="C276" i="4"/>
  <c r="D276" i="4"/>
  <c r="E276" i="4"/>
  <c r="F276" i="4"/>
  <c r="G276" i="4"/>
  <c r="B275" i="4"/>
  <c r="C275" i="4"/>
  <c r="D275" i="4"/>
  <c r="E275" i="4"/>
  <c r="F275" i="4"/>
  <c r="G275" i="4"/>
  <c r="B274" i="4"/>
  <c r="C274" i="4"/>
  <c r="D274" i="4"/>
  <c r="E274" i="4"/>
  <c r="F274" i="4"/>
  <c r="G274" i="4"/>
  <c r="B273" i="4"/>
  <c r="C273" i="4"/>
  <c r="D273" i="4"/>
  <c r="E273" i="4"/>
  <c r="F273" i="4"/>
  <c r="G273" i="4"/>
  <c r="B272" i="4"/>
  <c r="C272" i="4"/>
  <c r="D272" i="4"/>
  <c r="E272" i="4"/>
  <c r="F272" i="4"/>
  <c r="G272" i="4"/>
  <c r="B271" i="4"/>
  <c r="C271" i="4"/>
  <c r="D271" i="4"/>
  <c r="E271" i="4"/>
  <c r="F271" i="4"/>
  <c r="G271" i="4"/>
  <c r="B270" i="4"/>
  <c r="C270" i="4"/>
  <c r="D270" i="4"/>
  <c r="E270" i="4"/>
  <c r="F270" i="4"/>
  <c r="G270" i="4"/>
  <c r="B269" i="4"/>
  <c r="C269" i="4"/>
  <c r="D269" i="4"/>
  <c r="E269" i="4"/>
  <c r="F269" i="4"/>
  <c r="G269" i="4"/>
  <c r="B268" i="4"/>
  <c r="C268" i="4"/>
  <c r="D268" i="4"/>
  <c r="E268" i="4"/>
  <c r="F268" i="4"/>
  <c r="G268" i="4"/>
  <c r="B267" i="4"/>
  <c r="C267" i="4"/>
  <c r="D267" i="4"/>
  <c r="E267" i="4"/>
  <c r="F267" i="4"/>
  <c r="G267" i="4"/>
  <c r="B266" i="4"/>
  <c r="C266" i="4"/>
  <c r="D266" i="4"/>
  <c r="E266" i="4"/>
  <c r="F266" i="4"/>
  <c r="G266" i="4"/>
  <c r="B265" i="4"/>
  <c r="C265" i="4"/>
  <c r="D265" i="4"/>
  <c r="E265" i="4"/>
  <c r="F265" i="4"/>
  <c r="G265" i="4"/>
  <c r="B264" i="4"/>
  <c r="C264" i="4"/>
  <c r="D264" i="4"/>
  <c r="E264" i="4"/>
  <c r="F264" i="4"/>
  <c r="G264" i="4"/>
  <c r="B263" i="4"/>
  <c r="C263" i="4"/>
  <c r="D263" i="4"/>
  <c r="E263" i="4"/>
  <c r="F263" i="4"/>
  <c r="G263" i="4"/>
  <c r="B262" i="4"/>
  <c r="C262" i="4"/>
  <c r="D262" i="4"/>
  <c r="E262" i="4"/>
  <c r="F262" i="4"/>
  <c r="G262" i="4"/>
  <c r="B261" i="4"/>
  <c r="C261" i="4"/>
  <c r="D261" i="4"/>
  <c r="E261" i="4"/>
  <c r="F261" i="4"/>
  <c r="G261" i="4"/>
  <c r="B260" i="4"/>
  <c r="C260" i="4"/>
  <c r="D260" i="4"/>
  <c r="E260" i="4"/>
  <c r="F260" i="4"/>
  <c r="G260" i="4"/>
  <c r="B259" i="4"/>
  <c r="C259" i="4"/>
  <c r="D259" i="4"/>
  <c r="E259" i="4"/>
  <c r="F259" i="4"/>
  <c r="G259" i="4"/>
  <c r="B258" i="4"/>
  <c r="C258" i="4"/>
  <c r="D258" i="4"/>
  <c r="E258" i="4"/>
  <c r="F258" i="4"/>
  <c r="G258" i="4"/>
  <c r="B257" i="4"/>
  <c r="C257" i="4"/>
  <c r="D257" i="4"/>
  <c r="E257" i="4"/>
  <c r="F257" i="4"/>
  <c r="G257" i="4"/>
  <c r="B256" i="4"/>
  <c r="C256" i="4"/>
  <c r="D256" i="4"/>
  <c r="E256" i="4"/>
  <c r="F256" i="4"/>
  <c r="G256" i="4"/>
  <c r="B255" i="4"/>
  <c r="C255" i="4"/>
  <c r="D255" i="4"/>
  <c r="E255" i="4"/>
  <c r="F255" i="4"/>
  <c r="G255" i="4"/>
  <c r="B254" i="4"/>
  <c r="C254" i="4"/>
  <c r="D254" i="4"/>
  <c r="E254" i="4"/>
  <c r="F254" i="4"/>
  <c r="G254" i="4"/>
  <c r="B253" i="4"/>
  <c r="C253" i="4"/>
  <c r="D253" i="4"/>
  <c r="E253" i="4"/>
  <c r="F253" i="4"/>
  <c r="G253" i="4"/>
  <c r="B252" i="4"/>
  <c r="C252" i="4"/>
  <c r="D252" i="4"/>
  <c r="E252" i="4"/>
  <c r="F252" i="4"/>
  <c r="G252" i="4"/>
  <c r="B251" i="4"/>
  <c r="C251" i="4"/>
  <c r="D251" i="4"/>
  <c r="E251" i="4"/>
  <c r="F251" i="4"/>
  <c r="G251" i="4"/>
  <c r="B250" i="4"/>
  <c r="C250" i="4"/>
  <c r="D250" i="4"/>
  <c r="E250" i="4"/>
  <c r="F250" i="4"/>
  <c r="G250" i="4"/>
  <c r="B13" i="3"/>
  <c r="C13" i="3"/>
  <c r="D13" i="3"/>
  <c r="E13" i="3"/>
  <c r="F13" i="3"/>
  <c r="G13" i="3"/>
  <c r="B249" i="4"/>
  <c r="C249" i="4"/>
  <c r="D249" i="4"/>
  <c r="E249" i="4"/>
  <c r="F249" i="4"/>
  <c r="G249" i="4"/>
  <c r="B248" i="4"/>
  <c r="C248" i="4"/>
  <c r="D248" i="4"/>
  <c r="E248" i="4"/>
  <c r="F248" i="4"/>
  <c r="G248" i="4"/>
  <c r="B247" i="4"/>
  <c r="C247" i="4"/>
  <c r="D247" i="4"/>
  <c r="E247" i="4"/>
  <c r="F247" i="4"/>
  <c r="G247" i="4"/>
  <c r="B246" i="4"/>
  <c r="C246" i="4"/>
  <c r="D246" i="4"/>
  <c r="E246" i="4"/>
  <c r="F246" i="4"/>
  <c r="G246" i="4"/>
  <c r="B245" i="4"/>
  <c r="C245" i="4"/>
  <c r="D245" i="4"/>
  <c r="E245" i="4"/>
  <c r="F245" i="4"/>
  <c r="G245" i="4"/>
  <c r="B244" i="4"/>
  <c r="C244" i="4"/>
  <c r="D244" i="4"/>
  <c r="E244" i="4"/>
  <c r="F244" i="4"/>
  <c r="G244" i="4"/>
  <c r="B243" i="4"/>
  <c r="C243" i="4"/>
  <c r="D243" i="4"/>
  <c r="E243" i="4"/>
  <c r="F243" i="4"/>
  <c r="G243" i="4"/>
  <c r="B242" i="4"/>
  <c r="C242" i="4"/>
  <c r="D242" i="4"/>
  <c r="E242" i="4"/>
  <c r="F242" i="4"/>
  <c r="G242" i="4"/>
  <c r="B241" i="4"/>
  <c r="C241" i="4"/>
  <c r="D241" i="4"/>
  <c r="E241" i="4"/>
  <c r="F241" i="4"/>
  <c r="G241" i="4"/>
  <c r="B240" i="4"/>
  <c r="C240" i="4"/>
  <c r="D240" i="4"/>
  <c r="E240" i="4"/>
  <c r="F240" i="4"/>
  <c r="G240" i="4"/>
  <c r="B239" i="4"/>
  <c r="C239" i="4"/>
  <c r="D239" i="4"/>
  <c r="E239" i="4"/>
  <c r="F239" i="4"/>
  <c r="G239" i="4"/>
  <c r="B238" i="4"/>
  <c r="C238" i="4"/>
  <c r="D238" i="4"/>
  <c r="E238" i="4"/>
  <c r="F238" i="4"/>
  <c r="G238" i="4"/>
  <c r="B237" i="4"/>
  <c r="C237" i="4"/>
  <c r="D237" i="4"/>
  <c r="E237" i="4"/>
  <c r="F237" i="4"/>
  <c r="G237" i="4"/>
  <c r="B236" i="4"/>
  <c r="C236" i="4"/>
  <c r="D236" i="4"/>
  <c r="E236" i="4"/>
  <c r="F236" i="4"/>
  <c r="G236" i="4"/>
  <c r="B235" i="4"/>
  <c r="C235" i="4"/>
  <c r="D235" i="4"/>
  <c r="E235" i="4"/>
  <c r="F235" i="4"/>
  <c r="G235" i="4"/>
  <c r="B234" i="4"/>
  <c r="C234" i="4"/>
  <c r="D234" i="4"/>
  <c r="E234" i="4"/>
  <c r="F234" i="4"/>
  <c r="G234" i="4"/>
  <c r="B233" i="4"/>
  <c r="C233" i="4"/>
  <c r="D233" i="4"/>
  <c r="E233" i="4"/>
  <c r="F233" i="4"/>
  <c r="G233" i="4"/>
  <c r="B232" i="4"/>
  <c r="C232" i="4"/>
  <c r="D232" i="4"/>
  <c r="E232" i="4"/>
  <c r="F232" i="4"/>
  <c r="G232" i="4"/>
  <c r="B231" i="4"/>
  <c r="C231" i="4"/>
  <c r="D231" i="4"/>
  <c r="E231" i="4"/>
  <c r="F231" i="4"/>
  <c r="G231" i="4"/>
  <c r="B230" i="4"/>
  <c r="C230" i="4"/>
  <c r="D230" i="4"/>
  <c r="E230" i="4"/>
  <c r="F230" i="4"/>
  <c r="G230" i="4"/>
  <c r="B229" i="4"/>
  <c r="C229" i="4"/>
  <c r="D229" i="4"/>
  <c r="E229" i="4"/>
  <c r="F229" i="4"/>
  <c r="G229" i="4"/>
  <c r="C228" i="4"/>
  <c r="B228" i="4"/>
  <c r="D228" i="4"/>
  <c r="E228" i="4"/>
  <c r="F228" i="4"/>
  <c r="G228" i="4"/>
  <c r="B227" i="4"/>
  <c r="C227" i="4"/>
  <c r="D227" i="4"/>
  <c r="E227" i="4"/>
  <c r="F227" i="4"/>
  <c r="G227" i="4"/>
  <c r="B226" i="4"/>
  <c r="C226" i="4"/>
  <c r="D226" i="4"/>
  <c r="E226" i="4"/>
  <c r="F226" i="4"/>
  <c r="G226" i="4"/>
  <c r="B225" i="4"/>
  <c r="C225" i="4"/>
  <c r="D225" i="4"/>
  <c r="E225" i="4"/>
  <c r="F225" i="4"/>
  <c r="G225" i="4"/>
  <c r="B224" i="4"/>
  <c r="C224" i="4"/>
  <c r="D224" i="4"/>
  <c r="E224" i="4"/>
  <c r="F224" i="4"/>
  <c r="G224" i="4"/>
  <c r="B12" i="3"/>
  <c r="C12" i="3"/>
  <c r="D12" i="3"/>
  <c r="E12" i="3"/>
  <c r="F12" i="3"/>
  <c r="G12" i="3"/>
  <c r="B11" i="3"/>
  <c r="C11" i="3"/>
  <c r="D11" i="3"/>
  <c r="E11" i="3"/>
  <c r="F11" i="3"/>
  <c r="G11" i="3"/>
  <c r="D10" i="3"/>
  <c r="B10" i="3"/>
  <c r="C10" i="3"/>
  <c r="E10" i="3"/>
  <c r="F10" i="3"/>
  <c r="G10" i="3"/>
  <c r="B223" i="4"/>
  <c r="C223" i="4"/>
  <c r="D223" i="4"/>
  <c r="E223" i="4"/>
  <c r="F223" i="4"/>
  <c r="G223" i="4"/>
  <c r="B9" i="3"/>
  <c r="C9" i="3"/>
  <c r="D9" i="3"/>
  <c r="E9" i="3"/>
  <c r="F9" i="3"/>
  <c r="G9" i="3"/>
  <c r="B8" i="3"/>
  <c r="C8" i="3"/>
  <c r="D8" i="3"/>
  <c r="E8" i="3"/>
  <c r="F8" i="3"/>
  <c r="G8" i="3"/>
  <c r="B222" i="4"/>
  <c r="C222" i="4"/>
  <c r="D222" i="4"/>
  <c r="E222" i="4"/>
  <c r="F222" i="4"/>
  <c r="G222" i="4"/>
  <c r="B7" i="3"/>
  <c r="C7" i="3"/>
  <c r="D7" i="3"/>
  <c r="E7" i="3"/>
  <c r="F7" i="3"/>
  <c r="G7" i="3"/>
  <c r="B221" i="4"/>
  <c r="C221" i="4"/>
  <c r="D221" i="4"/>
  <c r="E221" i="4"/>
  <c r="F221" i="4"/>
  <c r="G221" i="4"/>
  <c r="B220" i="4"/>
  <c r="C220" i="4"/>
  <c r="D220" i="4"/>
  <c r="E220" i="4"/>
  <c r="F220" i="4"/>
  <c r="G220" i="4"/>
  <c r="B219" i="4"/>
  <c r="C219" i="4"/>
  <c r="D219" i="4"/>
  <c r="E219" i="4"/>
  <c r="F219" i="4"/>
  <c r="G219" i="4"/>
  <c r="B218" i="4"/>
  <c r="C218" i="4"/>
  <c r="D218" i="4"/>
  <c r="E218" i="4"/>
  <c r="F218" i="4"/>
  <c r="G218" i="4"/>
  <c r="B217" i="4"/>
  <c r="C217" i="4"/>
  <c r="D217" i="4"/>
  <c r="E217" i="4"/>
  <c r="F217" i="4"/>
  <c r="G217" i="4"/>
  <c r="B216" i="4"/>
  <c r="C216" i="4"/>
  <c r="D216" i="4"/>
  <c r="E216" i="4"/>
  <c r="F216" i="4"/>
  <c r="G216" i="4"/>
  <c r="B215" i="4"/>
  <c r="C215" i="4"/>
  <c r="D215" i="4"/>
  <c r="E215" i="4"/>
  <c r="F215" i="4"/>
  <c r="G215" i="4"/>
  <c r="B214" i="4"/>
  <c r="C214" i="4"/>
  <c r="D214" i="4"/>
  <c r="E214" i="4"/>
  <c r="F214" i="4"/>
  <c r="G214" i="4"/>
  <c r="B213" i="4"/>
  <c r="C213" i="4"/>
  <c r="D213" i="4"/>
  <c r="E213" i="4"/>
  <c r="F213" i="4"/>
  <c r="G213" i="4"/>
  <c r="B212" i="4"/>
  <c r="C212" i="4"/>
  <c r="D212" i="4"/>
  <c r="E212" i="4"/>
  <c r="F212" i="4"/>
  <c r="G212" i="4"/>
  <c r="B211" i="4"/>
  <c r="C211" i="4"/>
  <c r="D211" i="4"/>
  <c r="E211" i="4"/>
  <c r="F211" i="4"/>
  <c r="G211" i="4"/>
  <c r="B210" i="4"/>
  <c r="C210" i="4"/>
  <c r="D210" i="4"/>
  <c r="E210" i="4"/>
  <c r="F210" i="4"/>
  <c r="G210" i="4"/>
  <c r="B209" i="4"/>
  <c r="C209" i="4"/>
  <c r="D209" i="4"/>
  <c r="E209" i="4"/>
  <c r="F209" i="4"/>
  <c r="G209" i="4"/>
  <c r="B208" i="4"/>
  <c r="C208" i="4"/>
  <c r="D208" i="4"/>
  <c r="E208" i="4"/>
  <c r="F208" i="4"/>
  <c r="G208" i="4"/>
  <c r="B207" i="4"/>
  <c r="C207" i="4"/>
  <c r="D207" i="4"/>
  <c r="E207" i="4"/>
  <c r="F207" i="4"/>
  <c r="G207" i="4"/>
  <c r="B206" i="4"/>
  <c r="C206" i="4"/>
  <c r="D206" i="4"/>
  <c r="E206" i="4"/>
  <c r="F206" i="4"/>
  <c r="G206" i="4"/>
  <c r="B205" i="4"/>
  <c r="C205" i="4"/>
  <c r="D205" i="4"/>
  <c r="E205" i="4"/>
  <c r="F205" i="4"/>
  <c r="G205" i="4"/>
  <c r="B204" i="4"/>
  <c r="C204" i="4"/>
  <c r="D204" i="4"/>
  <c r="E204" i="4"/>
  <c r="F204" i="4"/>
  <c r="G204" i="4"/>
  <c r="B203" i="4"/>
  <c r="C203" i="4"/>
  <c r="D203" i="4"/>
  <c r="E203" i="4"/>
  <c r="F203" i="4"/>
  <c r="G203" i="4"/>
  <c r="B202" i="4"/>
  <c r="C202" i="4"/>
  <c r="D202" i="4"/>
  <c r="E202" i="4"/>
  <c r="F202" i="4"/>
  <c r="G202" i="4"/>
  <c r="B201" i="4"/>
  <c r="C201" i="4"/>
  <c r="D201" i="4"/>
  <c r="E201" i="4"/>
  <c r="F201" i="4"/>
  <c r="G201" i="4"/>
  <c r="B200" i="4"/>
  <c r="C200" i="4"/>
  <c r="D200" i="4"/>
  <c r="E200" i="4"/>
  <c r="F200" i="4"/>
  <c r="G200" i="4"/>
  <c r="B199" i="4"/>
  <c r="C199" i="4"/>
  <c r="D199" i="4"/>
  <c r="E199" i="4"/>
  <c r="F199" i="4"/>
  <c r="G199" i="4"/>
  <c r="B198" i="4"/>
  <c r="C198" i="4"/>
  <c r="D198" i="4"/>
  <c r="E198" i="4"/>
  <c r="F198" i="4"/>
  <c r="G198" i="4"/>
  <c r="B197" i="4"/>
  <c r="C197" i="4"/>
  <c r="D197" i="4"/>
  <c r="E197" i="4"/>
  <c r="F197" i="4"/>
  <c r="G197" i="4"/>
  <c r="B196" i="4"/>
  <c r="C196" i="4"/>
  <c r="D196" i="4"/>
  <c r="E196" i="4"/>
  <c r="F196" i="4"/>
  <c r="G196" i="4"/>
  <c r="B195" i="4"/>
  <c r="C195" i="4"/>
  <c r="D195" i="4"/>
  <c r="E195" i="4"/>
  <c r="F195" i="4"/>
  <c r="G195" i="4"/>
  <c r="B194" i="4"/>
  <c r="C194" i="4"/>
  <c r="D194" i="4"/>
  <c r="E194" i="4"/>
  <c r="F194" i="4"/>
  <c r="G194" i="4"/>
  <c r="B193" i="4"/>
  <c r="C193" i="4"/>
  <c r="D193" i="4"/>
  <c r="E193" i="4"/>
  <c r="F193" i="4"/>
  <c r="G193" i="4"/>
  <c r="B192" i="4"/>
  <c r="C192" i="4"/>
  <c r="D192" i="4"/>
  <c r="E192" i="4"/>
  <c r="F192" i="4"/>
  <c r="G192" i="4"/>
  <c r="B191" i="4"/>
  <c r="C191" i="4"/>
  <c r="D191" i="4"/>
  <c r="E191" i="4"/>
  <c r="F191" i="4"/>
  <c r="G191" i="4"/>
  <c r="B190" i="4"/>
  <c r="C190" i="4"/>
  <c r="D190" i="4"/>
  <c r="E190" i="4"/>
  <c r="F190" i="4"/>
  <c r="G190" i="4"/>
  <c r="B189" i="4"/>
  <c r="C189" i="4"/>
  <c r="D189" i="4"/>
  <c r="E189" i="4"/>
  <c r="F189" i="4"/>
  <c r="G189" i="4"/>
  <c r="B188" i="4"/>
  <c r="C188" i="4"/>
  <c r="D188" i="4"/>
  <c r="E188" i="4"/>
  <c r="F188" i="4"/>
  <c r="G188" i="4"/>
  <c r="B187" i="4"/>
  <c r="C187" i="4"/>
  <c r="D187" i="4"/>
  <c r="E187" i="4"/>
  <c r="F187" i="4"/>
  <c r="G187" i="4"/>
  <c r="B186" i="4"/>
  <c r="C186" i="4"/>
  <c r="D186" i="4"/>
  <c r="E186" i="4"/>
  <c r="F186" i="4"/>
  <c r="G186" i="4"/>
  <c r="B185" i="4"/>
  <c r="C185" i="4"/>
  <c r="D185" i="4"/>
  <c r="E185" i="4"/>
  <c r="F185" i="4"/>
  <c r="G185" i="4"/>
  <c r="B184" i="4"/>
  <c r="C184" i="4"/>
  <c r="D184" i="4"/>
  <c r="E184" i="4"/>
  <c r="F184" i="4"/>
  <c r="G184" i="4"/>
  <c r="B183" i="4"/>
  <c r="C183" i="4"/>
  <c r="D183" i="4"/>
  <c r="E183" i="4"/>
  <c r="F183" i="4"/>
  <c r="G183" i="4"/>
  <c r="B182" i="4"/>
  <c r="C182" i="4"/>
  <c r="D182" i="4"/>
  <c r="E182" i="4"/>
  <c r="F182" i="4"/>
  <c r="G182" i="4"/>
  <c r="B181" i="4"/>
  <c r="C181" i="4"/>
  <c r="D181" i="4"/>
  <c r="E181" i="4"/>
  <c r="F181" i="4"/>
  <c r="G181" i="4"/>
  <c r="B180" i="4"/>
  <c r="C180" i="4"/>
  <c r="D180" i="4"/>
  <c r="E180" i="4"/>
  <c r="F180" i="4"/>
  <c r="G180" i="4"/>
  <c r="B179" i="4"/>
  <c r="C179" i="4"/>
  <c r="D179" i="4"/>
  <c r="E179" i="4"/>
  <c r="F179" i="4"/>
  <c r="G179" i="4"/>
  <c r="B178" i="4"/>
  <c r="C178" i="4"/>
  <c r="D178" i="4"/>
  <c r="E178" i="4"/>
  <c r="F178" i="4"/>
  <c r="G178" i="4"/>
  <c r="B177" i="4"/>
  <c r="C177" i="4"/>
  <c r="D177" i="4"/>
  <c r="E177" i="4"/>
  <c r="F177" i="4"/>
  <c r="G177" i="4"/>
  <c r="B176" i="4"/>
  <c r="C176" i="4"/>
  <c r="D176" i="4"/>
  <c r="E176" i="4"/>
  <c r="F176" i="4"/>
  <c r="G176" i="4"/>
  <c r="B175" i="4"/>
  <c r="C175" i="4"/>
  <c r="D175" i="4"/>
  <c r="E175" i="4"/>
  <c r="F175" i="4"/>
  <c r="G175" i="4"/>
  <c r="B174" i="4"/>
  <c r="C174" i="4"/>
  <c r="D174" i="4"/>
  <c r="E174" i="4"/>
  <c r="F174" i="4"/>
  <c r="G174" i="4"/>
  <c r="B173" i="4"/>
  <c r="C173" i="4"/>
  <c r="D173" i="4"/>
  <c r="E173" i="4"/>
  <c r="F173" i="4"/>
  <c r="G173" i="4"/>
  <c r="B172" i="4"/>
  <c r="C172" i="4"/>
  <c r="D172" i="4"/>
  <c r="E172" i="4"/>
  <c r="F172" i="4"/>
  <c r="G172" i="4"/>
  <c r="B171" i="4"/>
  <c r="C171" i="4"/>
  <c r="D171" i="4"/>
  <c r="E171" i="4"/>
  <c r="F171" i="4"/>
  <c r="G171" i="4"/>
  <c r="B170" i="4"/>
  <c r="C170" i="4"/>
  <c r="D170" i="4"/>
  <c r="E170" i="4"/>
  <c r="F170" i="4"/>
  <c r="G170" i="4"/>
  <c r="B169" i="4"/>
  <c r="C169" i="4"/>
  <c r="D169" i="4"/>
  <c r="E169" i="4"/>
  <c r="F169" i="4"/>
  <c r="G169" i="4"/>
  <c r="B168" i="4"/>
  <c r="C168" i="4"/>
  <c r="D168" i="4"/>
  <c r="E168" i="4"/>
  <c r="F168" i="4"/>
  <c r="G168" i="4"/>
  <c r="B167" i="4"/>
  <c r="C167" i="4"/>
  <c r="D167" i="4"/>
  <c r="E167" i="4"/>
  <c r="F167" i="4"/>
  <c r="G167" i="4"/>
  <c r="B166" i="4"/>
  <c r="C166" i="4"/>
  <c r="D166" i="4"/>
  <c r="E166" i="4"/>
  <c r="F166" i="4"/>
  <c r="G166" i="4"/>
  <c r="B165" i="4"/>
  <c r="C165" i="4"/>
  <c r="D165" i="4"/>
  <c r="E165" i="4"/>
  <c r="F165" i="4"/>
  <c r="G165" i="4"/>
  <c r="B164" i="4"/>
  <c r="C164" i="4"/>
  <c r="D164" i="4"/>
  <c r="E164" i="4"/>
  <c r="F164" i="4"/>
  <c r="G164" i="4"/>
  <c r="B163" i="4"/>
  <c r="C163" i="4"/>
  <c r="D163" i="4"/>
  <c r="E163" i="4"/>
  <c r="F163" i="4"/>
  <c r="G163" i="4"/>
  <c r="B162" i="4"/>
  <c r="C162" i="4"/>
  <c r="D162" i="4"/>
  <c r="E162" i="4"/>
  <c r="F162" i="4"/>
  <c r="G162" i="4"/>
  <c r="B161" i="4"/>
  <c r="C161" i="4"/>
  <c r="D161" i="4"/>
  <c r="E161" i="4"/>
  <c r="F161" i="4"/>
  <c r="G161" i="4"/>
  <c r="B160" i="4"/>
  <c r="C160" i="4"/>
  <c r="D160" i="4"/>
  <c r="E160" i="4"/>
  <c r="F160" i="4"/>
  <c r="G160" i="4"/>
  <c r="B159" i="4"/>
  <c r="C159" i="4"/>
  <c r="D159" i="4"/>
  <c r="E159" i="4"/>
  <c r="F159" i="4"/>
  <c r="G159" i="4"/>
  <c r="B158" i="4"/>
  <c r="C158" i="4"/>
  <c r="D158" i="4"/>
  <c r="E158" i="4"/>
  <c r="F158" i="4"/>
  <c r="G158" i="4"/>
  <c r="B157" i="4"/>
  <c r="C157" i="4"/>
  <c r="D157" i="4"/>
  <c r="E157" i="4"/>
  <c r="F157" i="4"/>
  <c r="G157" i="4"/>
  <c r="B156" i="4"/>
  <c r="C156" i="4"/>
  <c r="D156" i="4"/>
  <c r="E156" i="4"/>
  <c r="F156" i="4"/>
  <c r="G156" i="4"/>
  <c r="B155" i="4"/>
  <c r="C155" i="4"/>
  <c r="D155" i="4"/>
  <c r="E155" i="4"/>
  <c r="F155" i="4"/>
  <c r="G155" i="4"/>
  <c r="B154" i="4"/>
  <c r="C154" i="4"/>
  <c r="D154" i="4"/>
  <c r="E154" i="4"/>
  <c r="F154" i="4"/>
  <c r="G154" i="4"/>
  <c r="B153" i="4"/>
  <c r="C153" i="4"/>
  <c r="D153" i="4"/>
  <c r="E153" i="4"/>
  <c r="F153" i="4"/>
  <c r="G153" i="4"/>
  <c r="B152" i="4"/>
  <c r="C152" i="4"/>
  <c r="D152" i="4"/>
  <c r="E152" i="4"/>
  <c r="F152" i="4"/>
  <c r="G152" i="4"/>
  <c r="B151" i="4"/>
  <c r="C151" i="4"/>
  <c r="D151" i="4"/>
  <c r="E151" i="4"/>
  <c r="F151" i="4"/>
  <c r="G151" i="4"/>
  <c r="B150" i="4"/>
  <c r="C150" i="4"/>
  <c r="D150" i="4"/>
  <c r="E150" i="4"/>
  <c r="F150" i="4"/>
  <c r="G150" i="4"/>
  <c r="B149" i="4"/>
  <c r="C149" i="4"/>
  <c r="D149" i="4"/>
  <c r="E149" i="4"/>
  <c r="F149" i="4"/>
  <c r="G149" i="4"/>
  <c r="B148" i="4"/>
  <c r="C148" i="4"/>
  <c r="D148" i="4"/>
  <c r="E148" i="4"/>
  <c r="F148" i="4"/>
  <c r="G148" i="4"/>
  <c r="B147" i="4"/>
  <c r="C147" i="4"/>
  <c r="D147" i="4"/>
  <c r="E147" i="4"/>
  <c r="F147" i="4"/>
  <c r="G147" i="4"/>
  <c r="B146" i="4"/>
  <c r="C146" i="4"/>
  <c r="D146" i="4"/>
  <c r="E146" i="4"/>
  <c r="F146" i="4"/>
  <c r="G146" i="4"/>
  <c r="B145" i="4"/>
  <c r="C145" i="4"/>
  <c r="D145" i="4"/>
  <c r="E145" i="4"/>
  <c r="F145" i="4"/>
  <c r="G145" i="4"/>
  <c r="B144" i="4"/>
  <c r="C144" i="4"/>
  <c r="D144" i="4"/>
  <c r="E144" i="4"/>
  <c r="F144" i="4"/>
  <c r="G144" i="4"/>
  <c r="B143" i="4"/>
  <c r="C143" i="4"/>
  <c r="D143" i="4"/>
  <c r="E143" i="4"/>
  <c r="F143" i="4"/>
  <c r="G143" i="4"/>
  <c r="B142" i="4"/>
  <c r="C142" i="4"/>
  <c r="D142" i="4"/>
  <c r="E142" i="4"/>
  <c r="F142" i="4"/>
  <c r="G142" i="4"/>
  <c r="B141" i="4"/>
  <c r="C141" i="4"/>
  <c r="D141" i="4"/>
  <c r="E141" i="4"/>
  <c r="F141" i="4"/>
  <c r="G141" i="4"/>
  <c r="B140" i="4"/>
  <c r="C140" i="4"/>
  <c r="D140" i="4"/>
  <c r="E140" i="4"/>
  <c r="F140" i="4"/>
  <c r="G140" i="4"/>
  <c r="B139" i="4"/>
  <c r="C139" i="4"/>
  <c r="D139" i="4"/>
  <c r="E139" i="4"/>
  <c r="F139" i="4"/>
  <c r="G139" i="4"/>
  <c r="B138" i="4"/>
  <c r="C138" i="4"/>
  <c r="D138" i="4"/>
  <c r="E138" i="4"/>
  <c r="F138" i="4"/>
  <c r="G138" i="4"/>
  <c r="B137" i="4"/>
  <c r="C137" i="4"/>
  <c r="D137" i="4"/>
  <c r="E137" i="4"/>
  <c r="F137" i="4"/>
  <c r="G137" i="4"/>
  <c r="B136" i="4"/>
  <c r="C136" i="4"/>
  <c r="D136" i="4"/>
  <c r="E136" i="4"/>
  <c r="F136" i="4"/>
  <c r="G136" i="4"/>
  <c r="B135" i="4"/>
  <c r="C135" i="4"/>
  <c r="D135" i="4"/>
  <c r="E135" i="4"/>
  <c r="F135" i="4"/>
  <c r="G135" i="4"/>
  <c r="B133" i="4"/>
  <c r="C133" i="4"/>
  <c r="D133" i="4"/>
  <c r="E133" i="4"/>
  <c r="F133" i="4"/>
  <c r="G133" i="4"/>
  <c r="B132" i="4"/>
  <c r="C132" i="4"/>
  <c r="D132" i="4"/>
  <c r="E132" i="4"/>
  <c r="F132" i="4"/>
  <c r="G132" i="4"/>
  <c r="B131" i="4"/>
  <c r="C131" i="4"/>
  <c r="D131" i="4"/>
  <c r="E131" i="4"/>
  <c r="F131" i="4"/>
  <c r="G131" i="4"/>
  <c r="B6" i="3"/>
  <c r="C6" i="3"/>
  <c r="D6" i="3"/>
  <c r="E6" i="3"/>
  <c r="F6" i="3"/>
  <c r="G6" i="3"/>
  <c r="B5" i="3"/>
  <c r="C5" i="3"/>
  <c r="D5" i="3"/>
  <c r="E5" i="3"/>
  <c r="F5" i="3"/>
  <c r="G5" i="3"/>
  <c r="B130" i="4"/>
  <c r="C130" i="4"/>
  <c r="D130" i="4"/>
  <c r="E130" i="4"/>
  <c r="F130" i="4"/>
  <c r="G130" i="4"/>
  <c r="B129" i="4"/>
  <c r="C129" i="4"/>
  <c r="D129" i="4"/>
  <c r="E129" i="4"/>
  <c r="F129" i="4"/>
  <c r="G129" i="4"/>
  <c r="B128" i="4"/>
  <c r="C128" i="4"/>
  <c r="D128" i="4"/>
  <c r="E128" i="4"/>
  <c r="F128" i="4"/>
  <c r="G128" i="4"/>
  <c r="B127" i="4"/>
  <c r="C127" i="4"/>
  <c r="D127" i="4"/>
  <c r="E127" i="4"/>
  <c r="F127" i="4"/>
  <c r="G127" i="4"/>
  <c r="B126" i="4"/>
  <c r="C126" i="4"/>
  <c r="D126" i="4"/>
  <c r="E126" i="4"/>
  <c r="F126" i="4"/>
  <c r="G126" i="4"/>
  <c r="B125" i="4"/>
  <c r="C125" i="4"/>
  <c r="D125" i="4"/>
  <c r="E125" i="4"/>
  <c r="F125" i="4"/>
  <c r="G125" i="4"/>
  <c r="B124" i="4"/>
  <c r="C124" i="4"/>
  <c r="D124" i="4"/>
  <c r="E124" i="4"/>
  <c r="F124" i="4"/>
  <c r="G124" i="4"/>
  <c r="B123" i="4"/>
  <c r="C123" i="4"/>
  <c r="D123" i="4"/>
  <c r="E123" i="4"/>
  <c r="F123" i="4"/>
  <c r="G123" i="4"/>
  <c r="B122" i="4"/>
  <c r="C122" i="4"/>
  <c r="D122" i="4"/>
  <c r="E122" i="4"/>
  <c r="F122" i="4"/>
  <c r="G122" i="4"/>
  <c r="B121" i="4"/>
  <c r="C121" i="4"/>
  <c r="D121" i="4"/>
  <c r="E121" i="4"/>
  <c r="F121" i="4"/>
  <c r="G121" i="4"/>
  <c r="B120" i="4"/>
  <c r="C120" i="4"/>
  <c r="D120" i="4"/>
  <c r="E120" i="4"/>
  <c r="F120" i="4"/>
  <c r="G120" i="4"/>
  <c r="B119" i="4"/>
  <c r="C119" i="4"/>
  <c r="D119" i="4"/>
  <c r="E119" i="4"/>
  <c r="F119" i="4"/>
  <c r="G119" i="4"/>
  <c r="B118" i="4"/>
  <c r="C118" i="4"/>
  <c r="D118" i="4"/>
  <c r="E118" i="4"/>
  <c r="F118" i="4"/>
  <c r="G118" i="4"/>
  <c r="B117" i="4"/>
  <c r="C117" i="4"/>
  <c r="D117" i="4"/>
  <c r="E117" i="4"/>
  <c r="F117" i="4"/>
  <c r="G117" i="4"/>
  <c r="B116" i="4"/>
  <c r="C116" i="4"/>
  <c r="D116" i="4"/>
  <c r="E116" i="4"/>
  <c r="F116" i="4"/>
  <c r="G116" i="4"/>
  <c r="B115" i="4"/>
  <c r="C115" i="4"/>
  <c r="D115" i="4"/>
  <c r="E115" i="4"/>
  <c r="F115" i="4"/>
  <c r="G115" i="4"/>
  <c r="B114" i="4"/>
  <c r="C114" i="4"/>
  <c r="D114" i="4"/>
  <c r="E114" i="4"/>
  <c r="F114" i="4"/>
  <c r="G114" i="4"/>
  <c r="B113" i="4"/>
  <c r="C113" i="4"/>
  <c r="D113" i="4"/>
  <c r="E113" i="4"/>
  <c r="F113" i="4"/>
  <c r="G113" i="4"/>
  <c r="B112" i="4"/>
  <c r="C112" i="4"/>
  <c r="D112" i="4"/>
  <c r="E112" i="4"/>
  <c r="F112" i="4"/>
  <c r="G112" i="4"/>
  <c r="B111" i="4"/>
  <c r="C111" i="4"/>
  <c r="D111" i="4"/>
  <c r="E111" i="4"/>
  <c r="F111" i="4"/>
  <c r="G111" i="4"/>
  <c r="B110" i="4"/>
  <c r="C110" i="4"/>
  <c r="D110" i="4"/>
  <c r="E110" i="4"/>
  <c r="F110" i="4"/>
  <c r="G110" i="4"/>
  <c r="B109" i="4"/>
  <c r="C109" i="4"/>
  <c r="D109" i="4"/>
  <c r="E109" i="4"/>
  <c r="F109" i="4"/>
  <c r="G109" i="4"/>
  <c r="B108" i="4"/>
  <c r="C108" i="4"/>
  <c r="D108" i="4"/>
  <c r="E108" i="4"/>
  <c r="F108" i="4"/>
  <c r="G108" i="4"/>
  <c r="B107" i="4"/>
  <c r="C107" i="4"/>
  <c r="D107" i="4"/>
  <c r="E107" i="4"/>
  <c r="F107" i="4"/>
  <c r="G107" i="4"/>
  <c r="B106" i="4"/>
  <c r="C106" i="4"/>
  <c r="D106" i="4"/>
  <c r="E106" i="4"/>
  <c r="F106" i="4"/>
  <c r="G106" i="4"/>
  <c r="B105" i="4"/>
  <c r="C105" i="4"/>
  <c r="D105" i="4"/>
  <c r="E105" i="4"/>
  <c r="F105" i="4"/>
  <c r="G105" i="4"/>
  <c r="B104" i="4"/>
  <c r="C104" i="4"/>
  <c r="D104" i="4"/>
  <c r="E104" i="4"/>
  <c r="F104" i="4"/>
  <c r="G104" i="4"/>
  <c r="B103" i="4"/>
  <c r="C103" i="4"/>
  <c r="D103" i="4"/>
  <c r="E103" i="4"/>
  <c r="F103" i="4"/>
  <c r="G103" i="4"/>
  <c r="B102" i="4"/>
  <c r="C102" i="4"/>
  <c r="D102" i="4"/>
  <c r="E102" i="4"/>
  <c r="F102" i="4"/>
  <c r="G102" i="4"/>
  <c r="B101" i="4"/>
  <c r="C101" i="4"/>
  <c r="D101" i="4"/>
  <c r="E101" i="4"/>
  <c r="F101" i="4"/>
  <c r="G101" i="4"/>
  <c r="B100" i="4"/>
  <c r="C100" i="4"/>
  <c r="D100" i="4"/>
  <c r="E100" i="4"/>
  <c r="F100" i="4"/>
  <c r="G100" i="4"/>
  <c r="B99" i="4"/>
  <c r="C99" i="4"/>
  <c r="D99" i="4"/>
  <c r="E99" i="4"/>
  <c r="F99" i="4"/>
  <c r="G99" i="4"/>
  <c r="B98" i="4"/>
  <c r="C98" i="4"/>
  <c r="D98" i="4"/>
  <c r="E98" i="4"/>
  <c r="F98" i="4"/>
  <c r="G98" i="4"/>
  <c r="B97" i="4"/>
  <c r="C97" i="4"/>
  <c r="D97" i="4"/>
  <c r="E97" i="4"/>
  <c r="F97" i="4"/>
  <c r="G97" i="4"/>
  <c r="B96" i="4"/>
  <c r="C96" i="4"/>
  <c r="D96" i="4"/>
  <c r="E96" i="4"/>
  <c r="F96" i="4"/>
  <c r="G96" i="4"/>
  <c r="B95" i="4"/>
  <c r="C95" i="4"/>
  <c r="D95" i="4"/>
  <c r="E95" i="4"/>
  <c r="F95" i="4"/>
  <c r="G95" i="4"/>
  <c r="B94" i="4"/>
  <c r="C94" i="4"/>
  <c r="D94" i="4"/>
  <c r="E94" i="4"/>
  <c r="F94" i="4"/>
  <c r="G94" i="4"/>
  <c r="B93" i="4"/>
  <c r="C93" i="4"/>
  <c r="D93" i="4"/>
  <c r="E93" i="4"/>
  <c r="F93" i="4"/>
  <c r="G93" i="4"/>
  <c r="B92" i="4"/>
  <c r="C92" i="4"/>
  <c r="D92" i="4"/>
  <c r="E92" i="4"/>
  <c r="F92" i="4"/>
  <c r="G92" i="4"/>
  <c r="B91" i="4"/>
  <c r="C91" i="4"/>
  <c r="D91" i="4"/>
  <c r="E91" i="4"/>
  <c r="F91" i="4"/>
  <c r="G91" i="4"/>
  <c r="B90" i="4"/>
  <c r="C90" i="4"/>
  <c r="D90" i="4"/>
  <c r="E90" i="4"/>
  <c r="F90" i="4"/>
  <c r="G90" i="4"/>
  <c r="B89" i="4"/>
  <c r="C89" i="4"/>
  <c r="D89" i="4"/>
  <c r="E89" i="4"/>
  <c r="F89" i="4"/>
  <c r="G89" i="4"/>
  <c r="B88" i="4"/>
  <c r="C88" i="4"/>
  <c r="D88" i="4"/>
  <c r="E88" i="4"/>
  <c r="F88" i="4"/>
  <c r="G88" i="4"/>
  <c r="B87" i="4"/>
  <c r="C87" i="4"/>
  <c r="D87" i="4"/>
  <c r="E87" i="4"/>
  <c r="F87" i="4"/>
  <c r="G87" i="4"/>
  <c r="B86" i="4"/>
  <c r="C86" i="4"/>
  <c r="D86" i="4"/>
  <c r="E86" i="4"/>
  <c r="F86" i="4"/>
  <c r="G86" i="4"/>
  <c r="B85" i="4"/>
  <c r="C85" i="4"/>
  <c r="D85" i="4"/>
  <c r="E85" i="4"/>
  <c r="F85" i="4"/>
  <c r="G85" i="4"/>
  <c r="B84" i="4"/>
  <c r="C84" i="4"/>
  <c r="D84" i="4"/>
  <c r="E84" i="4"/>
  <c r="F84" i="4"/>
  <c r="G84" i="4"/>
  <c r="B83" i="4"/>
  <c r="C83" i="4"/>
  <c r="E83" i="4"/>
  <c r="F83" i="4"/>
  <c r="G83" i="4"/>
  <c r="B82" i="4"/>
  <c r="C82" i="4"/>
  <c r="D82" i="4"/>
  <c r="E82" i="4"/>
  <c r="F82" i="4"/>
  <c r="G82" i="4"/>
  <c r="B81" i="4"/>
  <c r="C81" i="4"/>
  <c r="D81" i="4"/>
  <c r="E81" i="4"/>
  <c r="F81" i="4"/>
  <c r="G81" i="4"/>
  <c r="B80" i="4"/>
  <c r="C80" i="4"/>
  <c r="D80" i="4"/>
  <c r="E80" i="4"/>
  <c r="F80" i="4"/>
  <c r="G80" i="4"/>
  <c r="B79" i="4"/>
  <c r="C79" i="4"/>
  <c r="D79" i="4"/>
  <c r="E79" i="4"/>
  <c r="F79" i="4"/>
  <c r="G79" i="4"/>
  <c r="B78" i="4"/>
  <c r="C78" i="4"/>
  <c r="D78" i="4"/>
  <c r="E78" i="4"/>
  <c r="F78" i="4"/>
  <c r="G78" i="4"/>
  <c r="B77" i="4"/>
  <c r="C77" i="4"/>
  <c r="D77" i="4"/>
  <c r="E77" i="4"/>
  <c r="F77" i="4"/>
  <c r="G77" i="4"/>
  <c r="B76" i="4"/>
  <c r="C76" i="4"/>
  <c r="D76" i="4"/>
  <c r="E76" i="4"/>
  <c r="F76" i="4"/>
  <c r="G76" i="4"/>
  <c r="B75" i="4"/>
  <c r="C75" i="4"/>
  <c r="D75" i="4"/>
  <c r="E75" i="4"/>
  <c r="F75" i="4"/>
  <c r="G75" i="4"/>
  <c r="B74" i="4"/>
  <c r="C74" i="4"/>
  <c r="D74" i="4"/>
  <c r="E74" i="4"/>
  <c r="F74" i="4"/>
  <c r="G74" i="4"/>
  <c r="B73" i="4"/>
  <c r="C73" i="4"/>
  <c r="D73" i="4"/>
  <c r="E73" i="4"/>
  <c r="F73" i="4"/>
  <c r="G73" i="4"/>
  <c r="B72" i="4"/>
  <c r="C72" i="4"/>
  <c r="D72" i="4"/>
  <c r="E72" i="4"/>
  <c r="F72" i="4"/>
  <c r="G72" i="4"/>
  <c r="B71" i="4"/>
  <c r="C71" i="4"/>
  <c r="D71" i="4"/>
  <c r="E71" i="4"/>
  <c r="F71" i="4"/>
  <c r="G71" i="4"/>
  <c r="B70" i="4"/>
  <c r="C70" i="4"/>
  <c r="D70" i="4"/>
  <c r="E70" i="4"/>
  <c r="F70" i="4"/>
  <c r="G70" i="4"/>
  <c r="B69" i="4"/>
  <c r="C69" i="4"/>
  <c r="D69" i="4"/>
  <c r="E69" i="4"/>
  <c r="F69" i="4"/>
  <c r="G69" i="4"/>
  <c r="B68" i="4"/>
  <c r="C68" i="4"/>
  <c r="D68" i="4"/>
  <c r="E68" i="4"/>
  <c r="F68" i="4"/>
  <c r="G68" i="4"/>
  <c r="B67" i="4"/>
  <c r="C67" i="4"/>
  <c r="D67" i="4"/>
  <c r="E67" i="4"/>
  <c r="F67" i="4"/>
  <c r="G67" i="4"/>
  <c r="B66" i="4"/>
  <c r="C66" i="4"/>
  <c r="D66" i="4"/>
  <c r="E66" i="4"/>
  <c r="F66" i="4"/>
  <c r="G66" i="4"/>
  <c r="B65" i="4"/>
  <c r="C65" i="4"/>
  <c r="D65" i="4"/>
  <c r="E65" i="4"/>
  <c r="F65" i="4"/>
  <c r="G65" i="4"/>
  <c r="B64" i="4"/>
  <c r="C64" i="4"/>
  <c r="D64" i="4"/>
  <c r="E64" i="4"/>
  <c r="F64" i="4"/>
  <c r="G64" i="4"/>
  <c r="B63" i="4"/>
  <c r="C63" i="4"/>
  <c r="D63" i="4"/>
  <c r="E63" i="4"/>
  <c r="F63" i="4"/>
  <c r="G63" i="4"/>
  <c r="B62" i="4"/>
  <c r="C62" i="4"/>
  <c r="D62" i="4"/>
  <c r="E62" i="4"/>
  <c r="F62" i="4"/>
  <c r="G62" i="4"/>
  <c r="B61" i="4"/>
  <c r="C61" i="4"/>
  <c r="D61" i="4"/>
  <c r="E61" i="4"/>
  <c r="F61" i="4"/>
  <c r="G61" i="4"/>
  <c r="B60" i="4"/>
  <c r="C60" i="4"/>
  <c r="D60" i="4"/>
  <c r="E60" i="4"/>
  <c r="F60" i="4"/>
  <c r="G60" i="4"/>
  <c r="B59" i="4"/>
  <c r="C59" i="4"/>
  <c r="D59" i="4"/>
  <c r="E59" i="4"/>
  <c r="F59" i="4"/>
  <c r="G59" i="4"/>
  <c r="B58" i="4"/>
  <c r="C58" i="4"/>
  <c r="D58" i="4"/>
  <c r="E58" i="4"/>
  <c r="F58" i="4"/>
  <c r="G58" i="4"/>
  <c r="B57" i="4"/>
  <c r="C57" i="4"/>
  <c r="D57" i="4"/>
  <c r="E57" i="4"/>
  <c r="F57" i="4"/>
  <c r="G57" i="4"/>
  <c r="B56" i="4"/>
  <c r="C56" i="4"/>
  <c r="D56" i="4"/>
  <c r="E56" i="4"/>
  <c r="F56" i="4"/>
  <c r="G56" i="4"/>
  <c r="B55" i="4"/>
  <c r="C55" i="4"/>
  <c r="D55" i="4"/>
  <c r="E55" i="4"/>
  <c r="F55" i="4"/>
  <c r="G55" i="4"/>
  <c r="B54" i="4"/>
  <c r="C54" i="4"/>
  <c r="D54" i="4"/>
  <c r="E54" i="4"/>
  <c r="F54" i="4"/>
  <c r="G54" i="4"/>
  <c r="B53" i="4"/>
  <c r="C53" i="4"/>
  <c r="D53" i="4"/>
  <c r="E53" i="4"/>
  <c r="F53" i="4"/>
  <c r="G53" i="4"/>
  <c r="B52" i="4"/>
  <c r="C52" i="4"/>
  <c r="D52" i="4"/>
  <c r="E52" i="4"/>
  <c r="F52" i="4"/>
  <c r="G52" i="4"/>
  <c r="B51" i="4"/>
  <c r="C51" i="4"/>
  <c r="D51" i="4"/>
  <c r="E51" i="4"/>
  <c r="F51" i="4"/>
  <c r="G51" i="4"/>
  <c r="B50" i="4"/>
  <c r="C50" i="4"/>
  <c r="D50" i="4"/>
  <c r="E50" i="4"/>
  <c r="G50" i="4"/>
  <c r="B49" i="4"/>
  <c r="C49" i="4"/>
  <c r="D49" i="4"/>
  <c r="E49" i="4"/>
  <c r="F49" i="4"/>
  <c r="G49" i="4"/>
  <c r="B48" i="4"/>
  <c r="C48" i="4"/>
  <c r="D48" i="4"/>
  <c r="E48" i="4"/>
  <c r="F48" i="4"/>
  <c r="G48" i="4"/>
  <c r="B47" i="4"/>
  <c r="C47" i="4"/>
  <c r="D47" i="4"/>
  <c r="E47" i="4"/>
  <c r="F47" i="4"/>
  <c r="G47" i="4"/>
  <c r="B46" i="4"/>
  <c r="C46" i="4"/>
  <c r="D46" i="4"/>
  <c r="E46" i="4"/>
  <c r="F46" i="4"/>
  <c r="G46" i="4"/>
  <c r="B45" i="4"/>
  <c r="C45" i="4"/>
  <c r="D45" i="4"/>
  <c r="E45" i="4"/>
  <c r="F45" i="4"/>
  <c r="G45" i="4"/>
  <c r="B44" i="4"/>
  <c r="C44" i="4"/>
  <c r="D44" i="4"/>
  <c r="E44" i="4"/>
  <c r="F44" i="4"/>
  <c r="G44" i="4"/>
  <c r="B43" i="4"/>
  <c r="C43" i="4"/>
  <c r="D43" i="4"/>
  <c r="E43" i="4"/>
  <c r="F43" i="4"/>
  <c r="G43" i="4"/>
  <c r="B42" i="4"/>
  <c r="C42" i="4"/>
  <c r="D42" i="4"/>
  <c r="E42" i="4"/>
  <c r="F42" i="4"/>
  <c r="G42" i="4"/>
  <c r="B41" i="4"/>
  <c r="C41" i="4"/>
  <c r="D41" i="4"/>
  <c r="E41" i="4"/>
  <c r="F41" i="4"/>
  <c r="G41" i="4"/>
  <c r="B40" i="4"/>
  <c r="C40" i="4"/>
  <c r="D40" i="4"/>
  <c r="E40" i="4"/>
  <c r="F40" i="4"/>
  <c r="G40" i="4"/>
  <c r="B39" i="4"/>
  <c r="C39" i="4"/>
  <c r="D39" i="4"/>
  <c r="E39" i="4"/>
  <c r="F39" i="4"/>
  <c r="G39" i="4"/>
  <c r="B38" i="4"/>
  <c r="C38" i="4"/>
  <c r="D38" i="4"/>
  <c r="E38" i="4"/>
  <c r="F38" i="4"/>
  <c r="G38" i="4"/>
  <c r="B37" i="4"/>
  <c r="C37" i="4"/>
  <c r="E37" i="4"/>
  <c r="F37" i="4"/>
  <c r="G37" i="4"/>
  <c r="B36" i="4"/>
  <c r="C36" i="4"/>
  <c r="D36" i="4"/>
  <c r="E36" i="4"/>
  <c r="F36" i="4"/>
  <c r="G36" i="4"/>
  <c r="B35" i="4"/>
  <c r="C35" i="4"/>
  <c r="D35" i="4"/>
  <c r="E35" i="4"/>
  <c r="F35" i="4"/>
  <c r="G35" i="4"/>
  <c r="B34" i="4"/>
  <c r="C34" i="4"/>
  <c r="D34" i="4"/>
  <c r="E34" i="4"/>
  <c r="F34" i="4"/>
  <c r="G34" i="4"/>
  <c r="B33" i="4"/>
  <c r="C33" i="4"/>
  <c r="D33" i="4"/>
  <c r="E33" i="4"/>
  <c r="F33" i="4"/>
  <c r="G33" i="4"/>
  <c r="B32" i="4"/>
  <c r="C32" i="4"/>
  <c r="D32" i="4"/>
  <c r="E32" i="4"/>
  <c r="F32" i="4"/>
  <c r="G32" i="4"/>
  <c r="B31" i="4"/>
  <c r="C31" i="4"/>
  <c r="D31" i="4"/>
  <c r="E31" i="4"/>
  <c r="F31" i="4"/>
  <c r="G31" i="4"/>
  <c r="B30" i="4"/>
  <c r="C30" i="4"/>
  <c r="D30" i="4"/>
  <c r="E30" i="4"/>
  <c r="F30" i="4"/>
  <c r="G30" i="4"/>
  <c r="B29" i="4"/>
  <c r="C29" i="4"/>
  <c r="D29" i="4"/>
  <c r="E29" i="4"/>
  <c r="F29" i="4"/>
  <c r="G29" i="4"/>
  <c r="B28" i="4"/>
  <c r="C28" i="4"/>
  <c r="D28" i="4"/>
  <c r="E28" i="4"/>
  <c r="F28" i="4"/>
  <c r="G28" i="4"/>
  <c r="B27" i="4"/>
  <c r="C27" i="4"/>
  <c r="D27" i="4"/>
  <c r="E27" i="4"/>
  <c r="F27" i="4"/>
  <c r="G27" i="4"/>
  <c r="B26" i="4"/>
  <c r="C26" i="4"/>
  <c r="D26" i="4"/>
  <c r="E26" i="4"/>
  <c r="F26" i="4"/>
  <c r="G26" i="4"/>
  <c r="B25" i="4"/>
  <c r="C25" i="4"/>
  <c r="D25" i="4"/>
  <c r="E25" i="4"/>
  <c r="F25" i="4"/>
  <c r="G25" i="4"/>
  <c r="B24" i="4"/>
  <c r="C24" i="4"/>
  <c r="D24" i="4"/>
  <c r="E24" i="4"/>
  <c r="F24" i="4"/>
  <c r="G24" i="4"/>
  <c r="B23" i="4"/>
  <c r="C23" i="4"/>
  <c r="D23" i="4"/>
  <c r="E23" i="4"/>
  <c r="F23" i="4"/>
  <c r="G23" i="4"/>
  <c r="B22" i="4"/>
  <c r="C22" i="4"/>
  <c r="D22" i="4"/>
  <c r="E22" i="4"/>
  <c r="F22" i="4"/>
  <c r="G22" i="4"/>
  <c r="B21" i="4"/>
  <c r="C21" i="4"/>
  <c r="D21" i="4"/>
  <c r="E21" i="4"/>
  <c r="F21" i="4"/>
  <c r="G21" i="4"/>
  <c r="B20" i="4"/>
  <c r="C20" i="4"/>
  <c r="D20" i="4"/>
  <c r="E20" i="4"/>
  <c r="F20" i="4"/>
  <c r="G20" i="4"/>
  <c r="B19" i="4"/>
  <c r="C19" i="4"/>
  <c r="D19" i="4"/>
  <c r="E19" i="4"/>
  <c r="F19" i="4"/>
  <c r="G19" i="4"/>
  <c r="B18" i="4"/>
  <c r="C18" i="4"/>
  <c r="D18" i="4"/>
  <c r="E18" i="4"/>
  <c r="F18" i="4"/>
  <c r="G18" i="4"/>
  <c r="B17" i="4"/>
  <c r="C17" i="4"/>
  <c r="D17" i="4"/>
  <c r="E17" i="4"/>
  <c r="F17" i="4"/>
  <c r="G17" i="4"/>
  <c r="B16" i="4"/>
  <c r="C16" i="4"/>
  <c r="D16" i="4"/>
  <c r="E16" i="4"/>
  <c r="F16" i="4"/>
  <c r="G16" i="4"/>
  <c r="B15" i="4"/>
  <c r="C15" i="4"/>
  <c r="D15" i="4"/>
  <c r="E15" i="4"/>
  <c r="F15" i="4"/>
  <c r="G15" i="4"/>
  <c r="B14" i="4"/>
  <c r="C14" i="4"/>
  <c r="D14" i="4"/>
  <c r="E14" i="4"/>
  <c r="F14" i="4"/>
  <c r="G14" i="4"/>
  <c r="B13" i="4"/>
  <c r="C13" i="4"/>
  <c r="D13" i="4"/>
  <c r="E13" i="4"/>
  <c r="F13" i="4"/>
  <c r="G13" i="4"/>
  <c r="B4" i="3"/>
  <c r="C4" i="3"/>
  <c r="D4" i="3"/>
  <c r="E4" i="3"/>
  <c r="F4" i="3"/>
  <c r="G4" i="3"/>
  <c r="B12" i="4"/>
  <c r="C12" i="4"/>
  <c r="D12" i="4"/>
  <c r="E12" i="4"/>
  <c r="F12" i="4"/>
  <c r="G12" i="4"/>
  <c r="B11" i="4"/>
  <c r="C11" i="4"/>
  <c r="D11" i="4"/>
  <c r="E11" i="4"/>
  <c r="F11" i="4"/>
  <c r="G11" i="4"/>
  <c r="B10" i="4"/>
  <c r="C10" i="4"/>
  <c r="D10" i="4"/>
  <c r="E10" i="4"/>
  <c r="F10" i="4"/>
  <c r="G10" i="4"/>
  <c r="B9" i="4"/>
  <c r="C9" i="4"/>
  <c r="D9" i="4"/>
  <c r="E9" i="4"/>
  <c r="F9" i="4"/>
  <c r="G9" i="4"/>
  <c r="B8" i="4"/>
  <c r="C8" i="4"/>
  <c r="D8" i="4"/>
  <c r="E8" i="4"/>
  <c r="F8" i="4"/>
  <c r="G8" i="4"/>
  <c r="B7" i="4"/>
  <c r="C7" i="4"/>
  <c r="D7" i="4"/>
  <c r="E7" i="4"/>
  <c r="F7" i="4"/>
  <c r="G7" i="4"/>
  <c r="B2" i="3"/>
  <c r="B3" i="5"/>
  <c r="C3" i="5"/>
  <c r="D3" i="5"/>
  <c r="E3" i="5"/>
  <c r="F3" i="5"/>
  <c r="G3" i="5"/>
  <c r="B6" i="4"/>
  <c r="C6" i="4"/>
  <c r="D6" i="4"/>
  <c r="E6" i="4"/>
  <c r="F6" i="4"/>
  <c r="G6" i="4"/>
  <c r="B5" i="4"/>
  <c r="C5" i="4"/>
  <c r="D5" i="4"/>
  <c r="E5" i="4"/>
  <c r="F5" i="4"/>
  <c r="G5" i="4"/>
  <c r="B2" i="6"/>
  <c r="C2" i="6"/>
  <c r="D2" i="6"/>
  <c r="E2" i="6"/>
  <c r="F2" i="6"/>
  <c r="G2" i="6"/>
  <c r="B4" i="4"/>
  <c r="C4" i="4"/>
  <c r="D4" i="4"/>
  <c r="E4" i="4"/>
  <c r="F4" i="4"/>
  <c r="G4" i="4"/>
  <c r="B2" i="5"/>
  <c r="C2" i="5"/>
  <c r="D2" i="5"/>
  <c r="E2" i="5"/>
  <c r="F2" i="5"/>
  <c r="G2" i="5"/>
  <c r="B3" i="4"/>
  <c r="C3" i="4"/>
  <c r="D3" i="4"/>
  <c r="E3" i="4"/>
  <c r="F3" i="4"/>
  <c r="G3" i="4"/>
  <c r="B2" i="4"/>
  <c r="C2" i="4"/>
  <c r="D2" i="4"/>
  <c r="E2" i="4"/>
  <c r="F2" i="4"/>
  <c r="G2" i="4"/>
  <c r="B3" i="3"/>
  <c r="C3" i="3"/>
  <c r="D3" i="3"/>
  <c r="E3" i="3"/>
  <c r="F3" i="3"/>
  <c r="G3" i="3"/>
  <c r="G2" i="3"/>
  <c r="D2" i="3"/>
  <c r="C2" i="3"/>
  <c r="F2" i="3"/>
  <c r="E2" i="3"/>
  <c r="D1" i="2" a="1"/>
  <c r="D1" i="2" s="1"/>
  <c r="A4" i="9" l="1" a="1"/>
  <c r="A4" i="9" s="1"/>
  <c r="M4" i="9" a="1"/>
  <c r="M4" i="9" s="1"/>
  <c r="G4" i="9" a="1"/>
  <c r="G4" i="9" s="1"/>
  <c r="G4" i="7" a="1"/>
  <c r="G4" i="7" s="1"/>
  <c r="M4" i="7" a="1"/>
  <c r="M4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<sst xmlns="http://schemas.openxmlformats.org/spreadsheetml/2006/main" count="22267" uniqueCount="8640">
  <si>
    <t>Unique ID</t>
  </si>
  <si>
    <t>Submission Date</t>
  </si>
  <si>
    <t>First Name</t>
  </si>
  <si>
    <t>Last Name</t>
  </si>
  <si>
    <t>Email</t>
  </si>
  <si>
    <t>Phone</t>
  </si>
  <si>
    <t>City</t>
  </si>
  <si>
    <t>State</t>
  </si>
  <si>
    <t>Source</t>
  </si>
  <si>
    <t>Recruiter</t>
  </si>
  <si>
    <t>Recruitment Cycle</t>
  </si>
  <si>
    <t>Email_Clean</t>
  </si>
  <si>
    <t xml:space="preserve">Josue </t>
  </si>
  <si>
    <t>Rodriguez Osoria</t>
  </si>
  <si>
    <t>josuerodriguezosoria@gmail.com</t>
  </si>
  <si>
    <t>(978) 228-9861</t>
  </si>
  <si>
    <t>Haverhill</t>
  </si>
  <si>
    <t>MA</t>
  </si>
  <si>
    <t>Job Fair</t>
  </si>
  <si>
    <t>Tyler</t>
  </si>
  <si>
    <t>Foberg</t>
  </si>
  <si>
    <t>tylerfoberg@gmail.com</t>
  </si>
  <si>
    <t>(978) 476-2244</t>
  </si>
  <si>
    <t xml:space="preserve">Enrique Ortiz </t>
  </si>
  <si>
    <t>Kimberly</t>
  </si>
  <si>
    <t>Ortiz</t>
  </si>
  <si>
    <t>MsKimOrtiz@gmail.com</t>
  </si>
  <si>
    <t>(978) 201-7087</t>
  </si>
  <si>
    <t>Salisbury</t>
  </si>
  <si>
    <t xml:space="preserve">Benjamin </t>
  </si>
  <si>
    <t xml:space="preserve">Esangbedo </t>
  </si>
  <si>
    <t>besangbedoo@gmail.com</t>
  </si>
  <si>
    <t>(404) 492-4634</t>
  </si>
  <si>
    <t xml:space="preserve">Brockton </t>
  </si>
  <si>
    <t xml:space="preserve">Shaliah </t>
  </si>
  <si>
    <t>Gibson</t>
  </si>
  <si>
    <t>Sgibson1@massasoit.edu</t>
  </si>
  <si>
    <t xml:space="preserve">774 297 1438 </t>
  </si>
  <si>
    <t xml:space="preserve">Elena </t>
  </si>
  <si>
    <t xml:space="preserve">powell </t>
  </si>
  <si>
    <t>powelllaney8@gmail.com</t>
  </si>
  <si>
    <t>(508) 769-0911</t>
  </si>
  <si>
    <t>Spencer</t>
  </si>
  <si>
    <t>Radhames</t>
  </si>
  <si>
    <t>Fernandez</t>
  </si>
  <si>
    <t>Fernandezrandy879@gmail.com</t>
  </si>
  <si>
    <t>(978) 376-9591</t>
  </si>
  <si>
    <t xml:space="preserve">Lawrence </t>
  </si>
  <si>
    <t xml:space="preserve">Khorvensky </t>
  </si>
  <si>
    <t xml:space="preserve">Jean paul </t>
  </si>
  <si>
    <t xml:space="preserve">mkhorvensky@gmail.com </t>
  </si>
  <si>
    <t xml:space="preserve">(516) 503-5277 </t>
  </si>
  <si>
    <t>Boston</t>
  </si>
  <si>
    <t xml:space="preserve">MA </t>
  </si>
  <si>
    <t>Formstack</t>
  </si>
  <si>
    <t xml:space="preserve">Michael </t>
  </si>
  <si>
    <t xml:space="preserve"> Yarmai</t>
  </si>
  <si>
    <t xml:space="preserve">yarmaimichael7@gmail.com </t>
  </si>
  <si>
    <t xml:space="preserve">(401) 601-6670 </t>
  </si>
  <si>
    <t>Pawtucket</t>
  </si>
  <si>
    <t>RI</t>
  </si>
  <si>
    <t>Alexandre</t>
  </si>
  <si>
    <t xml:space="preserve">Rodigues </t>
  </si>
  <si>
    <t>alexandremarcenaa@gmail.com</t>
  </si>
  <si>
    <t xml:space="preserve">(978) 505-3801 </t>
  </si>
  <si>
    <t xml:space="preserve">Concord </t>
  </si>
  <si>
    <t>Zenon Moses</t>
  </si>
  <si>
    <t xml:space="preserve">Black </t>
  </si>
  <si>
    <t xml:space="preserve">black.michael.45@gmail.com </t>
  </si>
  <si>
    <t xml:space="preserve">(978) 902-4563 </t>
  </si>
  <si>
    <t xml:space="preserve">Ashana </t>
  </si>
  <si>
    <t xml:space="preserve">Dunbar </t>
  </si>
  <si>
    <t xml:space="preserve">dunbarashana@gmail.com </t>
  </si>
  <si>
    <t xml:space="preserve">(774) 764-7703 </t>
  </si>
  <si>
    <t xml:space="preserve">Worcester </t>
  </si>
  <si>
    <t xml:space="preserve">Joshua </t>
  </si>
  <si>
    <t xml:space="preserve"> Urato </t>
  </si>
  <si>
    <t>joshuaurato1015@gmail.com</t>
  </si>
  <si>
    <t xml:space="preserve">(978) 846-4014 </t>
  </si>
  <si>
    <t>Worcester</t>
  </si>
  <si>
    <t xml:space="preserve">Karen </t>
  </si>
  <si>
    <t xml:space="preserve"> Ruiz </t>
  </si>
  <si>
    <t xml:space="preserve">ruizk5632@gmail.com </t>
  </si>
  <si>
    <t xml:space="preserve">(508) 524-1386 </t>
  </si>
  <si>
    <t xml:space="preserve">Joseph  </t>
  </si>
  <si>
    <t xml:space="preserve"> CUPERTINO JR </t>
  </si>
  <si>
    <t>jcupertinojr@gmail.com</t>
  </si>
  <si>
    <t>508-369-1169</t>
  </si>
  <si>
    <t>Attleboro</t>
  </si>
  <si>
    <t xml:space="preserve">Sue </t>
  </si>
  <si>
    <t xml:space="preserve">Roman </t>
  </si>
  <si>
    <t>Est93mommyshitt@icloud.com</t>
  </si>
  <si>
    <t xml:space="preserve">(508) 735-7622 </t>
  </si>
  <si>
    <t xml:space="preserve">Jessica </t>
  </si>
  <si>
    <t xml:space="preserve">lafleur </t>
  </si>
  <si>
    <t xml:space="preserve">Jessicalafleur42082@gmail.com </t>
  </si>
  <si>
    <t xml:space="preserve">774)386-8559 </t>
  </si>
  <si>
    <t xml:space="preserve">Riley </t>
  </si>
  <si>
    <t xml:space="preserve">Perkins </t>
  </si>
  <si>
    <t xml:space="preserve">aa36105@gmail.com </t>
  </si>
  <si>
    <t xml:space="preserve">334) 400-8020 </t>
  </si>
  <si>
    <t>Website</t>
  </si>
  <si>
    <t xml:space="preserve">Luis </t>
  </si>
  <si>
    <t xml:space="preserve"> Rodriguez</t>
  </si>
  <si>
    <t>luisrodt90@gmail.com</t>
  </si>
  <si>
    <t>508-414-8180</t>
  </si>
  <si>
    <t>Weymouth</t>
  </si>
  <si>
    <t xml:space="preserve">Tyshawn </t>
  </si>
  <si>
    <t>Lucas</t>
  </si>
  <si>
    <t>dariuslucas75@gmail.com</t>
  </si>
  <si>
    <t>774-210-2902</t>
  </si>
  <si>
    <t>Bedford</t>
  </si>
  <si>
    <t>Indeed</t>
  </si>
  <si>
    <t xml:space="preserve">Brandon </t>
  </si>
  <si>
    <t>Carreiro</t>
  </si>
  <si>
    <t>bcarreiro5825@gmail.com</t>
  </si>
  <si>
    <t>508 262 2946</t>
  </si>
  <si>
    <t>Swansea</t>
  </si>
  <si>
    <t xml:space="preserve">Austin Campos </t>
  </si>
  <si>
    <t xml:space="preserve">Cameron </t>
  </si>
  <si>
    <t>Geruso</t>
  </si>
  <si>
    <t>CameronGeruso@yahoo.com</t>
  </si>
  <si>
    <t>401 490 1236</t>
  </si>
  <si>
    <t>Providence</t>
  </si>
  <si>
    <t>Pacombe</t>
  </si>
  <si>
    <t>Abnelson</t>
  </si>
  <si>
    <t>nysonpacombe@gmail.com</t>
  </si>
  <si>
    <t>(857) 615-1279</t>
  </si>
  <si>
    <t>Randolph</t>
  </si>
  <si>
    <t xml:space="preserve">Wilnette </t>
  </si>
  <si>
    <t>Memeus</t>
  </si>
  <si>
    <t>WilnetteMemeus@gmail.com</t>
  </si>
  <si>
    <t>781)921-4472</t>
  </si>
  <si>
    <t>Malden</t>
  </si>
  <si>
    <t xml:space="preserve">Nasreddine </t>
  </si>
  <si>
    <t>Abdelouhab</t>
  </si>
  <si>
    <t>nabdeloughab61@gmail.com</t>
  </si>
  <si>
    <t>781 428 6787</t>
  </si>
  <si>
    <t>Revere</t>
  </si>
  <si>
    <t>Wagner</t>
  </si>
  <si>
    <t>phileagles1977@yahoo.com</t>
  </si>
  <si>
    <t>508 558 2651</t>
  </si>
  <si>
    <t>Fall River</t>
  </si>
  <si>
    <t xml:space="preserve">Calixto </t>
  </si>
  <si>
    <t xml:space="preserve">Cruz </t>
  </si>
  <si>
    <t xml:space="preserve">Calixto77777@gmail.com </t>
  </si>
  <si>
    <t xml:space="preserve">(413) 847-1797 </t>
  </si>
  <si>
    <t xml:space="preserve">Springfield </t>
  </si>
  <si>
    <t xml:space="preserve">Adam </t>
  </si>
  <si>
    <t xml:space="preserve"> Stein </t>
  </si>
  <si>
    <t xml:space="preserve">stein4981@verizon.net </t>
  </si>
  <si>
    <t xml:space="preserve">(609) 712-6187 </t>
  </si>
  <si>
    <t>Austin</t>
  </si>
  <si>
    <t>TX</t>
  </si>
  <si>
    <t xml:space="preserve">Elvis </t>
  </si>
  <si>
    <t xml:space="preserve">Azong </t>
  </si>
  <si>
    <t xml:space="preserve">azongelvis50@gmail.com </t>
  </si>
  <si>
    <t>520)688-0149</t>
  </si>
  <si>
    <t>Lawrence</t>
  </si>
  <si>
    <t xml:space="preserve">Isatu </t>
  </si>
  <si>
    <t xml:space="preserve">Kanu </t>
  </si>
  <si>
    <t xml:space="preserve">lovelyiye112@gmail.com </t>
  </si>
  <si>
    <t>508-936-3830</t>
  </si>
  <si>
    <t>Lowell</t>
  </si>
  <si>
    <t xml:space="preserve">Tyler </t>
  </si>
  <si>
    <t>Dineen</t>
  </si>
  <si>
    <t>Dineentyler@icloud.com</t>
  </si>
  <si>
    <t>413) 239 8544</t>
  </si>
  <si>
    <t>Bondsville</t>
  </si>
  <si>
    <t xml:space="preserve">SHAWN </t>
  </si>
  <si>
    <t>ANDERSON</t>
  </si>
  <si>
    <t>shawnanderson_259@msn.com</t>
  </si>
  <si>
    <t>(978) 995-3949</t>
  </si>
  <si>
    <t>Andover</t>
  </si>
  <si>
    <t xml:space="preserve">Gianna </t>
  </si>
  <si>
    <t xml:space="preserve">Nicholas </t>
  </si>
  <si>
    <t xml:space="preserve">giannanicholas22@gmail.com </t>
  </si>
  <si>
    <t xml:space="preserve">781) 974-0098 </t>
  </si>
  <si>
    <t xml:space="preserve">Wander </t>
  </si>
  <si>
    <t xml:space="preserve"> j Beltran </t>
  </si>
  <si>
    <t>Wander_2217@outlook.com</t>
  </si>
  <si>
    <t>978 394 4339</t>
  </si>
  <si>
    <t>Lynn</t>
  </si>
  <si>
    <t xml:space="preserve">Yvonne </t>
  </si>
  <si>
    <t xml:space="preserve"> Clark </t>
  </si>
  <si>
    <t xml:space="preserve">yclark1109@gmail.com </t>
  </si>
  <si>
    <t xml:space="preserve">(617) 708-6199 </t>
  </si>
  <si>
    <t>East Boston</t>
  </si>
  <si>
    <t>Taneka</t>
  </si>
  <si>
    <t xml:space="preserve"> Miller</t>
  </si>
  <si>
    <t>millertaneka3@gmail.com</t>
  </si>
  <si>
    <t>860-834-6385</t>
  </si>
  <si>
    <t xml:space="preserve">Southbridge </t>
  </si>
  <si>
    <t>Referral</t>
  </si>
  <si>
    <t xml:space="preserve">Jevon Brown Simpson </t>
  </si>
  <si>
    <t xml:space="preserve">Freddy </t>
  </si>
  <si>
    <t xml:space="preserve">Melendez </t>
  </si>
  <si>
    <t xml:space="preserve">prysone@gmail.com </t>
  </si>
  <si>
    <t>215 237 7252</t>
  </si>
  <si>
    <t>Barre</t>
  </si>
  <si>
    <t xml:space="preserve"> Mukandila </t>
  </si>
  <si>
    <t xml:space="preserve">joshuamforever@gmail.com </t>
  </si>
  <si>
    <t xml:space="preserve">(978) 418-9391 </t>
  </si>
  <si>
    <t xml:space="preserve">Joel </t>
  </si>
  <si>
    <t xml:space="preserve"> Diaz </t>
  </si>
  <si>
    <t>Joeldiazpr87@gmail.com</t>
  </si>
  <si>
    <t xml:space="preserve">401_306-8335 </t>
  </si>
  <si>
    <t>Cranston</t>
  </si>
  <si>
    <t xml:space="preserve">Gianni </t>
  </si>
  <si>
    <t>Maggiacomo</t>
  </si>
  <si>
    <t>giannson@gmail.com</t>
  </si>
  <si>
    <t>774) 688- 0233</t>
  </si>
  <si>
    <t>Wrentham</t>
  </si>
  <si>
    <t xml:space="preserve">DeVaughn </t>
  </si>
  <si>
    <t>Michaeldeva55@gmail.com</t>
  </si>
  <si>
    <t>857 339 8925</t>
  </si>
  <si>
    <t xml:space="preserve">Johnson </t>
  </si>
  <si>
    <t>Cledanor</t>
  </si>
  <si>
    <t>Jcladan@gmail.com</t>
  </si>
  <si>
    <t>857 261 3848</t>
  </si>
  <si>
    <t xml:space="preserve">Randolph </t>
  </si>
  <si>
    <t xml:space="preserve">ANTHONY </t>
  </si>
  <si>
    <t xml:space="preserve">TATALIAS </t>
  </si>
  <si>
    <t xml:space="preserve">ATATALIAS31@GMAIL.COM </t>
  </si>
  <si>
    <t xml:space="preserve">(321) 330-7169 </t>
  </si>
  <si>
    <t>SAGAMORE BEACH</t>
  </si>
  <si>
    <t xml:space="preserve">Re-Engagment/Post Civil Service Exam </t>
  </si>
  <si>
    <t xml:space="preserve">Ajaia </t>
  </si>
  <si>
    <t xml:space="preserve">Browder </t>
  </si>
  <si>
    <t xml:space="preserve">browderajaia@gmail.com </t>
  </si>
  <si>
    <t xml:space="preserve">(617) 388-6031 </t>
  </si>
  <si>
    <t>Quincy</t>
  </si>
  <si>
    <t xml:space="preserve">Derek </t>
  </si>
  <si>
    <t xml:space="preserve">Momo </t>
  </si>
  <si>
    <t xml:space="preserve">derekmomo@gmail.com </t>
  </si>
  <si>
    <t xml:space="preserve">(410) 412-4239 </t>
  </si>
  <si>
    <t>Pikesville</t>
  </si>
  <si>
    <t>MD</t>
  </si>
  <si>
    <t xml:space="preserve">Serge </t>
  </si>
  <si>
    <t xml:space="preserve">Chery </t>
  </si>
  <si>
    <t xml:space="preserve">chery.serge1969@gmail.com </t>
  </si>
  <si>
    <t xml:space="preserve">(857) 236-1534 </t>
  </si>
  <si>
    <t xml:space="preserve">Stoughton </t>
  </si>
  <si>
    <t xml:space="preserve">William </t>
  </si>
  <si>
    <t xml:space="preserve"> Kinss </t>
  </si>
  <si>
    <t xml:space="preserve">kinss1987@yahoo.com </t>
  </si>
  <si>
    <t xml:space="preserve">(617) 447-9017 </t>
  </si>
  <si>
    <t>Walpole</t>
  </si>
  <si>
    <t xml:space="preserve">Mark </t>
  </si>
  <si>
    <t xml:space="preserve">Ertel </t>
  </si>
  <si>
    <t>ertel.ark63@g.ail.com</t>
  </si>
  <si>
    <t>413 758 5751</t>
  </si>
  <si>
    <t xml:space="preserve">Ware </t>
  </si>
  <si>
    <t>David</t>
  </si>
  <si>
    <t xml:space="preserve">Hutcherson </t>
  </si>
  <si>
    <t>Davidhutcherson783@yahoo.com</t>
  </si>
  <si>
    <t>857 232 4063</t>
  </si>
  <si>
    <t xml:space="preserve">Boston </t>
  </si>
  <si>
    <t>Shicora</t>
  </si>
  <si>
    <t xml:space="preserve"> M Saydee</t>
  </si>
  <si>
    <t>Shicorasaydee@icloud.com</t>
  </si>
  <si>
    <t>774 361 9112</t>
  </si>
  <si>
    <t>Charles</t>
  </si>
  <si>
    <t>Henderson</t>
  </si>
  <si>
    <t>chenderson3326@outlook.com</t>
  </si>
  <si>
    <t>860 420 9845</t>
  </si>
  <si>
    <t>Danielson</t>
  </si>
  <si>
    <t>CT</t>
  </si>
  <si>
    <t xml:space="preserve">Xabiel </t>
  </si>
  <si>
    <t xml:space="preserve">Cortes </t>
  </si>
  <si>
    <t>xcortesjj@gmail.com</t>
  </si>
  <si>
    <t>508-410-1711</t>
  </si>
  <si>
    <t xml:space="preserve">Nicole </t>
  </si>
  <si>
    <t>Isabel Whalon</t>
  </si>
  <si>
    <t>sweetheart554@aol.com</t>
  </si>
  <si>
    <t>774-406-7843</t>
  </si>
  <si>
    <t>Taunton</t>
  </si>
  <si>
    <t xml:space="preserve">Jodiann </t>
  </si>
  <si>
    <t>Reid</t>
  </si>
  <si>
    <t>reidjodiann@icloud.com</t>
  </si>
  <si>
    <t>954-288-8132</t>
  </si>
  <si>
    <t xml:space="preserve">Quincy </t>
  </si>
  <si>
    <t xml:space="preserve">Destiny </t>
  </si>
  <si>
    <t xml:space="preserve">Lewis </t>
  </si>
  <si>
    <t xml:space="preserve">destinykl18@gmail.com </t>
  </si>
  <si>
    <t xml:space="preserve">(774) 433-0964 </t>
  </si>
  <si>
    <t xml:space="preserve">Angel </t>
  </si>
  <si>
    <t xml:space="preserve">Gonzalez </t>
  </si>
  <si>
    <t>Agz4789@yahoo.com</t>
  </si>
  <si>
    <t>857-415-7378</t>
  </si>
  <si>
    <t xml:space="preserve">Hyde Park </t>
  </si>
  <si>
    <t xml:space="preserve">Chad </t>
  </si>
  <si>
    <t xml:space="preserve">Place </t>
  </si>
  <si>
    <t>chadplace@icloud.com</t>
  </si>
  <si>
    <t>508 244 8696</t>
  </si>
  <si>
    <t xml:space="preserve">Uxbridge </t>
  </si>
  <si>
    <t xml:space="preserve">Demetrius </t>
  </si>
  <si>
    <t xml:space="preserve">Sylvert </t>
  </si>
  <si>
    <t xml:space="preserve">Demetriussylvert29@gmail.com </t>
  </si>
  <si>
    <t xml:space="preserve">781 552 0564 </t>
  </si>
  <si>
    <t>BURLINGTON</t>
  </si>
  <si>
    <t>Regina</t>
  </si>
  <si>
    <t xml:space="preserve">Pomaa </t>
  </si>
  <si>
    <t xml:space="preserve">rpomaa398@gmail.com </t>
  </si>
  <si>
    <t xml:space="preserve">(774) 293-3385 </t>
  </si>
  <si>
    <t>Naeem</t>
  </si>
  <si>
    <t>Augustave</t>
  </si>
  <si>
    <t>augustave19@gmail.com</t>
  </si>
  <si>
    <t>508-615-3945</t>
  </si>
  <si>
    <t xml:space="preserve">Peterly </t>
  </si>
  <si>
    <t xml:space="preserve">Lynch </t>
  </si>
  <si>
    <t xml:space="preserve">Peterlylynch509@gmail.com </t>
  </si>
  <si>
    <t xml:space="preserve">(857) 376-8562 </t>
  </si>
  <si>
    <t xml:space="preserve">Shawn </t>
  </si>
  <si>
    <t xml:space="preserve"> Grover </t>
  </si>
  <si>
    <t xml:space="preserve">shawngrover11629@gmail.com </t>
  </si>
  <si>
    <t xml:space="preserve">351) 213-5225 </t>
  </si>
  <si>
    <t xml:space="preserve">Winchendon </t>
  </si>
  <si>
    <t>Annie</t>
  </si>
  <si>
    <t xml:space="preserve">Sefah Tsisah </t>
  </si>
  <si>
    <t xml:space="preserve">annsefah120@gmail.com </t>
  </si>
  <si>
    <t xml:space="preserve">(860) 840-5859 </t>
  </si>
  <si>
    <t xml:space="preserve">East Hartford </t>
  </si>
  <si>
    <t>Corey</t>
  </si>
  <si>
    <t xml:space="preserve"> Moniz </t>
  </si>
  <si>
    <t xml:space="preserve">cmoniz884@gmail.com </t>
  </si>
  <si>
    <t xml:space="preserve">401 699 9040 </t>
  </si>
  <si>
    <t>Riverside</t>
  </si>
  <si>
    <t xml:space="preserve">RI </t>
  </si>
  <si>
    <t xml:space="preserve">FADILI </t>
  </si>
  <si>
    <t>BEA-ANG MANOH</t>
  </si>
  <si>
    <t>manbefad@gmail.com</t>
  </si>
  <si>
    <t>860-840-9419</t>
  </si>
  <si>
    <t>HARTFORD</t>
  </si>
  <si>
    <t xml:space="preserve">CT </t>
  </si>
  <si>
    <t xml:space="preserve">Joel Varilus </t>
  </si>
  <si>
    <t>jvarilus@gmail.com</t>
  </si>
  <si>
    <t xml:space="preserve">857-615-8925 </t>
  </si>
  <si>
    <t xml:space="preserve">Raynham </t>
  </si>
  <si>
    <t>Other</t>
  </si>
  <si>
    <t>Devin</t>
  </si>
  <si>
    <t xml:space="preserve"> Francis </t>
  </si>
  <si>
    <t xml:space="preserve">devinfrancis16@gmail.com </t>
  </si>
  <si>
    <t xml:space="preserve">(617) 595-9832 </t>
  </si>
  <si>
    <t>Brighton</t>
  </si>
  <si>
    <t>Leon</t>
  </si>
  <si>
    <t xml:space="preserve">Marsh </t>
  </si>
  <si>
    <t xml:space="preserve">leonmarsh34@gmail.com </t>
  </si>
  <si>
    <t xml:space="preserve">(413) 219-2586 </t>
  </si>
  <si>
    <t>Palmer</t>
  </si>
  <si>
    <t>Richard</t>
  </si>
  <si>
    <t xml:space="preserve"> Pickle </t>
  </si>
  <si>
    <t xml:space="preserve">rcpickle88@gmail.com </t>
  </si>
  <si>
    <t xml:space="preserve">619 919 7750 </t>
  </si>
  <si>
    <t>Huntington Beach</t>
  </si>
  <si>
    <t>CA</t>
  </si>
  <si>
    <t xml:space="preserve">Khalia </t>
  </si>
  <si>
    <t xml:space="preserve">Threadgill </t>
  </si>
  <si>
    <t xml:space="preserve">threadkhalia@gmail.com </t>
  </si>
  <si>
    <t xml:space="preserve">(202) 751-8062 </t>
  </si>
  <si>
    <t xml:space="preserve">Washington </t>
  </si>
  <si>
    <t>DC</t>
  </si>
  <si>
    <t>George</t>
  </si>
  <si>
    <t xml:space="preserve">Adomako </t>
  </si>
  <si>
    <t xml:space="preserve">georgiagh@yahoo.com </t>
  </si>
  <si>
    <t>508 762 2808</t>
  </si>
  <si>
    <t xml:space="preserve"> May </t>
  </si>
  <si>
    <t>cameronmay141141@gmail.com</t>
  </si>
  <si>
    <t>845-283-9595</t>
  </si>
  <si>
    <t>Milford</t>
  </si>
  <si>
    <t>PA</t>
  </si>
  <si>
    <t xml:space="preserve">Adewale </t>
  </si>
  <si>
    <t xml:space="preserve"> Ajibade </t>
  </si>
  <si>
    <t>dewaleajib1071@gmail.com</t>
  </si>
  <si>
    <t xml:space="preserve">240)860-3399 </t>
  </si>
  <si>
    <t>Lanham</t>
  </si>
  <si>
    <t xml:space="preserve">Harold </t>
  </si>
  <si>
    <t xml:space="preserve"> St Jacques </t>
  </si>
  <si>
    <t xml:space="preserve">saintjacquesharold@gmail.com </t>
  </si>
  <si>
    <t xml:space="preserve">(407) 640-2451 </t>
  </si>
  <si>
    <t xml:space="preserve">Pomeroy </t>
  </si>
  <si>
    <t xml:space="preserve">bill.pomeroy@gmail.com </t>
  </si>
  <si>
    <t xml:space="preserve">617)212-0632 </t>
  </si>
  <si>
    <t>MILLBURY</t>
  </si>
  <si>
    <t xml:space="preserve">Molege </t>
  </si>
  <si>
    <t xml:space="preserve">Ertilien </t>
  </si>
  <si>
    <t xml:space="preserve">Molegeertilien@gmail.com </t>
  </si>
  <si>
    <t>862)224-6896</t>
  </si>
  <si>
    <t>Orange</t>
  </si>
  <si>
    <t xml:space="preserve">kevin </t>
  </si>
  <si>
    <t>Mulligan</t>
  </si>
  <si>
    <t>kevinmull125@gmail.com</t>
  </si>
  <si>
    <t>401 595 4113</t>
  </si>
  <si>
    <t>Middleboro</t>
  </si>
  <si>
    <t xml:space="preserve">Treanna </t>
  </si>
  <si>
    <t xml:space="preserve">Colbert </t>
  </si>
  <si>
    <t>treannacolbert2950@gmail.com</t>
  </si>
  <si>
    <t>(857) 500-1101</t>
  </si>
  <si>
    <t>Medway</t>
  </si>
  <si>
    <t xml:space="preserve"> Burnett </t>
  </si>
  <si>
    <t xml:space="preserve">jodiannburnett@gmail.com </t>
  </si>
  <si>
    <t xml:space="preserve">(857) 421-8659 </t>
  </si>
  <si>
    <t xml:space="preserve">Desmond </t>
  </si>
  <si>
    <t xml:space="preserve">Mcpherson </t>
  </si>
  <si>
    <t>desmondmcpherson88@gmail.com</t>
  </si>
  <si>
    <t xml:space="preserve">(857) 246-5373 </t>
  </si>
  <si>
    <t xml:space="preserve">Elisecia </t>
  </si>
  <si>
    <t xml:space="preserve"> Desmarais </t>
  </si>
  <si>
    <t xml:space="preserve">elisecialeid19@gmail.com </t>
  </si>
  <si>
    <t xml:space="preserve">(978) 353-9138 </t>
  </si>
  <si>
    <t xml:space="preserve">Leominster </t>
  </si>
  <si>
    <t xml:space="preserve"> Amaral </t>
  </si>
  <si>
    <t xml:space="preserve"> Eliacin </t>
  </si>
  <si>
    <t>amironelove2014@gmail.com</t>
  </si>
  <si>
    <t>774) 240-2150</t>
  </si>
  <si>
    <t>Robel</t>
  </si>
  <si>
    <t xml:space="preserve"> Rivera </t>
  </si>
  <si>
    <t>erionaj@gmail.com</t>
  </si>
  <si>
    <t>857-707-1072</t>
  </si>
  <si>
    <t>Dorchester</t>
  </si>
  <si>
    <t>Skylar</t>
  </si>
  <si>
    <t>Mills</t>
  </si>
  <si>
    <t>skylarmills1013@gmail.com</t>
  </si>
  <si>
    <t>617-980-4489</t>
  </si>
  <si>
    <t xml:space="preserve">Roberta </t>
  </si>
  <si>
    <t xml:space="preserve">Lopes </t>
  </si>
  <si>
    <t xml:space="preserve">robertalopes62@hotmail.com </t>
  </si>
  <si>
    <t xml:space="preserve">(774) 206-0582 </t>
  </si>
  <si>
    <t xml:space="preserve">New Bedford  </t>
  </si>
  <si>
    <t xml:space="preserve">Francesca </t>
  </si>
  <si>
    <t xml:space="preserve"> Gentile </t>
  </si>
  <si>
    <t>fege222@uky.edu</t>
  </si>
  <si>
    <t xml:space="preserve">(508) 333-6551 </t>
  </si>
  <si>
    <t>Dedham</t>
  </si>
  <si>
    <t xml:space="preserve">Roody </t>
  </si>
  <si>
    <t>Roc</t>
  </si>
  <si>
    <t>roodyroc1@gmail.com</t>
  </si>
  <si>
    <t>617 953 2911</t>
  </si>
  <si>
    <t>Woburn</t>
  </si>
  <si>
    <t xml:space="preserve">VANCE </t>
  </si>
  <si>
    <t xml:space="preserve">TOUCH </t>
  </si>
  <si>
    <t>mrvtouch@gmail.com</t>
  </si>
  <si>
    <t xml:space="preserve">(617) 304-8655 </t>
  </si>
  <si>
    <t>WOONSOCKET</t>
  </si>
  <si>
    <t xml:space="preserve">Hamad </t>
  </si>
  <si>
    <t xml:space="preserve"> Sohiem</t>
  </si>
  <si>
    <t>hamad_wael2000@yahoo.com</t>
  </si>
  <si>
    <t>551-222-9799</t>
  </si>
  <si>
    <t>Methuen</t>
  </si>
  <si>
    <t>Ann</t>
  </si>
  <si>
    <t xml:space="preserve">Laurie Desilus </t>
  </si>
  <si>
    <t xml:space="preserve">medjynadesilus@gmail.com </t>
  </si>
  <si>
    <t xml:space="preserve">857) 246-8630 </t>
  </si>
  <si>
    <t xml:space="preserve">Andreia </t>
  </si>
  <si>
    <t xml:space="preserve"> Lopes </t>
  </si>
  <si>
    <t xml:space="preserve">deiahlopes0519@gmail.com </t>
  </si>
  <si>
    <t xml:space="preserve">(774) 434-2193 </t>
  </si>
  <si>
    <t xml:space="preserve">Douglas </t>
  </si>
  <si>
    <t xml:space="preserve">Agyenim Boateng </t>
  </si>
  <si>
    <t xml:space="preserve">douglasab1@yahoo.com </t>
  </si>
  <si>
    <t xml:space="preserve">(617) 579-7727 </t>
  </si>
  <si>
    <t>Clovis</t>
  </si>
  <si>
    <t>Anokye</t>
  </si>
  <si>
    <t>Clovis.anokye@gmail.com</t>
  </si>
  <si>
    <t xml:space="preserve">978-798-8883) </t>
  </si>
  <si>
    <t>Guy</t>
  </si>
  <si>
    <t xml:space="preserve">Bertrand </t>
  </si>
  <si>
    <t xml:space="preserve">Junior.gjb@gmail.com </t>
  </si>
  <si>
    <t xml:space="preserve">(347) 520-4324 </t>
  </si>
  <si>
    <t xml:space="preserve">Guillermo </t>
  </si>
  <si>
    <t xml:space="preserve">Martillo Diaz </t>
  </si>
  <si>
    <t xml:space="preserve">g.martillodiaz@gmail.com </t>
  </si>
  <si>
    <t>760-730-2378</t>
  </si>
  <si>
    <t xml:space="preserve">West Milford </t>
  </si>
  <si>
    <t>NJ</t>
  </si>
  <si>
    <t xml:space="preserve">Dayshon </t>
  </si>
  <si>
    <t xml:space="preserve"> Anderson</t>
  </si>
  <si>
    <t xml:space="preserve">dayshon211@gmail.com </t>
  </si>
  <si>
    <t>781 913 3841</t>
  </si>
  <si>
    <t xml:space="preserve">Lynn </t>
  </si>
  <si>
    <t xml:space="preserve">Charles </t>
  </si>
  <si>
    <t xml:space="preserve">Adjei </t>
  </si>
  <si>
    <t>akwasiadjeigh@gmail.com</t>
  </si>
  <si>
    <t>959-237-3936</t>
  </si>
  <si>
    <t xml:space="preserve">Connecticut </t>
  </si>
  <si>
    <t xml:space="preserve">Fredrick </t>
  </si>
  <si>
    <t xml:space="preserve"> Osei bobbie </t>
  </si>
  <si>
    <t xml:space="preserve">fredrickosei021@gmail.com </t>
  </si>
  <si>
    <t xml:space="preserve">(706) 755-9552 </t>
  </si>
  <si>
    <t xml:space="preserve">Macon </t>
  </si>
  <si>
    <t>GA</t>
  </si>
  <si>
    <t>Anthony</t>
  </si>
  <si>
    <t xml:space="preserve">Amponsah </t>
  </si>
  <si>
    <t xml:space="preserve">anthonyamponsah42@gmail.com </t>
  </si>
  <si>
    <t xml:space="preserve">(646) 875-9040 </t>
  </si>
  <si>
    <t>Bronx</t>
  </si>
  <si>
    <t>NY</t>
  </si>
  <si>
    <t xml:space="preserve">Tom Clark </t>
  </si>
  <si>
    <t xml:space="preserve">Justice </t>
  </si>
  <si>
    <t xml:space="preserve"> Ellies </t>
  </si>
  <si>
    <t>Justice.Ellies@gmail.com</t>
  </si>
  <si>
    <t>617 642 28218</t>
  </si>
  <si>
    <t>Stoughton</t>
  </si>
  <si>
    <t xml:space="preserve">Domingos </t>
  </si>
  <si>
    <t xml:space="preserve">Teixeira </t>
  </si>
  <si>
    <t>teixeiradomingos2000@gmail.com</t>
  </si>
  <si>
    <t>774) 573-5644</t>
  </si>
  <si>
    <t xml:space="preserve">DOUGLAS </t>
  </si>
  <si>
    <t xml:space="preserve">Sandra </t>
  </si>
  <si>
    <t xml:space="preserve"> Souto </t>
  </si>
  <si>
    <t xml:space="preserve">soutosandra2@gmail.com </t>
  </si>
  <si>
    <t xml:space="preserve">781 603 6235 </t>
  </si>
  <si>
    <t>NATICK</t>
  </si>
  <si>
    <t xml:space="preserve">Carlo </t>
  </si>
  <si>
    <t>Desir</t>
  </si>
  <si>
    <t>carlosdesir140@gmail.com</t>
  </si>
  <si>
    <t>631) 507-2041</t>
  </si>
  <si>
    <t xml:space="preserve">Malden </t>
  </si>
  <si>
    <t>Roberson Jean</t>
  </si>
  <si>
    <t xml:space="preserve">Youyou </t>
  </si>
  <si>
    <t>robersonyouyou55@gmail.com</t>
  </si>
  <si>
    <t>317 960 8241</t>
  </si>
  <si>
    <t xml:space="preserve">Wonderly </t>
  </si>
  <si>
    <t>Dupervil</t>
  </si>
  <si>
    <t>wonderlymaggie@gmail.com</t>
  </si>
  <si>
    <t>617-380-9541</t>
  </si>
  <si>
    <t xml:space="preserve">Rockland </t>
  </si>
  <si>
    <t xml:space="preserve">James </t>
  </si>
  <si>
    <t xml:space="preserve">Gikonyo </t>
  </si>
  <si>
    <t>munene889@gmail.com</t>
  </si>
  <si>
    <t xml:space="preserve">978-421-7660 </t>
  </si>
  <si>
    <t>Jay-Shearee</t>
  </si>
  <si>
    <t xml:space="preserve"> Adams</t>
  </si>
  <si>
    <t>jjshearee@gmail.com</t>
  </si>
  <si>
    <t xml:space="preserve">207 888 7318 </t>
  </si>
  <si>
    <t xml:space="preserve">Cheahan </t>
  </si>
  <si>
    <t xml:space="preserve">Carrington </t>
  </si>
  <si>
    <t>cheahangc@gmail.com</t>
  </si>
  <si>
    <t xml:space="preserve">857 205 8363 </t>
  </si>
  <si>
    <t>Medford</t>
  </si>
  <si>
    <t>Johnalexander</t>
  </si>
  <si>
    <t xml:space="preserve">Gonzalez Vega </t>
  </si>
  <si>
    <t>coachvega413@gmail.com</t>
  </si>
  <si>
    <t xml:space="preserve">(413) 557-9857 </t>
  </si>
  <si>
    <t>Springfield</t>
  </si>
  <si>
    <t xml:space="preserve">Jonathan </t>
  </si>
  <si>
    <t xml:space="preserve">Demos </t>
  </si>
  <si>
    <t>jdemos722@gmail.com</t>
  </si>
  <si>
    <t xml:space="preserve">413) 291-8493 </t>
  </si>
  <si>
    <t>springfield</t>
  </si>
  <si>
    <t xml:space="preserve">Ignacio </t>
  </si>
  <si>
    <t xml:space="preserve"> Aguinaga </t>
  </si>
  <si>
    <t>demonsrow@icloud.com</t>
  </si>
  <si>
    <t>860-853-4934</t>
  </si>
  <si>
    <t xml:space="preserve">Hartford </t>
  </si>
  <si>
    <t xml:space="preserve">Angelo </t>
  </si>
  <si>
    <t xml:space="preserve">Ciocco </t>
  </si>
  <si>
    <t>Angelo6686@gmail.com</t>
  </si>
  <si>
    <t>617-372-7761</t>
  </si>
  <si>
    <t>Billerica</t>
  </si>
  <si>
    <t xml:space="preserve">Christopher Servello </t>
  </si>
  <si>
    <t xml:space="preserve">RAPHEAL </t>
  </si>
  <si>
    <t xml:space="preserve"> NCHINE AZANCHO </t>
  </si>
  <si>
    <t xml:space="preserve">aghaazancho@gmail.com </t>
  </si>
  <si>
    <t xml:space="preserve">(405) 446-1350 </t>
  </si>
  <si>
    <t>Oklahoma city</t>
  </si>
  <si>
    <t>OK</t>
  </si>
  <si>
    <t xml:space="preserve">Jeffrey </t>
  </si>
  <si>
    <t xml:space="preserve">Seidi </t>
  </si>
  <si>
    <t xml:space="preserve">jeffreytroh@yahoo.com </t>
  </si>
  <si>
    <t xml:space="preserve">(401) 288-8760 </t>
  </si>
  <si>
    <t xml:space="preserve">Pawtucket </t>
  </si>
  <si>
    <t xml:space="preserve">EMMA </t>
  </si>
  <si>
    <t xml:space="preserve">EMMA CULLEN </t>
  </si>
  <si>
    <t xml:space="preserve">ECHOCKEY2@GMAIL.COM </t>
  </si>
  <si>
    <t>508 496 6550</t>
  </si>
  <si>
    <t>North Attleboro</t>
  </si>
  <si>
    <t>Jamesly</t>
  </si>
  <si>
    <t>Jamesly Dice</t>
  </si>
  <si>
    <t>jamesly0109@gmail.com</t>
  </si>
  <si>
    <t>302 867 9093</t>
  </si>
  <si>
    <t>Everett</t>
  </si>
  <si>
    <t xml:space="preserve">Nathan </t>
  </si>
  <si>
    <t xml:space="preserve">Barrows </t>
  </si>
  <si>
    <t xml:space="preserve">brows14@gmail.com </t>
  </si>
  <si>
    <t>774 240 4887</t>
  </si>
  <si>
    <t xml:space="preserve">North easton </t>
  </si>
  <si>
    <t xml:space="preserve">Eugene </t>
  </si>
  <si>
    <t xml:space="preserve">Duffy </t>
  </si>
  <si>
    <t xml:space="preserve">gened4888@gmail.com </t>
  </si>
  <si>
    <t>413-834-4966</t>
  </si>
  <si>
    <t xml:space="preserve">Orange </t>
  </si>
  <si>
    <t xml:space="preserve">Marques </t>
  </si>
  <si>
    <t xml:space="preserve"> Shoulders </t>
  </si>
  <si>
    <t xml:space="preserve">shoulders508@gmail.com </t>
  </si>
  <si>
    <t xml:space="preserve">(508) 857-6822 </t>
  </si>
  <si>
    <t>Brockton</t>
  </si>
  <si>
    <t>Aaron</t>
  </si>
  <si>
    <t xml:space="preserve">Rubino-McGhee </t>
  </si>
  <si>
    <t xml:space="preserve">arubinomcghee@gmail.com </t>
  </si>
  <si>
    <t xml:space="preserve">508 837 4037 </t>
  </si>
  <si>
    <t>Somerset</t>
  </si>
  <si>
    <t xml:space="preserve">Pierre </t>
  </si>
  <si>
    <t xml:space="preserve"> Desir </t>
  </si>
  <si>
    <t xml:space="preserve">ppdesir@gmail.com </t>
  </si>
  <si>
    <t xml:space="preserve">(401) 457-8352 </t>
  </si>
  <si>
    <t xml:space="preserve">Providence </t>
  </si>
  <si>
    <t xml:space="preserve">Amaree </t>
  </si>
  <si>
    <t xml:space="preserve"> Odney</t>
  </si>
  <si>
    <t>odneyamaree7@gmail.com</t>
  </si>
  <si>
    <t>413-553-7277</t>
  </si>
  <si>
    <t xml:space="preserve">Pittsfield </t>
  </si>
  <si>
    <t>Anderson</t>
  </si>
  <si>
    <t>Dayshon211@gmail.com</t>
  </si>
  <si>
    <t>781-913-3841</t>
  </si>
  <si>
    <t xml:space="preserve">JU STIN </t>
  </si>
  <si>
    <t>MAXWELL</t>
  </si>
  <si>
    <t>maxwell.careers@icloud.com</t>
  </si>
  <si>
    <t>202-706-4800</t>
  </si>
  <si>
    <t xml:space="preserve">Chicago </t>
  </si>
  <si>
    <t>IL</t>
  </si>
  <si>
    <t>Hamad</t>
  </si>
  <si>
    <t xml:space="preserve">Sohiem </t>
  </si>
  <si>
    <t>ohiemhamad@gmail.com</t>
  </si>
  <si>
    <t xml:space="preserve">Methuen </t>
  </si>
  <si>
    <t xml:space="preserve">Edix </t>
  </si>
  <si>
    <t>Lemus</t>
  </si>
  <si>
    <t>edixjunior@hotmail.com</t>
  </si>
  <si>
    <t>781 907 0269</t>
  </si>
  <si>
    <t xml:space="preserve">Waltham </t>
  </si>
  <si>
    <t>Paola</t>
  </si>
  <si>
    <t>Padilla</t>
  </si>
  <si>
    <t>yarimar27@icloud.com</t>
  </si>
  <si>
    <t>413 231 7050</t>
  </si>
  <si>
    <t xml:space="preserve">Holyoke </t>
  </si>
  <si>
    <t xml:space="preserve">lanae </t>
  </si>
  <si>
    <t xml:space="preserve">allen </t>
  </si>
  <si>
    <t xml:space="preserve">allen21785@yahoo.com </t>
  </si>
  <si>
    <t xml:space="preserve">(617) 792-5775 </t>
  </si>
  <si>
    <t xml:space="preserve">Kensly </t>
  </si>
  <si>
    <t xml:space="preserve"> Jean baptiste </t>
  </si>
  <si>
    <t xml:space="preserve">kenslyjb12@gmail.com </t>
  </si>
  <si>
    <t xml:space="preserve">(857) 888-1476 </t>
  </si>
  <si>
    <t xml:space="preserve">Shanika </t>
  </si>
  <si>
    <t xml:space="preserve"> Pitts </t>
  </si>
  <si>
    <t xml:space="preserve">snikap87@icloud.com </t>
  </si>
  <si>
    <t xml:space="preserve">(774) 448-8934 </t>
  </si>
  <si>
    <t xml:space="preserve">Auburn </t>
  </si>
  <si>
    <t>Carignan</t>
  </si>
  <si>
    <t>Blitzgodilforno@gmail.com</t>
  </si>
  <si>
    <t>978-488-8101</t>
  </si>
  <si>
    <t xml:space="preserve">Bedford </t>
  </si>
  <si>
    <t xml:space="preserve">Re-Engagment </t>
  </si>
  <si>
    <t xml:space="preserve">Anderson </t>
  </si>
  <si>
    <t>Paul</t>
  </si>
  <si>
    <t>zamorevlad@gmail.com</t>
  </si>
  <si>
    <t>786-856-0178</t>
  </si>
  <si>
    <t xml:space="preserve">Julien </t>
  </si>
  <si>
    <t xml:space="preserve">Louis </t>
  </si>
  <si>
    <t xml:space="preserve">Jlo764ver@gmail.com </t>
  </si>
  <si>
    <t xml:space="preserve">(954) 394-3528 </t>
  </si>
  <si>
    <t xml:space="preserve">FallRiver </t>
  </si>
  <si>
    <t xml:space="preserve">Gavin </t>
  </si>
  <si>
    <t xml:space="preserve">Wright </t>
  </si>
  <si>
    <t xml:space="preserve">gavinwright875@gmail.com </t>
  </si>
  <si>
    <t xml:space="preserve">(857) 391-0198 </t>
  </si>
  <si>
    <t xml:space="preserve">Cambridge </t>
  </si>
  <si>
    <t xml:space="preserve">Augustin </t>
  </si>
  <si>
    <t xml:space="preserve"> Fritzner </t>
  </si>
  <si>
    <t xml:space="preserve">fritzner670@gmail.com </t>
  </si>
  <si>
    <t xml:space="preserve">(774) 578-1351 </t>
  </si>
  <si>
    <t xml:space="preserve">Erick </t>
  </si>
  <si>
    <t xml:space="preserve">Mendez </t>
  </si>
  <si>
    <t>eric.mendez6@gmail.com</t>
  </si>
  <si>
    <t>978-660-0910</t>
  </si>
  <si>
    <t xml:space="preserve">Sterling </t>
  </si>
  <si>
    <t xml:space="preserve">Curtis </t>
  </si>
  <si>
    <t xml:space="preserve">Miller </t>
  </si>
  <si>
    <t xml:space="preserve">itsmecurtis86@gmail.com </t>
  </si>
  <si>
    <t xml:space="preserve">617-845-3236 </t>
  </si>
  <si>
    <t xml:space="preserve">Shaun </t>
  </si>
  <si>
    <t xml:space="preserve">Singleton </t>
  </si>
  <si>
    <t xml:space="preserve">Shaunsingleton36@gmail.com </t>
  </si>
  <si>
    <t xml:space="preserve">(617) 314-1346 </t>
  </si>
  <si>
    <t xml:space="preserve">Shane </t>
  </si>
  <si>
    <t xml:space="preserve">Detres </t>
  </si>
  <si>
    <t xml:space="preserve">shanedetres12@outlook.com </t>
  </si>
  <si>
    <t xml:space="preserve">(941) 226-5676 </t>
  </si>
  <si>
    <t>Carol</t>
  </si>
  <si>
    <t>Pratt</t>
  </si>
  <si>
    <t>cpratt86@yahoo.com</t>
  </si>
  <si>
    <t>774-999-9035</t>
  </si>
  <si>
    <t xml:space="preserve">Yulissa </t>
  </si>
  <si>
    <t xml:space="preserve">Vittini </t>
  </si>
  <si>
    <t xml:space="preserve">yulissavittini@hotmail.com </t>
  </si>
  <si>
    <t xml:space="preserve">(978) 930-1975 </t>
  </si>
  <si>
    <t xml:space="preserve">Ayodeji </t>
  </si>
  <si>
    <t xml:space="preserve">Totoola </t>
  </si>
  <si>
    <t xml:space="preserve">totoolasamuel@gmail.com </t>
  </si>
  <si>
    <t xml:space="preserve">857-505-5773 </t>
  </si>
  <si>
    <t xml:space="preserve">Jean </t>
  </si>
  <si>
    <t xml:space="preserve">Gelin </t>
  </si>
  <si>
    <t xml:space="preserve">jgelin17@gmail.com </t>
  </si>
  <si>
    <t xml:space="preserve">(508) 431-0819 </t>
  </si>
  <si>
    <t xml:space="preserve">Attleboro </t>
  </si>
  <si>
    <t xml:space="preserve">Ivens </t>
  </si>
  <si>
    <t xml:space="preserve">Sainte </t>
  </si>
  <si>
    <t xml:space="preserve">ivenssainte00@gmail.com </t>
  </si>
  <si>
    <t xml:space="preserve">857-869-4473 </t>
  </si>
  <si>
    <t xml:space="preserve">Kelly </t>
  </si>
  <si>
    <t xml:space="preserve">charles </t>
  </si>
  <si>
    <t xml:space="preserve">kellyjeancharles@gmail.com </t>
  </si>
  <si>
    <t xml:space="preserve">(781) 475-8265 </t>
  </si>
  <si>
    <t xml:space="preserve">Maldern </t>
  </si>
  <si>
    <t xml:space="preserve">Edmund </t>
  </si>
  <si>
    <t xml:space="preserve"> Akintunde </t>
  </si>
  <si>
    <t xml:space="preserve">edmundakintunde2012@gmail.com </t>
  </si>
  <si>
    <t xml:space="preserve">(832) 657-7760 </t>
  </si>
  <si>
    <t>Richmond</t>
  </si>
  <si>
    <t xml:space="preserve">Vanessa </t>
  </si>
  <si>
    <t xml:space="preserve">Telijeune </t>
  </si>
  <si>
    <t>Vanessat22@yahoo.com</t>
  </si>
  <si>
    <t>617-596-1613</t>
  </si>
  <si>
    <t xml:space="preserve">Mansfield  </t>
  </si>
  <si>
    <t xml:space="preserve">Joseph </t>
  </si>
  <si>
    <t xml:space="preserve">Botelho </t>
  </si>
  <si>
    <t xml:space="preserve">josephbotelho121576@icloud.com </t>
  </si>
  <si>
    <t xml:space="preserve">(774) 319-0074 </t>
  </si>
  <si>
    <t xml:space="preserve">Fall River </t>
  </si>
  <si>
    <t>Erica</t>
  </si>
  <si>
    <t>Monteiro</t>
  </si>
  <si>
    <t>ericam1021@gmail.com</t>
  </si>
  <si>
    <t>(508) 649-5282</t>
  </si>
  <si>
    <t xml:space="preserve">Daniel </t>
  </si>
  <si>
    <t xml:space="preserve">Corcoran </t>
  </si>
  <si>
    <t xml:space="preserve">corcorandb@gmail.com </t>
  </si>
  <si>
    <t xml:space="preserve">(212) 365-8843 </t>
  </si>
  <si>
    <t>Easton</t>
  </si>
  <si>
    <t>Matthew</t>
  </si>
  <si>
    <t>McDonald</t>
  </si>
  <si>
    <t>mattmcdonald610@gmail.com</t>
  </si>
  <si>
    <t>978-855-7671</t>
  </si>
  <si>
    <t xml:space="preserve">Shirley </t>
  </si>
  <si>
    <t xml:space="preserve">Assata </t>
  </si>
  <si>
    <t xml:space="preserve">Sanor </t>
  </si>
  <si>
    <t xml:space="preserve">assatasanor@yahoo.com </t>
  </si>
  <si>
    <t xml:space="preserve">(339) 236-4617 </t>
  </si>
  <si>
    <t xml:space="preserve"> Woods </t>
  </si>
  <si>
    <t xml:space="preserve">nickwoods58@gmail.com </t>
  </si>
  <si>
    <t xml:space="preserve">(407) 495-9830 </t>
  </si>
  <si>
    <t xml:space="preserve">Gardner </t>
  </si>
  <si>
    <t>Damien</t>
  </si>
  <si>
    <t>Pimentel</t>
  </si>
  <si>
    <t>damienrodriguez266@gmail.com</t>
  </si>
  <si>
    <t>617-279-5554</t>
  </si>
  <si>
    <t>Josie</t>
  </si>
  <si>
    <t>Desjardins</t>
  </si>
  <si>
    <t>josiedesjardinsx96@gmail.com</t>
  </si>
  <si>
    <t>(401) 442-6228</t>
  </si>
  <si>
    <t xml:space="preserve">Jose </t>
  </si>
  <si>
    <t xml:space="preserve">Portillo </t>
  </si>
  <si>
    <t xml:space="preserve">joserobertoportilloa@gmail.com </t>
  </si>
  <si>
    <t xml:space="preserve">(401) 226-6456 </t>
  </si>
  <si>
    <t xml:space="preserve">Sankale </t>
  </si>
  <si>
    <t xml:space="preserve"> Kennedy</t>
  </si>
  <si>
    <t>olesankale9@gmail.com</t>
  </si>
  <si>
    <t>971-380-9995</t>
  </si>
  <si>
    <t xml:space="preserve">Virginia </t>
  </si>
  <si>
    <t>VA</t>
  </si>
  <si>
    <t>Yvens</t>
  </si>
  <si>
    <t>Jean Baptiste</t>
  </si>
  <si>
    <t>jbyvens@gmail.com</t>
  </si>
  <si>
    <t>617-850-2709</t>
  </si>
  <si>
    <t>Neshmarie</t>
  </si>
  <si>
    <t>rodriguez </t>
  </si>
  <si>
    <t>neshmarie120493@gmail.com</t>
  </si>
  <si>
    <t>413-425-3248</t>
  </si>
  <si>
    <t>Chicoppe</t>
  </si>
  <si>
    <t>Michael</t>
  </si>
  <si>
    <t>Velasquez</t>
  </si>
  <si>
    <t>mvelasquez3599@yahoo.com</t>
  </si>
  <si>
    <t>413-265-3599</t>
  </si>
  <si>
    <t>Wilbraham</t>
  </si>
  <si>
    <t>John</t>
  </si>
  <si>
    <t>Lacroix</t>
  </si>
  <si>
    <t>johnlacroix913@yahoo.com</t>
  </si>
  <si>
    <t>(781) 200-8528</t>
  </si>
  <si>
    <t>Abdél</t>
  </si>
  <si>
    <t>Darwish </t>
  </si>
  <si>
    <t>baki.darwish@outlook.com</t>
  </si>
  <si>
    <t>682-564-6419</t>
  </si>
  <si>
    <t>Fabrizio</t>
  </si>
  <si>
    <t>Mendez</t>
  </si>
  <si>
    <t>fabrimendez31@gmail.com</t>
  </si>
  <si>
    <t>978-696-6047</t>
  </si>
  <si>
    <t>Ashburham</t>
  </si>
  <si>
    <t xml:space="preserve">Jacqueline </t>
  </si>
  <si>
    <t xml:space="preserve">Lyle </t>
  </si>
  <si>
    <t xml:space="preserve">jacquelinelyle@icloud.com </t>
  </si>
  <si>
    <t xml:space="preserve">(603) 294-6132 </t>
  </si>
  <si>
    <t xml:space="preserve">Kensley </t>
  </si>
  <si>
    <t>kenslyjb12@gmail.com</t>
  </si>
  <si>
    <t>857-888-1476</t>
  </si>
  <si>
    <t>China</t>
  </si>
  <si>
    <t>Payen-Sena</t>
  </si>
  <si>
    <t xml:space="preserve">chynasena@gmail.com </t>
  </si>
  <si>
    <t xml:space="preserve">(857) 506-9733 </t>
  </si>
  <si>
    <t>Alande</t>
  </si>
  <si>
    <t>Montina</t>
  </si>
  <si>
    <t>Montinalande@gmail.com</t>
  </si>
  <si>
    <t>781-228-8236</t>
  </si>
  <si>
    <t xml:space="preserve">West Roxbury </t>
  </si>
  <si>
    <t>Fowood</t>
  </si>
  <si>
    <t>Gebhart</t>
  </si>
  <si>
    <t>fowoodg@gmail.com</t>
  </si>
  <si>
    <t>580-583-0174</t>
  </si>
  <si>
    <t>Dunstable</t>
  </si>
  <si>
    <t>Thibault</t>
  </si>
  <si>
    <t>thibaultm2184@yahoo.com</t>
  </si>
  <si>
    <t>413-218-8510</t>
  </si>
  <si>
    <t xml:space="preserve">West Springfield </t>
  </si>
  <si>
    <t xml:space="preserve">Alvin </t>
  </si>
  <si>
    <t>Torres</t>
  </si>
  <si>
    <t>awol5669@gmail.com</t>
  </si>
  <si>
    <t>978-566-2986</t>
  </si>
  <si>
    <t xml:space="preserve">Skyla </t>
  </si>
  <si>
    <t>Meack</t>
  </si>
  <si>
    <t>skyla.mae2602@gmail.com</t>
  </si>
  <si>
    <t>857-312-5742</t>
  </si>
  <si>
    <t>Elias</t>
  </si>
  <si>
    <t>Flores</t>
  </si>
  <si>
    <t>eliasjflores18@gmail.com</t>
  </si>
  <si>
    <t>401-837-9383</t>
  </si>
  <si>
    <t>Ian</t>
  </si>
  <si>
    <t>Connaughton</t>
  </si>
  <si>
    <t>ianpatconnaughton@gmail.com</t>
  </si>
  <si>
    <t>978-847-7606</t>
  </si>
  <si>
    <t xml:space="preserve">Fitchburg </t>
  </si>
  <si>
    <t>Luis</t>
  </si>
  <si>
    <t>Hernandez</t>
  </si>
  <si>
    <t>lhernandez3@bwh.harvard.edu</t>
  </si>
  <si>
    <t>617-922-6454</t>
  </si>
  <si>
    <t xml:space="preserve">Taunton </t>
  </si>
  <si>
    <t xml:space="preserve">Georges  </t>
  </si>
  <si>
    <t xml:space="preserve">Marc Limage </t>
  </si>
  <si>
    <t>ron</t>
  </si>
  <si>
    <t xml:space="preserve">(781) 952-4209 </t>
  </si>
  <si>
    <t xml:space="preserve">Lester </t>
  </si>
  <si>
    <t>Scott</t>
  </si>
  <si>
    <t>scottlmj20002@gmail.com</t>
  </si>
  <si>
    <t>617- 251 -9712</t>
  </si>
  <si>
    <t xml:space="preserve">JOYCE </t>
  </si>
  <si>
    <t>michaeljoyce42@yahoo.com</t>
  </si>
  <si>
    <t xml:space="preserve">(857)244-3449 </t>
  </si>
  <si>
    <t xml:space="preserve">Winthrop </t>
  </si>
  <si>
    <t xml:space="preserve">Kristofer </t>
  </si>
  <si>
    <t xml:space="preserve"> Graham </t>
  </si>
  <si>
    <t>krisdog2002@yahoo.com</t>
  </si>
  <si>
    <t>(413) 330-4877</t>
  </si>
  <si>
    <t xml:space="preserve">Wilbraham </t>
  </si>
  <si>
    <t xml:space="preserve">Amelia </t>
  </si>
  <si>
    <t xml:space="preserve">Grace </t>
  </si>
  <si>
    <t xml:space="preserve">graceamelia.creative@gmail.com </t>
  </si>
  <si>
    <t xml:space="preserve">(978) 503-2004 </t>
  </si>
  <si>
    <t xml:space="preserve">Matt </t>
  </si>
  <si>
    <t xml:space="preserve">Johnston </t>
  </si>
  <si>
    <t>matthiasj@gmail.com</t>
  </si>
  <si>
    <t>312-519-0872</t>
  </si>
  <si>
    <t xml:space="preserve">Djaffar </t>
  </si>
  <si>
    <t xml:space="preserve">Hassani </t>
  </si>
  <si>
    <t xml:space="preserve">djafferhassani@gmail.com </t>
  </si>
  <si>
    <t xml:space="preserve">(781) 521-4563 </t>
  </si>
  <si>
    <t xml:space="preserve">Oxford </t>
  </si>
  <si>
    <t xml:space="preserve">Brooke </t>
  </si>
  <si>
    <t xml:space="preserve">Harrington </t>
  </si>
  <si>
    <t xml:space="preserve">brkhrrngtn@gmail.com </t>
  </si>
  <si>
    <t xml:space="preserve">(781) 476-3062 </t>
  </si>
  <si>
    <t>Milbury</t>
  </si>
  <si>
    <t xml:space="preserve"> Isaac</t>
  </si>
  <si>
    <t>Agyepong</t>
  </si>
  <si>
    <t>quasisuga@gmail.com</t>
  </si>
  <si>
    <t>470-627-2447</t>
  </si>
  <si>
    <t xml:space="preserve">Humble </t>
  </si>
  <si>
    <t xml:space="preserve">Chanelle </t>
  </si>
  <si>
    <t xml:space="preserve">Clunie </t>
  </si>
  <si>
    <t xml:space="preserve">cluniechanelle@gmail.com </t>
  </si>
  <si>
    <t xml:space="preserve">860-655-8734 </t>
  </si>
  <si>
    <t>Michigan City</t>
  </si>
  <si>
    <t>IN</t>
  </si>
  <si>
    <t xml:space="preserve">Kendell </t>
  </si>
  <si>
    <t xml:space="preserve">Pemberton </t>
  </si>
  <si>
    <t>kendell.pemberton@gmail.com</t>
  </si>
  <si>
    <t xml:space="preserve"> 857-701-4000 </t>
  </si>
  <si>
    <t xml:space="preserve">Tanyi Ayong </t>
  </si>
  <si>
    <t>ayong3510@gmail.com</t>
  </si>
  <si>
    <t xml:space="preserve"> 857-390-5806</t>
  </si>
  <si>
    <t xml:space="preserve">Jadalis </t>
  </si>
  <si>
    <t xml:space="preserve">Rodriguez </t>
  </si>
  <si>
    <t xml:space="preserve">jadalisssmarieee@gmail.com </t>
  </si>
  <si>
    <t>(978) 754-5052</t>
  </si>
  <si>
    <t xml:space="preserve">Edwin </t>
  </si>
  <si>
    <t xml:space="preserve"> Enow </t>
  </si>
  <si>
    <t>Enownkafu2017@gmail.com</t>
  </si>
  <si>
    <t>351-240-9947</t>
  </si>
  <si>
    <t xml:space="preserve">ABIGAIL </t>
  </si>
  <si>
    <t xml:space="preserve"> JAMFI</t>
  </si>
  <si>
    <t>jamfi84@gmail.com</t>
  </si>
  <si>
    <t>860-804-1251</t>
  </si>
  <si>
    <t xml:space="preserve">New Britain  </t>
  </si>
  <si>
    <t>Kandet</t>
  </si>
  <si>
    <t>Sankhon</t>
  </si>
  <si>
    <t>kandets@yahoo.com</t>
  </si>
  <si>
    <t>401-636-6381</t>
  </si>
  <si>
    <t xml:space="preserve">Harrisville </t>
  </si>
  <si>
    <t>Jebrelle</t>
  </si>
  <si>
    <t>Martin</t>
  </si>
  <si>
    <t>jebrelle.martin@gmail.com</t>
  </si>
  <si>
    <t>774-265-5115</t>
  </si>
  <si>
    <t xml:space="preserve">New Bedford </t>
  </si>
  <si>
    <t xml:space="preserve">Oluwaseun </t>
  </si>
  <si>
    <t>Tijani</t>
  </si>
  <si>
    <t>topmen34@outlook.com</t>
  </si>
  <si>
    <t>323-572-2301</t>
  </si>
  <si>
    <t xml:space="preserve">Los Angeles </t>
  </si>
  <si>
    <t xml:space="preserve">Brianna </t>
  </si>
  <si>
    <t>Cosgro</t>
  </si>
  <si>
    <t>briannacosgro5@gmail.com</t>
  </si>
  <si>
    <t>508-615-5686</t>
  </si>
  <si>
    <t xml:space="preserve">Belmont </t>
  </si>
  <si>
    <t xml:space="preserve">Kevin </t>
  </si>
  <si>
    <t>Perrin</t>
  </si>
  <si>
    <t>kevinperrin2020@gmail.com</t>
  </si>
  <si>
    <t>862 944 2088</t>
  </si>
  <si>
    <t xml:space="preserve">Coraopolis </t>
  </si>
  <si>
    <t xml:space="preserve">David </t>
  </si>
  <si>
    <t>Santana</t>
  </si>
  <si>
    <t>Santodavid14@gmail.com</t>
  </si>
  <si>
    <t>401-369-0706</t>
  </si>
  <si>
    <t>Emily</t>
  </si>
  <si>
    <t>Trudeau</t>
  </si>
  <si>
    <t>Emm.trudeau22@gmail.com</t>
  </si>
  <si>
    <t>401-919-0802</t>
  </si>
  <si>
    <t>Cumberland</t>
  </si>
  <si>
    <t>Handshake</t>
  </si>
  <si>
    <t xml:space="preserve">Kaniya </t>
  </si>
  <si>
    <t>Williams</t>
  </si>
  <si>
    <t>kaniyaw24@gmail.com</t>
  </si>
  <si>
    <t>770-709-2200</t>
  </si>
  <si>
    <t>Atlanta</t>
  </si>
  <si>
    <t>Divanir</t>
  </si>
  <si>
    <t>Pereira</t>
  </si>
  <si>
    <t>d_pereira15@yahoo.com</t>
  </si>
  <si>
    <t>401-359-9744</t>
  </si>
  <si>
    <t xml:space="preserve">IVO </t>
  </si>
  <si>
    <t>NDUKU</t>
  </si>
  <si>
    <t>ivonduku@gmail.com</t>
  </si>
  <si>
    <t>508-405-6661</t>
  </si>
  <si>
    <t>Maldem</t>
  </si>
  <si>
    <t>Angelina</t>
  </si>
  <si>
    <t>Bill</t>
  </si>
  <si>
    <t>ninabillbill@gmail.com</t>
  </si>
  <si>
    <t>253-205-6511</t>
  </si>
  <si>
    <t>Brittney</t>
  </si>
  <si>
    <t>Parkin</t>
  </si>
  <si>
    <t>brittneyrylie13@gmail.com</t>
  </si>
  <si>
    <t>401-301-0736</t>
  </si>
  <si>
    <t>Trisha</t>
  </si>
  <si>
    <t>lossi</t>
  </si>
  <si>
    <t>trishalossi@gmail.com</t>
  </si>
  <si>
    <t>518-795-5406</t>
  </si>
  <si>
    <t xml:space="preserve">Albany </t>
  </si>
  <si>
    <t>Suzi</t>
  </si>
  <si>
    <t>Andrade</t>
  </si>
  <si>
    <t>suzykayllana1996@gmail.com</t>
  </si>
  <si>
    <t>508-649-5261</t>
  </si>
  <si>
    <t>Amber</t>
  </si>
  <si>
    <t>Thomas</t>
  </si>
  <si>
    <t>athomas19807@gmail.com</t>
  </si>
  <si>
    <t>1-774-375-3754</t>
  </si>
  <si>
    <t>Framingham</t>
  </si>
  <si>
    <t xml:space="preserve">Joanna </t>
  </si>
  <si>
    <t xml:space="preserve">Morse </t>
  </si>
  <si>
    <t xml:space="preserve">moralesjo21321@gmail.com </t>
  </si>
  <si>
    <t xml:space="preserve">(508) 733-1017 </t>
  </si>
  <si>
    <t xml:space="preserve">Yissel </t>
  </si>
  <si>
    <t xml:space="preserve">Vargas </t>
  </si>
  <si>
    <t>Yissy66@yahoo.com</t>
  </si>
  <si>
    <t>540-209-7283</t>
  </si>
  <si>
    <t xml:space="preserve">southbridge </t>
  </si>
  <si>
    <t>Randy</t>
  </si>
  <si>
    <t>Pena</t>
  </si>
  <si>
    <t>penar278@gmail.com</t>
  </si>
  <si>
    <t>(857) 284-9468</t>
  </si>
  <si>
    <t xml:space="preserve">Gifty </t>
  </si>
  <si>
    <t xml:space="preserve">Oppong </t>
  </si>
  <si>
    <t xml:space="preserve">ggoppong@gmail.com </t>
  </si>
  <si>
    <t xml:space="preserve">(860) 810-2485 </t>
  </si>
  <si>
    <t>East Hartford</t>
  </si>
  <si>
    <t xml:space="preserve">Seddiqa </t>
  </si>
  <si>
    <t xml:space="preserve">Mohammad Hussein </t>
  </si>
  <si>
    <t xml:space="preserve">rseddiqa@gmail.com </t>
  </si>
  <si>
    <t>551-689-1059</t>
  </si>
  <si>
    <t xml:space="preserve">Bryancain </t>
  </si>
  <si>
    <t xml:space="preserve"> Bresnihan </t>
  </si>
  <si>
    <t xml:space="preserve">bryancainbresnihan@gmail.com </t>
  </si>
  <si>
    <t xml:space="preserve">(857) 693-1084 </t>
  </si>
  <si>
    <t xml:space="preserve">Tommie </t>
  </si>
  <si>
    <t>Collins</t>
  </si>
  <si>
    <t>nymiah86@gmail.com</t>
  </si>
  <si>
    <t>508-685-6900</t>
  </si>
  <si>
    <t>Grosvenordale</t>
  </si>
  <si>
    <t xml:space="preserve">Neidy </t>
  </si>
  <si>
    <t>Gomes Teixeira</t>
  </si>
  <si>
    <t xml:space="preserve">neigomesteixeira@gmail.com </t>
  </si>
  <si>
    <t>( 857) 544-4293 </t>
  </si>
  <si>
    <t xml:space="preserve">Jayleen </t>
  </si>
  <si>
    <t>Ramirez</t>
  </si>
  <si>
    <t>rcamile01@gmail.com</t>
  </si>
  <si>
    <t>774-778-3643</t>
  </si>
  <si>
    <t xml:space="preserve">Triston </t>
  </si>
  <si>
    <t>Champagine</t>
  </si>
  <si>
    <t>TristonChampagnie@gmail.com</t>
  </si>
  <si>
    <t>617-980-9722</t>
  </si>
  <si>
    <t>West Roxbury</t>
  </si>
  <si>
    <t xml:space="preserve">Angela </t>
  </si>
  <si>
    <t>Waldrop</t>
  </si>
  <si>
    <t>angelawaldrop0428@gmail.com</t>
  </si>
  <si>
    <t>810 660 0050</t>
  </si>
  <si>
    <t>Grand Blanc</t>
  </si>
  <si>
    <t>MI</t>
  </si>
  <si>
    <t>Dimitry</t>
  </si>
  <si>
    <t>Goin</t>
  </si>
  <si>
    <t>dimitrygoin@gmail.com</t>
  </si>
  <si>
    <t>781-492-9330</t>
  </si>
  <si>
    <t xml:space="preserve">Ashland </t>
  </si>
  <si>
    <t xml:space="preserve">Jade </t>
  </si>
  <si>
    <t>jjada2680@gmail.com</t>
  </si>
  <si>
    <t>857-269-4619</t>
  </si>
  <si>
    <t>Nicole</t>
  </si>
  <si>
    <t>Cummings</t>
  </si>
  <si>
    <t>cummingsnicole9718@gmail.com</t>
  </si>
  <si>
    <t>347 935 2586</t>
  </si>
  <si>
    <t>Staten Island</t>
  </si>
  <si>
    <t>Kerlin</t>
  </si>
  <si>
    <t>Julmice</t>
  </si>
  <si>
    <t>kerlinjulmice1207@gmail.com</t>
  </si>
  <si>
    <t>857-615-9974</t>
  </si>
  <si>
    <t xml:space="preserve">nelson </t>
  </si>
  <si>
    <t>Tavares</t>
  </si>
  <si>
    <t>tavares70@hotmail.com</t>
  </si>
  <si>
    <t>508-565-9690</t>
  </si>
  <si>
    <t xml:space="preserve">Brockton MA </t>
  </si>
  <si>
    <t>Moses</t>
  </si>
  <si>
    <t>Maparyan</t>
  </si>
  <si>
    <t>mosesmaparyan@gmail.com</t>
  </si>
  <si>
    <t>781-591-1239</t>
  </si>
  <si>
    <t xml:space="preserve">Worcester MA </t>
  </si>
  <si>
    <t>Jenna</t>
  </si>
  <si>
    <t>Carew</t>
  </si>
  <si>
    <t>jennacarew3@gmail.com</t>
  </si>
  <si>
    <t>508-463-8682</t>
  </si>
  <si>
    <t xml:space="preserve">Foxboro </t>
  </si>
  <si>
    <t>Williamson</t>
  </si>
  <si>
    <t>Duplan</t>
  </si>
  <si>
    <t>williamson1928@hotmail.com</t>
  </si>
  <si>
    <t>617-650-0610</t>
  </si>
  <si>
    <t>Rools</t>
  </si>
  <si>
    <t>Bazile</t>
  </si>
  <si>
    <t>sollorelizab@gmail.com</t>
  </si>
  <si>
    <t>508-410-1800</t>
  </si>
  <si>
    <t xml:space="preserve">Justin </t>
  </si>
  <si>
    <t xml:space="preserve">Hopkins </t>
  </si>
  <si>
    <t>hopkins.o.justin@gmail.com</t>
  </si>
  <si>
    <t xml:space="preserve">940)368-5674 </t>
  </si>
  <si>
    <t xml:space="preserve">Noorwood </t>
  </si>
  <si>
    <t xml:space="preserve">Denis </t>
  </si>
  <si>
    <t xml:space="preserve">Jean Charles </t>
  </si>
  <si>
    <t>Denisjcharles@hotmail.com</t>
  </si>
  <si>
    <t>781-600-4878</t>
  </si>
  <si>
    <t>Mansfield</t>
  </si>
  <si>
    <t>Christopher</t>
  </si>
  <si>
    <t>Phillips</t>
  </si>
  <si>
    <t>Christopherphillips440@gmail.com</t>
  </si>
  <si>
    <t>857-318-4267</t>
  </si>
  <si>
    <t xml:space="preserve">Dorchester </t>
  </si>
  <si>
    <t xml:space="preserve">Sunday </t>
  </si>
  <si>
    <t>Okoro</t>
  </si>
  <si>
    <t>charlessunny1@gmail.com</t>
  </si>
  <si>
    <t>781-518-3364</t>
  </si>
  <si>
    <t xml:space="preserve">Guerby </t>
  </si>
  <si>
    <t>Leonce</t>
  </si>
  <si>
    <t>guerby1987@gmail.com</t>
  </si>
  <si>
    <t>781-535-4116</t>
  </si>
  <si>
    <t xml:space="preserve">Whitney </t>
  </si>
  <si>
    <t xml:space="preserve">Stewart </t>
  </si>
  <si>
    <t xml:space="preserve">lifesaver188@gmail.com </t>
  </si>
  <si>
    <t>860-977-4036</t>
  </si>
  <si>
    <t xml:space="preserve"> Martinez </t>
  </si>
  <si>
    <t xml:space="preserve">yvonnemartinezx3@yahoo.com </t>
  </si>
  <si>
    <t xml:space="preserve">(954) 816-2377 </t>
  </si>
  <si>
    <t xml:space="preserve">Woonsocket </t>
  </si>
  <si>
    <t xml:space="preserve">Regine </t>
  </si>
  <si>
    <t xml:space="preserve"> Gabelus</t>
  </si>
  <si>
    <t>reginegabelus6@gmail.com</t>
  </si>
  <si>
    <t>774-517-7657</t>
  </si>
  <si>
    <t>Brandon</t>
  </si>
  <si>
    <t>Whitehead</t>
  </si>
  <si>
    <t>brandonwhitehead@hotmail.com</t>
  </si>
  <si>
    <t>206-724-4136</t>
  </si>
  <si>
    <t>New Bedford</t>
  </si>
  <si>
    <t>Leavitt</t>
  </si>
  <si>
    <t>leavitt0331@gmail.com</t>
  </si>
  <si>
    <t>781-985-3231</t>
  </si>
  <si>
    <t>Joseph</t>
  </si>
  <si>
    <t>Whyte</t>
  </si>
  <si>
    <t>josephwhyte1993@gmail.com</t>
  </si>
  <si>
    <t>213-238-7508</t>
  </si>
  <si>
    <t>Owen</t>
  </si>
  <si>
    <t>Harrington</t>
  </si>
  <si>
    <t>chopsoxwal@gmail.com</t>
  </si>
  <si>
    <t>508-525-1884</t>
  </si>
  <si>
    <t xml:space="preserve">Rosa </t>
  </si>
  <si>
    <t xml:space="preserve">jose.rosa1979@yahoo.com </t>
  </si>
  <si>
    <t>860-778-1890</t>
  </si>
  <si>
    <t xml:space="preserve">VERNON ROCKVILLE </t>
  </si>
  <si>
    <t>Marsha</t>
  </si>
  <si>
    <t>Denis</t>
  </si>
  <si>
    <t>marshadenis@gmail.com</t>
  </si>
  <si>
    <t>781-808-1616</t>
  </si>
  <si>
    <t>Rasheed</t>
  </si>
  <si>
    <t>Cook</t>
  </si>
  <si>
    <t>rasheed2390@gmail.com</t>
  </si>
  <si>
    <t>860-559-5135</t>
  </si>
  <si>
    <t xml:space="preserve">Enfield </t>
  </si>
  <si>
    <t>Vlashandra</t>
  </si>
  <si>
    <t>Olivier</t>
  </si>
  <si>
    <t>shandraolivier@icloud.com</t>
  </si>
  <si>
    <t>857-381-8447</t>
  </si>
  <si>
    <t>Reda</t>
  </si>
  <si>
    <t>Bazarto</t>
  </si>
  <si>
    <t>redabazarto@gmail.com</t>
  </si>
  <si>
    <t>978-314-6230</t>
  </si>
  <si>
    <t>Abraham</t>
  </si>
  <si>
    <t>Norbi</t>
  </si>
  <si>
    <t>abrahamnorbi27@icloud.com</t>
  </si>
  <si>
    <t>518-935-0103</t>
  </si>
  <si>
    <t>Niskavuna</t>
  </si>
  <si>
    <t xml:space="preserve">Sy </t>
  </si>
  <si>
    <t>Simmons</t>
  </si>
  <si>
    <t>syysimmons19994@gmail.com</t>
  </si>
  <si>
    <t>857 271 9654</t>
  </si>
  <si>
    <t xml:space="preserve">Zackaree </t>
  </si>
  <si>
    <t xml:space="preserve">Hunter </t>
  </si>
  <si>
    <t>zackareethunter@icloud.com</t>
  </si>
  <si>
    <t>(401) 787-3652</t>
  </si>
  <si>
    <t>Jacksonville</t>
  </si>
  <si>
    <t>FL</t>
  </si>
  <si>
    <t xml:space="preserve">Reynaldo </t>
  </si>
  <si>
    <t xml:space="preserve"> Navarro Rios </t>
  </si>
  <si>
    <t xml:space="preserve">navarroreynaldo569@gmail.com </t>
  </si>
  <si>
    <t xml:space="preserve">774) 525-0783 </t>
  </si>
  <si>
    <t xml:space="preserve">Paola </t>
  </si>
  <si>
    <t>Holyoke</t>
  </si>
  <si>
    <t xml:space="preserve">Arsenault </t>
  </si>
  <si>
    <t>arsenaultshawn287@gmail.com</t>
  </si>
  <si>
    <t>978 413 7865</t>
  </si>
  <si>
    <t xml:space="preserve">Russsell </t>
  </si>
  <si>
    <t>shawnrussell009@gmail.com</t>
  </si>
  <si>
    <t>774 415 1850</t>
  </si>
  <si>
    <t xml:space="preserve">Rashard </t>
  </si>
  <si>
    <t xml:space="preserve">Young </t>
  </si>
  <si>
    <t>yrashard868@gmail.com</t>
  </si>
  <si>
    <t>857-468-3260</t>
  </si>
  <si>
    <t xml:space="preserve">Malik </t>
  </si>
  <si>
    <t>William</t>
  </si>
  <si>
    <t>mwilliam0594@gmail.com</t>
  </si>
  <si>
    <t>978 906 5098</t>
  </si>
  <si>
    <t xml:space="preserve">Khari </t>
  </si>
  <si>
    <t xml:space="preserve">Kindell </t>
  </si>
  <si>
    <t xml:space="preserve">kharikindell40@gmail.com </t>
  </si>
  <si>
    <t xml:space="preserve">Iory </t>
  </si>
  <si>
    <t xml:space="preserve"> Castro </t>
  </si>
  <si>
    <t xml:space="preserve">castroiorynunez@gmail.com </t>
  </si>
  <si>
    <t xml:space="preserve">(978) 939-9225 </t>
  </si>
  <si>
    <t>Northbridge</t>
  </si>
  <si>
    <t xml:space="preserve">Hebert </t>
  </si>
  <si>
    <t>josephhebert2021@yahoo.com</t>
  </si>
  <si>
    <t>774-240-7241</t>
  </si>
  <si>
    <t>Wareham</t>
  </si>
  <si>
    <t xml:space="preserve">Jaidan </t>
  </si>
  <si>
    <t>Samuels</t>
  </si>
  <si>
    <t>jaidansamuels234@gmail.com</t>
  </si>
  <si>
    <t>774 502 5645</t>
  </si>
  <si>
    <t xml:space="preserve">Ryan </t>
  </si>
  <si>
    <t xml:space="preserve">Major </t>
  </si>
  <si>
    <t>ryanmajor193@gmail.com</t>
  </si>
  <si>
    <t>813-523-2966</t>
  </si>
  <si>
    <t>Shrewsbury</t>
  </si>
  <si>
    <t xml:space="preserve">Tamatha </t>
  </si>
  <si>
    <t>Schipper</t>
  </si>
  <si>
    <t>tamathaschipper8@gmail.com</t>
  </si>
  <si>
    <t xml:space="preserve">774 778 4634 </t>
  </si>
  <si>
    <t xml:space="preserve">Brian </t>
  </si>
  <si>
    <t>Arthur</t>
  </si>
  <si>
    <t>brianarthur8982@gmail.com</t>
  </si>
  <si>
    <t>857-334-5729</t>
  </si>
  <si>
    <t xml:space="preserve">Stephen </t>
  </si>
  <si>
    <t>Bullock</t>
  </si>
  <si>
    <t>stephen.bullock33@outlook.com</t>
  </si>
  <si>
    <t>617-465-3423</t>
  </si>
  <si>
    <t xml:space="preserve">Everett </t>
  </si>
  <si>
    <t>Tatiana</t>
  </si>
  <si>
    <t xml:space="preserve">Rentas </t>
  </si>
  <si>
    <t xml:space="preserve">tmrentas08@gmail.com </t>
  </si>
  <si>
    <t xml:space="preserve">978) 387-3213 </t>
  </si>
  <si>
    <t xml:space="preserve">Dante </t>
  </si>
  <si>
    <t xml:space="preserve">Wilding </t>
  </si>
  <si>
    <t xml:space="preserve">wildingdante12@icloud.com </t>
  </si>
  <si>
    <t xml:space="preserve">401- 346-8630 </t>
  </si>
  <si>
    <t>Warwick</t>
  </si>
  <si>
    <t>Holly</t>
  </si>
  <si>
    <t xml:space="preserve"> Burgos</t>
  </si>
  <si>
    <t>holly.jenice@icloud.com</t>
  </si>
  <si>
    <t>917-728-0771</t>
  </si>
  <si>
    <t xml:space="preserve">Natick </t>
  </si>
  <si>
    <t xml:space="preserve">Emily </t>
  </si>
  <si>
    <t xml:space="preserve">Moraes </t>
  </si>
  <si>
    <t>moraesemily923@gmail.com</t>
  </si>
  <si>
    <t xml:space="preserve">(603)438-3473 </t>
  </si>
  <si>
    <t xml:space="preserve"> Squibb</t>
  </si>
  <si>
    <t xml:space="preserve">squibbdavid2017@gmail.com </t>
  </si>
  <si>
    <t>978-602-2142</t>
  </si>
  <si>
    <t>Gardner</t>
  </si>
  <si>
    <t xml:space="preserve">Aiden Sullivan </t>
  </si>
  <si>
    <t xml:space="preserve">aidensullivan0@gmail.com </t>
  </si>
  <si>
    <t>(339) 234-1180</t>
  </si>
  <si>
    <t>Burlington</t>
  </si>
  <si>
    <t>Tien</t>
  </si>
  <si>
    <t>Nguyen</t>
  </si>
  <si>
    <t>asianboy1134@gmail.com</t>
  </si>
  <si>
    <t>(508) 762-8275</t>
  </si>
  <si>
    <t>Estevao</t>
  </si>
  <si>
    <t>Avelino</t>
  </si>
  <si>
    <t>Estevaoavelino7@gmail.com</t>
  </si>
  <si>
    <t>774-240-4289</t>
  </si>
  <si>
    <t xml:space="preserve">Terrence </t>
  </si>
  <si>
    <t>Montgomery</t>
  </si>
  <si>
    <t>tlbmontgomery@gmail.com</t>
  </si>
  <si>
    <t>401-428-2161</t>
  </si>
  <si>
    <t>Kewing</t>
  </si>
  <si>
    <t>kewingpaul@gmail.com</t>
  </si>
  <si>
    <t>857-330-1163</t>
  </si>
  <si>
    <t>Hyde park</t>
  </si>
  <si>
    <t xml:space="preserve">TiaAngela </t>
  </si>
  <si>
    <t>Tia</t>
  </si>
  <si>
    <t xml:space="preserve">bhighlyfavor40@gmail.com </t>
  </si>
  <si>
    <t xml:space="preserve">(470) 333-3301 </t>
  </si>
  <si>
    <t xml:space="preserve">Alex </t>
  </si>
  <si>
    <t>Garcia</t>
  </si>
  <si>
    <t xml:space="preserve">alexyarielgarcia@icloud.com </t>
  </si>
  <si>
    <t xml:space="preserve">(774) 329-7361 </t>
  </si>
  <si>
    <t xml:space="preserve">Andrew </t>
  </si>
  <si>
    <t xml:space="preserve">Lindsey </t>
  </si>
  <si>
    <t xml:space="preserve">drewlinds89@gmail.com </t>
  </si>
  <si>
    <t xml:space="preserve">857) 236-4947 </t>
  </si>
  <si>
    <t>D'Andre</t>
  </si>
  <si>
    <t xml:space="preserve">Hicks </t>
  </si>
  <si>
    <t>(857)236-4720</t>
  </si>
  <si>
    <t xml:space="preserve">Alicia </t>
  </si>
  <si>
    <t xml:space="preserve"> Brown </t>
  </si>
  <si>
    <t xml:space="preserve">browncher893@gmail.com </t>
  </si>
  <si>
    <t xml:space="preserve">413) 309-0908 </t>
  </si>
  <si>
    <t>Rikenson</t>
  </si>
  <si>
    <t xml:space="preserve"> Pierre </t>
  </si>
  <si>
    <t xml:space="preserve">rikensonpieerre@gmail.com </t>
  </si>
  <si>
    <t xml:space="preserve">857) 225-4268 </t>
  </si>
  <si>
    <t>Waltham</t>
  </si>
  <si>
    <t xml:space="preserve">John </t>
  </si>
  <si>
    <t xml:space="preserve"> Doyle</t>
  </si>
  <si>
    <t>Legend3540@aol.com</t>
  </si>
  <si>
    <t>(508)783-5465</t>
  </si>
  <si>
    <t xml:space="preserve">Franklin </t>
  </si>
  <si>
    <t xml:space="preserve">Lisa </t>
  </si>
  <si>
    <t xml:space="preserve">Sclafani </t>
  </si>
  <si>
    <t>lasclafani333@gmail.com</t>
  </si>
  <si>
    <t xml:space="preserve">(508) 389-3767 </t>
  </si>
  <si>
    <t xml:space="preserve">Bernard </t>
  </si>
  <si>
    <t xml:space="preserve"> Quainoo </t>
  </si>
  <si>
    <t>Nanakaci@yahoo.com</t>
  </si>
  <si>
    <t xml:space="preserve">(347) 278-0003 </t>
  </si>
  <si>
    <t xml:space="preserve">Lavanya </t>
  </si>
  <si>
    <t xml:space="preserve">Srinivasan </t>
  </si>
  <si>
    <t>lav.srinivass07@gmail.com</t>
  </si>
  <si>
    <t xml:space="preserve">515) 705-8237 </t>
  </si>
  <si>
    <t xml:space="preserve">Grafton </t>
  </si>
  <si>
    <t xml:space="preserve">Marco </t>
  </si>
  <si>
    <t xml:space="preserve"> De Paz </t>
  </si>
  <si>
    <t>macotony_1932@hotmail.com</t>
  </si>
  <si>
    <t xml:space="preserve">(774) 242-9503 </t>
  </si>
  <si>
    <t xml:space="preserve">Barbra </t>
  </si>
  <si>
    <t xml:space="preserve">Marden </t>
  </si>
  <si>
    <t>eemarden@gmail.com</t>
  </si>
  <si>
    <t xml:space="preserve">802) 999-0826 </t>
  </si>
  <si>
    <t xml:space="preserve"> Sugerman </t>
  </si>
  <si>
    <t>provmetnathan@gmail.com</t>
  </si>
  <si>
    <t xml:space="preserve">(401) 633-2905 </t>
  </si>
  <si>
    <t>Webster</t>
  </si>
  <si>
    <t xml:space="preserve">Anthony </t>
  </si>
  <si>
    <t xml:space="preserve"> Semidey </t>
  </si>
  <si>
    <t>anthony_semidey@yahoo.com</t>
  </si>
  <si>
    <t xml:space="preserve">(978) 235-3017 </t>
  </si>
  <si>
    <t>Lunenburg</t>
  </si>
  <si>
    <t xml:space="preserve">Kathy </t>
  </si>
  <si>
    <t xml:space="preserve"> Delevry </t>
  </si>
  <si>
    <t xml:space="preserve">Katdeluny19@gmail.com </t>
  </si>
  <si>
    <t xml:space="preserve">(754) 231-5584 </t>
  </si>
  <si>
    <t xml:space="preserve">Jillian </t>
  </si>
  <si>
    <t xml:space="preserve">Mattei </t>
  </si>
  <si>
    <t>mrsplusamerica2024@gmail.com</t>
  </si>
  <si>
    <t xml:space="preserve">(413) 896-7327 </t>
  </si>
  <si>
    <t>Ana</t>
  </si>
  <si>
    <t xml:space="preserve">Sarante-Korkoyah </t>
  </si>
  <si>
    <t>ana_sarante@hotmail.com</t>
  </si>
  <si>
    <t xml:space="preserve">(978) 728-1228 </t>
  </si>
  <si>
    <t>Fitchburg</t>
  </si>
  <si>
    <t>Daniel</t>
  </si>
  <si>
    <t xml:space="preserve"> Andino </t>
  </si>
  <si>
    <t>andino23pr@gmail.com</t>
  </si>
  <si>
    <t xml:space="preserve">(774) 322-6707 </t>
  </si>
  <si>
    <t xml:space="preserve">Susan </t>
  </si>
  <si>
    <t xml:space="preserve"> Shay </t>
  </si>
  <si>
    <t>Sue_shay@comcast.net</t>
  </si>
  <si>
    <t xml:space="preserve">(978) 973-2509 </t>
  </si>
  <si>
    <t xml:space="preserve">Wilmington  </t>
  </si>
  <si>
    <t xml:space="preserve">Gosia </t>
  </si>
  <si>
    <t xml:space="preserve"> Siwik </t>
  </si>
  <si>
    <t xml:space="preserve">gosia.siwik@hotmail.com </t>
  </si>
  <si>
    <t xml:space="preserve">(774) 232-4379 </t>
  </si>
  <si>
    <t>Paxton</t>
  </si>
  <si>
    <t>brkhrrngtn@gmail.com</t>
  </si>
  <si>
    <t xml:space="preserve">Monique </t>
  </si>
  <si>
    <t xml:space="preserve"> Townsend </t>
  </si>
  <si>
    <t xml:space="preserve">monique_send@yahoo.com </t>
  </si>
  <si>
    <t xml:space="preserve">(774) 764-8516 </t>
  </si>
  <si>
    <t>Eric</t>
  </si>
  <si>
    <t xml:space="preserve">Boateng </t>
  </si>
  <si>
    <t xml:space="preserve">boatengfilms@gmail.com </t>
  </si>
  <si>
    <t xml:space="preserve">(978) 996-4196 </t>
  </si>
  <si>
    <t>Dracut,</t>
  </si>
  <si>
    <t>Melissa</t>
  </si>
  <si>
    <t xml:space="preserve">Samayoa </t>
  </si>
  <si>
    <t xml:space="preserve">melissagaellejean@gmail.com </t>
  </si>
  <si>
    <t xml:space="preserve">(617)980-8543 </t>
  </si>
  <si>
    <t xml:space="preserve">Anders </t>
  </si>
  <si>
    <t xml:space="preserve">Vasquez </t>
  </si>
  <si>
    <t xml:space="preserve">av1493@yahoo.com </t>
  </si>
  <si>
    <t xml:space="preserve">508) 981-3656 </t>
  </si>
  <si>
    <t>Olivia</t>
  </si>
  <si>
    <t xml:space="preserve">LeBlanc </t>
  </si>
  <si>
    <t>leblancolivia2@gmail.com</t>
  </si>
  <si>
    <t xml:space="preserve">978) 660-4745 </t>
  </si>
  <si>
    <t>Leominster</t>
  </si>
  <si>
    <t xml:space="preserve">Mongeau </t>
  </si>
  <si>
    <t xml:space="preserve">j.mongeau1289@gmail.com </t>
  </si>
  <si>
    <t xml:space="preserve">774)420-9730 </t>
  </si>
  <si>
    <t xml:space="preserve">Sawchuk </t>
  </si>
  <si>
    <t xml:space="preserve">joesawchuk1@gmail.com </t>
  </si>
  <si>
    <t xml:space="preserve">(339) 215-6547 </t>
  </si>
  <si>
    <t xml:space="preserve">Chris </t>
  </si>
  <si>
    <t xml:space="preserve"> Forget </t>
  </si>
  <si>
    <t xml:space="preserve">cjforget123@gmail.com </t>
  </si>
  <si>
    <t xml:space="preserve">(774) 275-7648 </t>
  </si>
  <si>
    <t xml:space="preserve">Shrewsbury </t>
  </si>
  <si>
    <t xml:space="preserve">Schwab </t>
  </si>
  <si>
    <t xml:space="preserve">cottonschwab19@outlook.com </t>
  </si>
  <si>
    <t xml:space="preserve">(508) 523-9552 </t>
  </si>
  <si>
    <t>AROLD</t>
  </si>
  <si>
    <t>dupreykamden@gmail.com</t>
  </si>
  <si>
    <t xml:space="preserve">(508) 769-9844 </t>
  </si>
  <si>
    <t>Ryan</t>
  </si>
  <si>
    <t xml:space="preserve">Love </t>
  </si>
  <si>
    <t>rlove@townisp.com</t>
  </si>
  <si>
    <t xml:space="preserve">508) 599-0100 </t>
  </si>
  <si>
    <t>Brent</t>
  </si>
  <si>
    <t xml:space="preserve"> Aucoin </t>
  </si>
  <si>
    <t xml:space="preserve">brnt556@gmail.com </t>
  </si>
  <si>
    <t xml:space="preserve">508)844-1644 </t>
  </si>
  <si>
    <t>Northborough</t>
  </si>
  <si>
    <t>Jason l</t>
  </si>
  <si>
    <t xml:space="preserve"> long </t>
  </si>
  <si>
    <t xml:space="preserve">sixstringsandporchswings@gmail.com </t>
  </si>
  <si>
    <t>617)584-0148</t>
  </si>
  <si>
    <t xml:space="preserve">Jazlynn </t>
  </si>
  <si>
    <t xml:space="preserve">Flecha </t>
  </si>
  <si>
    <t xml:space="preserve">jazlynnflecha@gmail.com </t>
  </si>
  <si>
    <t xml:space="preserve">(413) 218-8508 </t>
  </si>
  <si>
    <t xml:space="preserve">Leonela </t>
  </si>
  <si>
    <t xml:space="preserve">Ortiz </t>
  </si>
  <si>
    <t xml:space="preserve">ortizleonela12@gmail.com </t>
  </si>
  <si>
    <t xml:space="preserve">(413) 949-2050 </t>
  </si>
  <si>
    <t xml:space="preserve">Dasilva </t>
  </si>
  <si>
    <t xml:space="preserve">dasilvacurtis23@gmail.com </t>
  </si>
  <si>
    <t xml:space="preserve">(657) 461-6768 </t>
  </si>
  <si>
    <t>Woonsocket</t>
  </si>
  <si>
    <t xml:space="preserve">Keyiana </t>
  </si>
  <si>
    <t xml:space="preserve">Robinson </t>
  </si>
  <si>
    <t xml:space="preserve">keyrobinson33@icloud.com </t>
  </si>
  <si>
    <t xml:space="preserve">857) 656-1175 </t>
  </si>
  <si>
    <t xml:space="preserve">Izaac </t>
  </si>
  <si>
    <t xml:space="preserve">Thompson </t>
  </si>
  <si>
    <t xml:space="preserve">izaacthompson0423@gmail.com </t>
  </si>
  <si>
    <t xml:space="preserve">(239) 460-6823 </t>
  </si>
  <si>
    <t xml:space="preserve">Jeferson </t>
  </si>
  <si>
    <t xml:space="preserve">Pineda </t>
  </si>
  <si>
    <t xml:space="preserve">jpineda42@icloud.com </t>
  </si>
  <si>
    <t xml:space="preserve">(831) 718-0338 </t>
  </si>
  <si>
    <t>Chelsea</t>
  </si>
  <si>
    <t xml:space="preserve">Luz </t>
  </si>
  <si>
    <t xml:space="preserve">Delgado </t>
  </si>
  <si>
    <t>luzdelgado596@gmail.com</t>
  </si>
  <si>
    <t xml:space="preserve">774-464-5564 </t>
  </si>
  <si>
    <t>Wesboro</t>
  </si>
  <si>
    <t xml:space="preserve"> D’Amico</t>
  </si>
  <si>
    <t>avdamico09@hotmail.com</t>
  </si>
  <si>
    <t>781-813-5363</t>
  </si>
  <si>
    <t xml:space="preserve">claudino </t>
  </si>
  <si>
    <t xml:space="preserve">Alvarenga </t>
  </si>
  <si>
    <t xml:space="preserve">claudino.alvarenga@brocktonpolice.com </t>
  </si>
  <si>
    <t xml:space="preserve">774) 240-0205 </t>
  </si>
  <si>
    <t xml:space="preserve">Amoge </t>
  </si>
  <si>
    <t>Udeani</t>
  </si>
  <si>
    <t>milliscentj@gmail.com</t>
  </si>
  <si>
    <t>857-334-1933</t>
  </si>
  <si>
    <t>Acton</t>
  </si>
  <si>
    <t xml:space="preserve">Synia </t>
  </si>
  <si>
    <t>Edwards</t>
  </si>
  <si>
    <t>syniaedwards@gmail.com</t>
  </si>
  <si>
    <t>617)-308-3043</t>
  </si>
  <si>
    <t>Mohammad</t>
  </si>
  <si>
    <t>Abdullh Al Mamun</t>
  </si>
  <si>
    <t>mamunbabu@hotmail.com</t>
  </si>
  <si>
    <t>857)381-8871</t>
  </si>
  <si>
    <t>SadaQah</t>
  </si>
  <si>
    <t>Qah Rice</t>
  </si>
  <si>
    <t>Sadaqahrashid2@gmail.com</t>
  </si>
  <si>
    <t>857-417-3772</t>
  </si>
  <si>
    <t xml:space="preserve">Alexandre </t>
  </si>
  <si>
    <t xml:space="preserve">Theodore </t>
  </si>
  <si>
    <t>alexandretheodore5@gmail.com</t>
  </si>
  <si>
    <t>617-685-9191</t>
  </si>
  <si>
    <t xml:space="preserve">JIMMI </t>
  </si>
  <si>
    <t xml:space="preserve"> KATHSON MONDESIR</t>
  </si>
  <si>
    <t>mondesirjimmikathson@gmail.com</t>
  </si>
  <si>
    <t>(617)842-3740</t>
  </si>
  <si>
    <t>Fabiano</t>
  </si>
  <si>
    <t>781 964 5181</t>
  </si>
  <si>
    <t>South Weymouth</t>
  </si>
  <si>
    <t xml:space="preserve">Tevin </t>
  </si>
  <si>
    <t>Jeanlouis</t>
  </si>
  <si>
    <t>774 776 5560</t>
  </si>
  <si>
    <t xml:space="preserve">Dana </t>
  </si>
  <si>
    <t>haassan Welch-fiore</t>
  </si>
  <si>
    <t>860 448 8751</t>
  </si>
  <si>
    <t>Cambridge</t>
  </si>
  <si>
    <t xml:space="preserve">Kelida </t>
  </si>
  <si>
    <t>Michel</t>
  </si>
  <si>
    <t>michelkelida@gmail.com</t>
  </si>
  <si>
    <t>(305) 316-9790</t>
  </si>
  <si>
    <t>Patrick</t>
  </si>
  <si>
    <t>Languzzi</t>
  </si>
  <si>
    <t>patricklanguzzi@gmail.com</t>
  </si>
  <si>
    <t>978-809-4129</t>
  </si>
  <si>
    <t xml:space="preserve">Maynard </t>
  </si>
  <si>
    <t xml:space="preserve">Edni </t>
  </si>
  <si>
    <t>Colon</t>
  </si>
  <si>
    <t>colon.edni@yahoo.com</t>
  </si>
  <si>
    <t>508-981-0656</t>
  </si>
  <si>
    <t xml:space="preserve">Kemleyne </t>
  </si>
  <si>
    <t xml:space="preserve">Dumoulin </t>
  </si>
  <si>
    <t>kemleyned@gmail.com</t>
  </si>
  <si>
    <t>617)406-8070</t>
  </si>
  <si>
    <t xml:space="preserve">Sean  </t>
  </si>
  <si>
    <t xml:space="preserve">bissonnette </t>
  </si>
  <si>
    <t xml:space="preserve">bissonnette8486@outlook.com </t>
  </si>
  <si>
    <t xml:space="preserve">(508) 353-4225 </t>
  </si>
  <si>
    <t xml:space="preserve">Daniela  </t>
  </si>
  <si>
    <t xml:space="preserve">Santamaria Rodriguez </t>
  </si>
  <si>
    <t>danielaarsantamaria@gmail.com</t>
  </si>
  <si>
    <t xml:space="preserve">(617) 938-9255 </t>
  </si>
  <si>
    <t xml:space="preserve">Mustapha </t>
  </si>
  <si>
    <t xml:space="preserve"> Iddrisu </t>
  </si>
  <si>
    <t xml:space="preserve">iddrical@yahoo.com </t>
  </si>
  <si>
    <t xml:space="preserve">(310) 876-6176 </t>
  </si>
  <si>
    <t xml:space="preserve">FOXBORO </t>
  </si>
  <si>
    <t>Imanuel</t>
  </si>
  <si>
    <t xml:space="preserve"> Fernandes </t>
  </si>
  <si>
    <t xml:space="preserve">imanuelfernandes17@gmail.com </t>
  </si>
  <si>
    <t xml:space="preserve">(774) 259-7545 </t>
  </si>
  <si>
    <t xml:space="preserve">Anchello </t>
  </si>
  <si>
    <t xml:space="preserve"> Lacroix</t>
  </si>
  <si>
    <t>jeananchellolacroix@gmail.com</t>
  </si>
  <si>
    <t>857) 505-5658</t>
  </si>
  <si>
    <t>Bridgewater</t>
  </si>
  <si>
    <t xml:space="preserve">Jeinshy </t>
  </si>
  <si>
    <t xml:space="preserve">Abad </t>
  </si>
  <si>
    <t>jeinshy1996@gmail.com</t>
  </si>
  <si>
    <t xml:space="preserve">401-297-5298 </t>
  </si>
  <si>
    <t xml:space="preserve">Cranston </t>
  </si>
  <si>
    <t>Shamikhah</t>
  </si>
  <si>
    <t xml:space="preserve"> Curry</t>
  </si>
  <si>
    <t>shamikhah73@gmail.com</t>
  </si>
  <si>
    <t>617) 669-4139</t>
  </si>
  <si>
    <t xml:space="preserve">NICOLE </t>
  </si>
  <si>
    <t>KING</t>
  </si>
  <si>
    <t>781 491 3699</t>
  </si>
  <si>
    <t xml:space="preserve">Yamilett </t>
  </si>
  <si>
    <t>Santiago</t>
  </si>
  <si>
    <t>santiagoyamilett3@gmail.com</t>
  </si>
  <si>
    <t>939 219 7355</t>
  </si>
  <si>
    <t>Nyzalie</t>
  </si>
  <si>
    <t>Calderon</t>
  </si>
  <si>
    <t>calderonnyzalie@gmail.com</t>
  </si>
  <si>
    <t>508-202-8369</t>
  </si>
  <si>
    <t>DANA</t>
  </si>
  <si>
    <t>MALLORY</t>
  </si>
  <si>
    <t>315) 374-0011</t>
  </si>
  <si>
    <t xml:space="preserve">Jason </t>
  </si>
  <si>
    <t xml:space="preserve">Mendes </t>
  </si>
  <si>
    <t>djeissomendes@hotmail.com</t>
  </si>
  <si>
    <t xml:space="preserve">857-544-5396 </t>
  </si>
  <si>
    <t xml:space="preserve">Maxwell </t>
  </si>
  <si>
    <t xml:space="preserve">Aduboakye </t>
  </si>
  <si>
    <t>maxagriin@gmail.com</t>
  </si>
  <si>
    <t>715-497-6786</t>
  </si>
  <si>
    <t>Camden</t>
  </si>
  <si>
    <t xml:space="preserve"> Priebe </t>
  </si>
  <si>
    <t xml:space="preserve">cpriebe2024@students.curry.edu </t>
  </si>
  <si>
    <t xml:space="preserve">919) 500-3594 </t>
  </si>
  <si>
    <t xml:space="preserve">Milton </t>
  </si>
  <si>
    <t xml:space="preserve">Cailene </t>
  </si>
  <si>
    <t xml:space="preserve"> Dupras </t>
  </si>
  <si>
    <t>cailenedupras5@gmail.com</t>
  </si>
  <si>
    <t xml:space="preserve">(401) 575-1585 </t>
  </si>
  <si>
    <t xml:space="preserve">North Providence, </t>
  </si>
  <si>
    <t>Emmanuel</t>
  </si>
  <si>
    <t xml:space="preserve"> Joseph </t>
  </si>
  <si>
    <t>patricejoseph20@gmail.com</t>
  </si>
  <si>
    <t xml:space="preserve">617) 279-1563 </t>
  </si>
  <si>
    <t xml:space="preserve"> Collins</t>
  </si>
  <si>
    <t>617 704 2496</t>
  </si>
  <si>
    <t xml:space="preserve">Morris </t>
  </si>
  <si>
    <t xml:space="preserve">Karas </t>
  </si>
  <si>
    <t>mkaras6@yahoo.com</t>
  </si>
  <si>
    <t xml:space="preserve">(860) 803-5992 </t>
  </si>
  <si>
    <t>Windsor Locks</t>
  </si>
  <si>
    <t xml:space="preserve">Jacob </t>
  </si>
  <si>
    <t xml:space="preserve"> Harrington </t>
  </si>
  <si>
    <t xml:space="preserve">harringtonjake8@gmail.com </t>
  </si>
  <si>
    <t xml:space="preserve">(774) 222-6584 </t>
  </si>
  <si>
    <t>East bridgewater</t>
  </si>
  <si>
    <t xml:space="preserve">Gregory </t>
  </si>
  <si>
    <t xml:space="preserve">Peguefo </t>
  </si>
  <si>
    <t xml:space="preserve">wheresgreg82@gmail.com </t>
  </si>
  <si>
    <t xml:space="preserve">(617) 279-5235 </t>
  </si>
  <si>
    <t xml:space="preserve">Aldai </t>
  </si>
  <si>
    <t xml:space="preserve">Eustache </t>
  </si>
  <si>
    <t>Eustashaldai@gmail.com</t>
  </si>
  <si>
    <t xml:space="preserve">857) 880-9378 </t>
  </si>
  <si>
    <t>SOLOMON</t>
  </si>
  <si>
    <t xml:space="preserve"> KUJABI</t>
  </si>
  <si>
    <t>Solomon.Kujabi7@gmail.com</t>
  </si>
  <si>
    <t>209.808.9696</t>
  </si>
  <si>
    <t>Ronald</t>
  </si>
  <si>
    <t>Alce</t>
  </si>
  <si>
    <t>Alce507@gmail.com</t>
  </si>
  <si>
    <t>813 614 6186</t>
  </si>
  <si>
    <t xml:space="preserve">DANIELA </t>
  </si>
  <si>
    <t>YANEZ</t>
  </si>
  <si>
    <t>DYANEZ9867@ICLOUD.COM</t>
  </si>
  <si>
    <t>401-492-6077</t>
  </si>
  <si>
    <t>WARWICK</t>
  </si>
  <si>
    <t xml:space="preserve">Henry </t>
  </si>
  <si>
    <t>henryflores97@gmail.com</t>
  </si>
  <si>
    <t>857-334-9026</t>
  </si>
  <si>
    <t>Stoneham</t>
  </si>
  <si>
    <t xml:space="preserve">Gary </t>
  </si>
  <si>
    <t>Murphy</t>
  </si>
  <si>
    <t>Gmoney01603@yahoo.com</t>
  </si>
  <si>
    <t>508 314 5436</t>
  </si>
  <si>
    <t>Nashua</t>
  </si>
  <si>
    <t>NH</t>
  </si>
  <si>
    <t xml:space="preserve">Liliana </t>
  </si>
  <si>
    <t>Amado</t>
  </si>
  <si>
    <t>Liliana.amado@myguardian.org</t>
  </si>
  <si>
    <t>857-417-8686</t>
  </si>
  <si>
    <t xml:space="preserve">Smith </t>
  </si>
  <si>
    <t>msmith.ja7@gmail.com</t>
  </si>
  <si>
    <t>754-364-4445</t>
  </si>
  <si>
    <t>Southbridge</t>
  </si>
  <si>
    <t>Marivic</t>
  </si>
  <si>
    <t xml:space="preserve">Torre </t>
  </si>
  <si>
    <t>marivictorre1577@gmail.com</t>
  </si>
  <si>
    <t xml:space="preserve">508-974-5480 </t>
  </si>
  <si>
    <t>Gregory</t>
  </si>
  <si>
    <t xml:space="preserve">Paiva </t>
  </si>
  <si>
    <t xml:space="preserve">gregpaiva@gmail.com </t>
  </si>
  <si>
    <t>774)206-7612</t>
  </si>
  <si>
    <t xml:space="preserve"> Rolph </t>
  </si>
  <si>
    <t>rolph.nick@gmail.com</t>
  </si>
  <si>
    <t xml:space="preserve">774)573 6815 </t>
  </si>
  <si>
    <t>Millville</t>
  </si>
  <si>
    <t>Allen</t>
  </si>
  <si>
    <t xml:space="preserve">Reynoso </t>
  </si>
  <si>
    <t>Allenreynoso04@iCloud.com</t>
  </si>
  <si>
    <t>978-397-6630</t>
  </si>
  <si>
    <t>Seif</t>
  </si>
  <si>
    <t>Elsheikh</t>
  </si>
  <si>
    <t>seif_elsheikh12@icloud.com</t>
  </si>
  <si>
    <t>wildingdante12@icloud.com</t>
  </si>
  <si>
    <t>401-346-8630</t>
  </si>
  <si>
    <t xml:space="preserve">Kemo </t>
  </si>
  <si>
    <t xml:space="preserve"> luna </t>
  </si>
  <si>
    <t>kenoluna1738@icloud.com</t>
  </si>
  <si>
    <t xml:space="preserve">Carlos </t>
  </si>
  <si>
    <t xml:space="preserve"> Reyes</t>
  </si>
  <si>
    <t>mrcarlosreyes3@gmail.com</t>
  </si>
  <si>
    <t>857-237-7005</t>
  </si>
  <si>
    <t xml:space="preserve">Jerinso </t>
  </si>
  <si>
    <t>Dariel Morales-Alejo</t>
  </si>
  <si>
    <t>Jerinsodariel@gmail.com</t>
  </si>
  <si>
    <t>978 208 9719</t>
  </si>
  <si>
    <t xml:space="preserve">Kirwin </t>
  </si>
  <si>
    <t>Mikell</t>
  </si>
  <si>
    <t>kirwinmikell@yahoo.com</t>
  </si>
  <si>
    <t>774 360 4929</t>
  </si>
  <si>
    <t xml:space="preserve">East Taunton </t>
  </si>
  <si>
    <t>James</t>
  </si>
  <si>
    <t>Dimucci</t>
  </si>
  <si>
    <t>508 494 6534</t>
  </si>
  <si>
    <t>Natick</t>
  </si>
  <si>
    <t xml:space="preserve">Sadiq </t>
  </si>
  <si>
    <t xml:space="preserve">Ansu </t>
  </si>
  <si>
    <t>ansunkz@yahoo.com</t>
  </si>
  <si>
    <t>774-477-1579</t>
  </si>
  <si>
    <t xml:space="preserve">Mortie </t>
  </si>
  <si>
    <t>Steinman</t>
  </si>
  <si>
    <t xml:space="preserve">Rapaport369@gmail.com </t>
  </si>
  <si>
    <t>774 623 9753</t>
  </si>
  <si>
    <t xml:space="preserve">Brixsoma </t>
  </si>
  <si>
    <t xml:space="preserve">Elliott </t>
  </si>
  <si>
    <t>Brixsonaelliott@gmail.com</t>
  </si>
  <si>
    <t>(617-785-2029)</t>
  </si>
  <si>
    <t>Amy</t>
  </si>
  <si>
    <t xml:space="preserve">Campos </t>
  </si>
  <si>
    <t>Amycampos_92@yahoo.com</t>
  </si>
  <si>
    <t xml:space="preserve">Jessy </t>
  </si>
  <si>
    <t xml:space="preserve">lopez </t>
  </si>
  <si>
    <t xml:space="preserve">Jessy.moon.lopez@gmail.com </t>
  </si>
  <si>
    <t>650 531 0056</t>
  </si>
  <si>
    <t>Nashville</t>
  </si>
  <si>
    <t>TN</t>
  </si>
  <si>
    <t>Zanobia</t>
  </si>
  <si>
    <t>Powell</t>
  </si>
  <si>
    <t>857 266 0655</t>
  </si>
  <si>
    <t xml:space="preserve">Phillip </t>
  </si>
  <si>
    <t>Crichlow</t>
  </si>
  <si>
    <t>Phillipcrichlow@gmail.com</t>
  </si>
  <si>
    <t>347 790 4176</t>
  </si>
  <si>
    <t>Tishon</t>
  </si>
  <si>
    <t>Fortes</t>
  </si>
  <si>
    <t>tishonjfortes@gmail.com</t>
  </si>
  <si>
    <t>857-225-3823</t>
  </si>
  <si>
    <t>Jean</t>
  </si>
  <si>
    <t>Patrick Brazier</t>
  </si>
  <si>
    <t>jpb9786@yahoo.com</t>
  </si>
  <si>
    <t>857-231-0127</t>
  </si>
  <si>
    <t>Wilmington</t>
  </si>
  <si>
    <t xml:space="preserve">Andrea </t>
  </si>
  <si>
    <t>Blake</t>
  </si>
  <si>
    <t>dreablake01@gmail.com</t>
  </si>
  <si>
    <t>774-2422305</t>
  </si>
  <si>
    <t>Worcesteer</t>
  </si>
  <si>
    <t xml:space="preserve">Rich </t>
  </si>
  <si>
    <t xml:space="preserve">john0878@icloud.com </t>
  </si>
  <si>
    <t xml:space="preserve">857) 312-6345 </t>
  </si>
  <si>
    <t xml:space="preserve">Ferdinan </t>
  </si>
  <si>
    <t xml:space="preserve">Ocasio III </t>
  </si>
  <si>
    <t xml:space="preserve">ferdibirdi777@gmail.com </t>
  </si>
  <si>
    <t xml:space="preserve">413) 263-9800 </t>
  </si>
  <si>
    <t xml:space="preserve">Scott </t>
  </si>
  <si>
    <t xml:space="preserve">Clark </t>
  </si>
  <si>
    <t>escott5555@hotmail.com</t>
  </si>
  <si>
    <t xml:space="preserve">(978) 767-1884 </t>
  </si>
  <si>
    <t>Peabody</t>
  </si>
  <si>
    <t xml:space="preserve">Dalton </t>
  </si>
  <si>
    <t xml:space="preserve"> Cox </t>
  </si>
  <si>
    <t>daltonjcox26@gmail.com</t>
  </si>
  <si>
    <t xml:space="preserve">781) 835-6624 </t>
  </si>
  <si>
    <t xml:space="preserve">Othni </t>
  </si>
  <si>
    <t xml:space="preserve"> Lindor </t>
  </si>
  <si>
    <t xml:space="preserve">othni.lindor@gmail.com </t>
  </si>
  <si>
    <t>857-287-9870</t>
  </si>
  <si>
    <t xml:space="preserve">Saimir </t>
  </si>
  <si>
    <t xml:space="preserve">Qose </t>
  </si>
  <si>
    <t xml:space="preserve">aleksialeksi705@gmail.com </t>
  </si>
  <si>
    <t xml:space="preserve">(774) 712-5156 </t>
  </si>
  <si>
    <t xml:space="preserve">Jennifer </t>
  </si>
  <si>
    <t xml:space="preserve"> Pascal</t>
  </si>
  <si>
    <t>Jennpas85@gmail.com</t>
  </si>
  <si>
    <t>857-231-2275</t>
  </si>
  <si>
    <t>Sondy</t>
  </si>
  <si>
    <t>Deltine</t>
  </si>
  <si>
    <t>Sondypricila@gmail.com</t>
  </si>
  <si>
    <t>305 784 2357</t>
  </si>
  <si>
    <t xml:space="preserve">Nijon </t>
  </si>
  <si>
    <t>Nijonwilliams882@gmail.com</t>
  </si>
  <si>
    <t>857 379 0030</t>
  </si>
  <si>
    <t>Johnley</t>
  </si>
  <si>
    <t xml:space="preserve">Termitus </t>
  </si>
  <si>
    <t>Tjohnleytermitus@gmail.com</t>
  </si>
  <si>
    <t>774 453 7057</t>
  </si>
  <si>
    <t xml:space="preserve">Elizabeth </t>
  </si>
  <si>
    <t>Tuitt</t>
  </si>
  <si>
    <t>Ltuitt@icloud.com</t>
  </si>
  <si>
    <t>339 212 2962</t>
  </si>
  <si>
    <t xml:space="preserve">Georgia </t>
  </si>
  <si>
    <t xml:space="preserve">Griffiths </t>
  </si>
  <si>
    <t>Georgiagriffiths482@gmail.com</t>
  </si>
  <si>
    <t>617-438-4993</t>
  </si>
  <si>
    <t xml:space="preserve"> Lyons</t>
  </si>
  <si>
    <t>michael.lyons117@gmail.com</t>
  </si>
  <si>
    <t>781) 327-9110</t>
  </si>
  <si>
    <t>Foxborough</t>
  </si>
  <si>
    <t xml:space="preserve">L Auguste </t>
  </si>
  <si>
    <t>Lestram1@yahoo.com</t>
  </si>
  <si>
    <t xml:space="preserve">781-492-3494 </t>
  </si>
  <si>
    <t xml:space="preserve"> S Phildor </t>
  </si>
  <si>
    <t>philodorlove@yahoo.com</t>
  </si>
  <si>
    <t>401-919-8582</t>
  </si>
  <si>
    <t xml:space="preserve">George </t>
  </si>
  <si>
    <t xml:space="preserve"> Mensah</t>
  </si>
  <si>
    <t>gmensah0906@gmail.com</t>
  </si>
  <si>
    <t>508-762-7578</t>
  </si>
  <si>
    <t>Knijia</t>
  </si>
  <si>
    <t xml:space="preserve">Williams </t>
  </si>
  <si>
    <t>wknijia@gmail.com</t>
  </si>
  <si>
    <t>617-304-83830</t>
  </si>
  <si>
    <t>Allston</t>
  </si>
  <si>
    <t>Brennan</t>
  </si>
  <si>
    <t xml:space="preserve"> Fortes</t>
  </si>
  <si>
    <t>brennan.fortes@yahoo.com</t>
  </si>
  <si>
    <t>774 704 2038</t>
  </si>
  <si>
    <t xml:space="preserve">Geliel </t>
  </si>
  <si>
    <t xml:space="preserve">Peña </t>
  </si>
  <si>
    <t>gelielpena937@icloud.com</t>
  </si>
  <si>
    <t>570-442- 3303</t>
  </si>
  <si>
    <t xml:space="preserve">SPRINGFIELD </t>
  </si>
  <si>
    <t xml:space="preserve">Kristiana </t>
  </si>
  <si>
    <t xml:space="preserve"> Gousby </t>
  </si>
  <si>
    <t xml:space="preserve">k.gousby12@gmail.com </t>
  </si>
  <si>
    <t xml:space="preserve">(857) 237-8104 </t>
  </si>
  <si>
    <t xml:space="preserve">Tanisha </t>
  </si>
  <si>
    <t xml:space="preserve"> Carlisle </t>
  </si>
  <si>
    <t xml:space="preserve">mamitanisha1@icloud.com </t>
  </si>
  <si>
    <t xml:space="preserve">(978) 918-0250 </t>
  </si>
  <si>
    <t xml:space="preserve">Danchel </t>
  </si>
  <si>
    <t>danchelwilliams1@gmail.com</t>
  </si>
  <si>
    <t>508-479-2456</t>
  </si>
  <si>
    <t>Fantashia</t>
  </si>
  <si>
    <t>Best</t>
  </si>
  <si>
    <t>fbest1186@gmail.com</t>
  </si>
  <si>
    <t>475-455-1769</t>
  </si>
  <si>
    <t>Bridgeport</t>
  </si>
  <si>
    <t xml:space="preserve">Mariah </t>
  </si>
  <si>
    <t>Alexander</t>
  </si>
  <si>
    <t>mnicolemurph@gmail.com</t>
  </si>
  <si>
    <t>774-422-9118</t>
  </si>
  <si>
    <t>Rockland</t>
  </si>
  <si>
    <t>Smith-Howell</t>
  </si>
  <si>
    <t>Jsmithhowell21@gmail.com</t>
  </si>
  <si>
    <t>617 953 4248</t>
  </si>
  <si>
    <t>Merlo Sr</t>
  </si>
  <si>
    <t>Mustbedavid1@aol.com</t>
  </si>
  <si>
    <t>774 289 0634</t>
  </si>
  <si>
    <t xml:space="preserve">Brookfield </t>
  </si>
  <si>
    <t>Elijah</t>
  </si>
  <si>
    <t xml:space="preserve">Lavoie </t>
  </si>
  <si>
    <t xml:space="preserve">elijahlavoie24@gmail.com </t>
  </si>
  <si>
    <t xml:space="preserve">(401) 416-2649 </t>
  </si>
  <si>
    <t>Central Falls</t>
  </si>
  <si>
    <t xml:space="preserve">Paul </t>
  </si>
  <si>
    <t xml:space="preserve">Wilson </t>
  </si>
  <si>
    <t xml:space="preserve">kamjesh2005@gmail.com </t>
  </si>
  <si>
    <t xml:space="preserve">(978) 259-8421 </t>
  </si>
  <si>
    <t xml:space="preserve">Kelimar </t>
  </si>
  <si>
    <t xml:space="preserve"> Del Valle Hernandez </t>
  </si>
  <si>
    <t xml:space="preserve">kelimarhernandez123@gmail.com </t>
  </si>
  <si>
    <t xml:space="preserve">(774) 992-3936 </t>
  </si>
  <si>
    <t xml:space="preserve">Isaiah </t>
  </si>
  <si>
    <t>izyuh23@gmail.com</t>
  </si>
  <si>
    <t xml:space="preserve">(508) 502-8344 </t>
  </si>
  <si>
    <t xml:space="preserve">Michael  </t>
  </si>
  <si>
    <t xml:space="preserve"> Hale </t>
  </si>
  <si>
    <t xml:space="preserve">cleanfreak629@gmail.com </t>
  </si>
  <si>
    <t xml:space="preserve">508-817-0159 </t>
  </si>
  <si>
    <t>Jamaica Plain</t>
  </si>
  <si>
    <t xml:space="preserve">Philippe </t>
  </si>
  <si>
    <t>Pdesir1994@gmail.com</t>
  </si>
  <si>
    <t>508-663-8194</t>
  </si>
  <si>
    <t xml:space="preserve">Kolby </t>
  </si>
  <si>
    <t xml:space="preserve"> Smith </t>
  </si>
  <si>
    <t xml:space="preserve">krsmith13@comcast.net </t>
  </si>
  <si>
    <t xml:space="preserve">(413) 504-8409 </t>
  </si>
  <si>
    <t xml:space="preserve">Cedric </t>
  </si>
  <si>
    <t xml:space="preserve">cedricteixeira11@aim.com </t>
  </si>
  <si>
    <t xml:space="preserve">774)778-7871 </t>
  </si>
  <si>
    <t xml:space="preserve">bridgewater </t>
  </si>
  <si>
    <t xml:space="preserve">Keith </t>
  </si>
  <si>
    <t xml:space="preserve"> Cormier </t>
  </si>
  <si>
    <t xml:space="preserve">heartofwalmart@gmail.com </t>
  </si>
  <si>
    <t xml:space="preserve">(978) 790-6997 </t>
  </si>
  <si>
    <t xml:space="preserve">Jarrod </t>
  </si>
  <si>
    <t xml:space="preserve"> Camerer </t>
  </si>
  <si>
    <t xml:space="preserve">jarrod.camerer@gmail.com </t>
  </si>
  <si>
    <t xml:space="preserve">(774) 479-1249 </t>
  </si>
  <si>
    <t xml:space="preserve">Jocelyn </t>
  </si>
  <si>
    <t xml:space="preserve"> Brooks </t>
  </si>
  <si>
    <t xml:space="preserve">jocelynbrooks123@yahoo.com </t>
  </si>
  <si>
    <t xml:space="preserve">(781) 535-7024 </t>
  </si>
  <si>
    <t xml:space="preserve">Rashiek </t>
  </si>
  <si>
    <t xml:space="preserve"> Cannon </t>
  </si>
  <si>
    <t xml:space="preserve">pashem35@iclound.com </t>
  </si>
  <si>
    <t>Senovia</t>
  </si>
  <si>
    <t xml:space="preserve"> Bolivar </t>
  </si>
  <si>
    <t>sandrellisenovia@yahoo.com</t>
  </si>
  <si>
    <t xml:space="preserve">351-300-073 </t>
  </si>
  <si>
    <t xml:space="preserve">Kyara </t>
  </si>
  <si>
    <t xml:space="preserve"> Beardsley </t>
  </si>
  <si>
    <t>kyaralavallee9@gmail.com</t>
  </si>
  <si>
    <t>413-557-8205</t>
  </si>
  <si>
    <t>Bobby</t>
  </si>
  <si>
    <t xml:space="preserve"> Nelson </t>
  </si>
  <si>
    <t>Tommyjones0001vb@gmail.com</t>
  </si>
  <si>
    <t>857)343-9072</t>
  </si>
  <si>
    <t>Troy</t>
  </si>
  <si>
    <t xml:space="preserve"> McKenzie </t>
  </si>
  <si>
    <t xml:space="preserve">troydmckenzie@myyahoo.com </t>
  </si>
  <si>
    <t xml:space="preserve">(603) 918-2574 </t>
  </si>
  <si>
    <t xml:space="preserve">Seabrook </t>
  </si>
  <si>
    <t xml:space="preserve">Leah </t>
  </si>
  <si>
    <t xml:space="preserve"> Buckland </t>
  </si>
  <si>
    <t xml:space="preserve">leahbuckland9@gmail.com </t>
  </si>
  <si>
    <t xml:space="preserve">(860) 414-6750 </t>
  </si>
  <si>
    <t xml:space="preserve">Vernon Rockville  </t>
  </si>
  <si>
    <t>Samuel</t>
  </si>
  <si>
    <t>Epalanga</t>
  </si>
  <si>
    <t>Kolisasammi@gmail.com</t>
  </si>
  <si>
    <t>401-661-6280</t>
  </si>
  <si>
    <t>Leonidha</t>
  </si>
  <si>
    <t xml:space="preserve">Disho </t>
  </si>
  <si>
    <t xml:space="preserve">katerinadisho10@gmail.com </t>
  </si>
  <si>
    <t xml:space="preserve">(774) 303-8532 </t>
  </si>
  <si>
    <t>Djelyndo</t>
  </si>
  <si>
    <t xml:space="preserve"> Rubes </t>
  </si>
  <si>
    <t xml:space="preserve">djely.rubes@gmail.com </t>
  </si>
  <si>
    <t xml:space="preserve">(781) 366-6027 </t>
  </si>
  <si>
    <t>Ervena</t>
  </si>
  <si>
    <t xml:space="preserve"> Louis </t>
  </si>
  <si>
    <t xml:space="preserve">louiservena@yahoo.ca </t>
  </si>
  <si>
    <t xml:space="preserve">(954) 826-5482 </t>
  </si>
  <si>
    <t>Plantation</t>
  </si>
  <si>
    <t>Nicholas</t>
  </si>
  <si>
    <t>Gohson</t>
  </si>
  <si>
    <t>Nicholasgohson@gmail.com</t>
  </si>
  <si>
    <t xml:space="preserve">720-670-9890 </t>
  </si>
  <si>
    <t>CO</t>
  </si>
  <si>
    <t xml:space="preserve">Willy </t>
  </si>
  <si>
    <t xml:space="preserve">Fouquet </t>
  </si>
  <si>
    <t xml:space="preserve">mlafouquet41@gmail.com </t>
  </si>
  <si>
    <t>786 403 8298</t>
  </si>
  <si>
    <t xml:space="preserve">North Providence </t>
  </si>
  <si>
    <t xml:space="preserve">Arieg </t>
  </si>
  <si>
    <t xml:space="preserve">Ahmed </t>
  </si>
  <si>
    <t xml:space="preserve">areegalmajed@gmail.com </t>
  </si>
  <si>
    <t xml:space="preserve">319) 383-5989 </t>
  </si>
  <si>
    <t>iowa</t>
  </si>
  <si>
    <t>IA</t>
  </si>
  <si>
    <t>Andres</t>
  </si>
  <si>
    <t xml:space="preserve"> Falero</t>
  </si>
  <si>
    <t>andres.falero@yahoo.com</t>
  </si>
  <si>
    <t xml:space="preserve">Rivera Vargas </t>
  </si>
  <si>
    <t xml:space="preserve">Abdiel_rivera05@icloud.com </t>
  </si>
  <si>
    <t xml:space="preserve">(864) 356-8701 </t>
  </si>
  <si>
    <t xml:space="preserve">Enterprise </t>
  </si>
  <si>
    <t>AL</t>
  </si>
  <si>
    <t xml:space="preserve">Edward </t>
  </si>
  <si>
    <t xml:space="preserve">Frank </t>
  </si>
  <si>
    <t xml:space="preserve">frankedward703@gmail.com </t>
  </si>
  <si>
    <t xml:space="preserve">(774) 329-7464 </t>
  </si>
  <si>
    <t xml:space="preserve">Judah </t>
  </si>
  <si>
    <t>Smith</t>
  </si>
  <si>
    <t>smithjudah17@gmail.com</t>
  </si>
  <si>
    <t>267-443-0809</t>
  </si>
  <si>
    <t>Ahmed</t>
  </si>
  <si>
    <t xml:space="preserve">Aqel </t>
  </si>
  <si>
    <t xml:space="preserve">dr.ahmed.b.h.aqel@gmail.com </t>
  </si>
  <si>
    <t xml:space="preserve">(651) 900-4060 </t>
  </si>
  <si>
    <t xml:space="preserve">Lana </t>
  </si>
  <si>
    <t xml:space="preserve">alexcarbo349@gmail.com </t>
  </si>
  <si>
    <t xml:space="preserve">508-726-7522 </t>
  </si>
  <si>
    <t xml:space="preserve">Steeve </t>
  </si>
  <si>
    <t xml:space="preserve">Sidney </t>
  </si>
  <si>
    <t xml:space="preserve">steevesidney2@gmail.com </t>
  </si>
  <si>
    <t xml:space="preserve">(508) 408-3728 </t>
  </si>
  <si>
    <t xml:space="preserve">Dickenson </t>
  </si>
  <si>
    <t xml:space="preserve"> Estime</t>
  </si>
  <si>
    <t>salem77estime@yahoo.com</t>
  </si>
  <si>
    <t xml:space="preserve">Cassidy </t>
  </si>
  <si>
    <t xml:space="preserve">cassidymelendez413@gmail.com </t>
  </si>
  <si>
    <t xml:space="preserve">(413) 355-1040 </t>
  </si>
  <si>
    <t xml:space="preserve">Dakota </t>
  </si>
  <si>
    <t xml:space="preserve"> McPeters </t>
  </si>
  <si>
    <t xml:space="preserve">bigtexas19999@gmail.com </t>
  </si>
  <si>
    <t xml:space="preserve">(828) 460-5653 </t>
  </si>
  <si>
    <t>Marion</t>
  </si>
  <si>
    <t xml:space="preserve">Thomas </t>
  </si>
  <si>
    <t xml:space="preserve"> Galvin </t>
  </si>
  <si>
    <t xml:space="preserve">tgalvin733@gmail.com </t>
  </si>
  <si>
    <t xml:space="preserve">(774) 343-9782 </t>
  </si>
  <si>
    <t xml:space="preserve">Plymouth </t>
  </si>
  <si>
    <t xml:space="preserve">Jovenel </t>
  </si>
  <si>
    <t xml:space="preserve">Jovenelpierre7@gmail.com </t>
  </si>
  <si>
    <t xml:space="preserve">631-522-0211 </t>
  </si>
  <si>
    <t xml:space="preserve">Pedro </t>
  </si>
  <si>
    <t xml:space="preserve">Rodriguez Jr </t>
  </si>
  <si>
    <t>pedrorodriguez060200@gmail.com</t>
  </si>
  <si>
    <t>915 354 2347</t>
  </si>
  <si>
    <t>El paso</t>
  </si>
  <si>
    <t xml:space="preserve">Matthew </t>
  </si>
  <si>
    <t>MacLeod</t>
  </si>
  <si>
    <t>mattymac91@hotmail.com</t>
  </si>
  <si>
    <t xml:space="preserve">Woburn </t>
  </si>
  <si>
    <t xml:space="preserve">Tatyana </t>
  </si>
  <si>
    <t xml:space="preserve">Lopez </t>
  </si>
  <si>
    <t>tatyanalopez20@icloud.com</t>
  </si>
  <si>
    <t>860)753-6330</t>
  </si>
  <si>
    <t xml:space="preserve">Richard </t>
  </si>
  <si>
    <t xml:space="preserve"> Mota Jr. </t>
  </si>
  <si>
    <t xml:space="preserve">Richm71197@gmail.com </t>
  </si>
  <si>
    <t xml:space="preserve">(508) 991-0394 </t>
  </si>
  <si>
    <t xml:space="preserve">Kwame </t>
  </si>
  <si>
    <t xml:space="preserve"> Nyametumi </t>
  </si>
  <si>
    <t xml:space="preserve">PERGRESS@YAHOO.COM </t>
  </si>
  <si>
    <t xml:space="preserve">978 996 6800 </t>
  </si>
  <si>
    <t>Dracut</t>
  </si>
  <si>
    <t xml:space="preserve">Romeo </t>
  </si>
  <si>
    <t xml:space="preserve"> Ndondjie</t>
  </si>
  <si>
    <t>romeond7@gmail.com</t>
  </si>
  <si>
    <t>508 353 5126</t>
  </si>
  <si>
    <t xml:space="preserve">ABDUL </t>
  </si>
  <si>
    <t>MUUMIN ISMA-IL.</t>
  </si>
  <si>
    <t>Flavorgh@yahoo.com</t>
  </si>
  <si>
    <t>682 220-2414</t>
  </si>
  <si>
    <t xml:space="preserve">Bronx </t>
  </si>
  <si>
    <t>Victor</t>
  </si>
  <si>
    <t xml:space="preserve">De La Cruz </t>
  </si>
  <si>
    <t>v4769815@gmail.com</t>
  </si>
  <si>
    <t xml:space="preserve">(201) 668-6606 </t>
  </si>
  <si>
    <t xml:space="preserve">Rosenette </t>
  </si>
  <si>
    <t xml:space="preserve"> Mathis </t>
  </si>
  <si>
    <t xml:space="preserve">rosiebelizaire@yahoo.fr </t>
  </si>
  <si>
    <t>774-386-4303</t>
  </si>
  <si>
    <t xml:space="preserve">Fadili </t>
  </si>
  <si>
    <t xml:space="preserve">Manoh </t>
  </si>
  <si>
    <t xml:space="preserve">fadmabea@yahoo.co.uk </t>
  </si>
  <si>
    <t>EAST HARTFORD</t>
  </si>
  <si>
    <t>Andrian</t>
  </si>
  <si>
    <t xml:space="preserve"> Silva</t>
  </si>
  <si>
    <t xml:space="preserve">andrianasilva14@gmail.com </t>
  </si>
  <si>
    <t xml:space="preserve">(978) 489-9003 </t>
  </si>
  <si>
    <t xml:space="preserve">Javis </t>
  </si>
  <si>
    <t xml:space="preserve">Njinda </t>
  </si>
  <si>
    <t>508-3092-430</t>
  </si>
  <si>
    <t xml:space="preserve">Juna </t>
  </si>
  <si>
    <t xml:space="preserve">Subba </t>
  </si>
  <si>
    <t>Junasubba60@gmail.com</t>
  </si>
  <si>
    <t>774-578-9692</t>
  </si>
  <si>
    <t>Frank</t>
  </si>
  <si>
    <t xml:space="preserve"> Nicholas Celone </t>
  </si>
  <si>
    <t>Frankiec1124@gmail.com</t>
  </si>
  <si>
    <t>475-372-9170</t>
  </si>
  <si>
    <t>East Haven</t>
  </si>
  <si>
    <t xml:space="preserve">Maciel </t>
  </si>
  <si>
    <t xml:space="preserve">González </t>
  </si>
  <si>
    <t>Gonzalezm0599@gmail.com</t>
  </si>
  <si>
    <t>508 942 3719</t>
  </si>
  <si>
    <t xml:space="preserve">Jean Louis </t>
  </si>
  <si>
    <t>Vanessajeanlouis03@gmail.com</t>
  </si>
  <si>
    <t>781 500 5101</t>
  </si>
  <si>
    <t xml:space="preserve">Cassandra </t>
  </si>
  <si>
    <t xml:space="preserve"> Rodrigues </t>
  </si>
  <si>
    <t>cassiethc4201@gmail.com</t>
  </si>
  <si>
    <t>508 848 9272</t>
  </si>
  <si>
    <t xml:space="preserve">Tikia </t>
  </si>
  <si>
    <t>Price</t>
  </si>
  <si>
    <t>pricetikia@icloud.com</t>
  </si>
  <si>
    <t>857 351 4487</t>
  </si>
  <si>
    <t xml:space="preserve">Jania </t>
  </si>
  <si>
    <t>Dye</t>
  </si>
  <si>
    <t>jania85dye@yahoo.com</t>
  </si>
  <si>
    <t>857-390-9906</t>
  </si>
  <si>
    <t xml:space="preserve">West </t>
  </si>
  <si>
    <t xml:space="preserve">baystatebuc59@gmail.com </t>
  </si>
  <si>
    <t xml:space="preserve">(857) 309-8878 </t>
  </si>
  <si>
    <t xml:space="preserve">Orlando </t>
  </si>
  <si>
    <t xml:space="preserve"> Matos </t>
  </si>
  <si>
    <t>Matosysoo@gmail.com</t>
  </si>
  <si>
    <t>978 746 4039</t>
  </si>
  <si>
    <t xml:space="preserve">Revere </t>
  </si>
  <si>
    <t xml:space="preserve">Isaac </t>
  </si>
  <si>
    <t xml:space="preserve"> Mensah </t>
  </si>
  <si>
    <t xml:space="preserve">rasrudine@gmail.com </t>
  </si>
  <si>
    <t>860-795-7752</t>
  </si>
  <si>
    <t xml:space="preserve">Samantha </t>
  </si>
  <si>
    <t xml:space="preserve"> Williams </t>
  </si>
  <si>
    <t xml:space="preserve">sw081598@gmail.com </t>
  </si>
  <si>
    <t xml:space="preserve">(860) 209-4679 </t>
  </si>
  <si>
    <t>Hartford</t>
  </si>
  <si>
    <t xml:space="preserve">Stefan </t>
  </si>
  <si>
    <t xml:space="preserve"> Duda </t>
  </si>
  <si>
    <t xml:space="preserve">Stefan.duda2017@gmail.com </t>
  </si>
  <si>
    <t xml:space="preserve">401)332-9492 </t>
  </si>
  <si>
    <t xml:space="preserve">Lincoln </t>
  </si>
  <si>
    <t xml:space="preserve">Delvin </t>
  </si>
  <si>
    <t xml:space="preserve">Brown </t>
  </si>
  <si>
    <t xml:space="preserve">Delvinbrown781@yahoo.com </t>
  </si>
  <si>
    <t xml:space="preserve">857-351-0685 </t>
  </si>
  <si>
    <t xml:space="preserve"> Fernandes Gomes </t>
  </si>
  <si>
    <t>Dgomes1101@gmail.com</t>
  </si>
  <si>
    <t xml:space="preserve">857-334-8084 </t>
  </si>
  <si>
    <t xml:space="preserve">Kazeem </t>
  </si>
  <si>
    <t xml:space="preserve">Jimoh </t>
  </si>
  <si>
    <t xml:space="preserve">kazeemjimoh85@icloud.com </t>
  </si>
  <si>
    <t xml:space="preserve">(401) 442-9238 </t>
  </si>
  <si>
    <t>providence</t>
  </si>
  <si>
    <t xml:space="preserve">Darian </t>
  </si>
  <si>
    <t xml:space="preserve">Wood </t>
  </si>
  <si>
    <t>Darian.wood8@gmail.com</t>
  </si>
  <si>
    <t>774 230 5892</t>
  </si>
  <si>
    <t xml:space="preserve">Spencer </t>
  </si>
  <si>
    <t xml:space="preserve">Stanimir </t>
  </si>
  <si>
    <t xml:space="preserve"> Karapchanski </t>
  </si>
  <si>
    <t xml:space="preserve">stanimir72@yahoo.com </t>
  </si>
  <si>
    <t xml:space="preserve">339 927 7038 </t>
  </si>
  <si>
    <t>Needham</t>
  </si>
  <si>
    <t xml:space="preserve">Brad </t>
  </si>
  <si>
    <t xml:space="preserve"> Fugere </t>
  </si>
  <si>
    <t xml:space="preserve">bradf333@outlook.com </t>
  </si>
  <si>
    <t xml:space="preserve">401 666 5222 </t>
  </si>
  <si>
    <t xml:space="preserve">Katie </t>
  </si>
  <si>
    <t xml:space="preserve">Rollins </t>
  </si>
  <si>
    <t xml:space="preserve">ksrollins515@gmail.com </t>
  </si>
  <si>
    <t xml:space="preserve">(401) 666-8182 </t>
  </si>
  <si>
    <t xml:space="preserve">Alexis </t>
  </si>
  <si>
    <t xml:space="preserve"> Kapsalis </t>
  </si>
  <si>
    <t xml:space="preserve">Lexik539@gmail.com </t>
  </si>
  <si>
    <t xml:space="preserve">(781) 859-6736 </t>
  </si>
  <si>
    <t>Arlington</t>
  </si>
  <si>
    <t xml:space="preserve">Arslen </t>
  </si>
  <si>
    <t xml:space="preserve">earslen1977@gmail.com </t>
  </si>
  <si>
    <t xml:space="preserve">508) 615-8681 </t>
  </si>
  <si>
    <t>Millbury</t>
  </si>
  <si>
    <t>Lauren</t>
  </si>
  <si>
    <t xml:space="preserve"> Leger </t>
  </si>
  <si>
    <t>Lleger5650@gmail.com</t>
  </si>
  <si>
    <t xml:space="preserve">(978) 855-4704 </t>
  </si>
  <si>
    <t>Midderice</t>
  </si>
  <si>
    <t xml:space="preserve">Dunivan </t>
  </si>
  <si>
    <t xml:space="preserve">midderice@gmail.com </t>
  </si>
  <si>
    <t xml:space="preserve">(508) 769-9427 </t>
  </si>
  <si>
    <t xml:space="preserve">Milford </t>
  </si>
  <si>
    <t xml:space="preserve"> Ciaramicol </t>
  </si>
  <si>
    <t xml:space="preserve">michael.ciaramicoli@aol.com </t>
  </si>
  <si>
    <t xml:space="preserve">(508) 667-3214 </t>
  </si>
  <si>
    <t xml:space="preserve">Tiffany </t>
  </si>
  <si>
    <t xml:space="preserve"> Brace </t>
  </si>
  <si>
    <t xml:space="preserve">brace450@gmail.com </t>
  </si>
  <si>
    <t>518-466-2504</t>
  </si>
  <si>
    <t xml:space="preserve">Lowell </t>
  </si>
  <si>
    <t>Tanner</t>
  </si>
  <si>
    <t xml:space="preserve">Provencher </t>
  </si>
  <si>
    <t>Tprvn28@gmail.com</t>
  </si>
  <si>
    <t xml:space="preserve">(508) 377-6818 </t>
  </si>
  <si>
    <t xml:space="preserve">Marlborough </t>
  </si>
  <si>
    <t xml:space="preserve">wilgard </t>
  </si>
  <si>
    <t xml:space="preserve"> Monumar </t>
  </si>
  <si>
    <t xml:space="preserve">wilgardmonumar35@gmail.com </t>
  </si>
  <si>
    <t xml:space="preserve">774-360-3678 </t>
  </si>
  <si>
    <t>Norwood</t>
  </si>
  <si>
    <t xml:space="preserve">Evaristus </t>
  </si>
  <si>
    <t xml:space="preserve"> C. Odinikaeze </t>
  </si>
  <si>
    <t>ecodinikaeze@gmail.com</t>
  </si>
  <si>
    <t xml:space="preserve">601) 594-8669 </t>
  </si>
  <si>
    <t>Franklin</t>
  </si>
  <si>
    <t>Frankline</t>
  </si>
  <si>
    <t xml:space="preserve"> Fonanjei </t>
  </si>
  <si>
    <t>FranklineFonanjei@gmail.com</t>
  </si>
  <si>
    <t xml:space="preserve">(508) 663-7161 </t>
  </si>
  <si>
    <t xml:space="preserve">Kapsalis </t>
  </si>
  <si>
    <t>lexik539@gmail.com</t>
  </si>
  <si>
    <t>781-859-6736</t>
  </si>
  <si>
    <t xml:space="preserve">Arlington  </t>
  </si>
  <si>
    <t xml:space="preserve">Zachary </t>
  </si>
  <si>
    <t xml:space="preserve"> J Rogers </t>
  </si>
  <si>
    <t>zacharyrogers278@gmail.com</t>
  </si>
  <si>
    <t>774) 644-0213</t>
  </si>
  <si>
    <t xml:space="preserve">Sean </t>
  </si>
  <si>
    <t xml:space="preserve">Durst </t>
  </si>
  <si>
    <t>sdurst810@gmail.com</t>
  </si>
  <si>
    <t>(617) 216-3711</t>
  </si>
  <si>
    <t xml:space="preserve">Yolanda  </t>
  </si>
  <si>
    <t xml:space="preserve"> Bultes </t>
  </si>
  <si>
    <t xml:space="preserve">Ybultes@gmail.com </t>
  </si>
  <si>
    <t xml:space="preserve">(203) 694-1183 </t>
  </si>
  <si>
    <t xml:space="preserve">Waterbury </t>
  </si>
  <si>
    <t xml:space="preserve">Yadriel </t>
  </si>
  <si>
    <t xml:space="preserve">Dejesus </t>
  </si>
  <si>
    <t xml:space="preserve">yadriel.dj@gmail.com </t>
  </si>
  <si>
    <t xml:space="preserve">	(978) 375-9054</t>
  </si>
  <si>
    <t xml:space="preserve">Feshenet  </t>
  </si>
  <si>
    <t xml:space="preserve"> Kervens Meritus </t>
  </si>
  <si>
    <t xml:space="preserve">kervensmeritus09@gmail.com </t>
  </si>
  <si>
    <t xml:space="preserve">(774) 546-7011 </t>
  </si>
  <si>
    <t>South Yarmouth</t>
  </si>
  <si>
    <t xml:space="preserve">Rasheed </t>
  </si>
  <si>
    <t xml:space="preserve"> Yusuff </t>
  </si>
  <si>
    <t xml:space="preserve">Rasheedwunmi@gmail.com </t>
  </si>
  <si>
    <t xml:space="preserve">(714) 728-2682 </t>
  </si>
  <si>
    <t>Lake Jackson</t>
  </si>
  <si>
    <t xml:space="preserve">Ijon </t>
  </si>
  <si>
    <t xml:space="preserve">Biba </t>
  </si>
  <si>
    <t>ijonbiba@outlook.com</t>
  </si>
  <si>
    <t xml:space="preserve">(508) 873-7842 </t>
  </si>
  <si>
    <t xml:space="preserve">Seth </t>
  </si>
  <si>
    <t xml:space="preserve"> Alexander </t>
  </si>
  <si>
    <t xml:space="preserve">zander1812@yahoo.com </t>
  </si>
  <si>
    <t xml:space="preserve">(413) 281-2383 </t>
  </si>
  <si>
    <t>Clarksburg</t>
  </si>
  <si>
    <t xml:space="preserve">Alissara </t>
  </si>
  <si>
    <t>Alexis</t>
  </si>
  <si>
    <t>alissaraalexis9@gmail.com</t>
  </si>
  <si>
    <t>508 649 7818</t>
  </si>
  <si>
    <t xml:space="preserve">Jarvis </t>
  </si>
  <si>
    <t xml:space="preserve">Kou Ndong </t>
  </si>
  <si>
    <t xml:space="preserve">jarviskoundong@yahoo.com </t>
  </si>
  <si>
    <t>( 978) 407 6835</t>
  </si>
  <si>
    <t>ALAIDE</t>
  </si>
  <si>
    <t xml:space="preserve"> LOPES</t>
  </si>
  <si>
    <t xml:space="preserve">neivalopes4@gmail.com </t>
  </si>
  <si>
    <t xml:space="preserve">(857)-930-0118 </t>
  </si>
  <si>
    <t xml:space="preserve">Caitlin </t>
  </si>
  <si>
    <t>Sullivan</t>
  </si>
  <si>
    <t>sullivanc0204@gmail.com</t>
  </si>
  <si>
    <t>781-635-9750</t>
  </si>
  <si>
    <t xml:space="preserve">Pembroke </t>
  </si>
  <si>
    <t xml:space="preserve">Katherine </t>
  </si>
  <si>
    <t xml:space="preserve">Rivera </t>
  </si>
  <si>
    <t xml:space="preserve">kayr217@gmail.com </t>
  </si>
  <si>
    <t xml:space="preserve">978-407-3646 </t>
  </si>
  <si>
    <t xml:space="preserve">Dukenson </t>
  </si>
  <si>
    <t xml:space="preserve"> Mengual </t>
  </si>
  <si>
    <t xml:space="preserve">Mengual1280@yahoo.fr </t>
  </si>
  <si>
    <t xml:space="preserve">(617) 652-6501 </t>
  </si>
  <si>
    <t xml:space="preserve"> Carrington </t>
  </si>
  <si>
    <t xml:space="preserve">cheahangc@gmail.com </t>
  </si>
  <si>
    <t xml:space="preserve">(857) 205-8363 </t>
  </si>
  <si>
    <t xml:space="preserve">Wegens </t>
  </si>
  <si>
    <t xml:space="preserve"> Cange </t>
  </si>
  <si>
    <t xml:space="preserve">blaquedhn@yahoo.com </t>
  </si>
  <si>
    <t xml:space="preserve">(774) 222-1655 </t>
  </si>
  <si>
    <t xml:space="preserve">Esperandieu </t>
  </si>
  <si>
    <t xml:space="preserve">Cenat </t>
  </si>
  <si>
    <t xml:space="preserve">Ecenat2011@yahoo.com </t>
  </si>
  <si>
    <t xml:space="preserve">(516) 979-4737 </t>
  </si>
  <si>
    <t>Tupper Lake</t>
  </si>
  <si>
    <t xml:space="preserve"> ADOMAKO </t>
  </si>
  <si>
    <t xml:space="preserve">Adomako_george@yahoo.com </t>
  </si>
  <si>
    <t xml:space="preserve">508 762 2808 </t>
  </si>
  <si>
    <t xml:space="preserve">Wyman </t>
  </si>
  <si>
    <t xml:space="preserve">wyman.rich@gmail.com </t>
  </si>
  <si>
    <t xml:space="preserve">781 706 6170 </t>
  </si>
  <si>
    <t>Sindrick</t>
  </si>
  <si>
    <t xml:space="preserve"> Simplice </t>
  </si>
  <si>
    <t>ceddycuz@gmail.com</t>
  </si>
  <si>
    <t xml:space="preserve">(617) 922-1812 </t>
  </si>
  <si>
    <t xml:space="preserve">Amber </t>
  </si>
  <si>
    <t>Mellman</t>
  </si>
  <si>
    <t>amber.mellman.depina@icloud.com</t>
  </si>
  <si>
    <t>774 524 7688</t>
  </si>
  <si>
    <t xml:space="preserve">Aetreix@gmail.com </t>
  </si>
  <si>
    <t xml:space="preserve">351 230 3174 </t>
  </si>
  <si>
    <t xml:space="preserve">Rodolfo </t>
  </si>
  <si>
    <t xml:space="preserve"> Austin </t>
  </si>
  <si>
    <t xml:space="preserve">rudyorozco51@gmail.com </t>
  </si>
  <si>
    <t xml:space="preserve">(774) 285-1094 </t>
  </si>
  <si>
    <t>Marlborough</t>
  </si>
  <si>
    <t xml:space="preserve">Jared </t>
  </si>
  <si>
    <t xml:space="preserve">Nault </t>
  </si>
  <si>
    <t xml:space="preserve">Jareddavidnault@gmail.com </t>
  </si>
  <si>
    <t xml:space="preserve"> (603) 858 9658 </t>
  </si>
  <si>
    <t>Merrimack</t>
  </si>
  <si>
    <t xml:space="preserve">Amy </t>
  </si>
  <si>
    <t>Dean</t>
  </si>
  <si>
    <t>deanamy175@gmail.com</t>
  </si>
  <si>
    <t>980-298-7374</t>
  </si>
  <si>
    <t>Templeton</t>
  </si>
  <si>
    <t xml:space="preserve">Twum-Barimah </t>
  </si>
  <si>
    <t xml:space="preserve">edwardtwumbarimah@yahoo.com </t>
  </si>
  <si>
    <t xml:space="preserve">774 670 6436 </t>
  </si>
  <si>
    <t xml:space="preserve">Neo </t>
  </si>
  <si>
    <t>Savarese</t>
  </si>
  <si>
    <t>Neosavarese@gmail.com</t>
  </si>
  <si>
    <t>617 987 5418</t>
  </si>
  <si>
    <t xml:space="preserve">Kingston </t>
  </si>
  <si>
    <t>rivera.joshua1015@gmail.com</t>
  </si>
  <si>
    <t>413) 727-9733</t>
  </si>
  <si>
    <t xml:space="preserve">Jones </t>
  </si>
  <si>
    <t>tylerjones2913@yahoo.com</t>
  </si>
  <si>
    <t xml:space="preserve">978-984-2653 </t>
  </si>
  <si>
    <t xml:space="preserve"> Jimenez</t>
  </si>
  <si>
    <t>alexis.j5715@gmail.com</t>
  </si>
  <si>
    <t>413-210-8533</t>
  </si>
  <si>
    <t xml:space="preserve">Khalil </t>
  </si>
  <si>
    <t xml:space="preserve">Rice </t>
  </si>
  <si>
    <t xml:space="preserve">Krice107@gmail.com </t>
  </si>
  <si>
    <t xml:space="preserve">401)529-3009 </t>
  </si>
  <si>
    <t>Jeremy</t>
  </si>
  <si>
    <t>Lopez</t>
  </si>
  <si>
    <t xml:space="preserve">jeremylopez2393@gmail.com </t>
  </si>
  <si>
    <t>862-591-5040</t>
  </si>
  <si>
    <t>West Springfield</t>
  </si>
  <si>
    <t xml:space="preserve">Wacuka </t>
  </si>
  <si>
    <t xml:space="preserve">paulkimani26@gmail.com </t>
  </si>
  <si>
    <t xml:space="preserve">(978) 327-2924 </t>
  </si>
  <si>
    <t>North Andover</t>
  </si>
  <si>
    <t xml:space="preserve">Nick </t>
  </si>
  <si>
    <t xml:space="preserve"> Boucher </t>
  </si>
  <si>
    <t xml:space="preserve">bouchernick44@gmail.com </t>
  </si>
  <si>
    <t xml:space="preserve">(774) 510-8201 </t>
  </si>
  <si>
    <t xml:space="preserve">Dartmouth </t>
  </si>
  <si>
    <t xml:space="preserve">Jorja </t>
  </si>
  <si>
    <t xml:space="preserve">Raneo </t>
  </si>
  <si>
    <t xml:space="preserve">jorjaraneo@gmail.com </t>
  </si>
  <si>
    <t xml:space="preserve">(774) 212-9183 </t>
  </si>
  <si>
    <t>cape cod</t>
  </si>
  <si>
    <t xml:space="preserve">Steven  </t>
  </si>
  <si>
    <t xml:space="preserve">Sedivy </t>
  </si>
  <si>
    <t xml:space="preserve">ssedivy1149@westfield.ma.edu </t>
  </si>
  <si>
    <t xml:space="preserve">(925) 430-8340 </t>
  </si>
  <si>
    <t>Westfield</t>
  </si>
  <si>
    <t xml:space="preserve"> Brady-Prankus </t>
  </si>
  <si>
    <t xml:space="preserve">jbpharlee@gmail.com </t>
  </si>
  <si>
    <t xml:space="preserve">(413) 262-5985 </t>
  </si>
  <si>
    <t>Longmeadow</t>
  </si>
  <si>
    <t xml:space="preserve">Gabrielle </t>
  </si>
  <si>
    <t xml:space="preserve"> Mariani </t>
  </si>
  <si>
    <t xml:space="preserve">briemariani@gmail.com </t>
  </si>
  <si>
    <t xml:space="preserve">(413) 378-3292 </t>
  </si>
  <si>
    <t>Ludlow</t>
  </si>
  <si>
    <t xml:space="preserve">Largy </t>
  </si>
  <si>
    <t xml:space="preserve">william.l4rgy@outlook.com </t>
  </si>
  <si>
    <t xml:space="preserve">339-224-1106 </t>
  </si>
  <si>
    <t>Chelmsford</t>
  </si>
  <si>
    <t xml:space="preserve">Marie </t>
  </si>
  <si>
    <t>Charlesmarie6@gmail.com</t>
  </si>
  <si>
    <t>781 492 6097</t>
  </si>
  <si>
    <t xml:space="preserve">Indeed </t>
  </si>
  <si>
    <t xml:space="preserve"> Burton </t>
  </si>
  <si>
    <t xml:space="preserve">josephaburton0807@yahoo.com </t>
  </si>
  <si>
    <t>219 298 2263</t>
  </si>
  <si>
    <t>Hammond</t>
  </si>
  <si>
    <t xml:space="preserve">Purington </t>
  </si>
  <si>
    <t>andrew.purington@yahoo.com</t>
  </si>
  <si>
    <t xml:space="preserve">603 674 3032 </t>
  </si>
  <si>
    <t xml:space="preserve">Shiann </t>
  </si>
  <si>
    <t xml:space="preserve">Quilter Mubarak </t>
  </si>
  <si>
    <t xml:space="preserve">ShiannMubarak@gmail.com </t>
  </si>
  <si>
    <t xml:space="preserve">(617) 840-7252 </t>
  </si>
  <si>
    <t xml:space="preserve">JaiNyah </t>
  </si>
  <si>
    <t xml:space="preserve"> Taylor</t>
  </si>
  <si>
    <t>Jainyahct@gmail.com</t>
  </si>
  <si>
    <t>323 523 9603</t>
  </si>
  <si>
    <t>Dakari</t>
  </si>
  <si>
    <t xml:space="preserve">Forrester </t>
  </si>
  <si>
    <t>dforrester45g@gmail.com</t>
  </si>
  <si>
    <t xml:space="preserve">857) 719-2801 </t>
  </si>
  <si>
    <t xml:space="preserve">KING YOUNG  </t>
  </si>
  <si>
    <t xml:space="preserve"> ROWLAND </t>
  </si>
  <si>
    <t>kingyoungroland@yahoo.com</t>
  </si>
  <si>
    <t xml:space="preserve">(339) 208-6758 </t>
  </si>
  <si>
    <t>RANDOLPH</t>
  </si>
  <si>
    <t>Reagan</t>
  </si>
  <si>
    <t xml:space="preserve"> Kerecz </t>
  </si>
  <si>
    <t xml:space="preserve">kereczreagan@gmail.com </t>
  </si>
  <si>
    <t xml:space="preserve">(860) 951-1415 </t>
  </si>
  <si>
    <t xml:space="preserve">Johnesha </t>
  </si>
  <si>
    <t xml:space="preserve"> Kennerly </t>
  </si>
  <si>
    <t xml:space="preserve">johneshakennerly@gmail.com </t>
  </si>
  <si>
    <t xml:space="preserve">857) 261-8407 </t>
  </si>
  <si>
    <t xml:space="preserve">Mirline </t>
  </si>
  <si>
    <t>Delva</t>
  </si>
  <si>
    <t xml:space="preserve">mdelva56@gmail.com </t>
  </si>
  <si>
    <t>781 873 9828</t>
  </si>
  <si>
    <t xml:space="preserve">Limvechit </t>
  </si>
  <si>
    <t xml:space="preserve">In </t>
  </si>
  <si>
    <t xml:space="preserve">inlim39@gmail.com </t>
  </si>
  <si>
    <t xml:space="preserve">(978) 631-6869 </t>
  </si>
  <si>
    <t xml:space="preserve">Heitor </t>
  </si>
  <si>
    <t xml:space="preserve"> Gonçalves </t>
  </si>
  <si>
    <t xml:space="preserve">heitorswankgy073310@gmail.com </t>
  </si>
  <si>
    <t xml:space="preserve">(857) 237-7352 </t>
  </si>
  <si>
    <t xml:space="preserve">lowell </t>
  </si>
  <si>
    <t xml:space="preserve"> Paasewe </t>
  </si>
  <si>
    <t xml:space="preserve">paasewealexander@gmail.com </t>
  </si>
  <si>
    <t xml:space="preserve">(978) 930-8772 </t>
  </si>
  <si>
    <t xml:space="preserve">Dracut  </t>
  </si>
  <si>
    <t xml:space="preserve">Andres </t>
  </si>
  <si>
    <t xml:space="preserve"> Montalvo </t>
  </si>
  <si>
    <t>Sjcdrummer47@gmail.com</t>
  </si>
  <si>
    <t xml:space="preserve">(508) 536-1535 </t>
  </si>
  <si>
    <t xml:space="preserve">Luiz </t>
  </si>
  <si>
    <t xml:space="preserve"> Felipe Feiler Da Silva </t>
  </si>
  <si>
    <t xml:space="preserve">fefeiler@icloud.com </t>
  </si>
  <si>
    <t>508 283 0587</t>
  </si>
  <si>
    <t xml:space="preserve">Trysena </t>
  </si>
  <si>
    <t xml:space="preserve">Wells </t>
  </si>
  <si>
    <t>ninawells23@icloud.com</t>
  </si>
  <si>
    <t xml:space="preserve">(774) 712-4060 </t>
  </si>
  <si>
    <t>Aguinaga</t>
  </si>
  <si>
    <t xml:space="preserve"> Ignacio </t>
  </si>
  <si>
    <t xml:space="preserve">alanaguinagawork@outlook.com </t>
  </si>
  <si>
    <t xml:space="preserve">(860) 853-4934 </t>
  </si>
  <si>
    <t xml:space="preserve">Deyanira </t>
  </si>
  <si>
    <t xml:space="preserve">deyanirasivanna@icloud.com </t>
  </si>
  <si>
    <t xml:space="preserve">(774) 225-1808 </t>
  </si>
  <si>
    <t>Da silva</t>
  </si>
  <si>
    <t>frankdsilva03@gmail.com</t>
  </si>
  <si>
    <t>774 777 1961</t>
  </si>
  <si>
    <t>marlborough</t>
  </si>
  <si>
    <t>Haider Ikram</t>
  </si>
  <si>
    <t>haidernoor9401@icloud.com</t>
  </si>
  <si>
    <t>508-905-9009</t>
  </si>
  <si>
    <t xml:space="preserve">sabryna </t>
  </si>
  <si>
    <t>sabrynaryan6@gmail.com</t>
  </si>
  <si>
    <t>272 235 9622</t>
  </si>
  <si>
    <t>Washington</t>
  </si>
  <si>
    <t>Alaulddin</t>
  </si>
  <si>
    <t xml:space="preserve"> Mohammed</t>
  </si>
  <si>
    <t>alaaalddin3@gmail.com</t>
  </si>
  <si>
    <t>(413) 686-4202</t>
  </si>
  <si>
    <t xml:space="preserve">Sarchione </t>
  </si>
  <si>
    <t>derekderek2525@yahoo.com</t>
  </si>
  <si>
    <t>269 999 8761</t>
  </si>
  <si>
    <t xml:space="preserve">pedro </t>
  </si>
  <si>
    <t>Pedrobusiness1031@gmail.com</t>
  </si>
  <si>
    <t>508 387 9595</t>
  </si>
  <si>
    <t>Westborough</t>
  </si>
  <si>
    <t xml:space="preserve"> Burke </t>
  </si>
  <si>
    <t xml:space="preserve">n_burke2@salemstate.edu </t>
  </si>
  <si>
    <t>978 979 1684</t>
  </si>
  <si>
    <t xml:space="preserve">Ava </t>
  </si>
  <si>
    <t xml:space="preserve">Dumfee </t>
  </si>
  <si>
    <t xml:space="preserve">avapanda190@icloud.com </t>
  </si>
  <si>
    <t xml:space="preserve">856) 378-9995 </t>
  </si>
  <si>
    <t xml:space="preserve">Bridgeton </t>
  </si>
  <si>
    <t xml:space="preserve">Shannon </t>
  </si>
  <si>
    <t xml:space="preserve"> Daly </t>
  </si>
  <si>
    <t xml:space="preserve">shannonelizabethdaly@icloud.com </t>
  </si>
  <si>
    <t xml:space="preserve">(908) 507-1726 </t>
  </si>
  <si>
    <t xml:space="preserve"> Dicocco </t>
  </si>
  <si>
    <t xml:space="preserve">nicholas.dicocco@outlook.com </t>
  </si>
  <si>
    <t xml:space="preserve">(203) 257-9855 </t>
  </si>
  <si>
    <t>Shelton</t>
  </si>
  <si>
    <t xml:space="preserve">Jordyn </t>
  </si>
  <si>
    <t>Holohan</t>
  </si>
  <si>
    <t xml:space="preserve"> jordyn.holohan@icloud.com</t>
  </si>
  <si>
    <t xml:space="preserve">(978) 375-7611 </t>
  </si>
  <si>
    <t xml:space="preserve">North Billerica </t>
  </si>
  <si>
    <t xml:space="preserve">Kalyn </t>
  </si>
  <si>
    <t xml:space="preserve">Therrien </t>
  </si>
  <si>
    <t>opes</t>
  </si>
  <si>
    <t xml:space="preserve">860 341 6520 </t>
  </si>
  <si>
    <t>Bristol</t>
  </si>
  <si>
    <t xml:space="preserve">Patrick </t>
  </si>
  <si>
    <t xml:space="preserve"> Cerquozzi </t>
  </si>
  <si>
    <t xml:space="preserve">cerquozzi02@outlook.com </t>
  </si>
  <si>
    <t xml:space="preserve">(719) 980-3318 </t>
  </si>
  <si>
    <t xml:space="preserve">Colorado Springs </t>
  </si>
  <si>
    <t xml:space="preserve"> Florence </t>
  </si>
  <si>
    <t xml:space="preserve">cflo0709@gmail.com </t>
  </si>
  <si>
    <t xml:space="preserve">(508) 948-9371 </t>
  </si>
  <si>
    <t xml:space="preserve">Palmer </t>
  </si>
  <si>
    <t>Fritzi</t>
  </si>
  <si>
    <t>fritzijean84@gmail.com</t>
  </si>
  <si>
    <t>617-816-2722</t>
  </si>
  <si>
    <t xml:space="preserve">Rosenthal </t>
  </si>
  <si>
    <t>rrosenthal2019@gmail.com</t>
  </si>
  <si>
    <t>781 201 0827</t>
  </si>
  <si>
    <t>Somerville</t>
  </si>
  <si>
    <t xml:space="preserve">Yariangellie Marie </t>
  </si>
  <si>
    <t xml:space="preserve"> Lopez-Torres</t>
  </si>
  <si>
    <t>lopezyarian09@icloud.com</t>
  </si>
  <si>
    <t>(413) 657-5705</t>
  </si>
  <si>
    <t xml:space="preserve">Raymond </t>
  </si>
  <si>
    <t>Vega</t>
  </si>
  <si>
    <t>ramondjvega@gmail.com</t>
  </si>
  <si>
    <t>617-834-2966</t>
  </si>
  <si>
    <t xml:space="preserve">Clinton </t>
  </si>
  <si>
    <t>Ofosuhene</t>
  </si>
  <si>
    <t xml:space="preserve">Clintonofosuhene10@gmail.com </t>
  </si>
  <si>
    <t>914 922 5531</t>
  </si>
  <si>
    <t xml:space="preserve">Russell </t>
  </si>
  <si>
    <t xml:space="preserve">Fig </t>
  </si>
  <si>
    <t xml:space="preserve">(781) 901-8622 </t>
  </si>
  <si>
    <t xml:space="preserve"> Allen </t>
  </si>
  <si>
    <t xml:space="preserve">Gamingemail1987@yahoo.com </t>
  </si>
  <si>
    <t>781-686-5856</t>
  </si>
  <si>
    <t xml:space="preserve">Rafael </t>
  </si>
  <si>
    <t xml:space="preserve">Silvestre </t>
  </si>
  <si>
    <t xml:space="preserve">rafaelsil17@gmail.com </t>
  </si>
  <si>
    <t xml:space="preserve">(929) 217-9519 </t>
  </si>
  <si>
    <t xml:space="preserve"> Tortorici </t>
  </si>
  <si>
    <t xml:space="preserve">etortorici98@gmail.com </t>
  </si>
  <si>
    <t>508 654 7552</t>
  </si>
  <si>
    <t>Clinton</t>
  </si>
  <si>
    <t xml:space="preserve">B </t>
  </si>
  <si>
    <t xml:space="preserve"> Endres </t>
  </si>
  <si>
    <t xml:space="preserve">alysoran@yahoo.com </t>
  </si>
  <si>
    <t xml:space="preserve">850) 819-4648 </t>
  </si>
  <si>
    <t>Tang</t>
  </si>
  <si>
    <t>davidyantang@gmail.com</t>
  </si>
  <si>
    <t>857-248-1560</t>
  </si>
  <si>
    <t xml:space="preserve">Wendy </t>
  </si>
  <si>
    <t>Padron</t>
  </si>
  <si>
    <t>padronwendy03@gmail.com</t>
  </si>
  <si>
    <t>(540)424-8424</t>
  </si>
  <si>
    <t xml:space="preserve">Philliptsmith12@gmail.com </t>
  </si>
  <si>
    <t xml:space="preserve">252) 955-7023 </t>
  </si>
  <si>
    <t xml:space="preserve">River View </t>
  </si>
  <si>
    <t xml:space="preserve">Duponte-aponte </t>
  </si>
  <si>
    <t xml:space="preserve">Jduponte64@gmail.com </t>
  </si>
  <si>
    <t xml:space="preserve">(508) 728-0788 </t>
  </si>
  <si>
    <t xml:space="preserve">Antonette </t>
  </si>
  <si>
    <t>Kaupu</t>
  </si>
  <si>
    <t xml:space="preserve">Akaupu26@gmail.com </t>
  </si>
  <si>
    <t xml:space="preserve">978 990 0739 </t>
  </si>
  <si>
    <t xml:space="preserve">Athol </t>
  </si>
  <si>
    <t xml:space="preserve">Cox </t>
  </si>
  <si>
    <t xml:space="preserve">joshcox1011@gmail.com </t>
  </si>
  <si>
    <t xml:space="preserve">(978) 201-6498 </t>
  </si>
  <si>
    <t xml:space="preserve"> Hakizimana </t>
  </si>
  <si>
    <t xml:space="preserve">adam.hakizimana@gmail.com </t>
  </si>
  <si>
    <t xml:space="preserve">207 618 2942 </t>
  </si>
  <si>
    <t>Ty</t>
  </si>
  <si>
    <t xml:space="preserve">Welliever </t>
  </si>
  <si>
    <t xml:space="preserve">twelliever@gmail.com </t>
  </si>
  <si>
    <t xml:space="preserve">765 918 7334 </t>
  </si>
  <si>
    <t>Crawfordsville</t>
  </si>
  <si>
    <t xml:space="preserve">Erik </t>
  </si>
  <si>
    <t>Maloney</t>
  </si>
  <si>
    <t>Maloney.erik@yahoo.com</t>
  </si>
  <si>
    <t>978-894-5797</t>
  </si>
  <si>
    <t xml:space="preserve">Templeton </t>
  </si>
  <si>
    <t>Monique</t>
  </si>
  <si>
    <t>Monicia334@yahoo.com</t>
  </si>
  <si>
    <t>954-574-7126</t>
  </si>
  <si>
    <t xml:space="preserve">Framingham </t>
  </si>
  <si>
    <t xml:space="preserve">Bianca </t>
  </si>
  <si>
    <t xml:space="preserve">Chavez </t>
  </si>
  <si>
    <t xml:space="preserve">bc1319990@gmail.com </t>
  </si>
  <si>
    <t xml:space="preserve">(401) 480-2751 </t>
  </si>
  <si>
    <t>Lake city</t>
  </si>
  <si>
    <t xml:space="preserve">Terry </t>
  </si>
  <si>
    <t xml:space="preserve"> Mei </t>
  </si>
  <si>
    <t xml:space="preserve">m12xgiggles@gmail.com </t>
  </si>
  <si>
    <t xml:space="preserve">857 264 8375 </t>
  </si>
  <si>
    <t xml:space="preserve">Billboard </t>
  </si>
  <si>
    <t>Jeremi</t>
  </si>
  <si>
    <t>Brito</t>
  </si>
  <si>
    <t>Jeremibrito150@gmail.com</t>
  </si>
  <si>
    <t>(978) 876-2821</t>
  </si>
  <si>
    <t>Kristen</t>
  </si>
  <si>
    <t>Sheran</t>
  </si>
  <si>
    <t>kristensheran@gmail.com</t>
  </si>
  <si>
    <t>781-346-4403</t>
  </si>
  <si>
    <t xml:space="preserve">Atkins </t>
  </si>
  <si>
    <t xml:space="preserve">jatkins0284@gmail.com </t>
  </si>
  <si>
    <t>(774) 520-6733</t>
  </si>
  <si>
    <t xml:space="preserve">Rodney </t>
  </si>
  <si>
    <t xml:space="preserve"> Boamah </t>
  </si>
  <si>
    <t xml:space="preserve">rodneybameek37@yahoo.com </t>
  </si>
  <si>
    <t>(508) 615-4557</t>
  </si>
  <si>
    <t>John Paul</t>
  </si>
  <si>
    <t>Mugisha</t>
  </si>
  <si>
    <t>mugishaparker2@gmail.com</t>
  </si>
  <si>
    <t>978-726-2461</t>
  </si>
  <si>
    <t xml:space="preserve">Billerica </t>
  </si>
  <si>
    <t>Batista</t>
  </si>
  <si>
    <t>kelly.salesbatista@gmail.com</t>
  </si>
  <si>
    <t>857)236-0687</t>
  </si>
  <si>
    <t>Carla</t>
  </si>
  <si>
    <t>J. Perez</t>
  </si>
  <si>
    <t>Carlajoana2018@gmail.com</t>
  </si>
  <si>
    <t>774)-772-4719</t>
  </si>
  <si>
    <t>Destiny</t>
  </si>
  <si>
    <t>Oriakhi</t>
  </si>
  <si>
    <t>oriakhidestiny@gmail.com</t>
  </si>
  <si>
    <t xml:space="preserve">781-888-5782 </t>
  </si>
  <si>
    <t xml:space="preserve">Julia </t>
  </si>
  <si>
    <t xml:space="preserve">Perez </t>
  </si>
  <si>
    <t xml:space="preserve">Miajuliet1902@gmail.com </t>
  </si>
  <si>
    <t xml:space="preserve">(413) 316-2239 </t>
  </si>
  <si>
    <t xml:space="preserve">Alcides </t>
  </si>
  <si>
    <t>Gomes</t>
  </si>
  <si>
    <t>alcidesgomes63@gmail.com</t>
  </si>
  <si>
    <t>401-340-7556</t>
  </si>
  <si>
    <t xml:space="preserve">Lhoga </t>
  </si>
  <si>
    <t>Dhundup</t>
  </si>
  <si>
    <t>lhoga392@gmail.com</t>
  </si>
  <si>
    <t>413-398-6591</t>
  </si>
  <si>
    <t>Shelburne Falls</t>
  </si>
  <si>
    <t xml:space="preserve">Genesis </t>
  </si>
  <si>
    <t xml:space="preserve">genesis4135049012@gmail.com </t>
  </si>
  <si>
    <t xml:space="preserve">413 459 8523 </t>
  </si>
  <si>
    <t xml:space="preserve">Tai </t>
  </si>
  <si>
    <t xml:space="preserve"> Huynh</t>
  </si>
  <si>
    <t>taihuynh280697@gmail.com</t>
  </si>
  <si>
    <t>617 706 0020</t>
  </si>
  <si>
    <t xml:space="preserve">Dina </t>
  </si>
  <si>
    <t xml:space="preserve">Goncalves </t>
  </si>
  <si>
    <t xml:space="preserve">dinag1863@gmail.com </t>
  </si>
  <si>
    <t xml:space="preserve">(857) 333-1869 </t>
  </si>
  <si>
    <t>julmicekerlin38@gmail.com</t>
  </si>
  <si>
    <t xml:space="preserve">Semanda </t>
  </si>
  <si>
    <t xml:space="preserve">Vicent </t>
  </si>
  <si>
    <t>Svicent499@gmail.com</t>
  </si>
  <si>
    <t>720-582-9606</t>
  </si>
  <si>
    <t xml:space="preserve">Raul </t>
  </si>
  <si>
    <t>Gil</t>
  </si>
  <si>
    <t>aulgil0208@gmail.com</t>
  </si>
  <si>
    <t>401-678-1817</t>
  </si>
  <si>
    <t>Macdonald</t>
  </si>
  <si>
    <t>scottmac218@gmail.com</t>
  </si>
  <si>
    <t>617-699-3559</t>
  </si>
  <si>
    <t xml:space="preserve">maxagriin@gmail.com </t>
  </si>
  <si>
    <t xml:space="preserve">(715)497-6786 </t>
  </si>
  <si>
    <t>Katherine</t>
  </si>
  <si>
    <t xml:space="preserve"> Rivera</t>
  </si>
  <si>
    <t>kayr217@gmail.com</t>
  </si>
  <si>
    <t>781-407-3646</t>
  </si>
  <si>
    <t>Shirley</t>
  </si>
  <si>
    <t xml:space="preserve">Z A C H A R Y </t>
  </si>
  <si>
    <t>L E N O</t>
  </si>
  <si>
    <t xml:space="preserve">gmoder472@gmail.com </t>
  </si>
  <si>
    <t xml:space="preserve">413-824-1994 </t>
  </si>
  <si>
    <t>Keene</t>
  </si>
  <si>
    <t xml:space="preserve">Ajibade </t>
  </si>
  <si>
    <t xml:space="preserve">dewaleajib1071@gmail.com </t>
  </si>
  <si>
    <t xml:space="preserve">Paris </t>
  </si>
  <si>
    <t xml:space="preserve"> Robinson</t>
  </si>
  <si>
    <t>probinson013@gmail.com</t>
  </si>
  <si>
    <t>(203) 690-9660</t>
  </si>
  <si>
    <t xml:space="preserve">Dustin </t>
  </si>
  <si>
    <t xml:space="preserve">Morales </t>
  </si>
  <si>
    <t xml:space="preserve">dustin6morales@yahoo.com </t>
  </si>
  <si>
    <t>774-239-7352</t>
  </si>
  <si>
    <t xml:space="preserve">Sam </t>
  </si>
  <si>
    <t>Mujjuzi</t>
  </si>
  <si>
    <t xml:space="preserve">sam.mujjuzi@gmail.com </t>
  </si>
  <si>
    <t>617-852-6158</t>
  </si>
  <si>
    <t xml:space="preserve">Tewksbury </t>
  </si>
  <si>
    <t xml:space="preserve">Vickyana </t>
  </si>
  <si>
    <t>jvickyana@gmail.com</t>
  </si>
  <si>
    <t>339-368-9299</t>
  </si>
  <si>
    <t>GNONKA</t>
  </si>
  <si>
    <t>LEANDRE DOGBO</t>
  </si>
  <si>
    <t>Gnonkaleandre@gmail.com</t>
  </si>
  <si>
    <t>(978) 601-4774</t>
  </si>
  <si>
    <t>Matt</t>
  </si>
  <si>
    <t>Shaw</t>
  </si>
  <si>
    <t>508-455-8368</t>
  </si>
  <si>
    <t xml:space="preserve">jessica </t>
  </si>
  <si>
    <t xml:space="preserve">Silvera </t>
  </si>
  <si>
    <t xml:space="preserve">jessica4271997@gmail.com </t>
  </si>
  <si>
    <t>(978) 514-5722</t>
  </si>
  <si>
    <t xml:space="preserve">Lemonister </t>
  </si>
  <si>
    <t xml:space="preserve">Abel </t>
  </si>
  <si>
    <t xml:space="preserve">De Aza </t>
  </si>
  <si>
    <t>aaddaza000@gmail.com</t>
  </si>
  <si>
    <t>401 548 8729</t>
  </si>
  <si>
    <t>davidvidendo@yahoo.fr</t>
  </si>
  <si>
    <t>857-269-6669</t>
  </si>
  <si>
    <t>DeSalvo</t>
  </si>
  <si>
    <t>Calvagno</t>
  </si>
  <si>
    <t xml:space="preserve">Anfer </t>
  </si>
  <si>
    <t xml:space="preserve">Adames </t>
  </si>
  <si>
    <t>Jovanni</t>
  </si>
  <si>
    <t>Cruz</t>
  </si>
  <si>
    <t>cruzjovanni508@gmail.com</t>
  </si>
  <si>
    <t>774-520-6963</t>
  </si>
  <si>
    <t xml:space="preserve">Lizzette </t>
  </si>
  <si>
    <t xml:space="preserve">kendang </t>
  </si>
  <si>
    <t>shebby.lizzette@gmail.com</t>
  </si>
  <si>
    <t>971 52 389 1088</t>
  </si>
  <si>
    <t xml:space="preserve">  Oheneba </t>
  </si>
  <si>
    <t xml:space="preserve">  Duah </t>
  </si>
  <si>
    <t xml:space="preserve">Ohenebakduah2@gmail.com </t>
  </si>
  <si>
    <t>774) 433-4775</t>
  </si>
  <si>
    <t>Shane</t>
  </si>
  <si>
    <t>Detres</t>
  </si>
  <si>
    <t>shanedetres12@outlook.com</t>
  </si>
  <si>
    <t>941-226-5676</t>
  </si>
  <si>
    <t xml:space="preserve">Micheal </t>
  </si>
  <si>
    <t>Adeoti</t>
  </si>
  <si>
    <t>micky16jay@gmail.com</t>
  </si>
  <si>
    <t>919-868-1877</t>
  </si>
  <si>
    <t xml:space="preserve">Rhode Island </t>
  </si>
  <si>
    <t xml:space="preserve">EDUARDO </t>
  </si>
  <si>
    <t>GOMES GUIMARAES</t>
  </si>
  <si>
    <t>guimaraesdudu@hotmail.com</t>
  </si>
  <si>
    <t>857-302-9078</t>
  </si>
  <si>
    <t xml:space="preserve">Norwood </t>
  </si>
  <si>
    <t xml:space="preserve">Annet </t>
  </si>
  <si>
    <t xml:space="preserve">Nankya </t>
  </si>
  <si>
    <t>nankya_annet@yahoo.com</t>
  </si>
  <si>
    <t>781-535-8340</t>
  </si>
  <si>
    <t xml:space="preserve">Ronald </t>
  </si>
  <si>
    <t xml:space="preserve">Dumel </t>
  </si>
  <si>
    <t>ronalddumel8@gmail.com</t>
  </si>
  <si>
    <t>857-693-0506</t>
  </si>
  <si>
    <t>Gray</t>
  </si>
  <si>
    <t>brandongray@outlook.com</t>
  </si>
  <si>
    <t>401-332-7449</t>
  </si>
  <si>
    <t xml:space="preserve">Manville </t>
  </si>
  <si>
    <t xml:space="preserve">MassCareers </t>
  </si>
  <si>
    <t xml:space="preserve">Salvatore </t>
  </si>
  <si>
    <t>Covais</t>
  </si>
  <si>
    <t>scovais86@gmail.com</t>
  </si>
  <si>
    <t>401-256-0664</t>
  </si>
  <si>
    <t>Gary</t>
  </si>
  <si>
    <t>Laguerre</t>
  </si>
  <si>
    <t>garrylaguerre@yahoo.com</t>
  </si>
  <si>
    <t>774-259-2314</t>
  </si>
  <si>
    <t>Carulli</t>
  </si>
  <si>
    <t>morganlag2003@gmail.com</t>
  </si>
  <si>
    <t>774-257-3968</t>
  </si>
  <si>
    <t>Jacey</t>
  </si>
  <si>
    <t>Ama</t>
  </si>
  <si>
    <t>Agyemang</t>
  </si>
  <si>
    <t>Kang</t>
  </si>
  <si>
    <t xml:space="preserve">God Love </t>
  </si>
  <si>
    <t>godlovekan@yahoo.com</t>
  </si>
  <si>
    <t>978-235-1007</t>
  </si>
  <si>
    <t>Hayden</t>
  </si>
  <si>
    <t>Lombardozzi</t>
  </si>
  <si>
    <t>hclombardozzi@aol.com</t>
  </si>
  <si>
    <t>774-239-4486</t>
  </si>
  <si>
    <t xml:space="preserve">Adriana </t>
  </si>
  <si>
    <t xml:space="preserve">White </t>
  </si>
  <si>
    <t xml:space="preserve">Bristol </t>
  </si>
  <si>
    <t xml:space="preserve"> ARKO</t>
  </si>
  <si>
    <t xml:space="preserve">Mauricea </t>
  </si>
  <si>
    <t xml:space="preserve">Francis </t>
  </si>
  <si>
    <t xml:space="preserve">mauriceafrancis82@gmail.com </t>
  </si>
  <si>
    <t xml:space="preserve">860-965-5349 </t>
  </si>
  <si>
    <t>Francesca</t>
  </si>
  <si>
    <t>Francescamarieh96@gmail.com</t>
  </si>
  <si>
    <t>774-454-1332</t>
  </si>
  <si>
    <t xml:space="preserve">Kirsten </t>
  </si>
  <si>
    <t>Therrien</t>
  </si>
  <si>
    <t>k.therrien@aol.com</t>
  </si>
  <si>
    <t>508 353 2206</t>
  </si>
  <si>
    <t>Marcos</t>
  </si>
  <si>
    <t>Darosa</t>
  </si>
  <si>
    <t>malazarte07@gmail.com</t>
  </si>
  <si>
    <t>813-495-1776</t>
  </si>
  <si>
    <t xml:space="preserve">Marlboro </t>
  </si>
  <si>
    <t xml:space="preserve">Van </t>
  </si>
  <si>
    <t>thomasvan731@gmail.com</t>
  </si>
  <si>
    <t>774-615-6312</t>
  </si>
  <si>
    <t xml:space="preserve">Bryan </t>
  </si>
  <si>
    <t>Webb</t>
  </si>
  <si>
    <t>garvin1127@gmail.com</t>
  </si>
  <si>
    <t>617-297-6563</t>
  </si>
  <si>
    <t>Jacqueline</t>
  </si>
  <si>
    <t>Lyle</t>
  </si>
  <si>
    <t>jacquelinelyle@icloud.com</t>
  </si>
  <si>
    <t>603-294-6132</t>
  </si>
  <si>
    <t>Ernest</t>
  </si>
  <si>
    <t>Yeboah</t>
  </si>
  <si>
    <t>yeboahernestct@gmail.com</t>
  </si>
  <si>
    <t>860-863-3343</t>
  </si>
  <si>
    <t xml:space="preserve">Evenson </t>
  </si>
  <si>
    <t>617-599-5660</t>
  </si>
  <si>
    <t>Sommerville</t>
  </si>
  <si>
    <t>Kairit</t>
  </si>
  <si>
    <t>fishhook89@yahoo.com</t>
  </si>
  <si>
    <t>774-277-0343</t>
  </si>
  <si>
    <t xml:space="preserve">Sherborn </t>
  </si>
  <si>
    <t>Frimantz</t>
  </si>
  <si>
    <t>Etienne</t>
  </si>
  <si>
    <t>garlensetienne@icloud.com</t>
  </si>
  <si>
    <t>774-946-8767</t>
  </si>
  <si>
    <t>raulgil0208@gmail.com</t>
  </si>
  <si>
    <t>Ali</t>
  </si>
  <si>
    <t>Hamoudi</t>
  </si>
  <si>
    <t>asf.hamoudi@gmail.com</t>
  </si>
  <si>
    <t>774-559-7106</t>
  </si>
  <si>
    <t xml:space="preserve">Sutton </t>
  </si>
  <si>
    <t>Gavin</t>
  </si>
  <si>
    <t>Savoie</t>
  </si>
  <si>
    <t>gsavoie0312@icloud.com</t>
  </si>
  <si>
    <t>860-377-6560</t>
  </si>
  <si>
    <t xml:space="preserve">Shykela </t>
  </si>
  <si>
    <t xml:space="preserve">McAndrews </t>
  </si>
  <si>
    <t>Keith</t>
  </si>
  <si>
    <t>Pontes</t>
  </si>
  <si>
    <t>Hayley</t>
  </si>
  <si>
    <t>Xashairys</t>
  </si>
  <si>
    <t xml:space="preserve"> Gonzalez</t>
  </si>
  <si>
    <t>xashy160@gmail.com</t>
  </si>
  <si>
    <t>978 424 7312</t>
  </si>
  <si>
    <t>Pierre-Louis</t>
  </si>
  <si>
    <t>APL2k14@gmail.com</t>
  </si>
  <si>
    <t>772-361-5658</t>
  </si>
  <si>
    <t>Jersey City</t>
  </si>
  <si>
    <t>Samantha</t>
  </si>
  <si>
    <t>Gonzalez</t>
  </si>
  <si>
    <t xml:space="preserve">Armani </t>
  </si>
  <si>
    <t>Coward</t>
  </si>
  <si>
    <t>armanic96@outlook.com</t>
  </si>
  <si>
    <t>339-788-4709</t>
  </si>
  <si>
    <t xml:space="preserve">Asim </t>
  </si>
  <si>
    <t>Hussain</t>
  </si>
  <si>
    <t xml:space="preserve">NY </t>
  </si>
  <si>
    <t xml:space="preserve">Dubem </t>
  </si>
  <si>
    <t>Ezekwem</t>
  </si>
  <si>
    <t>Tewksbury</t>
  </si>
  <si>
    <t>Nogueira</t>
  </si>
  <si>
    <t>willysanu20@gmail.com</t>
  </si>
  <si>
    <t>774-380-0743</t>
  </si>
  <si>
    <t>Casimir</t>
  </si>
  <si>
    <t>Kevincasimir331@gmail.com</t>
  </si>
  <si>
    <t>617-501-9345</t>
  </si>
  <si>
    <t xml:space="preserve">Francisco </t>
  </si>
  <si>
    <t xml:space="preserve">Taveras </t>
  </si>
  <si>
    <t>Dorsainvil</t>
  </si>
  <si>
    <t>joebizarre61@gmail.com</t>
  </si>
  <si>
    <t>617-359-5595</t>
  </si>
  <si>
    <t>Benjamin</t>
  </si>
  <si>
    <t>Newton</t>
  </si>
  <si>
    <t>Previlon</t>
  </si>
  <si>
    <t>Ricardo</t>
  </si>
  <si>
    <t>Petion</t>
  </si>
  <si>
    <t>petionricardo6@gmail.com</t>
  </si>
  <si>
    <t>347-606-8998</t>
  </si>
  <si>
    <t xml:space="preserve">Christopher </t>
  </si>
  <si>
    <t>Morales</t>
  </si>
  <si>
    <t>chrix.m2003@gmail.com</t>
  </si>
  <si>
    <t>860-777-0029</t>
  </si>
  <si>
    <t>Chicopee</t>
  </si>
  <si>
    <t>Holland</t>
  </si>
  <si>
    <t xml:space="preserve">shollandhj@gmail.com </t>
  </si>
  <si>
    <t xml:space="preserve">774) 328-5881 </t>
  </si>
  <si>
    <t xml:space="preserve">Fallriver </t>
  </si>
  <si>
    <t xml:space="preserve">Dezmen </t>
  </si>
  <si>
    <t>Duarte</t>
  </si>
  <si>
    <t>dezmenduarte@yahoo.com</t>
  </si>
  <si>
    <t>774-417-7508</t>
  </si>
  <si>
    <t xml:space="preserve">Newbedford </t>
  </si>
  <si>
    <t>Merkel</t>
  </si>
  <si>
    <t>benjamin.merk@gmail.com</t>
  </si>
  <si>
    <t>508-579-4405</t>
  </si>
  <si>
    <t xml:space="preserve">Worcetser </t>
  </si>
  <si>
    <t>Cooper</t>
  </si>
  <si>
    <t>bigmikecoop17@gmail.com</t>
  </si>
  <si>
    <t>508-736-9987</t>
  </si>
  <si>
    <t xml:space="preserve">Webster </t>
  </si>
  <si>
    <t xml:space="preserve">Dylan </t>
  </si>
  <si>
    <t>Monette</t>
  </si>
  <si>
    <t xml:space="preserve">Damilola </t>
  </si>
  <si>
    <t>Omotayo</t>
  </si>
  <si>
    <t>ayodejiomotayo25@gmail.com</t>
  </si>
  <si>
    <t>281-905-9674</t>
  </si>
  <si>
    <t xml:space="preserve">Everette </t>
  </si>
  <si>
    <t xml:space="preserve">Orquidilia </t>
  </si>
  <si>
    <t>Vasquez</t>
  </si>
  <si>
    <t>mpov24@gmail.com</t>
  </si>
  <si>
    <t>351-220-3206</t>
  </si>
  <si>
    <t xml:space="preserve">Community Partner </t>
  </si>
  <si>
    <t xml:space="preserve">Aidan </t>
  </si>
  <si>
    <t xml:space="preserve">Ponder </t>
  </si>
  <si>
    <t xml:space="preserve">amp1248@plymouth.edu </t>
  </si>
  <si>
    <t xml:space="preserve">603) 303-0928 </t>
  </si>
  <si>
    <t xml:space="preserve"> Owusu Akayw</t>
  </si>
  <si>
    <t>greatdan95@gmail.com</t>
  </si>
  <si>
    <t>380-895-4652</t>
  </si>
  <si>
    <t xml:space="preserve">Eddy </t>
  </si>
  <si>
    <t>Mirville</t>
  </si>
  <si>
    <t>mirville10@gmail.com</t>
  </si>
  <si>
    <t>857-266-9484</t>
  </si>
  <si>
    <t>Mattapan</t>
  </si>
  <si>
    <t xml:space="preserve">Mohamed </t>
  </si>
  <si>
    <t>Bah</t>
  </si>
  <si>
    <t xml:space="preserve">Handshake </t>
  </si>
  <si>
    <t>Leomara</t>
  </si>
  <si>
    <t>Silva</t>
  </si>
  <si>
    <t>leomara59@icloud.com</t>
  </si>
  <si>
    <t>508-389-3053</t>
  </si>
  <si>
    <t>Derrick</t>
  </si>
  <si>
    <t>Ansah</t>
  </si>
  <si>
    <t>Oheneba</t>
  </si>
  <si>
    <t xml:space="preserve">Duah </t>
  </si>
  <si>
    <t xml:space="preserve">Collins </t>
  </si>
  <si>
    <t xml:space="preserve">shireling1380@gmail.com </t>
  </si>
  <si>
    <t>(781) 630-0298</t>
  </si>
  <si>
    <t xml:space="preserve">Deseray </t>
  </si>
  <si>
    <t>Pina</t>
  </si>
  <si>
    <t xml:space="preserve">deseraypina87@yahoo.com </t>
  </si>
  <si>
    <t>(508) 525-2859</t>
  </si>
  <si>
    <t>Rdcliffe</t>
  </si>
  <si>
    <t>nwradcliffe10@gmail.com</t>
  </si>
  <si>
    <t>781-510-0656</t>
  </si>
  <si>
    <t xml:space="preserve">Ivo </t>
  </si>
  <si>
    <t xml:space="preserve">Ndemanuo Longste </t>
  </si>
  <si>
    <t>ndemanuoivolongtse@gmail.com</t>
  </si>
  <si>
    <t>kinasha</t>
  </si>
  <si>
    <t>Dufanal</t>
  </si>
  <si>
    <t>endray19@gmail.com</t>
  </si>
  <si>
    <t>(954) 864-4500</t>
  </si>
  <si>
    <t>Hollywood</t>
  </si>
  <si>
    <t>samyjean1982@gmail.com</t>
  </si>
  <si>
    <t xml:space="preserve">781 6921783 </t>
  </si>
  <si>
    <t>Nadeige</t>
  </si>
  <si>
    <t xml:space="preserve">Gettant </t>
  </si>
  <si>
    <t>nadeige1989@gmail.com</t>
  </si>
  <si>
    <t xml:space="preserve">781-518-8093 </t>
  </si>
  <si>
    <t xml:space="preserve">Bridgewater </t>
  </si>
  <si>
    <t xml:space="preserve">Andre </t>
  </si>
  <si>
    <t xml:space="preserve">Peters </t>
  </si>
  <si>
    <t>andrehph@yahoo.com</t>
  </si>
  <si>
    <t>857 316 9026</t>
  </si>
  <si>
    <t xml:space="preserve">Jaime </t>
  </si>
  <si>
    <t xml:space="preserve">Hurtado Morato </t>
  </si>
  <si>
    <t xml:space="preserve">jahurtado.m@outlook.com </t>
  </si>
  <si>
    <t>774 808 1421</t>
  </si>
  <si>
    <t xml:space="preserve">Elijah </t>
  </si>
  <si>
    <t xml:space="preserve"> Nganda </t>
  </si>
  <si>
    <t xml:space="preserve">elijahnganda87@gmail.com </t>
  </si>
  <si>
    <t>508 215 7667</t>
  </si>
  <si>
    <t xml:space="preserve">Brayden </t>
  </si>
  <si>
    <t xml:space="preserve">Shumate </t>
  </si>
  <si>
    <t>Brayden.Shumate@yahoo.com</t>
  </si>
  <si>
    <t>603-867-1185</t>
  </si>
  <si>
    <t xml:space="preserve">Manchester </t>
  </si>
  <si>
    <t xml:space="preserve">Casey </t>
  </si>
  <si>
    <t xml:space="preserve">Saunders </t>
  </si>
  <si>
    <t>caseytsaunders@gmail.com</t>
  </si>
  <si>
    <t>475-414-3053</t>
  </si>
  <si>
    <t>Charlton,</t>
  </si>
  <si>
    <t>Tabitha</t>
  </si>
  <si>
    <t>Walker</t>
  </si>
  <si>
    <t>21tjwalker@gmail.colm</t>
  </si>
  <si>
    <t>617-803-4735</t>
  </si>
  <si>
    <t xml:space="preserve">Somerville </t>
  </si>
  <si>
    <t xml:space="preserve">Jordan </t>
  </si>
  <si>
    <t xml:space="preserve">Albert </t>
  </si>
  <si>
    <t>JordanAlbert2002@gmail.com</t>
  </si>
  <si>
    <t>351-209-8558</t>
  </si>
  <si>
    <t xml:space="preserve">Hubbardston </t>
  </si>
  <si>
    <t>Kpodi</t>
  </si>
  <si>
    <t>wontac_kpodi@yahoo.com</t>
  </si>
  <si>
    <t>857-275-2083</t>
  </si>
  <si>
    <t>Norfolk</t>
  </si>
  <si>
    <t>Jennifer</t>
  </si>
  <si>
    <t>Carrasco</t>
  </si>
  <si>
    <t>Carrascojennifer222@gmail.com</t>
  </si>
  <si>
    <t>774-448-9601</t>
  </si>
  <si>
    <t>Kyree</t>
  </si>
  <si>
    <t>Davis</t>
  </si>
  <si>
    <t>kdavisnba98@gmail.com</t>
  </si>
  <si>
    <t>401-602-5986</t>
  </si>
  <si>
    <t xml:space="preserve">Zackaree  </t>
  </si>
  <si>
    <t xml:space="preserve">zackareethunter@icloud.com </t>
  </si>
  <si>
    <t xml:space="preserve">(401) 787-3652 </t>
  </si>
  <si>
    <t xml:space="preserve">Jacksonville </t>
  </si>
  <si>
    <t xml:space="preserve">SAMUEL </t>
  </si>
  <si>
    <t>ATTA AGYEI ASARE</t>
  </si>
  <si>
    <t>sasare072@gmail.com</t>
  </si>
  <si>
    <t>774-701-9633</t>
  </si>
  <si>
    <t xml:space="preserve">Enoch </t>
  </si>
  <si>
    <t>Amankwah</t>
  </si>
  <si>
    <t>oheneamankwah95@gmail.com</t>
  </si>
  <si>
    <t>508 454 3037</t>
  </si>
  <si>
    <t xml:space="preserve">Steve </t>
  </si>
  <si>
    <t xml:space="preserve">Etienne </t>
  </si>
  <si>
    <t>setienne0961@gmail.com</t>
  </si>
  <si>
    <t xml:space="preserve">857 258 2114 </t>
  </si>
  <si>
    <t xml:space="preserve">Lancanster </t>
  </si>
  <si>
    <t xml:space="preserve">Ronell </t>
  </si>
  <si>
    <t xml:space="preserve"> Watson</t>
  </si>
  <si>
    <t>ronellwatson1993@icloud.com</t>
  </si>
  <si>
    <t>267 853 8559</t>
  </si>
  <si>
    <t xml:space="preserve">JOHNY </t>
  </si>
  <si>
    <t>VIXAMAR</t>
  </si>
  <si>
    <t>brothervv84@gmail.com</t>
  </si>
  <si>
    <t>509-919-6199</t>
  </si>
  <si>
    <t xml:space="preserve">Owen </t>
  </si>
  <si>
    <t xml:space="preserve">Francoeur </t>
  </si>
  <si>
    <t>omfrancoeur@gmail.com</t>
  </si>
  <si>
    <t>978-340-4251</t>
  </si>
  <si>
    <t xml:space="preserve">Travon </t>
  </si>
  <si>
    <t>travonwilliams0248@gmail.com</t>
  </si>
  <si>
    <t>774 386 2924</t>
  </si>
  <si>
    <t xml:space="preserve">Brittany </t>
  </si>
  <si>
    <t xml:space="preserve">Figuerora </t>
  </si>
  <si>
    <t>978 962 6638</t>
  </si>
  <si>
    <t xml:space="preserve">Dwayne </t>
  </si>
  <si>
    <t xml:space="preserve">Persons JR </t>
  </si>
  <si>
    <t>Dwayneperson4@gmail.com</t>
  </si>
  <si>
    <t>774) 529-2149</t>
  </si>
  <si>
    <t xml:space="preserve">Chan </t>
  </si>
  <si>
    <t>danchan813@gmail.com</t>
  </si>
  <si>
    <t>857-719-3036</t>
  </si>
  <si>
    <t xml:space="preserve">Umana </t>
  </si>
  <si>
    <t xml:space="preserve"> Yohamy A</t>
  </si>
  <si>
    <t>ymejiaumana@gmail.com</t>
  </si>
  <si>
    <t>781-824-1594</t>
  </si>
  <si>
    <t>Jayden</t>
  </si>
  <si>
    <t>Biggi</t>
  </si>
  <si>
    <t>jaydenbiggi4@gmail.com</t>
  </si>
  <si>
    <t>857-888-6554</t>
  </si>
  <si>
    <t>Enock</t>
  </si>
  <si>
    <t>Nganda</t>
  </si>
  <si>
    <t>ngandaenock17@gmail.com</t>
  </si>
  <si>
    <t>508-202-8417</t>
  </si>
  <si>
    <t>Sernot</t>
  </si>
  <si>
    <t>Ceide</t>
  </si>
  <si>
    <t>seidesernot@gmail.com</t>
  </si>
  <si>
    <t>908-733-0345</t>
  </si>
  <si>
    <t xml:space="preserve">Brendan </t>
  </si>
  <si>
    <t>Penttila</t>
  </si>
  <si>
    <t>penttilab@gmail.com</t>
  </si>
  <si>
    <t>508-216-3175</t>
  </si>
  <si>
    <t>Foxboro</t>
  </si>
  <si>
    <t xml:space="preserve">Hussein </t>
  </si>
  <si>
    <t xml:space="preserve">Aljanabi </t>
  </si>
  <si>
    <t>aljanabihussein5@gmail.com</t>
  </si>
  <si>
    <t>603 417 0837</t>
  </si>
  <si>
    <t>Beverly</t>
  </si>
  <si>
    <t xml:space="preserve">Cristina </t>
  </si>
  <si>
    <t xml:space="preserve"> Garcia </t>
  </si>
  <si>
    <t xml:space="preserve">Tinag311@gmail.com </t>
  </si>
  <si>
    <t xml:space="preserve">254 383 7388 </t>
  </si>
  <si>
    <t>KILLEEN</t>
  </si>
  <si>
    <t>ARNOLD</t>
  </si>
  <si>
    <t xml:space="preserve"> SSEGIRINYA </t>
  </si>
  <si>
    <t xml:space="preserve">ssegirinyaarnold@gmail.com </t>
  </si>
  <si>
    <t xml:space="preserve">774 339 7933 </t>
  </si>
  <si>
    <t xml:space="preserve">Peter </t>
  </si>
  <si>
    <t>Santoro</t>
  </si>
  <si>
    <t>774 225 9464</t>
  </si>
  <si>
    <t xml:space="preserve">Flores </t>
  </si>
  <si>
    <t xml:space="preserve">Henryflores97@gmail.com </t>
  </si>
  <si>
    <t xml:space="preserve">857) 334-9026 </t>
  </si>
  <si>
    <t>Kwesi</t>
  </si>
  <si>
    <t xml:space="preserve">Donkor </t>
  </si>
  <si>
    <t xml:space="preserve">odurodonkor2@gmail.com </t>
  </si>
  <si>
    <t xml:space="preserve">(508) 502-0174 </t>
  </si>
  <si>
    <t xml:space="preserve">Jarison </t>
  </si>
  <si>
    <t>jairsonlopes49@gmail.com</t>
  </si>
  <si>
    <t xml:space="preserve">Ivin </t>
  </si>
  <si>
    <t>gunzooo@icloud.com</t>
  </si>
  <si>
    <t>351  242  5073</t>
  </si>
  <si>
    <t xml:space="preserve">Maria </t>
  </si>
  <si>
    <t>Zavala</t>
  </si>
  <si>
    <t>774 366 4421</t>
  </si>
  <si>
    <t xml:space="preserve">Rickard </t>
  </si>
  <si>
    <t>rickaedlouis92@yahoo.com</t>
  </si>
  <si>
    <t>617 680 3029</t>
  </si>
  <si>
    <t xml:space="preserve">Fall river </t>
  </si>
  <si>
    <t>shinron3000@yahoo.com</t>
  </si>
  <si>
    <t>413 561 8787</t>
  </si>
  <si>
    <t xml:space="preserve">Greenfield </t>
  </si>
  <si>
    <t>Isaac</t>
  </si>
  <si>
    <t>Gyamera</t>
  </si>
  <si>
    <t>isaac_gyamera@yahoo.com</t>
  </si>
  <si>
    <t>508-718-8572</t>
  </si>
  <si>
    <t xml:space="preserve">Mata </t>
  </si>
  <si>
    <t>johnesaumata@gmail.com</t>
  </si>
  <si>
    <t>774 253 6235</t>
  </si>
  <si>
    <t xml:space="preserve">Aaliyah </t>
  </si>
  <si>
    <t xml:space="preserve"> Alvarez </t>
  </si>
  <si>
    <t xml:space="preserve">Missa200004@gmail.com </t>
  </si>
  <si>
    <t xml:space="preserve">857) 869-3614 </t>
  </si>
  <si>
    <t xml:space="preserve"> Ninobla- Schrag</t>
  </si>
  <si>
    <t>leahninobla30@gmail.com</t>
  </si>
  <si>
    <t>508 308 3007</t>
  </si>
  <si>
    <t xml:space="preserve">Wellesley </t>
  </si>
  <si>
    <t xml:space="preserve">Samalie </t>
  </si>
  <si>
    <t>Nalugya</t>
  </si>
  <si>
    <t>kizitonalugya@gmail.com</t>
  </si>
  <si>
    <t>978-241-5506</t>
  </si>
  <si>
    <t xml:space="preserve">Faith </t>
  </si>
  <si>
    <t xml:space="preserve">Jackson </t>
  </si>
  <si>
    <t xml:space="preserve">faithjackson1004@gmail.con </t>
  </si>
  <si>
    <t xml:space="preserve">774) 823-9200 </t>
  </si>
  <si>
    <t xml:space="preserve">Sashary </t>
  </si>
  <si>
    <t xml:space="preserve"> Roberto </t>
  </si>
  <si>
    <t xml:space="preserve">sashary70@gmail.com </t>
  </si>
  <si>
    <t>508) 736-9124</t>
  </si>
  <si>
    <t xml:space="preserve">Jonathan  </t>
  </si>
  <si>
    <t xml:space="preserve"> Morales-Rosa </t>
  </si>
  <si>
    <t xml:space="preserve">jonathanmorales1990@aol.com </t>
  </si>
  <si>
    <t>203 814 0366</t>
  </si>
  <si>
    <t>Leicester</t>
  </si>
  <si>
    <t xml:space="preserve">Arthur </t>
  </si>
  <si>
    <t xml:space="preserve"> Leblanc </t>
  </si>
  <si>
    <t xml:space="preserve">arthurjleblanc50@icloud.com </t>
  </si>
  <si>
    <t>774) 242-5914</t>
  </si>
  <si>
    <t xml:space="preserve">Domanic </t>
  </si>
  <si>
    <t xml:space="preserve"> Nuzzo </t>
  </si>
  <si>
    <t xml:space="preserve">nuzzodomanic1026@icloud.com </t>
  </si>
  <si>
    <t xml:space="preserve">(857) 247-5245 </t>
  </si>
  <si>
    <t>Eastboston</t>
  </si>
  <si>
    <t xml:space="preserve">Ajane </t>
  </si>
  <si>
    <t>lee</t>
  </si>
  <si>
    <t>ajane.leee@gmail.com</t>
  </si>
  <si>
    <t>857-230-3672</t>
  </si>
  <si>
    <t xml:space="preserve">Easton </t>
  </si>
  <si>
    <t xml:space="preserve">Shawana </t>
  </si>
  <si>
    <t xml:space="preserve">Parks </t>
  </si>
  <si>
    <t>shawanaparks@gmail.com</t>
  </si>
  <si>
    <t>469.674.3818</t>
  </si>
  <si>
    <t xml:space="preserve">Sarah </t>
  </si>
  <si>
    <t xml:space="preserve">Ostrom </t>
  </si>
  <si>
    <t>sarahrathburn@hotmail.com</t>
  </si>
  <si>
    <t>978 350 3613</t>
  </si>
  <si>
    <t>Athol</t>
  </si>
  <si>
    <t xml:space="preserve">Vicki </t>
  </si>
  <si>
    <t>vickileeschofield@gmail.com</t>
  </si>
  <si>
    <t>508-380-0461</t>
  </si>
  <si>
    <t>Hopkinton</t>
  </si>
  <si>
    <t>makimeiwaweru@yahoo.com</t>
  </si>
  <si>
    <t xml:space="preserve">jean </t>
  </si>
  <si>
    <t xml:space="preserve">Edauard </t>
  </si>
  <si>
    <t>edouard2319@yahoo.fr</t>
  </si>
  <si>
    <t xml:space="preserve">McGinnis </t>
  </si>
  <si>
    <t>karen.mcginnis@vermont.gov</t>
  </si>
  <si>
    <t>351 237 9077</t>
  </si>
  <si>
    <t>Nelson</t>
  </si>
  <si>
    <t>Linares</t>
  </si>
  <si>
    <t>nelsonlina1214@gmail.com</t>
  </si>
  <si>
    <t>978-246-3565</t>
  </si>
  <si>
    <t>Upton</t>
  </si>
  <si>
    <t xml:space="preserve">Ruth </t>
  </si>
  <si>
    <t xml:space="preserve">Marfo </t>
  </si>
  <si>
    <t>ruthmarfo517334@gmail.com</t>
  </si>
  <si>
    <t>508-463-7261</t>
  </si>
  <si>
    <t xml:space="preserve">New Jersey </t>
  </si>
  <si>
    <t xml:space="preserve">Wesley </t>
  </si>
  <si>
    <t xml:space="preserve">Meldendez </t>
  </si>
  <si>
    <t>787 341 1992</t>
  </si>
  <si>
    <t xml:space="preserve">Gabriela </t>
  </si>
  <si>
    <t xml:space="preserve">Perlera </t>
  </si>
  <si>
    <t>Gabrielaperlera19@icloud.com</t>
  </si>
  <si>
    <t>617 290 0834</t>
  </si>
  <si>
    <t xml:space="preserve">Janne </t>
  </si>
  <si>
    <t>Dapenha</t>
  </si>
  <si>
    <t>617 401 6745</t>
  </si>
  <si>
    <t>Kelley</t>
  </si>
  <si>
    <t>william.luciano.kelley@gmail.com</t>
  </si>
  <si>
    <t>617 984 9321</t>
  </si>
  <si>
    <t xml:space="preserve">Walpole </t>
  </si>
  <si>
    <t xml:space="preserve">Molly </t>
  </si>
  <si>
    <t>Dyer</t>
  </si>
  <si>
    <t>781 796 2035</t>
  </si>
  <si>
    <t xml:space="preserve">Weymouth </t>
  </si>
  <si>
    <t>Evens</t>
  </si>
  <si>
    <t>Evansr1917@gmail.com</t>
  </si>
  <si>
    <t>978-235-8451</t>
  </si>
  <si>
    <t xml:space="preserve">Jerry </t>
  </si>
  <si>
    <t xml:space="preserve">Taramy </t>
  </si>
  <si>
    <t>Boston5063@gmail.com</t>
  </si>
  <si>
    <t>617 771 3350</t>
  </si>
  <si>
    <t>Braintree</t>
  </si>
  <si>
    <t xml:space="preserve">Othello </t>
  </si>
  <si>
    <t xml:space="preserve"> kapel</t>
  </si>
  <si>
    <t>kapelothello@yahoo.com</t>
  </si>
  <si>
    <t>267 407 8450</t>
  </si>
  <si>
    <t xml:space="preserve">loreen </t>
  </si>
  <si>
    <t xml:space="preserve">Murphy </t>
  </si>
  <si>
    <t>loreen761@gmail.com</t>
  </si>
  <si>
    <t>857 361 8532</t>
  </si>
  <si>
    <t xml:space="preserve">Dedham </t>
  </si>
  <si>
    <t xml:space="preserve">Lucia </t>
  </si>
  <si>
    <t xml:space="preserve">Monestime </t>
  </si>
  <si>
    <t xml:space="preserve">lucia.monestime@gmail.com </t>
  </si>
  <si>
    <t>848-888-2092</t>
  </si>
  <si>
    <t>Ocean Township</t>
  </si>
  <si>
    <t>508 981 1564</t>
  </si>
  <si>
    <t>Sunbury</t>
  </si>
  <si>
    <t xml:space="preserve">Eric </t>
  </si>
  <si>
    <t xml:space="preserve">Heilman </t>
  </si>
  <si>
    <t>ericheilman1771@yahoo.com</t>
  </si>
  <si>
    <t>479-970-4726</t>
  </si>
  <si>
    <t>857 237 9032</t>
  </si>
  <si>
    <t>South Boston</t>
  </si>
  <si>
    <t xml:space="preserve"> Josue berrios linares</t>
  </si>
  <si>
    <t>garyberrios11@gmail.com</t>
  </si>
  <si>
    <t>401-574-6588</t>
  </si>
  <si>
    <t xml:space="preserve">Oliver </t>
  </si>
  <si>
    <t>Mambong</t>
  </si>
  <si>
    <t>mambong4199@gmail.com</t>
  </si>
  <si>
    <t>443 830 4429</t>
  </si>
  <si>
    <t>Laurel</t>
  </si>
  <si>
    <t xml:space="preserve"> Esthella</t>
  </si>
  <si>
    <t xml:space="preserve">Kweti </t>
  </si>
  <si>
    <t>estellakweti@gmail.com</t>
  </si>
  <si>
    <t>240 653 1333</t>
  </si>
  <si>
    <t xml:space="preserve">laurel </t>
  </si>
  <si>
    <t>Shakiran</t>
  </si>
  <si>
    <t xml:space="preserve"> Sentongo</t>
  </si>
  <si>
    <t>shakiransentongo91@gmail.com</t>
  </si>
  <si>
    <t>713) 562-1500</t>
  </si>
  <si>
    <t xml:space="preserve">hunstville </t>
  </si>
  <si>
    <t>Young</t>
  </si>
  <si>
    <t>brookebay03@gmail.com</t>
  </si>
  <si>
    <t>781 336 8208</t>
  </si>
  <si>
    <t>Pembroke</t>
  </si>
  <si>
    <t xml:space="preserve">Oscar  </t>
  </si>
  <si>
    <t xml:space="preserve">Gomez Gonzalez </t>
  </si>
  <si>
    <t>willowm0207@icloud.com</t>
  </si>
  <si>
    <t>978-877-2293</t>
  </si>
  <si>
    <t xml:space="preserve">Micheline </t>
  </si>
  <si>
    <t>Small</t>
  </si>
  <si>
    <t>zcmicheline5@icloud.com</t>
  </si>
  <si>
    <t xml:space="preserve">561) 707-3188 </t>
  </si>
  <si>
    <t xml:space="preserve">Medeiros </t>
  </si>
  <si>
    <t xml:space="preserve">casey0852017@gmail.com </t>
  </si>
  <si>
    <t>978 977 1143</t>
  </si>
  <si>
    <t xml:space="preserve"> Batista </t>
  </si>
  <si>
    <t xml:space="preserve">batistaslegacy@gmail.com </t>
  </si>
  <si>
    <t>774) 329-4473</t>
  </si>
  <si>
    <t xml:space="preserve">McKeon </t>
  </si>
  <si>
    <t xml:space="preserve">Kellymckeon@outlook.com </t>
  </si>
  <si>
    <t xml:space="preserve">Congo11901@gmail.com </t>
  </si>
  <si>
    <t>978 350 7192</t>
  </si>
  <si>
    <t>Winchendon</t>
  </si>
  <si>
    <t xml:space="preserve">Jessie </t>
  </si>
  <si>
    <t xml:space="preserve"> Ford </t>
  </si>
  <si>
    <t xml:space="preserve">yishaiw7@gmail.com </t>
  </si>
  <si>
    <t xml:space="preserve">978 401 7222 </t>
  </si>
  <si>
    <t xml:space="preserve">Luhtjarv </t>
  </si>
  <si>
    <t xml:space="preserve">Aluhtjlol@gmail.com </t>
  </si>
  <si>
    <t xml:space="preserve">774) 622-5050 </t>
  </si>
  <si>
    <t xml:space="preserve">Roberto </t>
  </si>
  <si>
    <t xml:space="preserve">luis Correa Rodriguez </t>
  </si>
  <si>
    <t xml:space="preserve">rluiscorrea@gmail.com </t>
  </si>
  <si>
    <t xml:space="preserve">(939) 335-0078 </t>
  </si>
  <si>
    <t>Leomister</t>
  </si>
  <si>
    <t xml:space="preserve">RICHARD </t>
  </si>
  <si>
    <t>Albertelli</t>
  </si>
  <si>
    <t xml:space="preserve">Ralbertelli4@yahoo.com </t>
  </si>
  <si>
    <t>978 407 8216</t>
  </si>
  <si>
    <t xml:space="preserve">kewingpaul@gmail.com </t>
  </si>
  <si>
    <t xml:space="preserve">857- 330-1163 </t>
  </si>
  <si>
    <t>Hyde Park</t>
  </si>
  <si>
    <t xml:space="preserve">Frederick </t>
  </si>
  <si>
    <t xml:space="preserve">Brima </t>
  </si>
  <si>
    <t xml:space="preserve">frederick.brima@hotmail.com </t>
  </si>
  <si>
    <t>(936) 324-1274</t>
  </si>
  <si>
    <t>Willis</t>
  </si>
  <si>
    <t xml:space="preserve">Frank  </t>
  </si>
  <si>
    <t xml:space="preserve"> Celone </t>
  </si>
  <si>
    <t xml:space="preserve">frankiec1124@gmail.com </t>
  </si>
  <si>
    <t xml:space="preserve">475) 372-9170 </t>
  </si>
  <si>
    <t xml:space="preserve"> Kelley </t>
  </si>
  <si>
    <t xml:space="preserve">patrick.kelley93@icloud.com </t>
  </si>
  <si>
    <t xml:space="preserve">(774) 242-0666 </t>
  </si>
  <si>
    <t xml:space="preserve">Astride </t>
  </si>
  <si>
    <t xml:space="preserve">Joacine </t>
  </si>
  <si>
    <t xml:space="preserve">joacineastride84@gmail.com </t>
  </si>
  <si>
    <t xml:space="preserve">(617) 301-1002 </t>
  </si>
  <si>
    <t xml:space="preserve">Christiana </t>
  </si>
  <si>
    <t xml:space="preserve"> Kyeraa </t>
  </si>
  <si>
    <t xml:space="preserve">christianakyeraa24@yahoo.com </t>
  </si>
  <si>
    <t xml:space="preserve">(701) 391-0414 </t>
  </si>
  <si>
    <t>worceste</t>
  </si>
  <si>
    <t xml:space="preserve">Emmanuel </t>
  </si>
  <si>
    <t>junior valliere</t>
  </si>
  <si>
    <t>juniorpip@yahoo.com</t>
  </si>
  <si>
    <t>857-247-1179</t>
  </si>
  <si>
    <t xml:space="preserve">Terrance  </t>
  </si>
  <si>
    <t xml:space="preserve">Montgomery </t>
  </si>
  <si>
    <t xml:space="preserve">tlbmontgomery@gmail.com </t>
  </si>
  <si>
    <t>(401) 428-2161</t>
  </si>
  <si>
    <t>jimbilly@live.com</t>
  </si>
  <si>
    <t>805-717-9326</t>
  </si>
  <si>
    <t xml:space="preserve">North Andover </t>
  </si>
  <si>
    <t xml:space="preserve">Jayson </t>
  </si>
  <si>
    <t xml:space="preserve"> Almonte</t>
  </si>
  <si>
    <t>351 237 3730</t>
  </si>
  <si>
    <t xml:space="preserve">Elisangela </t>
  </si>
  <si>
    <t>Jackson</t>
  </si>
  <si>
    <t>elisangelajackson06@gmail.com</t>
  </si>
  <si>
    <t>401 617 2706</t>
  </si>
  <si>
    <t>Cuello</t>
  </si>
  <si>
    <t>Mcuello1126@hotmail.com</t>
  </si>
  <si>
    <t>(401) 499-1211</t>
  </si>
  <si>
    <t>Raymond</t>
  </si>
  <si>
    <t xml:space="preserve">Nadeau </t>
  </si>
  <si>
    <t xml:space="preserve">Ray86nadeau@gmail.com </t>
  </si>
  <si>
    <t xml:space="preserve">413 251 0224 </t>
  </si>
  <si>
    <t xml:space="preserve">Bucko </t>
  </si>
  <si>
    <t xml:space="preserve">jeffbucko@icloud.com </t>
  </si>
  <si>
    <t xml:space="preserve">(978) 979-8163 </t>
  </si>
  <si>
    <t xml:space="preserve">jose carlos </t>
  </si>
  <si>
    <t>cordero figueroa</t>
  </si>
  <si>
    <t>jccordero092@gmail.com</t>
  </si>
  <si>
    <t>413 204 3174</t>
  </si>
  <si>
    <t xml:space="preserve">Anjae </t>
  </si>
  <si>
    <t>Salmon</t>
  </si>
  <si>
    <t>salmon_anjae@yahoo.com</t>
  </si>
  <si>
    <t>754-971-7867</t>
  </si>
  <si>
    <t>Perry</t>
  </si>
  <si>
    <t xml:space="preserve">Sarai </t>
  </si>
  <si>
    <t>Rosado</t>
  </si>
  <si>
    <t>saraijatnael2323@gmail.com</t>
  </si>
  <si>
    <t>413-364-6791</t>
  </si>
  <si>
    <t xml:space="preserve">Rositta </t>
  </si>
  <si>
    <t>Rositta85@gmail.com</t>
  </si>
  <si>
    <t>774) 826-9216</t>
  </si>
  <si>
    <t xml:space="preserve">Ali </t>
  </si>
  <si>
    <t xml:space="preserve">al Dulaimi </t>
  </si>
  <si>
    <t>aldulaimi565@gmail.com</t>
  </si>
  <si>
    <t>929 365 2242</t>
  </si>
  <si>
    <t xml:space="preserve">West Warwick </t>
  </si>
  <si>
    <t xml:space="preserve"> Panarelli</t>
  </si>
  <si>
    <t>Jennifer_panarelli@yahoo.com</t>
  </si>
  <si>
    <t>857-346-4558</t>
  </si>
  <si>
    <t xml:space="preserve">Cook </t>
  </si>
  <si>
    <t>ericcooksr@icloud.com</t>
  </si>
  <si>
    <t xml:space="preserve">347-680-7228 </t>
  </si>
  <si>
    <t xml:space="preserve">Jayonia </t>
  </si>
  <si>
    <t xml:space="preserve">Cannon </t>
  </si>
  <si>
    <t>jayoniamack26@icloud.com</t>
  </si>
  <si>
    <t>203) 690-2438</t>
  </si>
  <si>
    <t xml:space="preserve"> Vernon</t>
  </si>
  <si>
    <t xml:space="preserve"> Lewis </t>
  </si>
  <si>
    <t xml:space="preserve">chris.lewis876@outlook.com </t>
  </si>
  <si>
    <t xml:space="preserve">786) 585-5176 </t>
  </si>
  <si>
    <t>Roslindale</t>
  </si>
  <si>
    <t>Tesire</t>
  </si>
  <si>
    <t xml:space="preserve"> Nyell McClain</t>
  </si>
  <si>
    <t>Nyellmcclain15@gmail.com</t>
  </si>
  <si>
    <t>(617) 297-6712</t>
  </si>
  <si>
    <t xml:space="preserve">Alexandria </t>
  </si>
  <si>
    <t>Allygomes4@gmail.com</t>
  </si>
  <si>
    <t>(774)-558-7151</t>
  </si>
  <si>
    <t xml:space="preserve">Anteniece </t>
  </si>
  <si>
    <t>Palma</t>
  </si>
  <si>
    <t>niecejaay@gmail.com</t>
  </si>
  <si>
    <t>774)789-4553</t>
  </si>
  <si>
    <t xml:space="preserve">Seryna </t>
  </si>
  <si>
    <t xml:space="preserve">Figueroa </t>
  </si>
  <si>
    <t>figueroaseryna@gmail.com</t>
  </si>
  <si>
    <t>8 5 7 - 7 5 6 - 0 7 5 0</t>
  </si>
  <si>
    <t xml:space="preserve">Robert </t>
  </si>
  <si>
    <t xml:space="preserve">Roark </t>
  </si>
  <si>
    <t>484 630 3145</t>
  </si>
  <si>
    <t xml:space="preserve">luis burgos </t>
  </si>
  <si>
    <t xml:space="preserve">louisburgy617@gmail.com </t>
  </si>
  <si>
    <t xml:space="preserve">617) 758-9869 </t>
  </si>
  <si>
    <t>Marc</t>
  </si>
  <si>
    <t xml:space="preserve">Voltus </t>
  </si>
  <si>
    <t>marcvoltus2122@gmail.com</t>
  </si>
  <si>
    <t>774) 329-3570</t>
  </si>
  <si>
    <t xml:space="preserve">Kleber </t>
  </si>
  <si>
    <t xml:space="preserve"> Da Silva </t>
  </si>
  <si>
    <t xml:space="preserve">venturasons@gmail.com </t>
  </si>
  <si>
    <t xml:space="preserve">(857) 207-9368 </t>
  </si>
  <si>
    <t xml:space="preserve">Kayla </t>
  </si>
  <si>
    <t xml:space="preserve">Drillis </t>
  </si>
  <si>
    <t xml:space="preserve">drilliskayla@gmail.com </t>
  </si>
  <si>
    <t xml:space="preserve">(857) 354-9447 </t>
  </si>
  <si>
    <t>Salem</t>
  </si>
  <si>
    <t xml:space="preserve">Sadrac </t>
  </si>
  <si>
    <t xml:space="preserve"> Jean Louis </t>
  </si>
  <si>
    <t xml:space="preserve">sadracj1988@gmail.com </t>
  </si>
  <si>
    <t>912 707 1949</t>
  </si>
  <si>
    <t xml:space="preserve">Deicelene </t>
  </si>
  <si>
    <t xml:space="preserve"> Goncalves </t>
  </si>
  <si>
    <t xml:space="preserve">pinadeicileny@gmail.com </t>
  </si>
  <si>
    <t>774 849 6920</t>
  </si>
  <si>
    <t xml:space="preserve">Frankllely </t>
  </si>
  <si>
    <t xml:space="preserve">Hernandez </t>
  </si>
  <si>
    <t xml:space="preserve">frankllely12h@gmail.com </t>
  </si>
  <si>
    <t xml:space="preserve">(857) 339-6599 </t>
  </si>
  <si>
    <t xml:space="preserve">JJ </t>
  </si>
  <si>
    <t xml:space="preserve">Blessfireal </t>
  </si>
  <si>
    <t>lewisjermaine853@gmail.com</t>
  </si>
  <si>
    <t xml:space="preserve">Shevell </t>
  </si>
  <si>
    <t xml:space="preserve"> Vernon </t>
  </si>
  <si>
    <t>shevellvernon@gmail.com</t>
  </si>
  <si>
    <t>860 999 5181</t>
  </si>
  <si>
    <t xml:space="preserve"> Gomes</t>
  </si>
  <si>
    <t>508 740 7376</t>
  </si>
  <si>
    <t xml:space="preserve">Efrain </t>
  </si>
  <si>
    <t>Matta</t>
  </si>
  <si>
    <t>mrmatta860@gmail.com</t>
  </si>
  <si>
    <t>978 413 1984</t>
  </si>
  <si>
    <t>nathanmartin377@gmail.com</t>
  </si>
  <si>
    <t>978 501 5373</t>
  </si>
  <si>
    <t xml:space="preserve">Lorenzo </t>
  </si>
  <si>
    <t xml:space="preserve">Cariglio </t>
  </si>
  <si>
    <t xml:space="preserve">Lorenzo416@Outlook.com </t>
  </si>
  <si>
    <t xml:space="preserve">(774) 262-6800 </t>
  </si>
  <si>
    <t>Auburn</t>
  </si>
  <si>
    <t xml:space="preserve">Jeffery </t>
  </si>
  <si>
    <t xml:space="preserve">Marinero </t>
  </si>
  <si>
    <t>marinerojeffrey04@yahoo.com</t>
  </si>
  <si>
    <t>978 751 5756</t>
  </si>
  <si>
    <t xml:space="preserve">Hazen </t>
  </si>
  <si>
    <t xml:space="preserve">ericnyg08@yahoo.com </t>
  </si>
  <si>
    <t>413 219 1987</t>
  </si>
  <si>
    <t xml:space="preserve">Luckensia </t>
  </si>
  <si>
    <t xml:space="preserve"> Chevalier</t>
  </si>
  <si>
    <t>lucken03@hotmail.com</t>
  </si>
  <si>
    <t>786-961-3637</t>
  </si>
  <si>
    <t xml:space="preserve">Vincent </t>
  </si>
  <si>
    <t xml:space="preserve">Kodiko </t>
  </si>
  <si>
    <t xml:space="preserve">kodikovincent@gmail.com </t>
  </si>
  <si>
    <t xml:space="preserve">(508) 735-5892 </t>
  </si>
  <si>
    <t>Jessica</t>
  </si>
  <si>
    <t xml:space="preserve">jbrod2010@aol.com </t>
  </si>
  <si>
    <t xml:space="preserve">(508) 416-8868 </t>
  </si>
  <si>
    <t>Devon</t>
  </si>
  <si>
    <t>Bradley</t>
  </si>
  <si>
    <t>Devonbradley96@gmail.com</t>
  </si>
  <si>
    <t>401-300-2459</t>
  </si>
  <si>
    <t xml:space="preserve">Rumford </t>
  </si>
  <si>
    <t xml:space="preserve">Antel </t>
  </si>
  <si>
    <t xml:space="preserve">Rogers </t>
  </si>
  <si>
    <t xml:space="preserve">antelrogers098@gmail.com </t>
  </si>
  <si>
    <t>857 390 4656</t>
  </si>
  <si>
    <t xml:space="preserve">Ricardo </t>
  </si>
  <si>
    <t xml:space="preserve">Guity </t>
  </si>
  <si>
    <t xml:space="preserve">ricardog3615@gmail.com </t>
  </si>
  <si>
    <t xml:space="preserve">(617) 642-8515 </t>
  </si>
  <si>
    <t xml:space="preserve">Reginald </t>
  </si>
  <si>
    <t xml:space="preserve">Micheal prince </t>
  </si>
  <si>
    <t>mpr71529@gmail.com</t>
  </si>
  <si>
    <t>617-642-2494</t>
  </si>
  <si>
    <t xml:space="preserve">Ferreira </t>
  </si>
  <si>
    <t xml:space="preserve">ryanpreis11@gmail.com </t>
  </si>
  <si>
    <t xml:space="preserve">(508) 861-8942 </t>
  </si>
  <si>
    <t xml:space="preserve">Nkiakeo  </t>
  </si>
  <si>
    <t xml:space="preserve"> Bejuandem </t>
  </si>
  <si>
    <t>brandonbj017@gmail.com</t>
  </si>
  <si>
    <t>:9784067856</t>
  </si>
  <si>
    <t xml:space="preserve">Salem </t>
  </si>
  <si>
    <t xml:space="preserve">Sylas </t>
  </si>
  <si>
    <t>Kennedy</t>
  </si>
  <si>
    <t>Sylasthevirus55@gmail.com</t>
  </si>
  <si>
    <t>(978) 413-0054</t>
  </si>
  <si>
    <t>Mychelle</t>
  </si>
  <si>
    <t>Colson</t>
  </si>
  <si>
    <t>colsonmychelle16@gmail.com</t>
  </si>
  <si>
    <t>774-498-9583</t>
  </si>
  <si>
    <t xml:space="preserve">Chicopee </t>
  </si>
  <si>
    <t>Chavani</t>
  </si>
  <si>
    <t>chavinipowell@gmail.com</t>
  </si>
  <si>
    <t>646-229-2918</t>
  </si>
  <si>
    <t>Rickey</t>
  </si>
  <si>
    <t>Wilcox</t>
  </si>
  <si>
    <t>rickeylw04fl@gmail.com</t>
  </si>
  <si>
    <t>904-671-2049</t>
  </si>
  <si>
    <t>Jose</t>
  </si>
  <si>
    <t>Rivera</t>
  </si>
  <si>
    <t>joserivera980000@gmail.com</t>
  </si>
  <si>
    <t>781-520-8527</t>
  </si>
  <si>
    <t>Brehon</t>
  </si>
  <si>
    <t>michael.brehon3@gmail.com</t>
  </si>
  <si>
    <t>475-434-6723</t>
  </si>
  <si>
    <t xml:space="preserve">New Haven </t>
  </si>
  <si>
    <t>Lemos-Martin</t>
  </si>
  <si>
    <t>alemosmartin2@gmail.com</t>
  </si>
  <si>
    <t>774-844-9591</t>
  </si>
  <si>
    <t xml:space="preserve">South Dartmouth </t>
  </si>
  <si>
    <t>McDonnell</t>
  </si>
  <si>
    <t>jjmcdonnell3@gmail.com</t>
  </si>
  <si>
    <t>954-263-3587</t>
  </si>
  <si>
    <t>Rochester MA</t>
  </si>
  <si>
    <t xml:space="preserve">Amanda </t>
  </si>
  <si>
    <t xml:space="preserve">Dwyer </t>
  </si>
  <si>
    <t>amandaedwyer119@gmail.com</t>
  </si>
  <si>
    <t>978-490-6134</t>
  </si>
  <si>
    <t>fitchburg ma</t>
  </si>
  <si>
    <t xml:space="preserve">Bull </t>
  </si>
  <si>
    <t>acbull909@gmail.com</t>
  </si>
  <si>
    <t xml:space="preserve">Alexander </t>
  </si>
  <si>
    <t xml:space="preserve">Mann </t>
  </si>
  <si>
    <t>hollymm1986@gmail.com</t>
  </si>
  <si>
    <t xml:space="preserve">413-331-8179 </t>
  </si>
  <si>
    <t xml:space="preserve">Rupert </t>
  </si>
  <si>
    <t>Roso</t>
  </si>
  <si>
    <t>R.L.Rosso-Author@outlook.com</t>
  </si>
  <si>
    <t>774 696 0014</t>
  </si>
  <si>
    <t>Gladis</t>
  </si>
  <si>
    <t>Guardado</t>
  </si>
  <si>
    <t>gguardado@worcester.edu</t>
  </si>
  <si>
    <t>508-782-8384</t>
  </si>
  <si>
    <t>DEMETRI</t>
  </si>
  <si>
    <t>MINOTT</t>
  </si>
  <si>
    <t>minottpretty@gmail.com</t>
  </si>
  <si>
    <t>401-422-6866</t>
  </si>
  <si>
    <t>N Palmieri</t>
  </si>
  <si>
    <t>AnthonynPalmieri1@gmail.com</t>
  </si>
  <si>
    <t>781-835-7534</t>
  </si>
  <si>
    <t xml:space="preserve">Diana </t>
  </si>
  <si>
    <t>Reyes</t>
  </si>
  <si>
    <t>dianamedina7789@gmail.com</t>
  </si>
  <si>
    <t>818)309-0832</t>
  </si>
  <si>
    <t>Dallas</t>
  </si>
  <si>
    <t xml:space="preserve">MAURICIO </t>
  </si>
  <si>
    <t>PERALTA</t>
  </si>
  <si>
    <t xml:space="preserve">mauricio_peralta32@hotmail.com </t>
  </si>
  <si>
    <t>978) 907-0370</t>
  </si>
  <si>
    <t>Younker</t>
  </si>
  <si>
    <t>zanka67@aol.com</t>
  </si>
  <si>
    <t>617 867 5381</t>
  </si>
  <si>
    <t xml:space="preserve">Cochran </t>
  </si>
  <si>
    <t>scochran2252@gmail.com</t>
  </si>
  <si>
    <t>978 577 8876</t>
  </si>
  <si>
    <t xml:space="preserve">Dukens </t>
  </si>
  <si>
    <t>Kernizan</t>
  </si>
  <si>
    <t>Kernikens@gmail.com</t>
  </si>
  <si>
    <t>857 266 6116</t>
  </si>
  <si>
    <t>Canton</t>
  </si>
  <si>
    <t xml:space="preserve">Jarod </t>
  </si>
  <si>
    <t xml:space="preserve">Sxhutrick </t>
  </si>
  <si>
    <t>774 633 5290</t>
  </si>
  <si>
    <t>Robert</t>
  </si>
  <si>
    <t xml:space="preserve">rjbrooks23@gmail.com </t>
  </si>
  <si>
    <t xml:space="preserve">(781) 354-8080 </t>
  </si>
  <si>
    <t xml:space="preserve">Victor </t>
  </si>
  <si>
    <t xml:space="preserve">Nocci </t>
  </si>
  <si>
    <t>vjnocci@live.com</t>
  </si>
  <si>
    <t>508 206 0607</t>
  </si>
  <si>
    <t xml:space="preserve">Ibrahim </t>
  </si>
  <si>
    <t xml:space="preserve"> Mohamed</t>
  </si>
  <si>
    <t>Ibrahim_oro@hotmail.com</t>
  </si>
  <si>
    <t>857 615 9482</t>
  </si>
  <si>
    <t xml:space="preserve">Newton </t>
  </si>
  <si>
    <t xml:space="preserve">Dary </t>
  </si>
  <si>
    <t xml:space="preserve">LaFrance </t>
  </si>
  <si>
    <t xml:space="preserve">darylafrance93@gmail.com </t>
  </si>
  <si>
    <t>203-510-3875</t>
  </si>
  <si>
    <t>anthonytorres0812@gmail.com</t>
  </si>
  <si>
    <t>917-443-0287</t>
  </si>
  <si>
    <t xml:space="preserve">Nerlande </t>
  </si>
  <si>
    <t xml:space="preserve">nerlande.paul@gmail.com </t>
  </si>
  <si>
    <t xml:space="preserve">(857) 258-6343 </t>
  </si>
  <si>
    <t>Wojcukiewicz</t>
  </si>
  <si>
    <t>zachwojo05@gmail.com</t>
  </si>
  <si>
    <t>978-434-7744</t>
  </si>
  <si>
    <t xml:space="preserve">Westminster </t>
  </si>
  <si>
    <t>Mckay</t>
  </si>
  <si>
    <t>danielmckay79@yahoo.com</t>
  </si>
  <si>
    <t>617 877 4221</t>
  </si>
  <si>
    <t>East Weymouth</t>
  </si>
  <si>
    <t>Belly</t>
  </si>
  <si>
    <t>Junior Cesar</t>
  </si>
  <si>
    <t>bellycesar135@gmail.com</t>
  </si>
  <si>
    <t>508) 371-8810</t>
  </si>
  <si>
    <t xml:space="preserve">Alyssa </t>
  </si>
  <si>
    <t xml:space="preserve">LaRose </t>
  </si>
  <si>
    <t xml:space="preserve">writingfromspirit@gmail.com </t>
  </si>
  <si>
    <t xml:space="preserve">774) 559-7526 </t>
  </si>
  <si>
    <t xml:space="preserve">Garrett </t>
  </si>
  <si>
    <t xml:space="preserve">Rainey </t>
  </si>
  <si>
    <t xml:space="preserve">garrett.rainey0411@gmail.com </t>
  </si>
  <si>
    <t xml:space="preserve">774) 226-5974 </t>
  </si>
  <si>
    <t>Natalie</t>
  </si>
  <si>
    <t>Cardona</t>
  </si>
  <si>
    <t>Nataliecardona117@gmail.com</t>
  </si>
  <si>
    <t>413-302-9309</t>
  </si>
  <si>
    <t xml:space="preserve">Wilens </t>
  </si>
  <si>
    <t>Magloire</t>
  </si>
  <si>
    <t>Lentz785@gmail.com</t>
  </si>
  <si>
    <t>857-261-8203</t>
  </si>
  <si>
    <t xml:space="preserve">Johan </t>
  </si>
  <si>
    <t xml:space="preserve">Reyes </t>
  </si>
  <si>
    <t xml:space="preserve">reyesjohan755@gmail.com </t>
  </si>
  <si>
    <t xml:space="preserve">(603) 688-1989 </t>
  </si>
  <si>
    <t>Manchester</t>
  </si>
  <si>
    <t xml:space="preserve"> Amegbor </t>
  </si>
  <si>
    <t xml:space="preserve">vincentferrer15@yahoo.com </t>
  </si>
  <si>
    <t xml:space="preserve">(774) 502-9590 </t>
  </si>
  <si>
    <t xml:space="preserve">Ernesto </t>
  </si>
  <si>
    <t xml:space="preserve"> Saint Louis</t>
  </si>
  <si>
    <t>ernestostlouis@gmail.com</t>
  </si>
  <si>
    <t>617-888-7718</t>
  </si>
  <si>
    <t xml:space="preserve">Antwone </t>
  </si>
  <si>
    <t>Clarke</t>
  </si>
  <si>
    <t>antwone12@gmail.com</t>
  </si>
  <si>
    <t>774 242 7555</t>
  </si>
  <si>
    <t xml:space="preserve">lison </t>
  </si>
  <si>
    <t>paul.lison83@gmail.com</t>
  </si>
  <si>
    <t>978 483 7330</t>
  </si>
  <si>
    <t xml:space="preserve">Lunenburg </t>
  </si>
  <si>
    <t xml:space="preserve"> Balestracci </t>
  </si>
  <si>
    <t xml:space="preserve">andrewbalestracci@gmail.com </t>
  </si>
  <si>
    <t xml:space="preserve">(508) 207-5563 </t>
  </si>
  <si>
    <t xml:space="preserve">Francia </t>
  </si>
  <si>
    <t xml:space="preserve">Toussaint </t>
  </si>
  <si>
    <t xml:space="preserve">ftoussaint303@gmail.com </t>
  </si>
  <si>
    <t xml:space="preserve">617 412 0935 </t>
  </si>
  <si>
    <t xml:space="preserve">Makai </t>
  </si>
  <si>
    <t>bufffff@gmail.com</t>
  </si>
  <si>
    <t>617 610 5476</t>
  </si>
  <si>
    <t xml:space="preserve">Flancky </t>
  </si>
  <si>
    <t xml:space="preserve">BEL-ENFANT </t>
  </si>
  <si>
    <t xml:space="preserve">flanckyb@gmail.com </t>
  </si>
  <si>
    <t xml:space="preserve">(774) 417-1533 </t>
  </si>
  <si>
    <t>Ilona</t>
  </si>
  <si>
    <t xml:space="preserve"> Trembath </t>
  </si>
  <si>
    <t xml:space="preserve">ilonatrembath254@gmail.com </t>
  </si>
  <si>
    <t xml:space="preserve">(508) 259-8370 </t>
  </si>
  <si>
    <t xml:space="preserve"> Stevens </t>
  </si>
  <si>
    <t xml:space="preserve">cameronstevensjay@gmail.com </t>
  </si>
  <si>
    <t xml:space="preserve">(351) 234-8658 </t>
  </si>
  <si>
    <t xml:space="preserve">Jajuan </t>
  </si>
  <si>
    <t xml:space="preserve"> Nedd </t>
  </si>
  <si>
    <t xml:space="preserve">jajuannedd@gmail.com </t>
  </si>
  <si>
    <t xml:space="preserve">(631) 599-6452 </t>
  </si>
  <si>
    <t>Brentwood</t>
  </si>
  <si>
    <t>Pierre</t>
  </si>
  <si>
    <t xml:space="preserve">Pierre Bernard </t>
  </si>
  <si>
    <t xml:space="preserve">bernardp531@gmail.com </t>
  </si>
  <si>
    <t xml:space="preserve">(617) 270-0050 </t>
  </si>
  <si>
    <t xml:space="preserve"> Benn  </t>
  </si>
  <si>
    <t xml:space="preserve">ronaldbenn99@gmail.con </t>
  </si>
  <si>
    <t xml:space="preserve">(978) 396-1150 </t>
  </si>
  <si>
    <t>Devens</t>
  </si>
  <si>
    <t xml:space="preserve">Best </t>
  </si>
  <si>
    <t xml:space="preserve">richard.bestalleyne0202@gmail.com </t>
  </si>
  <si>
    <t>862 218 8419</t>
  </si>
  <si>
    <t>West Orange</t>
  </si>
  <si>
    <t xml:space="preserve">Daivon </t>
  </si>
  <si>
    <t xml:space="preserve">daivonbrown1@gmail.com </t>
  </si>
  <si>
    <t xml:space="preserve">856 333 3306 </t>
  </si>
  <si>
    <t xml:space="preserve">Joerick </t>
  </si>
  <si>
    <t xml:space="preserve"> Medina-Velez </t>
  </si>
  <si>
    <t xml:space="preserve">medina.joerick13@icloud.com </t>
  </si>
  <si>
    <t xml:space="preserve">203) 706-7896 </t>
  </si>
  <si>
    <t>Waterbury</t>
  </si>
  <si>
    <t xml:space="preserve">Tristan </t>
  </si>
  <si>
    <t xml:space="preserve"> Barrett </t>
  </si>
  <si>
    <t xml:space="preserve">tristanbarrett12@gmail.com </t>
  </si>
  <si>
    <t xml:space="preserve">(857) 200-6227 </t>
  </si>
  <si>
    <t xml:space="preserve">Junior  </t>
  </si>
  <si>
    <t xml:space="preserve"> Lopes Gomes </t>
  </si>
  <si>
    <t xml:space="preserve">juniorlopesgomes063@gmail.com </t>
  </si>
  <si>
    <t xml:space="preserve">508) 663-7633 </t>
  </si>
  <si>
    <t xml:space="preserve">Ichon </t>
  </si>
  <si>
    <t xml:space="preserve"> Ringwood </t>
  </si>
  <si>
    <t xml:space="preserve">ichonringwood111@gmail.com </t>
  </si>
  <si>
    <t xml:space="preserve">(203) 822-0870 </t>
  </si>
  <si>
    <t>New Haven</t>
  </si>
  <si>
    <t>Ja’mes</t>
  </si>
  <si>
    <t xml:space="preserve">Ja’mes Jenkins </t>
  </si>
  <si>
    <t xml:space="preserve">jamesjenkins0102@gmail.com </t>
  </si>
  <si>
    <t xml:space="preserve">678) 618-9708 </t>
  </si>
  <si>
    <t>Ilion</t>
  </si>
  <si>
    <t>Leandro</t>
  </si>
  <si>
    <t>DaSilva</t>
  </si>
  <si>
    <t>lsilva3910@gmail.com</t>
  </si>
  <si>
    <t>774-573-8144</t>
  </si>
  <si>
    <t>Baldwinville</t>
  </si>
  <si>
    <t xml:space="preserve">Geno </t>
  </si>
  <si>
    <t>Geno Porter</t>
  </si>
  <si>
    <t>portergeno@yahoo.com</t>
  </si>
  <si>
    <t>781-964-0620</t>
  </si>
  <si>
    <t xml:space="preserve">Dominic </t>
  </si>
  <si>
    <t>Parente</t>
  </si>
  <si>
    <t>Dominic102894@yahoo.com</t>
  </si>
  <si>
    <t>508 837 7255</t>
  </si>
  <si>
    <t xml:space="preserve">Gaito </t>
  </si>
  <si>
    <t xml:space="preserve">kathygaito36@gmail.com </t>
  </si>
  <si>
    <t>508 269 9479</t>
  </si>
  <si>
    <t>Holbrook</t>
  </si>
  <si>
    <t xml:space="preserve"> Potts </t>
  </si>
  <si>
    <t xml:space="preserve">npotts93@hotmail.com </t>
  </si>
  <si>
    <t xml:space="preserve">413) 302-7364 </t>
  </si>
  <si>
    <t xml:space="preserve">Kadian </t>
  </si>
  <si>
    <t xml:space="preserve"> Vassall </t>
  </si>
  <si>
    <t xml:space="preserve">vassall_kadian@yahoo.com </t>
  </si>
  <si>
    <t xml:space="preserve">(401) 422-6866 </t>
  </si>
  <si>
    <t xml:space="preserve">North Attelboro </t>
  </si>
  <si>
    <t xml:space="preserve">Katelyn ( kaitie) </t>
  </si>
  <si>
    <t xml:space="preserve"> Piasecki </t>
  </si>
  <si>
    <t xml:space="preserve">KatiePiasecki152@gmail.com </t>
  </si>
  <si>
    <t xml:space="preserve">(508) 317-9498 </t>
  </si>
  <si>
    <t>Lakeville</t>
  </si>
  <si>
    <t xml:space="preserve">Heather </t>
  </si>
  <si>
    <t>hharrington@gmail.com</t>
  </si>
  <si>
    <t>774-279-4038</t>
  </si>
  <si>
    <t>Milton</t>
  </si>
  <si>
    <t>Jacob</t>
  </si>
  <si>
    <t xml:space="preserve"> Rourke</t>
  </si>
  <si>
    <t>jrourke413@gmail.com</t>
  </si>
  <si>
    <t>413 636 4316</t>
  </si>
  <si>
    <t>Wheelwright</t>
  </si>
  <si>
    <t>Malandrino</t>
  </si>
  <si>
    <t>smalandrino99@gmail.com</t>
  </si>
  <si>
    <t>914 625 0658</t>
  </si>
  <si>
    <t>Giorlando</t>
  </si>
  <si>
    <t>978 696 6124</t>
  </si>
  <si>
    <t>Christelle</t>
  </si>
  <si>
    <t>Ducasse</t>
  </si>
  <si>
    <t>Christelle341@gmail.com</t>
  </si>
  <si>
    <t>508-683-9472</t>
  </si>
  <si>
    <t>Christopherpierrelouis1996@gmail.com</t>
  </si>
  <si>
    <t>(860-884-0735)</t>
  </si>
  <si>
    <t>PAVEL</t>
  </si>
  <si>
    <t>IVANOV</t>
  </si>
  <si>
    <t>508) 577-2577</t>
  </si>
  <si>
    <t xml:space="preserve">Anthony  </t>
  </si>
  <si>
    <t xml:space="preserve">Benefield </t>
  </si>
  <si>
    <t xml:space="preserve">trubenefield@gmail.com </t>
  </si>
  <si>
    <t xml:space="preserve">860) 878-1317 </t>
  </si>
  <si>
    <t xml:space="preserve">Berlic </t>
  </si>
  <si>
    <t xml:space="preserve"> Espinal </t>
  </si>
  <si>
    <t xml:space="preserve">espinal.lpz@gmail.com </t>
  </si>
  <si>
    <t xml:space="preserve">508 410 0685 </t>
  </si>
  <si>
    <t xml:space="preserve">Jesa </t>
  </si>
  <si>
    <t xml:space="preserve"> Fife </t>
  </si>
  <si>
    <t xml:space="preserve">jesafife@veteransinc.org </t>
  </si>
  <si>
    <t xml:space="preserve">508 963 1549 </t>
  </si>
  <si>
    <t>Brooklyn</t>
  </si>
  <si>
    <t xml:space="preserve">Avantika </t>
  </si>
  <si>
    <t xml:space="preserve"> Nautiyal </t>
  </si>
  <si>
    <t xml:space="preserve">avantikanautiyal@gmail.com </t>
  </si>
  <si>
    <t>978 429 5461</t>
  </si>
  <si>
    <t xml:space="preserve">Renaud </t>
  </si>
  <si>
    <t xml:space="preserve">Cenatus </t>
  </si>
  <si>
    <t>crenaudbousto@gmail.com</t>
  </si>
  <si>
    <t xml:space="preserve">857 565 4983 </t>
  </si>
  <si>
    <t>Gevork</t>
  </si>
  <si>
    <t xml:space="preserve"> Kushnir </t>
  </si>
  <si>
    <t xml:space="preserve">Gevork@usa.com </t>
  </si>
  <si>
    <t xml:space="preserve">(781) 635-2757 </t>
  </si>
  <si>
    <t xml:space="preserve">Skyler </t>
  </si>
  <si>
    <t xml:space="preserve"> Blackinton</t>
  </si>
  <si>
    <t>skylerjblackinton@gmail.com</t>
  </si>
  <si>
    <t xml:space="preserve"> 860-560-3310 </t>
  </si>
  <si>
    <t xml:space="preserve">james </t>
  </si>
  <si>
    <t xml:space="preserve">Paullis </t>
  </si>
  <si>
    <t>860 878 2944</t>
  </si>
  <si>
    <t xml:space="preserve">Hudson </t>
  </si>
  <si>
    <t>Cinthia</t>
  </si>
  <si>
    <t>Suastegui</t>
  </si>
  <si>
    <t>cinthiasuastegui30@gmail.com</t>
  </si>
  <si>
    <t>413-292-5139</t>
  </si>
  <si>
    <t>Gastevens</t>
  </si>
  <si>
    <t>Balan</t>
  </si>
  <si>
    <t>Gastevensbalan@gmail.com</t>
  </si>
  <si>
    <t>774-360-4231</t>
  </si>
  <si>
    <t>Ayala</t>
  </si>
  <si>
    <t>rikdigz@gmail.com</t>
  </si>
  <si>
    <t>661-404-0776</t>
  </si>
  <si>
    <t>Bakersfield</t>
  </si>
  <si>
    <t>Ethan</t>
  </si>
  <si>
    <t>Medeiros</t>
  </si>
  <si>
    <t>emedeiros6106@gmail.com</t>
  </si>
  <si>
    <t>508-558-0348</t>
  </si>
  <si>
    <t>Derek</t>
  </si>
  <si>
    <t>857-340-9517</t>
  </si>
  <si>
    <t xml:space="preserve">Cinthia </t>
  </si>
  <si>
    <t xml:space="preserve">cinthiasuastegui30@gmail.com </t>
  </si>
  <si>
    <t xml:space="preserve">(413) 292-5139 </t>
  </si>
  <si>
    <t xml:space="preserve">Rouillette </t>
  </si>
  <si>
    <t>brittanybrouillette@icloud.com</t>
  </si>
  <si>
    <t>508 964 9190</t>
  </si>
  <si>
    <t>Brookfield</t>
  </si>
  <si>
    <t xml:space="preserve">Shamika </t>
  </si>
  <si>
    <t xml:space="preserve"> Singleton </t>
  </si>
  <si>
    <t>shamikasingleton88@icloud.com</t>
  </si>
  <si>
    <t>781 974 0840</t>
  </si>
  <si>
    <t xml:space="preserve">Braintree </t>
  </si>
  <si>
    <t xml:space="preserve">Corey </t>
  </si>
  <si>
    <t>Bedard</t>
  </si>
  <si>
    <t>bedard2013@gmail.com</t>
  </si>
  <si>
    <t>802 428 3439</t>
  </si>
  <si>
    <t>Brattleboro</t>
  </si>
  <si>
    <t>VT</t>
  </si>
  <si>
    <t xml:space="preserve">ISABEL </t>
  </si>
  <si>
    <t>RODRIGUES</t>
  </si>
  <si>
    <t>774) 826-6690</t>
  </si>
  <si>
    <t xml:space="preserve">Markis </t>
  </si>
  <si>
    <t>Reynolds</t>
  </si>
  <si>
    <t>978 577 8590</t>
  </si>
  <si>
    <t>Taborda</t>
  </si>
  <si>
    <t>jaimetaborda38@gmail.com</t>
  </si>
  <si>
    <t>617 447 6487</t>
  </si>
  <si>
    <t xml:space="preserve">larrell </t>
  </si>
  <si>
    <t>Reed</t>
  </si>
  <si>
    <t>774 707 0023</t>
  </si>
  <si>
    <t>newbedford</t>
  </si>
  <si>
    <t>Puffer</t>
  </si>
  <si>
    <t>Ryandpuffer@gmail.com</t>
  </si>
  <si>
    <t>978) 939 3099</t>
  </si>
  <si>
    <t>Erving</t>
  </si>
  <si>
    <t xml:space="preserve">ROBERTO </t>
  </si>
  <si>
    <t>RABELO</t>
  </si>
  <si>
    <t>rob5rb@aol.com</t>
  </si>
  <si>
    <t>910-728-1116</t>
  </si>
  <si>
    <t>Belmont</t>
  </si>
  <si>
    <t xml:space="preserve">Laura </t>
  </si>
  <si>
    <t>MacNeil</t>
  </si>
  <si>
    <t>lalabloom1991@gmail.com</t>
  </si>
  <si>
    <t>508-847-3349</t>
  </si>
  <si>
    <t xml:space="preserve">worcester </t>
  </si>
  <si>
    <t>Georgia</t>
  </si>
  <si>
    <t xml:space="preserve">Silv </t>
  </si>
  <si>
    <t xml:space="preserve">georgiasarai@hotmail.com </t>
  </si>
  <si>
    <t xml:space="preserve">857) 346-8037 </t>
  </si>
  <si>
    <t>Joshua</t>
  </si>
  <si>
    <t xml:space="preserve">Sena </t>
  </si>
  <si>
    <t xml:space="preserve">jsena808@gmail.com </t>
  </si>
  <si>
    <t xml:space="preserve">747) 287-7169 </t>
  </si>
  <si>
    <t>Alessandro</t>
  </si>
  <si>
    <t xml:space="preserve"> Scirocco </t>
  </si>
  <si>
    <t xml:space="preserve">Alessandro.scirocco@yahoo.com </t>
  </si>
  <si>
    <t xml:space="preserve">(386) 414-6133 </t>
  </si>
  <si>
    <t xml:space="preserve">Cosmos </t>
  </si>
  <si>
    <t xml:space="preserve">Anyafo Obuobi </t>
  </si>
  <si>
    <t>kwesianyafo1986@gmail.com</t>
  </si>
  <si>
    <t xml:space="preserve">Abanoub </t>
  </si>
  <si>
    <t xml:space="preserve">Habib </t>
  </si>
  <si>
    <t>abanoubhabib1998@gmail.com</t>
  </si>
  <si>
    <t>781) 952 0455</t>
  </si>
  <si>
    <t xml:space="preserve">Trevon </t>
  </si>
  <si>
    <t xml:space="preserve"> Coleman </t>
  </si>
  <si>
    <t xml:space="preserve">trevonc44@gmail.com </t>
  </si>
  <si>
    <t xml:space="preserve">(617) 290-5358 </t>
  </si>
  <si>
    <t xml:space="preserve">Roxbury </t>
  </si>
  <si>
    <t xml:space="preserve">Enrique </t>
  </si>
  <si>
    <t xml:space="preserve">LaBounty </t>
  </si>
  <si>
    <t xml:space="preserve">enriquelabounty@gmail.com </t>
  </si>
  <si>
    <t xml:space="preserve">(978) 868-7651 </t>
  </si>
  <si>
    <t xml:space="preserve">Nicaury </t>
  </si>
  <si>
    <t xml:space="preserve"> De La Cruz</t>
  </si>
  <si>
    <t>nicaurydelacruzperez@gmail.com</t>
  </si>
  <si>
    <t>857-701-4580</t>
  </si>
  <si>
    <t>Dominique</t>
  </si>
  <si>
    <t>dominiquejean007@gmail.com</t>
  </si>
  <si>
    <t>760 997 3071</t>
  </si>
  <si>
    <t>Pflugerville</t>
  </si>
  <si>
    <t>Sidney</t>
  </si>
  <si>
    <t>508 408 3728</t>
  </si>
  <si>
    <t xml:space="preserve">Abdina </t>
  </si>
  <si>
    <t>Cisse</t>
  </si>
  <si>
    <t>AbdinaCisse57@gmail.com</t>
  </si>
  <si>
    <t>978-868-4932</t>
  </si>
  <si>
    <t>Babucarr</t>
  </si>
  <si>
    <t>Fatty</t>
  </si>
  <si>
    <t>fattybabucarr96@gmail.com</t>
  </si>
  <si>
    <t>401-744-7545</t>
  </si>
  <si>
    <t>Warwick RI</t>
  </si>
  <si>
    <t>Roberta</t>
  </si>
  <si>
    <t>Dos Santos Lopes</t>
  </si>
  <si>
    <t>robertalopes62@hotmail.com</t>
  </si>
  <si>
    <t>774-206-0582</t>
  </si>
  <si>
    <t>Jaizel</t>
  </si>
  <si>
    <t>Dukes</t>
  </si>
  <si>
    <t>jaizeldukes3@gmail.com</t>
  </si>
  <si>
    <t>857-308-7231</t>
  </si>
  <si>
    <t xml:space="preserve">Miguel </t>
  </si>
  <si>
    <t xml:space="preserve">Mercedes </t>
  </si>
  <si>
    <t xml:space="preserve">tropical2520@gmail.com </t>
  </si>
  <si>
    <t xml:space="preserve">(774) 461-2680 </t>
  </si>
  <si>
    <t xml:space="preserve">Alandre </t>
  </si>
  <si>
    <t xml:space="preserve">Francois </t>
  </si>
  <si>
    <t xml:space="preserve">alandrefrancois12@gmail.com </t>
  </si>
  <si>
    <t xml:space="preserve">857) 707-2819 </t>
  </si>
  <si>
    <t xml:space="preserve">Roben </t>
  </si>
  <si>
    <t>Dickerson</t>
  </si>
  <si>
    <t>Roben0023@yahoo.com</t>
  </si>
  <si>
    <t xml:space="preserve"> 617 646 9162</t>
  </si>
  <si>
    <t xml:space="preserve">Esemoh </t>
  </si>
  <si>
    <t>michaelatabongesemoh@gmail.com</t>
  </si>
  <si>
    <t xml:space="preserve">Traiquan </t>
  </si>
  <si>
    <t xml:space="preserve"> Menter </t>
  </si>
  <si>
    <t xml:space="preserve">trai_menter@icloud.com </t>
  </si>
  <si>
    <t xml:space="preserve">781) 500-1872 </t>
  </si>
  <si>
    <t xml:space="preserve">ABDULKADIR </t>
  </si>
  <si>
    <t xml:space="preserve"> A. YUSUF</t>
  </si>
  <si>
    <t>irrc2125@gmail.com</t>
  </si>
  <si>
    <t>857 204 2125</t>
  </si>
  <si>
    <t>Fornoh</t>
  </si>
  <si>
    <t xml:space="preserve">johnfornoh237@gmail.com </t>
  </si>
  <si>
    <t xml:space="preserve">781-500-2706 </t>
  </si>
  <si>
    <t xml:space="preserve">YAR </t>
  </si>
  <si>
    <t>YAR YUEL</t>
  </si>
  <si>
    <t>yar.ayuel@gmail.com</t>
  </si>
  <si>
    <t>857-523-5186</t>
  </si>
  <si>
    <t>Holden</t>
  </si>
  <si>
    <t>Ibrahima</t>
  </si>
  <si>
    <t>Sarr</t>
  </si>
  <si>
    <t>ibsoncity@gmail.com</t>
  </si>
  <si>
    <t>401-214-7698</t>
  </si>
  <si>
    <t xml:space="preserve">Rachel </t>
  </si>
  <si>
    <t>Ellison</t>
  </si>
  <si>
    <t>ellisrac37@gmail.com</t>
  </si>
  <si>
    <t>203494 5188</t>
  </si>
  <si>
    <t xml:space="preserve">Worcester, </t>
  </si>
  <si>
    <t>Masshire</t>
  </si>
  <si>
    <t xml:space="preserve">Aleah </t>
  </si>
  <si>
    <t>Johnson</t>
  </si>
  <si>
    <t>aleah52002@gmail.com</t>
  </si>
  <si>
    <t>347-814-4483</t>
  </si>
  <si>
    <t>Meriden</t>
  </si>
  <si>
    <t>Tobin</t>
  </si>
  <si>
    <t>isaiahtobin2024@gmail.com</t>
  </si>
  <si>
    <t>508-850-5829</t>
  </si>
  <si>
    <t xml:space="preserve">Bellingham  </t>
  </si>
  <si>
    <t>Indira</t>
  </si>
  <si>
    <t>Frederico</t>
  </si>
  <si>
    <t>indirafrederico@gmail.com</t>
  </si>
  <si>
    <t>857-233-7829</t>
  </si>
  <si>
    <t xml:space="preserve">Dorchester  </t>
  </si>
  <si>
    <t>Sheena</t>
  </si>
  <si>
    <t>White</t>
  </si>
  <si>
    <t>sheen.been@yahoo.com</t>
  </si>
  <si>
    <t>857-753-2126</t>
  </si>
  <si>
    <t>Bragg</t>
  </si>
  <si>
    <t>305-721-6430</t>
  </si>
  <si>
    <t xml:space="preserve">Jaimie </t>
  </si>
  <si>
    <t>jaichris25@gmail.com</t>
  </si>
  <si>
    <t>508 642 5232</t>
  </si>
  <si>
    <t xml:space="preserve">Kervens </t>
  </si>
  <si>
    <t xml:space="preserve">jean Jacques </t>
  </si>
  <si>
    <t>Vensky8105@gmail.com</t>
  </si>
  <si>
    <t>857-719-6502</t>
  </si>
  <si>
    <t>Jorge</t>
  </si>
  <si>
    <t xml:space="preserve"> paguada</t>
  </si>
  <si>
    <t>Jorgepaguada96@gmail.com</t>
  </si>
  <si>
    <t>774)641-6442</t>
  </si>
  <si>
    <t>Armand</t>
  </si>
  <si>
    <t>danielarmand77@live.com</t>
  </si>
  <si>
    <t>472-259-3402</t>
  </si>
  <si>
    <t>Rapoza</t>
  </si>
  <si>
    <t>Benrapoza@gmail.com</t>
  </si>
  <si>
    <t>508-730-8453</t>
  </si>
  <si>
    <t>Kayla</t>
  </si>
  <si>
    <t>Magnone</t>
  </si>
  <si>
    <t>kaylamagnone@gmail.com</t>
  </si>
  <si>
    <t>774-393-1126</t>
  </si>
  <si>
    <t xml:space="preserve">Charlton </t>
  </si>
  <si>
    <t>Matsatsi</t>
  </si>
  <si>
    <t>Hlatshwayo</t>
  </si>
  <si>
    <t>mhayise.posh@gmail.com</t>
  </si>
  <si>
    <t>413-265-4564</t>
  </si>
  <si>
    <t xml:space="preserve">Jhonson </t>
  </si>
  <si>
    <t xml:space="preserve">charles.jhonson@yahoo.com </t>
  </si>
  <si>
    <t>774 360 3367</t>
  </si>
  <si>
    <t xml:space="preserve">Currie </t>
  </si>
  <si>
    <t>caseycurrie1820@yahoo.com</t>
  </si>
  <si>
    <t>413) 523-6690</t>
  </si>
  <si>
    <t xml:space="preserve">Gloria </t>
  </si>
  <si>
    <t>Rosario</t>
  </si>
  <si>
    <t>rosariogloria149412@gmail.com</t>
  </si>
  <si>
    <t>(857) 693-0226</t>
  </si>
  <si>
    <t>Falandia</t>
  </si>
  <si>
    <t>pfalandia@gmail.com</t>
  </si>
  <si>
    <t>617-259-2659</t>
  </si>
  <si>
    <t>Deshea</t>
  </si>
  <si>
    <t>Kusi</t>
  </si>
  <si>
    <t>Desheakusi@yahoo.com</t>
  </si>
  <si>
    <t>508-304-3806</t>
  </si>
  <si>
    <t xml:space="preserve">Joe </t>
  </si>
  <si>
    <t>Chavez</t>
  </si>
  <si>
    <t>josephgchavez@icloud.com</t>
  </si>
  <si>
    <t>774-218-8908</t>
  </si>
  <si>
    <t>Esielionis</t>
  </si>
  <si>
    <t>jesielionis23@aol.com</t>
  </si>
  <si>
    <t>978-855-9902</t>
  </si>
  <si>
    <t xml:space="preserve">Falandia </t>
  </si>
  <si>
    <t xml:space="preserve">pfalandia@gmail.com </t>
  </si>
  <si>
    <t xml:space="preserve">(617) 259-2659 </t>
  </si>
  <si>
    <t xml:space="preserve">Deshea </t>
  </si>
  <si>
    <t xml:space="preserve"> Kusi </t>
  </si>
  <si>
    <t xml:space="preserve">Desheakusi@yahoo.com </t>
  </si>
  <si>
    <t xml:space="preserve">(508) 304-3806 </t>
  </si>
  <si>
    <t>Tabu</t>
  </si>
  <si>
    <t xml:space="preserve"> Loudric </t>
  </si>
  <si>
    <t xml:space="preserve">loudrictabu@gmail.com </t>
  </si>
  <si>
    <t xml:space="preserve">774) 225-7703 </t>
  </si>
  <si>
    <t>Whitinsville</t>
  </si>
  <si>
    <t xml:space="preserve"> Esielionis </t>
  </si>
  <si>
    <t xml:space="preserve">jesielionis23@aol.com </t>
  </si>
  <si>
    <t xml:space="preserve">978) 855-9902 </t>
  </si>
  <si>
    <t>Sedat</t>
  </si>
  <si>
    <t xml:space="preserve">Guclu </t>
  </si>
  <si>
    <t xml:space="preserve">sedatguclu1625@gmail.com </t>
  </si>
  <si>
    <t xml:space="preserve">(573) 286-8246 </t>
  </si>
  <si>
    <t>leonardo (Leo)</t>
  </si>
  <si>
    <t xml:space="preserve"> derose </t>
  </si>
  <si>
    <t xml:space="preserve">deroseleo@outlook.com </t>
  </si>
  <si>
    <t xml:space="preserve">(954) 886-3744 </t>
  </si>
  <si>
    <t>Tye</t>
  </si>
  <si>
    <t xml:space="preserve">Andrade </t>
  </si>
  <si>
    <t xml:space="preserve">tandrade01@comcast.net </t>
  </si>
  <si>
    <t xml:space="preserve">774 520 8009 </t>
  </si>
  <si>
    <t xml:space="preserve"> Adams </t>
  </si>
  <si>
    <t xml:space="preserve">emilybadams2@gmail.com </t>
  </si>
  <si>
    <t xml:space="preserve">304) 406-2282 </t>
  </si>
  <si>
    <t>Fairmont</t>
  </si>
  <si>
    <t>WV</t>
  </si>
  <si>
    <t xml:space="preserve">jaylene </t>
  </si>
  <si>
    <t xml:space="preserve">Quezada </t>
  </si>
  <si>
    <t xml:space="preserve">jaylenequezada54@gmail.com </t>
  </si>
  <si>
    <t xml:space="preserve">(603) 553-7693 </t>
  </si>
  <si>
    <t xml:space="preserve">Mauricio </t>
  </si>
  <si>
    <t xml:space="preserve">Leon Silva Orozco </t>
  </si>
  <si>
    <t xml:space="preserve">mauriciosilva419@icloud.com </t>
  </si>
  <si>
    <t xml:space="preserve">(978) 893-6445 </t>
  </si>
  <si>
    <t xml:space="preserve">Cherry Valley </t>
  </si>
  <si>
    <t xml:space="preserve">Alexa </t>
  </si>
  <si>
    <t xml:space="preserve">Ramirez </t>
  </si>
  <si>
    <t>jobalexa.777@gmail.com</t>
  </si>
  <si>
    <t xml:space="preserve">413)236-7022 </t>
  </si>
  <si>
    <t xml:space="preserve">Dolan </t>
  </si>
  <si>
    <t>Jon Cassone</t>
  </si>
  <si>
    <t>21cassonedj@gmail.com</t>
  </si>
  <si>
    <t>207-316-6090</t>
  </si>
  <si>
    <t xml:space="preserve"> Madawaska</t>
  </si>
  <si>
    <t>ME</t>
  </si>
  <si>
    <t>JJUUKO</t>
  </si>
  <si>
    <t>rjjuuko281@gmail.com</t>
  </si>
  <si>
    <t>781 215 3595</t>
  </si>
  <si>
    <t xml:space="preserve">Ben </t>
  </si>
  <si>
    <t>Thompson</t>
  </si>
  <si>
    <t>brunothompson2005@icloud.com</t>
  </si>
  <si>
    <t>978-380-0518</t>
  </si>
  <si>
    <t>Westmnster</t>
  </si>
  <si>
    <t xml:space="preserve">Samuel </t>
  </si>
  <si>
    <t xml:space="preserve">Samyjean1982@gmail.com </t>
  </si>
  <si>
    <t xml:space="preserve">(781) 692-1783 </t>
  </si>
  <si>
    <t xml:space="preserve"> D’Amico </t>
  </si>
  <si>
    <t xml:space="preserve">jeffdamico08@gmail.com </t>
  </si>
  <si>
    <t xml:space="preserve">(508) 221-7695 </t>
  </si>
  <si>
    <t>Ashburnham</t>
  </si>
  <si>
    <t xml:space="preserve">English </t>
  </si>
  <si>
    <t>DSEnglish2103@gmail.com</t>
  </si>
  <si>
    <t>978)833-3235</t>
  </si>
  <si>
    <t>Anyell</t>
  </si>
  <si>
    <t xml:space="preserve"> Rodriguez </t>
  </si>
  <si>
    <t xml:space="preserve">joubertar23@gmail.com </t>
  </si>
  <si>
    <t xml:space="preserve">(413) 426-8923 </t>
  </si>
  <si>
    <t>Chicopee,</t>
  </si>
  <si>
    <t xml:space="preserve">Gilbert </t>
  </si>
  <si>
    <t xml:space="preserve"> Delestre</t>
  </si>
  <si>
    <t>Gilbert_delestre@yahoo.com</t>
  </si>
  <si>
    <t>978) 846-3864</t>
  </si>
  <si>
    <t>Jason</t>
  </si>
  <si>
    <t>Uccello</t>
  </si>
  <si>
    <t>jaydog7714@gmail.com</t>
  </si>
  <si>
    <t>978 942 1835</t>
  </si>
  <si>
    <t xml:space="preserve">Chairen </t>
  </si>
  <si>
    <t xml:space="preserve">Desmaratte </t>
  </si>
  <si>
    <t xml:space="preserve">desmarattechairen@gmail.com </t>
  </si>
  <si>
    <t xml:space="preserve">(617) 582-3037 </t>
  </si>
  <si>
    <t>Marshfield</t>
  </si>
  <si>
    <t>Jones</t>
  </si>
  <si>
    <t>Monique.ev.jones@gmail.com</t>
  </si>
  <si>
    <t>(857) 207-6046</t>
  </si>
  <si>
    <t>South Easton</t>
  </si>
  <si>
    <t xml:space="preserve">Abigail </t>
  </si>
  <si>
    <t>Churchill</t>
  </si>
  <si>
    <t>abigail.churchill001@umb.edu</t>
  </si>
  <si>
    <t>(508) 905-9184</t>
  </si>
  <si>
    <t>Joy</t>
  </si>
  <si>
    <t>857-409-6403</t>
  </si>
  <si>
    <t>Kevin</t>
  </si>
  <si>
    <t xml:space="preserve">Kubinec </t>
  </si>
  <si>
    <t>Kevinkubinec008@gmail.com</t>
  </si>
  <si>
    <t>(857) 237-4987</t>
  </si>
  <si>
    <t>Wesly</t>
  </si>
  <si>
    <t>Delvoix</t>
  </si>
  <si>
    <t>delvoixwesly@gmail.com</t>
  </si>
  <si>
    <t>(857) 492-2977</t>
  </si>
  <si>
    <t>Kirby</t>
  </si>
  <si>
    <t>Armynursekirb@hotmail.com</t>
  </si>
  <si>
    <t>(339) 440-0288</t>
  </si>
  <si>
    <t>Whitman</t>
  </si>
  <si>
    <t>Sarah</t>
  </si>
  <si>
    <t>Ribeiro</t>
  </si>
  <si>
    <t>Sarah.Ribeiro001@umb.edu</t>
  </si>
  <si>
    <t>774-778-3277</t>
  </si>
  <si>
    <t xml:space="preserve">Sputo Jr </t>
  </si>
  <si>
    <t xml:space="preserve">mikesputo@icloud.com </t>
  </si>
  <si>
    <t xml:space="preserve">(774) 275-7702 </t>
  </si>
  <si>
    <t xml:space="preserve">Mary </t>
  </si>
  <si>
    <t xml:space="preserve"> Ndwiga </t>
  </si>
  <si>
    <t>twigs009@gmail.com</t>
  </si>
  <si>
    <t xml:space="preserve">978 398 2340 </t>
  </si>
  <si>
    <t xml:space="preserve">Philip </t>
  </si>
  <si>
    <t xml:space="preserve"> jacques jr</t>
  </si>
  <si>
    <t>philip1024te@icloud.com</t>
  </si>
  <si>
    <t>(401) 346-6149</t>
  </si>
  <si>
    <t xml:space="preserve">Martian </t>
  </si>
  <si>
    <t xml:space="preserve">Nathanmartin377@gmail.com </t>
  </si>
  <si>
    <t>(978) 501-5373</t>
  </si>
  <si>
    <t xml:space="preserve"> Simister </t>
  </si>
  <si>
    <t xml:space="preserve">psimister@yahoo.com </t>
  </si>
  <si>
    <t xml:space="preserve">(508) 677-6979 </t>
  </si>
  <si>
    <t>FALL RIVER</t>
  </si>
  <si>
    <t xml:space="preserve">  10/31/2025                          </t>
  </si>
  <si>
    <t xml:space="preserve">Eduardo </t>
  </si>
  <si>
    <t>Rodriguez</t>
  </si>
  <si>
    <t>7odriguez@gmail.com</t>
  </si>
  <si>
    <t>617 903 2876</t>
  </si>
  <si>
    <t xml:space="preserve">indeed </t>
  </si>
  <si>
    <t>Meaghan</t>
  </si>
  <si>
    <t>Krim</t>
  </si>
  <si>
    <t>meag.renee@yahoo.com</t>
  </si>
  <si>
    <t>508-846-5240</t>
  </si>
  <si>
    <t xml:space="preserve">Landaverde </t>
  </si>
  <si>
    <t xml:space="preserve">jackylandaverde62@icloud.com </t>
  </si>
  <si>
    <t xml:space="preserve">(857) 498-4471 </t>
  </si>
  <si>
    <t>Yuliana</t>
  </si>
  <si>
    <t xml:space="preserve"> Barrera </t>
  </si>
  <si>
    <t xml:space="preserve">yuls52012@icloud.com </t>
  </si>
  <si>
    <t xml:space="preserve">(781) 392-4748 </t>
  </si>
  <si>
    <t>Kendra</t>
  </si>
  <si>
    <t xml:space="preserve"> Luibrand </t>
  </si>
  <si>
    <t xml:space="preserve">kendraluibrand17@gmail.com </t>
  </si>
  <si>
    <t xml:space="preserve">518) 221-5312 </t>
  </si>
  <si>
    <t xml:space="preserve"> Gardner</t>
  </si>
  <si>
    <t>nickgardner088@gmail.com</t>
  </si>
  <si>
    <t>(978) 577-9764</t>
  </si>
  <si>
    <t xml:space="preserve">Lemominster </t>
  </si>
  <si>
    <t xml:space="preserve">Jane </t>
  </si>
  <si>
    <t xml:space="preserve">Jane Sheffler </t>
  </si>
  <si>
    <t xml:space="preserve">Mrssheffler@gmail.com </t>
  </si>
  <si>
    <t xml:space="preserve">(952) 221-7039 </t>
  </si>
  <si>
    <t>AMHERST</t>
  </si>
  <si>
    <t xml:space="preserve">Jureau </t>
  </si>
  <si>
    <t xml:space="preserve"> Louissaint </t>
  </si>
  <si>
    <t xml:space="preserve">louissaintjureau@gmail.com </t>
  </si>
  <si>
    <t xml:space="preserve">(929) 680-6371 </t>
  </si>
  <si>
    <t xml:space="preserve"> Marcena Rodrigues</t>
  </si>
  <si>
    <t>978 505 3801</t>
  </si>
  <si>
    <t>Concord</t>
  </si>
  <si>
    <t xml:space="preserve">Venil </t>
  </si>
  <si>
    <t>Kathiravan</t>
  </si>
  <si>
    <t>venilkathiravan827@gmail.com</t>
  </si>
  <si>
    <t>978-799-8069</t>
  </si>
  <si>
    <t xml:space="preserve">Lowell, MA </t>
  </si>
  <si>
    <t>Brantman</t>
  </si>
  <si>
    <t>joshuab.93@icloud.com</t>
  </si>
  <si>
    <t>845-391-6405</t>
  </si>
  <si>
    <t>Newburgh</t>
  </si>
  <si>
    <t xml:space="preserve">Sindrick </t>
  </si>
  <si>
    <t xml:space="preserve">simplice </t>
  </si>
  <si>
    <t xml:space="preserve">ceddycuz@gmail.com </t>
  </si>
  <si>
    <t>Raynham</t>
  </si>
  <si>
    <t xml:space="preserve">Barbosa </t>
  </si>
  <si>
    <t xml:space="preserve">usarmy91@gmail.com </t>
  </si>
  <si>
    <t xml:space="preserve">857) 230-8943 </t>
  </si>
  <si>
    <t xml:space="preserve">Louissaint </t>
  </si>
  <si>
    <t xml:space="preserve"> Jureau </t>
  </si>
  <si>
    <t xml:space="preserve">ljureau28@gmail.com </t>
  </si>
  <si>
    <t xml:space="preserve">929) 680-6371 </t>
  </si>
  <si>
    <t xml:space="preserve">Bruno </t>
  </si>
  <si>
    <t xml:space="preserve"> Akuta </t>
  </si>
  <si>
    <t xml:space="preserve">ogbnt@yahoo.com </t>
  </si>
  <si>
    <t xml:space="preserve">(346) 932-9869 </t>
  </si>
  <si>
    <t xml:space="preserve">Houston </t>
  </si>
  <si>
    <t xml:space="preserve">Tamara </t>
  </si>
  <si>
    <t xml:space="preserve"> Dominguez Lugo </t>
  </si>
  <si>
    <t xml:space="preserve">tdominguez401@gmail.com </t>
  </si>
  <si>
    <t xml:space="preserve">(401) 633-2873 </t>
  </si>
  <si>
    <t xml:space="preserve">Margarita </t>
  </si>
  <si>
    <t xml:space="preserve"> Flaherty-Dever</t>
  </si>
  <si>
    <t>margaritaaxo@icloud.com</t>
  </si>
  <si>
    <t>781-974-8302</t>
  </si>
  <si>
    <t xml:space="preserve">lubin </t>
  </si>
  <si>
    <t xml:space="preserve">Lubinernest8@gmail.com </t>
  </si>
  <si>
    <t xml:space="preserve">(978) 328-4623 </t>
  </si>
  <si>
    <t xml:space="preserve">Shamara </t>
  </si>
  <si>
    <t xml:space="preserve"> Grate </t>
  </si>
  <si>
    <t xml:space="preserve">shamaragrate22@gmail.com </t>
  </si>
  <si>
    <t xml:space="preserve">(203) 535-4274 </t>
  </si>
  <si>
    <t>WINDSOR</t>
  </si>
  <si>
    <t xml:space="preserve">Hayley </t>
  </si>
  <si>
    <t xml:space="preserve"> Maltz </t>
  </si>
  <si>
    <t xml:space="preserve">hmaltz25@gmail.com </t>
  </si>
  <si>
    <t xml:space="preserve">(978) 333-6082 </t>
  </si>
  <si>
    <t>Agawam</t>
  </si>
  <si>
    <t xml:space="preserve"> Alvarado </t>
  </si>
  <si>
    <t xml:space="preserve">justinalvarado3@gmail.com </t>
  </si>
  <si>
    <t xml:space="preserve">413) 209-6778 </t>
  </si>
  <si>
    <t xml:space="preserve"> Dean </t>
  </si>
  <si>
    <t xml:space="preserve">adean0175@outlook.com </t>
  </si>
  <si>
    <t xml:space="preserve">980) 298-7374 </t>
  </si>
  <si>
    <t>PIERRE</t>
  </si>
  <si>
    <t xml:space="preserve"> DESIR</t>
  </si>
  <si>
    <t>ppdesir@gmail.com</t>
  </si>
  <si>
    <t xml:space="preserve">401) 457-8352 </t>
  </si>
  <si>
    <t>North Providence</t>
  </si>
  <si>
    <t>KATRINA</t>
  </si>
  <si>
    <t>JONES</t>
  </si>
  <si>
    <t>Freeman.zander24@icloud.com</t>
  </si>
  <si>
    <t xml:space="preserve">785-491-5758 </t>
  </si>
  <si>
    <t xml:space="preserve">KS </t>
  </si>
  <si>
    <t xml:space="preserve">Miquel </t>
  </si>
  <si>
    <t>Cordova</t>
  </si>
  <si>
    <t>amazingmac90@gmail.com</t>
  </si>
  <si>
    <t>774 435 1124</t>
  </si>
  <si>
    <t>Plymouth</t>
  </si>
  <si>
    <t xml:space="preserve">Mohammed </t>
  </si>
  <si>
    <t>Baba Issah</t>
  </si>
  <si>
    <t>mohammedissahohio@gmail.com</t>
  </si>
  <si>
    <t>(848) 348-1548</t>
  </si>
  <si>
    <t xml:space="preserve">Columbus </t>
  </si>
  <si>
    <t>OH</t>
  </si>
  <si>
    <t xml:space="preserve">Nikendy </t>
  </si>
  <si>
    <t>Desarmes</t>
  </si>
  <si>
    <t>Ndesarmes.1@gmail.com</t>
  </si>
  <si>
    <t xml:space="preserve">617-653-8317 </t>
  </si>
  <si>
    <t>Rebecca</t>
  </si>
  <si>
    <t>Grintchenko</t>
  </si>
  <si>
    <t>rgrintchenko1@yahoo.com</t>
  </si>
  <si>
    <t>(401) 474-5353</t>
  </si>
  <si>
    <t>JUDITH</t>
  </si>
  <si>
    <t>BROWN</t>
  </si>
  <si>
    <t>judith.brown@mass.gov</t>
  </si>
  <si>
    <t>774-381-7188</t>
  </si>
  <si>
    <t xml:space="preserve">Carlton </t>
  </si>
  <si>
    <t>Kemp</t>
  </si>
  <si>
    <t>ckempa88@gmail.com</t>
  </si>
  <si>
    <t>774 262 2285</t>
  </si>
  <si>
    <t>BRIAN</t>
  </si>
  <si>
    <t>GALLAGHER</t>
  </si>
  <si>
    <t>Bgallagher984@gmail.com</t>
  </si>
  <si>
    <t>(508) 451-3199</t>
  </si>
  <si>
    <t xml:space="preserve">Ashley </t>
  </si>
  <si>
    <t>Saint Hilaire</t>
  </si>
  <si>
    <t>ashleysainthilaire@yahoo.com</t>
  </si>
  <si>
    <t>857-207-6090</t>
  </si>
  <si>
    <t xml:space="preserve">Tonya </t>
  </si>
  <si>
    <t>Morris</t>
  </si>
  <si>
    <t>tonyalmorris@gmail.com</t>
  </si>
  <si>
    <t>617-697-6865</t>
  </si>
  <si>
    <t>peter.james205@yahoo.com</t>
  </si>
  <si>
    <t>678-608-7486</t>
  </si>
  <si>
    <t>Isaiah</t>
  </si>
  <si>
    <t>24ibrown66@gmail.com</t>
  </si>
  <si>
    <t>401-545-8827</t>
  </si>
  <si>
    <t>Rumford</t>
  </si>
  <si>
    <t xml:space="preserve">Fitzgerald </t>
  </si>
  <si>
    <t>fitzemt@yahoo.com</t>
  </si>
  <si>
    <t>617-840-9864</t>
  </si>
  <si>
    <t>AIDEYANOBA</t>
  </si>
  <si>
    <t xml:space="preserve"> EGUAOJE </t>
  </si>
  <si>
    <t xml:space="preserve">shemeg2000@yahoo.com </t>
  </si>
  <si>
    <t>508-436-3921</t>
  </si>
  <si>
    <t xml:space="preserve"> Gomes </t>
  </si>
  <si>
    <t xml:space="preserve">agomes1212@icloud.com </t>
  </si>
  <si>
    <t xml:space="preserve">(774) 242-8271 </t>
  </si>
  <si>
    <t xml:space="preserve">New Submission/ Lead </t>
  </si>
  <si>
    <t xml:space="preserve">Romulo </t>
  </si>
  <si>
    <t xml:space="preserve">Almeida </t>
  </si>
  <si>
    <t xml:space="preserve">romulojl2017@gmail.com </t>
  </si>
  <si>
    <t xml:space="preserve">(913) 489-1449 </t>
  </si>
  <si>
    <t>Overland Park</t>
  </si>
  <si>
    <t>KA</t>
  </si>
  <si>
    <t>Jonathan</t>
  </si>
  <si>
    <t xml:space="preserve">Telusma </t>
  </si>
  <si>
    <t xml:space="preserve">telusmaj@gmail.com </t>
  </si>
  <si>
    <t xml:space="preserve">(774) 297-3076 </t>
  </si>
  <si>
    <t xml:space="preserve">Robyn </t>
  </si>
  <si>
    <t xml:space="preserve"> Ufema </t>
  </si>
  <si>
    <t xml:space="preserve">Ufema14@gmail.com </t>
  </si>
  <si>
    <t xml:space="preserve">(978) 895-2687 </t>
  </si>
  <si>
    <t xml:space="preserve">Ininahazwe </t>
  </si>
  <si>
    <t>Fyna</t>
  </si>
  <si>
    <t>ininahazwefyna@gmail.com</t>
  </si>
  <si>
    <t xml:space="preserve">Xavian </t>
  </si>
  <si>
    <t>Batallas</t>
  </si>
  <si>
    <t>978-790-9195</t>
  </si>
  <si>
    <t xml:space="preserve">Julisa </t>
  </si>
  <si>
    <t>velazquez rivera</t>
  </si>
  <si>
    <t>julianx33@icloud.com</t>
  </si>
  <si>
    <t>781 535 1154</t>
  </si>
  <si>
    <t xml:space="preserve"> Holley</t>
  </si>
  <si>
    <t>Shantoria</t>
  </si>
  <si>
    <t>holley1554@gmail.com</t>
  </si>
  <si>
    <t>407-402-5093</t>
  </si>
  <si>
    <t xml:space="preserve">Mindy </t>
  </si>
  <si>
    <t>mindypierre@yahoo.com</t>
  </si>
  <si>
    <t>617 802 1680</t>
  </si>
  <si>
    <t>Almeida</t>
  </si>
  <si>
    <t>romulojl2017@gmail.com</t>
  </si>
  <si>
    <t>(913) 489-1449</t>
  </si>
  <si>
    <t xml:space="preserve">Antonio </t>
  </si>
  <si>
    <t xml:space="preserve">Ramos </t>
  </si>
  <si>
    <t>ramosantunesresendeantonio@gmail.com</t>
  </si>
  <si>
    <t xml:space="preserve">Jaythan </t>
  </si>
  <si>
    <t xml:space="preserve">Lauture </t>
  </si>
  <si>
    <t xml:space="preserve">jaythanlauture@gmail.com </t>
  </si>
  <si>
    <t xml:space="preserve">508) 930-8571 </t>
  </si>
  <si>
    <t xml:space="preserve"> Galipeau </t>
  </si>
  <si>
    <t xml:space="preserve">jgalipeau3570@yahoo.com </t>
  </si>
  <si>
    <t xml:space="preserve">(219) 241-3552 </t>
  </si>
  <si>
    <t xml:space="preserve">Valparaiso </t>
  </si>
  <si>
    <t xml:space="preserve">Kelvin </t>
  </si>
  <si>
    <t xml:space="preserve">Nuamah </t>
  </si>
  <si>
    <t>nuamahkelvin@gmail.com</t>
  </si>
  <si>
    <t xml:space="preserve"> M Mubuuke</t>
  </si>
  <si>
    <t>978 596 5164</t>
  </si>
  <si>
    <t xml:space="preserve">Marckee </t>
  </si>
  <si>
    <t>Hull</t>
  </si>
  <si>
    <t>marchull16@gmail.com</t>
  </si>
  <si>
    <t>401 225 3727</t>
  </si>
  <si>
    <t xml:space="preserve">Nicolas </t>
  </si>
  <si>
    <t xml:space="preserve">Stone </t>
  </si>
  <si>
    <t>nick.stoney021@gmail.com</t>
  </si>
  <si>
    <t>978-868-6303</t>
  </si>
  <si>
    <t xml:space="preserve"> McGreevey</t>
  </si>
  <si>
    <t xml:space="preserve">mcgreeveys91@yahoo.com </t>
  </si>
  <si>
    <t>781 572 2809</t>
  </si>
  <si>
    <t>Clarksville</t>
  </si>
  <si>
    <t xml:space="preserve">KERI </t>
  </si>
  <si>
    <t>ELOI</t>
  </si>
  <si>
    <t>KELOI1990@GMAIL.COM</t>
  </si>
  <si>
    <t>857-500-9209</t>
  </si>
  <si>
    <t>Chester</t>
  </si>
  <si>
    <t>dallascowboys2018@yahoo.com</t>
  </si>
  <si>
    <t>617-417-5688</t>
  </si>
  <si>
    <t>Chelmsford,</t>
  </si>
  <si>
    <t>Frazer</t>
  </si>
  <si>
    <t>508 939 0206</t>
  </si>
  <si>
    <t>Desilier</t>
  </si>
  <si>
    <t>Joeldesilier2@gmail.com</t>
  </si>
  <si>
    <t>508-802-3135</t>
  </si>
  <si>
    <t>Newbedford</t>
  </si>
  <si>
    <t xml:space="preserve">Julianna </t>
  </si>
  <si>
    <t xml:space="preserve">Dumark </t>
  </si>
  <si>
    <t xml:space="preserve">jmdumark2005@gmail.com </t>
  </si>
  <si>
    <t xml:space="preserve">(603) 409-0542 </t>
  </si>
  <si>
    <t xml:space="preserve">Alain </t>
  </si>
  <si>
    <t xml:space="preserve"> Fru Formala </t>
  </si>
  <si>
    <t xml:space="preserve">alain.fru2010@gmail.com </t>
  </si>
  <si>
    <t xml:space="preserve">651) 442-7409 </t>
  </si>
  <si>
    <t>leominster</t>
  </si>
  <si>
    <t xml:space="preserve">Nyasia </t>
  </si>
  <si>
    <t xml:space="preserve"> Barros Veiga</t>
  </si>
  <si>
    <t>nyaveiga58@gmail.com</t>
  </si>
  <si>
    <t>857-221-2623</t>
  </si>
  <si>
    <t>Denisse</t>
  </si>
  <si>
    <t xml:space="preserve">drodriguez25.dr@gmail.com </t>
  </si>
  <si>
    <t xml:space="preserve">(413) 883-2127 </t>
  </si>
  <si>
    <t xml:space="preserve">Shihab </t>
  </si>
  <si>
    <t xml:space="preserve"> Fatiwala </t>
  </si>
  <si>
    <t xml:space="preserve">sfatiwala786@gmail.com </t>
  </si>
  <si>
    <t xml:space="preserve">617) 251-5473 </t>
  </si>
  <si>
    <t xml:space="preserve"> Ortega</t>
  </si>
  <si>
    <t>jaro4507@gmail.com</t>
  </si>
  <si>
    <t>(603) 406-3724</t>
  </si>
  <si>
    <t xml:space="preserve">Daymione </t>
  </si>
  <si>
    <t>Powe</t>
  </si>
  <si>
    <t>774 428 1662</t>
  </si>
  <si>
    <t>East Bridgewater</t>
  </si>
  <si>
    <t>Mukiibi</t>
  </si>
  <si>
    <t xml:space="preserve">mukiibibernard0@gmail.com </t>
  </si>
  <si>
    <t>774 701 3054</t>
  </si>
  <si>
    <t>Jack</t>
  </si>
  <si>
    <t>Ottaviano</t>
  </si>
  <si>
    <t>Jtottaviano@gmail.com</t>
  </si>
  <si>
    <t>(508) 564-2048</t>
  </si>
  <si>
    <t>Sandwich</t>
  </si>
  <si>
    <t>sofia</t>
  </si>
  <si>
    <t>dominguez</t>
  </si>
  <si>
    <t>sofiadominguez1907@gmail.com</t>
  </si>
  <si>
    <t>(978) 971-1907</t>
  </si>
  <si>
    <t>methuen</t>
  </si>
  <si>
    <t>Damari</t>
  </si>
  <si>
    <t xml:space="preserve">Reddix </t>
  </si>
  <si>
    <t>damarireddix@yahoo.com</t>
  </si>
  <si>
    <t>(508) 846-3332</t>
  </si>
  <si>
    <t>Ashley</t>
  </si>
  <si>
    <t>Cabrera</t>
  </si>
  <si>
    <t>cabrera519007@gmail.com</t>
  </si>
  <si>
    <t>(857) 247-4407</t>
  </si>
  <si>
    <t>Fajr</t>
  </si>
  <si>
    <t xml:space="preserve">Ahmad </t>
  </si>
  <si>
    <t>fajr28561@gmail.com</t>
  </si>
  <si>
    <t>774-318-7997</t>
  </si>
  <si>
    <t>Charlton</t>
  </si>
  <si>
    <t xml:space="preserve">Event </t>
  </si>
  <si>
    <t>Luke</t>
  </si>
  <si>
    <t>Rogan</t>
  </si>
  <si>
    <t>Luke.rogan@nichols.edu</t>
  </si>
  <si>
    <t>(508) 850-5169</t>
  </si>
  <si>
    <t xml:space="preserve">Mansfield </t>
  </si>
  <si>
    <t>Zachary</t>
  </si>
  <si>
    <t>Noyes</t>
  </si>
  <si>
    <t>znoyes46@gmail.com</t>
  </si>
  <si>
    <t>(860) 936-8980</t>
  </si>
  <si>
    <t>Southington</t>
  </si>
  <si>
    <t>Shawanna</t>
  </si>
  <si>
    <t>Wright</t>
  </si>
  <si>
    <t>shawannawright257@gmail.com</t>
  </si>
  <si>
    <t>(614) 962-0701</t>
  </si>
  <si>
    <t>Westerville</t>
  </si>
  <si>
    <t>Gianna</t>
  </si>
  <si>
    <t>Filtranti</t>
  </si>
  <si>
    <t>gianna.filtranti@nichols.edu</t>
  </si>
  <si>
    <t>(978) 412-6188</t>
  </si>
  <si>
    <t>Amesbury</t>
  </si>
  <si>
    <t>Nichols College Prep for the Process</t>
  </si>
  <si>
    <t>Mitchel</t>
  </si>
  <si>
    <t>Adamson</t>
  </si>
  <si>
    <t>madamson0627@gmail.com</t>
  </si>
  <si>
    <t>(617) 335-6876</t>
  </si>
  <si>
    <t xml:space="preserve">Gedeon </t>
  </si>
  <si>
    <t>Endeshaw</t>
  </si>
  <si>
    <t>Gedeon.Endeshaw85@gmail.com</t>
  </si>
  <si>
    <t>(617) 792-8715</t>
  </si>
  <si>
    <t xml:space="preserve">Bryce </t>
  </si>
  <si>
    <t xml:space="preserve">Bonville </t>
  </si>
  <si>
    <t>Bonvillbryce@gmail.com</t>
  </si>
  <si>
    <t>(518) 730-8223</t>
  </si>
  <si>
    <t xml:space="preserve">Waterford </t>
  </si>
  <si>
    <t>Lillian</t>
  </si>
  <si>
    <t>Barkley</t>
  </si>
  <si>
    <t>Lily.barkley@nichols.edu</t>
  </si>
  <si>
    <t>(617) 529-5042</t>
  </si>
  <si>
    <t>Nichols college prep for the process</t>
  </si>
  <si>
    <t>Jackson.hernandez@nichols.edu</t>
  </si>
  <si>
    <t>(401) 525-0979</t>
  </si>
  <si>
    <t>Charlestown</t>
  </si>
  <si>
    <t>Harper</t>
  </si>
  <si>
    <t xml:space="preserve">Hutchings </t>
  </si>
  <si>
    <t>Harpersage44@gmail.com</t>
  </si>
  <si>
    <t>(774) 242-1041</t>
  </si>
  <si>
    <t xml:space="preserve">Barboza </t>
  </si>
  <si>
    <t xml:space="preserve">barboza_matthew@yahoo.com </t>
  </si>
  <si>
    <t xml:space="preserve">(401) 338-2726 </t>
  </si>
  <si>
    <t>Emma</t>
  </si>
  <si>
    <t>Faria</t>
  </si>
  <si>
    <t>emmalynnfaria@gmail.com</t>
  </si>
  <si>
    <t>(508) 612-0667</t>
  </si>
  <si>
    <t xml:space="preserve">north attleboro </t>
  </si>
  <si>
    <t>ivan</t>
  </si>
  <si>
    <t>fontanez rivera</t>
  </si>
  <si>
    <t>fontanezivan222@gmail.com</t>
  </si>
  <si>
    <t>(401) 449-0035</t>
  </si>
  <si>
    <t xml:space="preserve">North attleboro </t>
  </si>
  <si>
    <t xml:space="preserve">Quaknesha </t>
  </si>
  <si>
    <t xml:space="preserve">Garvin-Johnson </t>
  </si>
  <si>
    <t xml:space="preserve">Quakneshagj@gmail.com </t>
  </si>
  <si>
    <t xml:space="preserve">857) 236-7798 </t>
  </si>
  <si>
    <t xml:space="preserve">Tracey </t>
  </si>
  <si>
    <t xml:space="preserve">Nareau </t>
  </si>
  <si>
    <t xml:space="preserve">Tposusky@gmail.com </t>
  </si>
  <si>
    <t xml:space="preserve">(413) 668-8937 </t>
  </si>
  <si>
    <t xml:space="preserve">Westfield </t>
  </si>
  <si>
    <t xml:space="preserve">Adrienne </t>
  </si>
  <si>
    <t xml:space="preserve"> Barakis </t>
  </si>
  <si>
    <t xml:space="preserve">barakismusic@gmail.com </t>
  </si>
  <si>
    <t xml:space="preserve">(281) 732-7998 </t>
  </si>
  <si>
    <t xml:space="preserve"> Scarbrough </t>
  </si>
  <si>
    <t xml:space="preserve">jamesrscarbrough@gmail.com </t>
  </si>
  <si>
    <t xml:space="preserve">315) 378-3917 </t>
  </si>
  <si>
    <t xml:space="preserve">Dawn </t>
  </si>
  <si>
    <t xml:space="preserve">Dawn Bryson </t>
  </si>
  <si>
    <t xml:space="preserve">brysondawn097@gmail.com </t>
  </si>
  <si>
    <t xml:space="preserve">508) 733-0638 </t>
  </si>
  <si>
    <t xml:space="preserve">Aubens </t>
  </si>
  <si>
    <t xml:space="preserve"> Fermine </t>
  </si>
  <si>
    <t>benslawyer1@gmail.com</t>
  </si>
  <si>
    <t xml:space="preserve">(614) 974-3949 </t>
  </si>
  <si>
    <t xml:space="preserve">Dominique </t>
  </si>
  <si>
    <t xml:space="preserve">dominiquenelson1991@gmail.com </t>
  </si>
  <si>
    <t xml:space="preserve">(617) 609-9084 </t>
  </si>
  <si>
    <t>Aidan</t>
  </si>
  <si>
    <t xml:space="preserve"> Borden </t>
  </si>
  <si>
    <t xml:space="preserve">aborden881@gmail.com </t>
  </si>
  <si>
    <t xml:space="preserve">774) 368-0657 </t>
  </si>
  <si>
    <t xml:space="preserve">Webert </t>
  </si>
  <si>
    <t xml:space="preserve">Vaval </t>
  </si>
  <si>
    <t>Webert3576@gmail.com</t>
  </si>
  <si>
    <t>(617)609-9332</t>
  </si>
  <si>
    <t>Martins</t>
  </si>
  <si>
    <t>tatianamartins1996@icloud.com</t>
  </si>
  <si>
    <t>508-649-6037</t>
  </si>
  <si>
    <t>Perla</t>
  </si>
  <si>
    <t>Franco Pafume</t>
  </si>
  <si>
    <t>perlafranco.law@gmail.com</t>
  </si>
  <si>
    <t>857-504-4449</t>
  </si>
  <si>
    <t xml:space="preserve">Lexington </t>
  </si>
  <si>
    <t xml:space="preserve">Stevenson </t>
  </si>
  <si>
    <t xml:space="preserve">Cantave </t>
  </si>
  <si>
    <t xml:space="preserve">Stevenson.cantave@yahoo.com </t>
  </si>
  <si>
    <t xml:space="preserve">857-281-1552 </t>
  </si>
  <si>
    <t xml:space="preserve">Ken </t>
  </si>
  <si>
    <t>kenmulry17@gmail.com</t>
  </si>
  <si>
    <t>(508) 446-6193</t>
  </si>
  <si>
    <t xml:space="preserve">Bellingham </t>
  </si>
  <si>
    <t>DePina</t>
  </si>
  <si>
    <t>Kevindepina28@gmail.com</t>
  </si>
  <si>
    <t xml:space="preserve">508 239 2525 </t>
  </si>
  <si>
    <t xml:space="preserve">Montanez Gonzalez </t>
  </si>
  <si>
    <t xml:space="preserve">josemontanez7654@gmail.com </t>
  </si>
  <si>
    <t xml:space="preserve">(413) 390-5116 </t>
  </si>
  <si>
    <t>Bianca</t>
  </si>
  <si>
    <t xml:space="preserve"> Dancy </t>
  </si>
  <si>
    <t xml:space="preserve">biancadancy12@gmail.com </t>
  </si>
  <si>
    <t xml:space="preserve">(978) 503-8617 </t>
  </si>
  <si>
    <t xml:space="preserve">Lee </t>
  </si>
  <si>
    <t xml:space="preserve"> Boot </t>
  </si>
  <si>
    <t xml:space="preserve">Lboot15@gmail.com </t>
  </si>
  <si>
    <t xml:space="preserve">(707) 803-6363 </t>
  </si>
  <si>
    <t xml:space="preserve">Copperas Cove </t>
  </si>
  <si>
    <t xml:space="preserve"> Sciallis </t>
  </si>
  <si>
    <t xml:space="preserve">dylan@sciallis.com </t>
  </si>
  <si>
    <t xml:space="preserve">(860) 280-6658 </t>
  </si>
  <si>
    <t>Brookline</t>
  </si>
  <si>
    <t>Felipe</t>
  </si>
  <si>
    <t xml:space="preserve"> Cruz </t>
  </si>
  <si>
    <t xml:space="preserve">12felipecruz@gmail.com </t>
  </si>
  <si>
    <t xml:space="preserve">(617) 755-1777 </t>
  </si>
  <si>
    <t xml:space="preserve">Bradleigh </t>
  </si>
  <si>
    <t xml:space="preserve"> Pedraza </t>
  </si>
  <si>
    <t xml:space="preserve">bradleighpedraza@gmail.com </t>
  </si>
  <si>
    <t xml:space="preserve">(978) 868-2505 </t>
  </si>
  <si>
    <t xml:space="preserve">alberrt </t>
  </si>
  <si>
    <t xml:space="preserve"> sloh </t>
  </si>
  <si>
    <t xml:space="preserve">acsloh@gmail.com </t>
  </si>
  <si>
    <t xml:space="preserve">(715) 894-6633 </t>
  </si>
  <si>
    <t>Providencce</t>
  </si>
  <si>
    <t xml:space="preserve"> Heise </t>
  </si>
  <si>
    <t xml:space="preserve">ashheise09@gmil.com </t>
  </si>
  <si>
    <t xml:space="preserve">(413) 552-6444 </t>
  </si>
  <si>
    <t xml:space="preserve">Chasidy </t>
  </si>
  <si>
    <t xml:space="preserve"> Ortiz </t>
  </si>
  <si>
    <t xml:space="preserve">ortizchasidy@gmail.com </t>
  </si>
  <si>
    <t xml:space="preserve">(413) 246-1686 </t>
  </si>
  <si>
    <t xml:space="preserve"> Pierre</t>
  </si>
  <si>
    <t>DukensonPierre02@outlook.com</t>
  </si>
  <si>
    <t>(857) 961-7330</t>
  </si>
  <si>
    <t xml:space="preserve">Dayshawn </t>
  </si>
  <si>
    <t>Jean-Louis</t>
  </si>
  <si>
    <t>dayshawnjeanlouis@icloud.com</t>
  </si>
  <si>
    <t>508-818-7343</t>
  </si>
  <si>
    <t xml:space="preserve">Starks </t>
  </si>
  <si>
    <t>moniqueyisrael@icloud.com</t>
  </si>
  <si>
    <t>857-339-6841</t>
  </si>
  <si>
    <t xml:space="preserve">Jayvian </t>
  </si>
  <si>
    <t xml:space="preserve">javier </t>
  </si>
  <si>
    <t xml:space="preserve">jayvianjavier1604@gmail.com </t>
  </si>
  <si>
    <t>610-809-7583</t>
  </si>
  <si>
    <t>Linda</t>
  </si>
  <si>
    <t>Son</t>
  </si>
  <si>
    <t>Sonliinda7@gmail.com</t>
  </si>
  <si>
    <t>(351) 209-8724</t>
  </si>
  <si>
    <t xml:space="preserve">Balthazar </t>
  </si>
  <si>
    <t xml:space="preserve">Vilson </t>
  </si>
  <si>
    <t xml:space="preserve">balthazarvilson18@gmail.com </t>
  </si>
  <si>
    <t xml:space="preserve">(774) 823-6575 </t>
  </si>
  <si>
    <t xml:space="preserve">Jean Fontil </t>
  </si>
  <si>
    <t xml:space="preserve">jeanfontil5@gmai.com </t>
  </si>
  <si>
    <t xml:space="preserve">857) 249-3165 </t>
  </si>
  <si>
    <t xml:space="preserve">Theresa </t>
  </si>
  <si>
    <t xml:space="preserve"> Akuffo </t>
  </si>
  <si>
    <t xml:space="preserve">theresaakuffo95@gmail.com </t>
  </si>
  <si>
    <t xml:space="preserve">(978) 728-7018 </t>
  </si>
  <si>
    <t xml:space="preserve">Fitchburg, MA </t>
  </si>
  <si>
    <t xml:space="preserve"> Sanz </t>
  </si>
  <si>
    <t xml:space="preserve">ssanz09@icloud.com </t>
  </si>
  <si>
    <t xml:space="preserve">781) 930-9897 </t>
  </si>
  <si>
    <t xml:space="preserve">Cantillon </t>
  </si>
  <si>
    <t xml:space="preserve">joshuacantillon1@gmail.com </t>
  </si>
  <si>
    <t xml:space="preserve">(774) 200-4639 </t>
  </si>
  <si>
    <t xml:space="preserve">East Brookfield </t>
  </si>
  <si>
    <t xml:space="preserve">Aastin </t>
  </si>
  <si>
    <t xml:space="preserve">Patterson-Smith </t>
  </si>
  <si>
    <t xml:space="preserve">amps0104@gmail.com </t>
  </si>
  <si>
    <t xml:space="preserve">(978) 413-4477 </t>
  </si>
  <si>
    <t xml:space="preserve">Evan </t>
  </si>
  <si>
    <t xml:space="preserve"> Woodbury </t>
  </si>
  <si>
    <t xml:space="preserve">woodbury.m.evan@gmail.com </t>
  </si>
  <si>
    <t xml:space="preserve">(413) 768-4145 </t>
  </si>
  <si>
    <t xml:space="preserve">Jamie </t>
  </si>
  <si>
    <t xml:space="preserve">jamieisaac33@gmail.com </t>
  </si>
  <si>
    <t xml:space="preserve">(413) 204-5864 </t>
  </si>
  <si>
    <t xml:space="preserve"> Gresham </t>
  </si>
  <si>
    <t xml:space="preserve">raymondgresham91@gmail.com </t>
  </si>
  <si>
    <t xml:space="preserve">(617) 516-3072 </t>
  </si>
  <si>
    <t>Zeriahalee</t>
  </si>
  <si>
    <t xml:space="preserve">Alvarez </t>
  </si>
  <si>
    <t xml:space="preserve">zeriahaleea@gmail.com </t>
  </si>
  <si>
    <t xml:space="preserve">(413) 777-2501 </t>
  </si>
  <si>
    <t xml:space="preserve">Jackie </t>
  </si>
  <si>
    <t xml:space="preserve">Harris </t>
  </si>
  <si>
    <t xml:space="preserve">jackiehh0817@gmail.com </t>
  </si>
  <si>
    <t xml:space="preserve">(508) 918-5779 </t>
  </si>
  <si>
    <t xml:space="preserve">Bellingham, MA </t>
  </si>
  <si>
    <t xml:space="preserve">Azaria </t>
  </si>
  <si>
    <t xml:space="preserve">Shipman </t>
  </si>
  <si>
    <t xml:space="preserve">azariashipman@gmail.com </t>
  </si>
  <si>
    <t xml:space="preserve">(774) 746-0377 </t>
  </si>
  <si>
    <t xml:space="preserve">HYANNIS, MA </t>
  </si>
  <si>
    <t xml:space="preserve">Deja </t>
  </si>
  <si>
    <t>Deja Miller</t>
  </si>
  <si>
    <t>dmiller01.work@gmail.com</t>
  </si>
  <si>
    <t>(617) 410-8962</t>
  </si>
  <si>
    <t xml:space="preserve">Mattapan, MA </t>
  </si>
  <si>
    <t xml:space="preserve">Cynthia </t>
  </si>
  <si>
    <t xml:space="preserve">Whytecynthia337@gmail.com </t>
  </si>
  <si>
    <t>(857) 880-4237</t>
  </si>
  <si>
    <t>Gorski</t>
  </si>
  <si>
    <t>thomasjgorski@hotmail.com</t>
  </si>
  <si>
    <t>(978)-870-5238</t>
  </si>
  <si>
    <t xml:space="preserve">Fernando </t>
  </si>
  <si>
    <t xml:space="preserve">Costa </t>
  </si>
  <si>
    <t>fehcostah21@gmail.com</t>
  </si>
  <si>
    <t xml:space="preserve">781)9578646. </t>
  </si>
  <si>
    <t xml:space="preserve">lynn </t>
  </si>
  <si>
    <t xml:space="preserve">Devon </t>
  </si>
  <si>
    <t xml:space="preserve">Oliveira </t>
  </si>
  <si>
    <t xml:space="preserve">Devonoliveira555@gmail.com </t>
  </si>
  <si>
    <t>(978) 696-1038</t>
  </si>
  <si>
    <t>jonathanreyes54@gmail.com</t>
  </si>
  <si>
    <t>413-356-1215</t>
  </si>
  <si>
    <t>Emerson</t>
  </si>
  <si>
    <t>Mergilles</t>
  </si>
  <si>
    <t>mergillesem@yahoo.com</t>
  </si>
  <si>
    <t>(617) 816-5727</t>
  </si>
  <si>
    <t xml:space="preserve">Justin  </t>
  </si>
  <si>
    <t xml:space="preserve">Rawson </t>
  </si>
  <si>
    <t xml:space="preserve">therealjustin413@gmail.com </t>
  </si>
  <si>
    <t>(972) 514-5879</t>
  </si>
  <si>
    <t xml:space="preserve"> Donahue</t>
  </si>
  <si>
    <t>brendanjamesdonahue@gmail.com</t>
  </si>
  <si>
    <t>781-975-2193</t>
  </si>
  <si>
    <t xml:space="preserve">Millie </t>
  </si>
  <si>
    <t>McPherson</t>
  </si>
  <si>
    <t xml:space="preserve">Milliemmmcpherson@gmail.com </t>
  </si>
  <si>
    <t>(386) 265-2971</t>
  </si>
  <si>
    <t xml:space="preserve">jayvian </t>
  </si>
  <si>
    <t>Javier</t>
  </si>
  <si>
    <t>jayvianjavier1604@gmail.com</t>
  </si>
  <si>
    <t xml:space="preserve">610-809-7583 </t>
  </si>
  <si>
    <t xml:space="preserve">Ruben </t>
  </si>
  <si>
    <t xml:space="preserve">Padilla </t>
  </si>
  <si>
    <t xml:space="preserve">coachredraider@gmail.com </t>
  </si>
  <si>
    <t xml:space="preserve">978-413-1594 </t>
  </si>
  <si>
    <t xml:space="preserve">Dean </t>
  </si>
  <si>
    <t>Mikeylouis101@gmail.com</t>
  </si>
  <si>
    <t xml:space="preserve">401-854-8354 </t>
  </si>
  <si>
    <t>Aaliyah</t>
  </si>
  <si>
    <t>Aaliyahthomas844@gmail.com</t>
  </si>
  <si>
    <t>(857) 719-8379</t>
  </si>
  <si>
    <t>Tyquan</t>
  </si>
  <si>
    <t>Wtyquan25@gmail.com</t>
  </si>
  <si>
    <t>(413) 885-0751</t>
  </si>
  <si>
    <t xml:space="preserve">Ochije </t>
  </si>
  <si>
    <t xml:space="preserve">ochijeoliver646@gmail.com </t>
  </si>
  <si>
    <t xml:space="preserve">978-304-2162 </t>
  </si>
  <si>
    <t>Labritz</t>
  </si>
  <si>
    <t>Richie.labritz@gmail.com</t>
  </si>
  <si>
    <t>(978) 519-9377</t>
  </si>
  <si>
    <t xml:space="preserve">Paluzzi </t>
  </si>
  <si>
    <t>Evanp2529@gmail.com</t>
  </si>
  <si>
    <t>(508) 933-0721</t>
  </si>
  <si>
    <t>Makayla</t>
  </si>
  <si>
    <t>Menconi</t>
  </si>
  <si>
    <t>mmenconi@students.stonehill.edu</t>
  </si>
  <si>
    <t>617-487-1302</t>
  </si>
  <si>
    <t>Stack</t>
  </si>
  <si>
    <t>estack@students.stonehill.edu</t>
  </si>
  <si>
    <t>(781) 957-6043</t>
  </si>
  <si>
    <t xml:space="preserve">College networking event </t>
  </si>
  <si>
    <t xml:space="preserve">Taylor </t>
  </si>
  <si>
    <t xml:space="preserve">Quinn </t>
  </si>
  <si>
    <t xml:space="preserve">tdquinn91@gmail.com </t>
  </si>
  <si>
    <t xml:space="preserve">(781) 234-4460 </t>
  </si>
  <si>
    <t xml:space="preserve">Graciella </t>
  </si>
  <si>
    <t xml:space="preserve"> raina Christianto</t>
  </si>
  <si>
    <t xml:space="preserve">grc.graciella246@gmail.com </t>
  </si>
  <si>
    <t xml:space="preserve">603.593.9246 </t>
  </si>
  <si>
    <t xml:space="preserve">NH </t>
  </si>
  <si>
    <t>indeed</t>
  </si>
  <si>
    <t xml:space="preserve">Victoria </t>
  </si>
  <si>
    <t xml:space="preserve">McDuffee </t>
  </si>
  <si>
    <t xml:space="preserve">vrm1015@usnh.edu </t>
  </si>
  <si>
    <t xml:space="preserve">(603) 856-5564 </t>
  </si>
  <si>
    <t xml:space="preserve">stephanie </t>
  </si>
  <si>
    <t xml:space="preserve"> chaneco </t>
  </si>
  <si>
    <t xml:space="preserve">chanecostephanie@icloud.com </t>
  </si>
  <si>
    <t xml:space="preserve">(774) 329-7608 </t>
  </si>
  <si>
    <t xml:space="preserve">Avery </t>
  </si>
  <si>
    <t xml:space="preserve"> Andrews </t>
  </si>
  <si>
    <t xml:space="preserve">averyandrews0@gmail.com </t>
  </si>
  <si>
    <t xml:space="preserve">(617) 877-9987 </t>
  </si>
  <si>
    <t xml:space="preserve">Janelle </t>
  </si>
  <si>
    <t xml:space="preserve"> Hullum </t>
  </si>
  <si>
    <t>hullumjanelle@gmail.com</t>
  </si>
  <si>
    <t>857-869-0177</t>
  </si>
  <si>
    <t xml:space="preserve">Jalisa </t>
  </si>
  <si>
    <t xml:space="preserve">Canuto </t>
  </si>
  <si>
    <t>jalisacanuto@gmail.com</t>
  </si>
  <si>
    <t>774-273-0288</t>
  </si>
  <si>
    <t>Deborah</t>
  </si>
  <si>
    <t xml:space="preserve"> Sieron Souza</t>
  </si>
  <si>
    <t>deborahnellydesouza@icloud.com</t>
  </si>
  <si>
    <t>(781-496-6992)</t>
  </si>
  <si>
    <t xml:space="preserve">Steven </t>
  </si>
  <si>
    <t>Pothier</t>
  </si>
  <si>
    <t>stevenpothier1968@gmail.com</t>
  </si>
  <si>
    <t>(401) 602-5052</t>
  </si>
  <si>
    <t xml:space="preserve">Woonsoket </t>
  </si>
  <si>
    <t>Lucia</t>
  </si>
  <si>
    <t>michaellucia1598@gmail.com</t>
  </si>
  <si>
    <t>413) 769-5377</t>
  </si>
  <si>
    <t>Blandford</t>
  </si>
  <si>
    <t>Rolanda</t>
  </si>
  <si>
    <t>Lima</t>
  </si>
  <si>
    <t>depinaalves_rolanda@icloud.com</t>
  </si>
  <si>
    <t>508-840-5245</t>
  </si>
  <si>
    <t xml:space="preserve">Berthanie </t>
  </si>
  <si>
    <t xml:space="preserve">Phane </t>
  </si>
  <si>
    <t>Berthanie.phane@gmail.com</t>
  </si>
  <si>
    <t>(774) 778-7326</t>
  </si>
  <si>
    <t>ericduarte84@gmail.com</t>
  </si>
  <si>
    <t>(508) 991-1696</t>
  </si>
  <si>
    <t xml:space="preserve">Redon </t>
  </si>
  <si>
    <t>Shehu</t>
  </si>
  <si>
    <t xml:space="preserve">Donishehu12345@hotmail.com </t>
  </si>
  <si>
    <t>(508) 963-7981</t>
  </si>
  <si>
    <t xml:space="preserve">Paxton </t>
  </si>
  <si>
    <t>Johnsonjsph97@gmail.com</t>
  </si>
  <si>
    <t>(774) 379-4171</t>
  </si>
  <si>
    <t xml:space="preserve">School </t>
  </si>
  <si>
    <t xml:space="preserve">Madison </t>
  </si>
  <si>
    <t>Pimental</t>
  </si>
  <si>
    <t>madisonp811@gmail.com</t>
  </si>
  <si>
    <t>(774) 319-8556</t>
  </si>
  <si>
    <t>Westport</t>
  </si>
  <si>
    <t xml:space="preserve">Dimmy </t>
  </si>
  <si>
    <t xml:space="preserve">Antoine </t>
  </si>
  <si>
    <t xml:space="preserve">dimmydix78@gmail.com </t>
  </si>
  <si>
    <t xml:space="preserve">(617) 505-8186 </t>
  </si>
  <si>
    <t>Stephanie</t>
  </si>
  <si>
    <t>Yepes</t>
  </si>
  <si>
    <t>yepes.steph@gmail.com</t>
  </si>
  <si>
    <t>(857) 207-6949</t>
  </si>
  <si>
    <t>Job Searching for MA Government Jobs</t>
  </si>
  <si>
    <t xml:space="preserve">Hayden </t>
  </si>
  <si>
    <t xml:space="preserve">thayden1720@yahoo.com </t>
  </si>
  <si>
    <t xml:space="preserve">413) 297-7851 </t>
  </si>
  <si>
    <t xml:space="preserve">Darcy </t>
  </si>
  <si>
    <t xml:space="preserve">Looney </t>
  </si>
  <si>
    <t xml:space="preserve">darcylooney@gmail.com </t>
  </si>
  <si>
    <t xml:space="preserve">508) 944-9605 </t>
  </si>
  <si>
    <t xml:space="preserve">Lance </t>
  </si>
  <si>
    <t xml:space="preserve">lance662@gmail.com </t>
  </si>
  <si>
    <t xml:space="preserve">(401) 330-8680 </t>
  </si>
  <si>
    <t>Lansdowne</t>
  </si>
  <si>
    <t>Xavier</t>
  </si>
  <si>
    <t xml:space="preserve">Vinnie </t>
  </si>
  <si>
    <t xml:space="preserve">Xaviervinnie6@icloud.com </t>
  </si>
  <si>
    <t>(774) 218-0614</t>
  </si>
  <si>
    <t xml:space="preserve">Keene </t>
  </si>
  <si>
    <t>Caitriona</t>
  </si>
  <si>
    <t>Houston</t>
  </si>
  <si>
    <t xml:space="preserve">Chouston2001@gmail.com </t>
  </si>
  <si>
    <t xml:space="preserve">774-262-9802 </t>
  </si>
  <si>
    <t>Rich</t>
  </si>
  <si>
    <t xml:space="preserve">Gaskin </t>
  </si>
  <si>
    <t>richiegskin@gmail.com</t>
  </si>
  <si>
    <t>781-820-9148</t>
  </si>
  <si>
    <t>Redon</t>
  </si>
  <si>
    <t>Donishehu12345@hotmail.com</t>
  </si>
  <si>
    <t xml:space="preserve">Diaz </t>
  </si>
  <si>
    <t xml:space="preserve">Mdiaz52419@gmail.com </t>
  </si>
  <si>
    <t xml:space="preserve">(774) 502-2613 </t>
  </si>
  <si>
    <t xml:space="preserve">Zack </t>
  </si>
  <si>
    <t>Malerba</t>
  </si>
  <si>
    <t xml:space="preserve">zakjones232@gmail.com </t>
  </si>
  <si>
    <t xml:space="preserve">(774) 356-8730 </t>
  </si>
  <si>
    <t>Montez</t>
  </si>
  <si>
    <t xml:space="preserve">montezjmiller@gmail.com </t>
  </si>
  <si>
    <t xml:space="preserve">(413) 574-1689 </t>
  </si>
  <si>
    <t xml:space="preserve">Starina </t>
  </si>
  <si>
    <t xml:space="preserve">Starinak96@gmail.com </t>
  </si>
  <si>
    <t xml:space="preserve">(857) 326-9846 </t>
  </si>
  <si>
    <t xml:space="preserve">Jamaica plain </t>
  </si>
  <si>
    <t xml:space="preserve">Coste Jr </t>
  </si>
  <si>
    <t xml:space="preserve">costejeffrey123@gmail.com </t>
  </si>
  <si>
    <t xml:space="preserve">(508) 264-6143 </t>
  </si>
  <si>
    <t xml:space="preserve">Tina </t>
  </si>
  <si>
    <t>royaltytj2@gmail.com</t>
  </si>
  <si>
    <t xml:space="preserve">Bonita </t>
  </si>
  <si>
    <t xml:space="preserve">Andrews </t>
  </si>
  <si>
    <t xml:space="preserve">bawneesioux@gmail.com </t>
  </si>
  <si>
    <t xml:space="preserve">603) 801-6263 </t>
  </si>
  <si>
    <t>Rindge</t>
  </si>
  <si>
    <t>Abu</t>
  </si>
  <si>
    <t>Abu Munir</t>
  </si>
  <si>
    <t>abusayed98@yahoo.com</t>
  </si>
  <si>
    <t>(339) 674-8678</t>
  </si>
  <si>
    <t xml:space="preserve">Ma </t>
  </si>
  <si>
    <t xml:space="preserve">Carter </t>
  </si>
  <si>
    <t>jamesthreejz@gmail.com</t>
  </si>
  <si>
    <t xml:space="preserve">Gopi </t>
  </si>
  <si>
    <t>Patel</t>
  </si>
  <si>
    <t>Gpatel1295@gmail.com</t>
  </si>
  <si>
    <t>(617)-955-1356</t>
  </si>
  <si>
    <t xml:space="preserve">Mikhaeil </t>
  </si>
  <si>
    <t>Tadros</t>
  </si>
  <si>
    <t xml:space="preserve">mikotadros21@gmail.com </t>
  </si>
  <si>
    <t>(774) 540-5307</t>
  </si>
  <si>
    <t>Hardwick</t>
  </si>
  <si>
    <t xml:space="preserve">Linares </t>
  </si>
  <si>
    <t xml:space="preserve">Nelsonolinares123@gmail.com </t>
  </si>
  <si>
    <t xml:space="preserve">(508) 260-4817 </t>
  </si>
  <si>
    <t>andrewwilliamsphotographs@gmail.com</t>
  </si>
  <si>
    <t>352-581-3926</t>
  </si>
  <si>
    <t xml:space="preserve">Ocala </t>
  </si>
  <si>
    <t xml:space="preserve">FL </t>
  </si>
  <si>
    <t xml:space="preserve">Sixto </t>
  </si>
  <si>
    <t xml:space="preserve">sixtogonzalez18@hotmail.com </t>
  </si>
  <si>
    <t xml:space="preserve">(978) 390-4309 </t>
  </si>
  <si>
    <t xml:space="preserve">jillianwilliams540@gmail.com </t>
  </si>
  <si>
    <t xml:space="preserve">(774) 277-0769 </t>
  </si>
  <si>
    <t>Blackstone</t>
  </si>
  <si>
    <t>Alexa</t>
  </si>
  <si>
    <t>Perrotti</t>
  </si>
  <si>
    <t>alexacperrotti@gmail.com</t>
  </si>
  <si>
    <t>(908) 421-9341</t>
  </si>
  <si>
    <t xml:space="preserve">Trevor </t>
  </si>
  <si>
    <t xml:space="preserve">trevorm382@gmail.com </t>
  </si>
  <si>
    <t xml:space="preserve">(413) 885-5519 </t>
  </si>
  <si>
    <t xml:space="preserve">Chicopee, MA </t>
  </si>
  <si>
    <t xml:space="preserve">Geoffrey </t>
  </si>
  <si>
    <t xml:space="preserve">Gori Ongeta ONGETA </t>
  </si>
  <si>
    <t xml:space="preserve">geoffreygori87@gmail.com </t>
  </si>
  <si>
    <t xml:space="preserve">(916) 940-5049 </t>
  </si>
  <si>
    <t>SACRAMENTO</t>
  </si>
  <si>
    <t xml:space="preserve"> Beaudoin</t>
  </si>
  <si>
    <t>charliebwin2023@gmail.com</t>
  </si>
  <si>
    <t>508-310-3794</t>
  </si>
  <si>
    <t>Medfield</t>
  </si>
  <si>
    <t>Madison</t>
  </si>
  <si>
    <t>mpimental35@bristolcc.edu</t>
  </si>
  <si>
    <t>westport</t>
  </si>
  <si>
    <t xml:space="preserve">Jona </t>
  </si>
  <si>
    <t>jonawashington@gmail.com</t>
  </si>
  <si>
    <t>(310) 984-0195</t>
  </si>
  <si>
    <t>Catalina</t>
  </si>
  <si>
    <t xml:space="preserve">Gaviria </t>
  </si>
  <si>
    <t xml:space="preserve">catalinagp12@gmail.com </t>
  </si>
  <si>
    <t xml:space="preserve">(203) 812-8827 </t>
  </si>
  <si>
    <t xml:space="preserve">Sincere </t>
  </si>
  <si>
    <t xml:space="preserve"> Payne </t>
  </si>
  <si>
    <t xml:space="preserve">sincerepayne@icloud.com </t>
  </si>
  <si>
    <t xml:space="preserve">(404) 940-8507 </t>
  </si>
  <si>
    <t xml:space="preserve">  NAADE </t>
  </si>
  <si>
    <t xml:space="preserve">EVANS  </t>
  </si>
  <si>
    <t>naadeevans7@gmail.com</t>
  </si>
  <si>
    <t>(409) 293-8930</t>
  </si>
  <si>
    <t xml:space="preserve">Texas </t>
  </si>
  <si>
    <t xml:space="preserve">Jurgenson </t>
  </si>
  <si>
    <t xml:space="preserve">Louisjurgenson22@gmail.com </t>
  </si>
  <si>
    <t xml:space="preserve">(774) 558-6144 </t>
  </si>
  <si>
    <t xml:space="preserve">Abdel </t>
  </si>
  <si>
    <t xml:space="preserve"> drihmi </t>
  </si>
  <si>
    <t xml:space="preserve">adrihmi@yahoo.com </t>
  </si>
  <si>
    <t xml:space="preserve">(413) 310-6252 </t>
  </si>
  <si>
    <t xml:space="preserve"> Flagg </t>
  </si>
  <si>
    <t xml:space="preserve">purplepop1685@gmail.com </t>
  </si>
  <si>
    <t xml:space="preserve">(508) 744-8841 </t>
  </si>
  <si>
    <t>East Falmouth</t>
  </si>
  <si>
    <t xml:space="preserve">Marcos </t>
  </si>
  <si>
    <t xml:space="preserve"> Darosa </t>
  </si>
  <si>
    <t xml:space="preserve">malazarte07@gmail.com </t>
  </si>
  <si>
    <t xml:space="preserve">(508) 400-1906 </t>
  </si>
  <si>
    <t>Hudson</t>
  </si>
  <si>
    <t xml:space="preserve"> Holdbrook </t>
  </si>
  <si>
    <t xml:space="preserve">holdbrookmicheal7@gmail.com </t>
  </si>
  <si>
    <t xml:space="preserve">(774) 701-2692 </t>
  </si>
  <si>
    <t>Ruiz</t>
  </si>
  <si>
    <t>tommyleeruiz@gmail.com</t>
  </si>
  <si>
    <t xml:space="preserve">Sicard </t>
  </si>
  <si>
    <t>huntermarcelsicard@gmail.com</t>
  </si>
  <si>
    <t>978-400-1303</t>
  </si>
  <si>
    <t xml:space="preserve"> Lunenburg</t>
  </si>
  <si>
    <t xml:space="preserve">Cabral </t>
  </si>
  <si>
    <t>a13cabral@student.bridgew.edu</t>
  </si>
  <si>
    <t xml:space="preserve">Af </t>
  </si>
  <si>
    <t>Taj</t>
  </si>
  <si>
    <t>aftaj958@gmail.com</t>
  </si>
  <si>
    <t xml:space="preserve">Joselyn </t>
  </si>
  <si>
    <t>jocelynmorales522@icloud.com</t>
  </si>
  <si>
    <t>(915) 465-7107</t>
  </si>
  <si>
    <t xml:space="preserve">jason </t>
  </si>
  <si>
    <t xml:space="preserve">alvarez </t>
  </si>
  <si>
    <t xml:space="preserve">jaysonalvarez1515@gmail.com </t>
  </si>
  <si>
    <t xml:space="preserve">(413) 292-2032 </t>
  </si>
  <si>
    <t xml:space="preserve">Brennen </t>
  </si>
  <si>
    <t xml:space="preserve">brennenryan12@yahoo.com </t>
  </si>
  <si>
    <t xml:space="preserve">508) 826-0394 </t>
  </si>
  <si>
    <t xml:space="preserve">Barre </t>
  </si>
  <si>
    <t xml:space="preserve">Ginjah </t>
  </si>
  <si>
    <t xml:space="preserve">Elmes </t>
  </si>
  <si>
    <t xml:space="preserve">Ginjah340@gmail.com </t>
  </si>
  <si>
    <t xml:space="preserve">678-668-6802 </t>
  </si>
  <si>
    <t xml:space="preserve">Framingham,Ma </t>
  </si>
  <si>
    <t xml:space="preserve">Artemio </t>
  </si>
  <si>
    <t xml:space="preserve">Cruz Morales </t>
  </si>
  <si>
    <t>artcm711@gmail.com</t>
  </si>
  <si>
    <t xml:space="preserve">413-966-7407 </t>
  </si>
  <si>
    <t xml:space="preserve">Hayden (lindsey) </t>
  </si>
  <si>
    <t xml:space="preserve"> Waack</t>
  </si>
  <si>
    <t xml:space="preserve">haydenwaack@gmail.com </t>
  </si>
  <si>
    <t>(978) 230-3604</t>
  </si>
  <si>
    <t xml:space="preserve">Travis </t>
  </si>
  <si>
    <t>Henshaw</t>
  </si>
  <si>
    <t>travishenshaw@yahoo.com</t>
  </si>
  <si>
    <t xml:space="preserve">401-374-0169 </t>
  </si>
  <si>
    <t>Palm Harbor</t>
  </si>
  <si>
    <t xml:space="preserve">Fl </t>
  </si>
  <si>
    <t>Kwetor</t>
  </si>
  <si>
    <t>Sulonteh</t>
  </si>
  <si>
    <t xml:space="preserve">lawrencesulonteh@gmail.com </t>
  </si>
  <si>
    <t>(267) 697-9187</t>
  </si>
  <si>
    <t xml:space="preserve">Torres </t>
  </si>
  <si>
    <t>emilymelissa8@gmail.com</t>
  </si>
  <si>
    <t xml:space="preserve">Robson </t>
  </si>
  <si>
    <t xml:space="preserve"> Desousa</t>
  </si>
  <si>
    <t xml:space="preserve">desousar347@gmail.com </t>
  </si>
  <si>
    <t xml:space="preserve">774-737-4117 </t>
  </si>
  <si>
    <t>Cormier</t>
  </si>
  <si>
    <t xml:space="preserve">Ncormier86@yahoo.com </t>
  </si>
  <si>
    <t>(978) 860-6541</t>
  </si>
  <si>
    <t xml:space="preserve"> Ashburnham</t>
  </si>
  <si>
    <r>
      <t>Pineda</t>
    </r>
    <r>
      <rPr>
        <sz val="12"/>
        <color rgb="FF000000"/>
        <rFont val="Aptos"/>
        <family val="2"/>
      </rPr>
      <t xml:space="preserve"> </t>
    </r>
  </si>
  <si>
    <t xml:space="preserve">michaelpineda549@gmail.com </t>
  </si>
  <si>
    <t xml:space="preserve">774) 325-8178 </t>
  </si>
  <si>
    <t xml:space="preserve"> Mallada </t>
  </si>
  <si>
    <t xml:space="preserve">vmallada01@gmail.com </t>
  </si>
  <si>
    <t xml:space="preserve">774) 424-8126 </t>
  </si>
  <si>
    <t xml:space="preserve">Pitts </t>
  </si>
  <si>
    <t xml:space="preserve">eric.jpitts@yahoo.com </t>
  </si>
  <si>
    <t xml:space="preserve">(774) 218-5830 </t>
  </si>
  <si>
    <t xml:space="preserve">Yalisha </t>
  </si>
  <si>
    <t xml:space="preserve"> Colon </t>
  </si>
  <si>
    <t xml:space="preserve">Mlcolon2401@student.stcc.edu </t>
  </si>
  <si>
    <t xml:space="preserve">(413) 421-0495 </t>
  </si>
  <si>
    <t xml:space="preserve">Nectali </t>
  </si>
  <si>
    <t xml:space="preserve"> Aguilar </t>
  </si>
  <si>
    <t xml:space="preserve">nectali_aguilar@yahoo.com </t>
  </si>
  <si>
    <t xml:space="preserve">857) 756-3965 </t>
  </si>
  <si>
    <t xml:space="preserve"> Bryant </t>
  </si>
  <si>
    <t xml:space="preserve">jab72090@gmail.com </t>
  </si>
  <si>
    <t xml:space="preserve">774) 441-4194 </t>
  </si>
  <si>
    <t xml:space="preserve"> Robidoux </t>
  </si>
  <si>
    <t>robidouxalexis.1@gmail.com</t>
  </si>
  <si>
    <t xml:space="preserve">(508) 260-0041 </t>
  </si>
  <si>
    <t>Sturbridge</t>
  </si>
  <si>
    <t>Pierre Joseph</t>
  </si>
  <si>
    <t xml:space="preserve">JpJ7330@gmail.com </t>
  </si>
  <si>
    <t xml:space="preserve">617-206-7330 </t>
  </si>
  <si>
    <t xml:space="preserve">Rohan </t>
  </si>
  <si>
    <t xml:space="preserve">Saggar </t>
  </si>
  <si>
    <t xml:space="preserve">rohansaggar1@gmail.com </t>
  </si>
  <si>
    <t xml:space="preserve">781) 526-2798 </t>
  </si>
  <si>
    <t>Nerlande</t>
  </si>
  <si>
    <t>nerlande.paul@gmail.com</t>
  </si>
  <si>
    <t>Sadiq</t>
  </si>
  <si>
    <t>Mustapha Ansu</t>
  </si>
  <si>
    <t>sadiqansu@yahoo.com</t>
  </si>
  <si>
    <t xml:space="preserve">Wilnor </t>
  </si>
  <si>
    <t>Tereau</t>
  </si>
  <si>
    <t>(917) 781-7040</t>
  </si>
  <si>
    <t xml:space="preserve">Jeovanny </t>
  </si>
  <si>
    <t>lantigua</t>
  </si>
  <si>
    <t xml:space="preserve">jeovanny.lantigua@hotmail.com </t>
  </si>
  <si>
    <t>978-902-7205</t>
  </si>
  <si>
    <t>Flavia</t>
  </si>
  <si>
    <t>Depina</t>
  </si>
  <si>
    <t>flaviat1985@gmail.com</t>
  </si>
  <si>
    <t xml:space="preserve">Samuel Jones </t>
  </si>
  <si>
    <t xml:space="preserve">Samuelj368@gmail.com </t>
  </si>
  <si>
    <t xml:space="preserve">860) 710-7570 </t>
  </si>
  <si>
    <t>SD</t>
  </si>
  <si>
    <t xml:space="preserve">Nana </t>
  </si>
  <si>
    <t xml:space="preserve">Nana Appiah - Boadu </t>
  </si>
  <si>
    <t xml:space="preserve">nanaapp02@gmail.com </t>
  </si>
  <si>
    <t xml:space="preserve">(240) 586-9276 </t>
  </si>
  <si>
    <t>Frederick</t>
  </si>
  <si>
    <t>Esperandieu</t>
  </si>
  <si>
    <t xml:space="preserve"> Cenat</t>
  </si>
  <si>
    <t>cenat.michou@gmail.com</t>
  </si>
  <si>
    <t>Tupper lake</t>
  </si>
  <si>
    <t xml:space="preserve">Harrison </t>
  </si>
  <si>
    <t>Oliveira</t>
  </si>
  <si>
    <t xml:space="preserve">holiveira2400@gmail.com </t>
  </si>
  <si>
    <t xml:space="preserve">(781) 985-8193 </t>
  </si>
  <si>
    <t xml:space="preserve">Frances </t>
  </si>
  <si>
    <t xml:space="preserve">Hayes </t>
  </si>
  <si>
    <t xml:space="preserve">hayesfrances29@yahoo.com </t>
  </si>
  <si>
    <t xml:space="preserve">401) 543-4060 </t>
  </si>
  <si>
    <t xml:space="preserve">Farfan </t>
  </si>
  <si>
    <t xml:space="preserve">josfarfann@gmail.com </t>
  </si>
  <si>
    <t xml:space="preserve">(401) 457-8429 </t>
  </si>
  <si>
    <t xml:space="preserve">PAwtucket </t>
  </si>
  <si>
    <t xml:space="preserve"> Walker </t>
  </si>
  <si>
    <t xml:space="preserve">mikeacq@outlook.com </t>
  </si>
  <si>
    <t xml:space="preserve">(628) 842-6033 </t>
  </si>
  <si>
    <t xml:space="preserve">Vladimir </t>
  </si>
  <si>
    <t xml:space="preserve"> pamphil </t>
  </si>
  <si>
    <t xml:space="preserve">Vpamphil@yahoo.com </t>
  </si>
  <si>
    <t xml:space="preserve">978-872-0009 </t>
  </si>
  <si>
    <t>Ma</t>
  </si>
  <si>
    <t xml:space="preserve">Andralis </t>
  </si>
  <si>
    <t xml:space="preserve"> Madison</t>
  </si>
  <si>
    <t xml:space="preserve">andralisss525@gmail.com </t>
  </si>
  <si>
    <t xml:space="preserve">207)-852-3135 </t>
  </si>
  <si>
    <t xml:space="preserve">Gress </t>
  </si>
  <si>
    <t xml:space="preserve">searchfgold67899@live.com </t>
  </si>
  <si>
    <t xml:space="preserve">478) 297-8008 </t>
  </si>
  <si>
    <t>Seabrook</t>
  </si>
  <si>
    <t xml:space="preserve">Forbes </t>
  </si>
  <si>
    <t xml:space="preserve">Jforbes984@aol.com </t>
  </si>
  <si>
    <t xml:space="preserve">978) 335-7222 </t>
  </si>
  <si>
    <t xml:space="preserve">James  </t>
  </si>
  <si>
    <t xml:space="preserve">Valentin </t>
  </si>
  <si>
    <t xml:space="preserve">Xjamesvalentinx@hotmail.com </t>
  </si>
  <si>
    <t xml:space="preserve">(978) 891-0458 </t>
  </si>
  <si>
    <t xml:space="preserve">Jon  </t>
  </si>
  <si>
    <t xml:space="preserve">Bosco </t>
  </si>
  <si>
    <t xml:space="preserve">jonbosco25@gmail.com </t>
  </si>
  <si>
    <t xml:space="preserve">(254) 317-9360 </t>
  </si>
  <si>
    <t>Windsor locks</t>
  </si>
  <si>
    <t xml:space="preserve">Maya </t>
  </si>
  <si>
    <t xml:space="preserve">Braz </t>
  </si>
  <si>
    <t xml:space="preserve">mayabraz76@gmail.com </t>
  </si>
  <si>
    <t xml:space="preserve">(508) 971-3822 </t>
  </si>
  <si>
    <t xml:space="preserve">SEBASTIAN </t>
  </si>
  <si>
    <t xml:space="preserve"> LEVI SINGH</t>
  </si>
  <si>
    <t>linkz1993@gmail.com</t>
  </si>
  <si>
    <t>352-321-9755</t>
  </si>
  <si>
    <t>Belizaire</t>
  </si>
  <si>
    <t>stevebelmix@gmail.com</t>
  </si>
  <si>
    <t>781 588 0290</t>
  </si>
  <si>
    <t xml:space="preserve">Mariia </t>
  </si>
  <si>
    <t xml:space="preserve">Perederko </t>
  </si>
  <si>
    <t xml:space="preserve">mariia.perederko@jjay.cuny.edu </t>
  </si>
  <si>
    <t xml:space="preserve">(929) 215-9232 </t>
  </si>
  <si>
    <t>Glendale</t>
  </si>
  <si>
    <t xml:space="preserve">Ayuri </t>
  </si>
  <si>
    <t xml:space="preserve"> Tarver </t>
  </si>
  <si>
    <t xml:space="preserve">yuritarver27@gmail.com </t>
  </si>
  <si>
    <t xml:space="preserve">(857) 636-1754 </t>
  </si>
  <si>
    <t xml:space="preserve"> Saydee </t>
  </si>
  <si>
    <t xml:space="preserve">Shicorasaydee@icloud.com </t>
  </si>
  <si>
    <t xml:space="preserve">(774)361-9112 </t>
  </si>
  <si>
    <t>Riel</t>
  </si>
  <si>
    <t xml:space="preserve">krieldriel@gmail.com </t>
  </si>
  <si>
    <t xml:space="preserve">401) 578-4682 </t>
  </si>
  <si>
    <t>Fairhaven</t>
  </si>
  <si>
    <t xml:space="preserve">Emarsh24@yahoo.com </t>
  </si>
  <si>
    <t xml:space="preserve">339) 298-9509 </t>
  </si>
  <si>
    <t xml:space="preserve">Marcelin </t>
  </si>
  <si>
    <t xml:space="preserve"> Alerte </t>
  </si>
  <si>
    <t xml:space="preserve">Marcelin.alert@gmail.com </t>
  </si>
  <si>
    <t xml:space="preserve">(305) 645-4273 </t>
  </si>
  <si>
    <t xml:space="preserve">Arnaldo </t>
  </si>
  <si>
    <t xml:space="preserve">Flores-Reyes </t>
  </si>
  <si>
    <t xml:space="preserve">arnaldo.floresreyes@icloud.com </t>
  </si>
  <si>
    <t xml:space="preserve">(401) 226-4958 </t>
  </si>
  <si>
    <t xml:space="preserve">Pagan </t>
  </si>
  <si>
    <t xml:space="preserve">danielpagan2005@gmail.com </t>
  </si>
  <si>
    <t xml:space="preserve">978) 242-4947 </t>
  </si>
  <si>
    <t>camila</t>
  </si>
  <si>
    <t>Lopes</t>
  </si>
  <si>
    <t xml:space="preserve">cici050619@gmail.com </t>
  </si>
  <si>
    <t xml:space="preserve">857) 395-9737 </t>
  </si>
  <si>
    <t>12/102025</t>
  </si>
  <si>
    <t xml:space="preserve">Piero </t>
  </si>
  <si>
    <t xml:space="preserve">garcia </t>
  </si>
  <si>
    <t xml:space="preserve">Garciafps1@outlook.com </t>
  </si>
  <si>
    <t xml:space="preserve">Haverhill </t>
  </si>
  <si>
    <t>Afeez</t>
  </si>
  <si>
    <t>Awojobi</t>
  </si>
  <si>
    <t>awojobiafeez@yahoo.com</t>
  </si>
  <si>
    <t>(973) 332-2552</t>
  </si>
  <si>
    <t>Glaze</t>
  </si>
  <si>
    <t>madison.glaze@icloud.com</t>
  </si>
  <si>
    <t>(413) 250-3132</t>
  </si>
  <si>
    <t xml:space="preserve">Jorge </t>
  </si>
  <si>
    <t xml:space="preserve">Irizarry </t>
  </si>
  <si>
    <t xml:space="preserve">jorgeiri0728@gmail.com </t>
  </si>
  <si>
    <t xml:space="preserve">413) 219-5545 </t>
  </si>
  <si>
    <t>FORT WAINWRIGHT</t>
  </si>
  <si>
    <t xml:space="preserve">AK </t>
  </si>
  <si>
    <t xml:space="preserve">Santaella </t>
  </si>
  <si>
    <t xml:space="preserve">santaellajessica97@gmail.com </t>
  </si>
  <si>
    <t xml:space="preserve">(413) 285-0044 </t>
  </si>
  <si>
    <t xml:space="preserve">Springfieid </t>
  </si>
  <si>
    <t xml:space="preserve">Tremont </t>
  </si>
  <si>
    <t xml:space="preserve"> Inabinet </t>
  </si>
  <si>
    <t xml:space="preserve">monttnt@aol.com </t>
  </si>
  <si>
    <t xml:space="preserve">(203) 725-1213 </t>
  </si>
  <si>
    <t xml:space="preserve">New haven </t>
  </si>
  <si>
    <t xml:space="preserve">Semaj </t>
  </si>
  <si>
    <t xml:space="preserve"> Sherrod </t>
  </si>
  <si>
    <t xml:space="preserve">Seriousking0511@gmail.com </t>
  </si>
  <si>
    <t xml:space="preserve">(336) 383-8677 </t>
  </si>
  <si>
    <t xml:space="preserve">Judea </t>
  </si>
  <si>
    <t xml:space="preserve"> Freeman </t>
  </si>
  <si>
    <t xml:space="preserve">Judeaf265@gmail.com </t>
  </si>
  <si>
    <t xml:space="preserve">(857) 277-9377 </t>
  </si>
  <si>
    <t xml:space="preserve">Tyra </t>
  </si>
  <si>
    <t xml:space="preserve">Mitchell </t>
  </si>
  <si>
    <t xml:space="preserve">tmit12498@gmail.com </t>
  </si>
  <si>
    <t xml:space="preserve">978) 860-0024 </t>
  </si>
  <si>
    <t xml:space="preserve">Jimenez </t>
  </si>
  <si>
    <t xml:space="preserve">alexis.jimenez289@gmail.com </t>
  </si>
  <si>
    <t xml:space="preserve">413) 210-8533 </t>
  </si>
  <si>
    <t xml:space="preserve">Hunt </t>
  </si>
  <si>
    <t xml:space="preserve">rhunt25@lsu.edu </t>
  </si>
  <si>
    <t xml:space="preserve">(617) 921-4629 </t>
  </si>
  <si>
    <t xml:space="preserve">Melrose </t>
  </si>
  <si>
    <t xml:space="preserve">Williamson </t>
  </si>
  <si>
    <t xml:space="preserve">williamson4590@gmail.com </t>
  </si>
  <si>
    <t xml:space="preserve">(413) 530-3613 </t>
  </si>
  <si>
    <t xml:space="preserve">Othoniel </t>
  </si>
  <si>
    <t xml:space="preserve"> Medina </t>
  </si>
  <si>
    <t xml:space="preserve">tmtito@gmail.com </t>
  </si>
  <si>
    <t xml:space="preserve">774) 433-0022 </t>
  </si>
  <si>
    <t xml:space="preserve">Melija </t>
  </si>
  <si>
    <t xml:space="preserve"> Gurung </t>
  </si>
  <si>
    <t xml:space="preserve">melijagurung95@gmail.com </t>
  </si>
  <si>
    <t xml:space="preserve">(413) 302-8950 </t>
  </si>
  <si>
    <t xml:space="preserve">Westsrpingfield </t>
  </si>
  <si>
    <t xml:space="preserve"> Meuse</t>
  </si>
  <si>
    <t>912 432 4903</t>
  </si>
  <si>
    <t xml:space="preserve">Winchedon </t>
  </si>
  <si>
    <t xml:space="preserve">Kelli Balbuena </t>
  </si>
  <si>
    <t>ashleykellyb@icloud.com</t>
  </si>
  <si>
    <t>(774) 400-1982</t>
  </si>
  <si>
    <t xml:space="preserve">Baskin </t>
  </si>
  <si>
    <t xml:space="preserve">ibaskin1011@gmail.com </t>
  </si>
  <si>
    <t xml:space="preserve">857) 317-1177 </t>
  </si>
  <si>
    <t xml:space="preserve">Brookline </t>
  </si>
  <si>
    <t xml:space="preserve">Annie </t>
  </si>
  <si>
    <t xml:space="preserve"> McCall </t>
  </si>
  <si>
    <t xml:space="preserve">annie.n.mccall@doc.state.ma.us </t>
  </si>
  <si>
    <t xml:space="preserve">(978) 424-5034 </t>
  </si>
  <si>
    <t xml:space="preserve">Aguilar </t>
  </si>
  <si>
    <t>nectali_aguilar@yahoo.com</t>
  </si>
  <si>
    <t xml:space="preserve"> Webb </t>
  </si>
  <si>
    <t xml:space="preserve">lawebb1515@gmail.com </t>
  </si>
  <si>
    <t xml:space="preserve">858) 829-6553 </t>
  </si>
  <si>
    <t xml:space="preserve">Yves </t>
  </si>
  <si>
    <t xml:space="preserve">Durandisse </t>
  </si>
  <si>
    <t xml:space="preserve">durandyvesday@gmail.com </t>
  </si>
  <si>
    <t xml:space="preserve">774) 737-4489 </t>
  </si>
  <si>
    <t xml:space="preserve">Stanley </t>
  </si>
  <si>
    <t xml:space="preserve"> St louis </t>
  </si>
  <si>
    <t xml:space="preserve">stanleystlouis14@yahoo.com </t>
  </si>
  <si>
    <t xml:space="preserve">813) 278-0323 </t>
  </si>
  <si>
    <t>onix</t>
  </si>
  <si>
    <t>vazquezonix8@gmail.com</t>
  </si>
  <si>
    <t>774-253-9424</t>
  </si>
  <si>
    <t>MUTESASIRA</t>
  </si>
  <si>
    <t>HENRY</t>
  </si>
  <si>
    <t>henrymutes8@gmail.com</t>
  </si>
  <si>
    <t>774-423-8441</t>
  </si>
  <si>
    <t>Malboro</t>
  </si>
  <si>
    <t>Moreira</t>
  </si>
  <si>
    <t>Anthony@eturfcare.com</t>
  </si>
  <si>
    <t>Mauriceafrancis82@gmail.com</t>
  </si>
  <si>
    <t>(860) 965-5349</t>
  </si>
  <si>
    <t xml:space="preserve">Windsor </t>
  </si>
  <si>
    <t xml:space="preserve"> Marchand</t>
  </si>
  <si>
    <t>973 934 5672</t>
  </si>
  <si>
    <t xml:space="preserve">Shagafta </t>
  </si>
  <si>
    <t xml:space="preserve">Fattah </t>
  </si>
  <si>
    <t xml:space="preserve">shagafta@gmail.com </t>
  </si>
  <si>
    <t xml:space="preserve">(646) 942-0878 </t>
  </si>
  <si>
    <t xml:space="preserve"> Barbosa </t>
  </si>
  <si>
    <t xml:space="preserve">mrcarlosbarbosa@gmail.com </t>
  </si>
  <si>
    <t xml:space="preserve">(857) 302-9214 </t>
  </si>
  <si>
    <t xml:space="preserve">McDaid </t>
  </si>
  <si>
    <t xml:space="preserve">mcdaideric@gmail.com </t>
  </si>
  <si>
    <t xml:space="preserve">(267) 593-0500 </t>
  </si>
  <si>
    <t>Alston</t>
  </si>
  <si>
    <t xml:space="preserve"> Mcmillian </t>
  </si>
  <si>
    <t xml:space="preserve">edwardjames928@icloud.com </t>
  </si>
  <si>
    <t xml:space="preserve">(860) 817-5418 </t>
  </si>
  <si>
    <t xml:space="preserve">Naomie </t>
  </si>
  <si>
    <t xml:space="preserve"> Morpeau </t>
  </si>
  <si>
    <t xml:space="preserve">morpeau2023@gmail.com </t>
  </si>
  <si>
    <t xml:space="preserve">617) 750-2854 </t>
  </si>
  <si>
    <t xml:space="preserve">Kwabena </t>
  </si>
  <si>
    <t xml:space="preserve">Ohemeng-Gyebi </t>
  </si>
  <si>
    <t xml:space="preserve">kogstarghana@gmail.com </t>
  </si>
  <si>
    <t xml:space="preserve">(347) 600-9629 </t>
  </si>
  <si>
    <t xml:space="preserve">Dondre </t>
  </si>
  <si>
    <t xml:space="preserve"> Rogers </t>
  </si>
  <si>
    <t xml:space="preserve">Dredejesus4@gmail.com </t>
  </si>
  <si>
    <t xml:space="preserve">(508) 536-1688 </t>
  </si>
  <si>
    <t xml:space="preserve">Mizani </t>
  </si>
  <si>
    <t xml:space="preserve"> Benjamin </t>
  </si>
  <si>
    <t xml:space="preserve">mizanibenjamin22@gmail.com </t>
  </si>
  <si>
    <t xml:space="preserve">(857) 312-6529 </t>
  </si>
  <si>
    <t xml:space="preserve"> Rolle </t>
  </si>
  <si>
    <t xml:space="preserve">elijrolle@gmail.com </t>
  </si>
  <si>
    <t xml:space="preserve">978) 590-2374 </t>
  </si>
  <si>
    <t>Julia</t>
  </si>
  <si>
    <t xml:space="preserve"> Dias </t>
  </si>
  <si>
    <t xml:space="preserve">juliaoliveiradias00@gmail.com </t>
  </si>
  <si>
    <t xml:space="preserve">(617) 953-3482 </t>
  </si>
  <si>
    <t xml:space="preserve"> Warren </t>
  </si>
  <si>
    <t xml:space="preserve">Jordan.warren497@gmail.com </t>
  </si>
  <si>
    <t xml:space="preserve">(413) 314-4489 </t>
  </si>
  <si>
    <t xml:space="preserve">Feedinghills </t>
  </si>
  <si>
    <t xml:space="preserve">Pafume </t>
  </si>
  <si>
    <t xml:space="preserve">michaelpafume@gmail.com </t>
  </si>
  <si>
    <t xml:space="preserve">978) 408-9302 </t>
  </si>
  <si>
    <t>Lexington</t>
  </si>
  <si>
    <t xml:space="preserve"> Sulkis </t>
  </si>
  <si>
    <t xml:space="preserve">asulkis@gmail.com </t>
  </si>
  <si>
    <t xml:space="preserve">(617) 991-7707 </t>
  </si>
  <si>
    <t>Delilah</t>
  </si>
  <si>
    <t xml:space="preserve"> Nieves </t>
  </si>
  <si>
    <t xml:space="preserve">parksdelilah488@email.com </t>
  </si>
  <si>
    <t xml:space="preserve">(413) 489-6344 </t>
  </si>
  <si>
    <t xml:space="preserve">Adebayo  </t>
  </si>
  <si>
    <t xml:space="preserve"> Animashaun </t>
  </si>
  <si>
    <t xml:space="preserve">bayo.animashaun@yahoo.com </t>
  </si>
  <si>
    <t xml:space="preserve">(781) 666-8839 </t>
  </si>
  <si>
    <t>Saugus</t>
  </si>
  <si>
    <t xml:space="preserve">Noel </t>
  </si>
  <si>
    <t xml:space="preserve">Rosado </t>
  </si>
  <si>
    <t>noel.rosado85@icloud.com</t>
  </si>
  <si>
    <t xml:space="preserve">Osei </t>
  </si>
  <si>
    <t xml:space="preserve"> Bonsu</t>
  </si>
  <si>
    <t>Oseibonsu450@yahoo.com</t>
  </si>
  <si>
    <t>(774) 641-5552</t>
  </si>
  <si>
    <t xml:space="preserve">Arley </t>
  </si>
  <si>
    <t xml:space="preserve">Arleylouis90@gmail.com </t>
  </si>
  <si>
    <t xml:space="preserve">401 2617511 </t>
  </si>
  <si>
    <t>Shyann</t>
  </si>
  <si>
    <t xml:space="preserve"> Gore</t>
  </si>
  <si>
    <t>shyanngore04@gmail.com</t>
  </si>
  <si>
    <t>(857) 204-5335</t>
  </si>
  <si>
    <t>Romualde</t>
  </si>
  <si>
    <t xml:space="preserve">Napoleon </t>
  </si>
  <si>
    <t>romilda58@icloud.com</t>
  </si>
  <si>
    <t xml:space="preserve">Golder </t>
  </si>
  <si>
    <t xml:space="preserve">agolder857@gmail.com </t>
  </si>
  <si>
    <t xml:space="preserve">(857) 212-2548 </t>
  </si>
  <si>
    <t>Stellato</t>
  </si>
  <si>
    <t xml:space="preserve">Patrickstellato89@gmail.com </t>
  </si>
  <si>
    <t xml:space="preserve">TANIA </t>
  </si>
  <si>
    <t>FORTES</t>
  </si>
  <si>
    <t>taniacvaz@icloud.com</t>
  </si>
  <si>
    <t>(401) 659-7567</t>
  </si>
  <si>
    <t xml:space="preserve">Alayla </t>
  </si>
  <si>
    <t>508) 232-9184</t>
  </si>
  <si>
    <t>Cody</t>
  </si>
  <si>
    <t xml:space="preserve"> Shufelt </t>
  </si>
  <si>
    <t xml:space="preserve">shufelt21@yahoo.com </t>
  </si>
  <si>
    <t xml:space="preserve">(978) 399-3213 </t>
  </si>
  <si>
    <t xml:space="preserve">Emeka </t>
  </si>
  <si>
    <t>Ogwu</t>
  </si>
  <si>
    <t>emekaogwu@myyahoo.com</t>
  </si>
  <si>
    <t>(959) 221-5817</t>
  </si>
  <si>
    <t xml:space="preserve">Calumet city </t>
  </si>
  <si>
    <t xml:space="preserve">Goris </t>
  </si>
  <si>
    <t xml:space="preserve">goriswork@gmail.com </t>
  </si>
  <si>
    <t xml:space="preserve">401) 262-1968 </t>
  </si>
  <si>
    <t>Rehoboth</t>
  </si>
  <si>
    <t xml:space="preserve"> BOAMPONG </t>
  </si>
  <si>
    <t xml:space="preserve">oppong214@yahoo.com </t>
  </si>
  <si>
    <t xml:space="preserve">214) 517-2449 </t>
  </si>
  <si>
    <t>Westfied</t>
  </si>
  <si>
    <t>RICARDO</t>
  </si>
  <si>
    <t xml:space="preserve"> EUGENE </t>
  </si>
  <si>
    <t xml:space="preserve">RICARDOEUGENE322@GMAIL.COM </t>
  </si>
  <si>
    <t xml:space="preserve">(857) 540-6743 </t>
  </si>
  <si>
    <t xml:space="preserve">Tyquannya </t>
  </si>
  <si>
    <t xml:space="preserve"> G, Tyson</t>
  </si>
  <si>
    <t>yquannygtk@gmail.com</t>
  </si>
  <si>
    <t>(339)-235-8598</t>
  </si>
  <si>
    <t xml:space="preserve">Amoako </t>
  </si>
  <si>
    <t xml:space="preserve">evangamoakooutreach@yahoo.com </t>
  </si>
  <si>
    <t xml:space="preserve">347) 765-6762 </t>
  </si>
  <si>
    <t xml:space="preserve">New York </t>
  </si>
  <si>
    <t xml:space="preserve"> Gelin </t>
  </si>
  <si>
    <t xml:space="preserve">Steev3jobs@gmail.com </t>
  </si>
  <si>
    <t xml:space="preserve">857) 243-4183 </t>
  </si>
  <si>
    <t>Mathew</t>
  </si>
  <si>
    <t xml:space="preserve"> H Corliss </t>
  </si>
  <si>
    <t xml:space="preserve">mhcorliss@gmail.com </t>
  </si>
  <si>
    <t xml:space="preserve">(508) 789-9485 </t>
  </si>
  <si>
    <t xml:space="preserve"> Bonheur </t>
  </si>
  <si>
    <t xml:space="preserve">rchrdbnhr@gmail.com </t>
  </si>
  <si>
    <t xml:space="preserve">(475) 296-0065 </t>
  </si>
  <si>
    <t xml:space="preserve">Oswald </t>
  </si>
  <si>
    <t xml:space="preserve">Perez Miranda </t>
  </si>
  <si>
    <t xml:space="preserve">ozzyjrp@yahoo.com </t>
  </si>
  <si>
    <t xml:space="preserve">413) 769-4789 </t>
  </si>
  <si>
    <t xml:space="preserve">Troh </t>
  </si>
  <si>
    <t>jeffreytroh@yahoo.com</t>
  </si>
  <si>
    <t xml:space="preserve">Viviana </t>
  </si>
  <si>
    <t xml:space="preserve">Perry </t>
  </si>
  <si>
    <t>christinepeters1224@yahoo.com</t>
  </si>
  <si>
    <t>978-954-7188</t>
  </si>
  <si>
    <t>12/29/202</t>
  </si>
  <si>
    <t xml:space="preserve">Alson </t>
  </si>
  <si>
    <t xml:space="preserve"> Celenice </t>
  </si>
  <si>
    <t xml:space="preserve">alsoncelenice655@gmail.com </t>
  </si>
  <si>
    <t xml:space="preserve">(508) 222-0663 </t>
  </si>
  <si>
    <t>Aline</t>
  </si>
  <si>
    <t xml:space="preserve"> Joy </t>
  </si>
  <si>
    <t xml:space="preserve">asouza.1987.as@gmail.com </t>
  </si>
  <si>
    <t xml:space="preserve">508) 819-7540 </t>
  </si>
  <si>
    <t>michael</t>
  </si>
  <si>
    <t xml:space="preserve"> King </t>
  </si>
  <si>
    <t xml:space="preserve">mikeking3333@gmail.com </t>
  </si>
  <si>
    <t xml:space="preserve">(857) 267-0332 </t>
  </si>
  <si>
    <t xml:space="preserve">cassandra </t>
  </si>
  <si>
    <t xml:space="preserve"> cabrera </t>
  </si>
  <si>
    <t xml:space="preserve">cassandracabrera2018@gmail.com </t>
  </si>
  <si>
    <t xml:space="preserve">(508) 692-7448 </t>
  </si>
  <si>
    <t>raynham</t>
  </si>
  <si>
    <t xml:space="preserve">Asher </t>
  </si>
  <si>
    <t xml:space="preserve">moralesasher71@gmail.com </t>
  </si>
  <si>
    <t xml:space="preserve">(715) 896-9666 </t>
  </si>
  <si>
    <t xml:space="preserve">Pearsall, Texas </t>
  </si>
  <si>
    <t>Golda</t>
  </si>
  <si>
    <t xml:space="preserve"> Figaro </t>
  </si>
  <si>
    <t xml:space="preserve">goldafigaro23@gmail.com </t>
  </si>
  <si>
    <t xml:space="preserve">(857) 337-0020 </t>
  </si>
  <si>
    <t xml:space="preserve">Babatunde </t>
  </si>
  <si>
    <t xml:space="preserve"> Amao </t>
  </si>
  <si>
    <t xml:space="preserve">bopeter44@yahoo.com </t>
  </si>
  <si>
    <t xml:space="preserve">(601) 500-0117 </t>
  </si>
  <si>
    <t>Villa Rica</t>
  </si>
  <si>
    <t xml:space="preserve">Ceannin </t>
  </si>
  <si>
    <t>Dyous</t>
  </si>
  <si>
    <t>ceannindyous@icloud.com</t>
  </si>
  <si>
    <t>774)528-2798</t>
  </si>
  <si>
    <t>Couto</t>
  </si>
  <si>
    <t>vanessadaniellecouto@gmail.com</t>
  </si>
  <si>
    <t>401-306-4553</t>
  </si>
  <si>
    <t>Harrisville</t>
  </si>
  <si>
    <t>Edinah</t>
  </si>
  <si>
    <t>Onserio</t>
  </si>
  <si>
    <t>ednahpaul@gmail.com</t>
  </si>
  <si>
    <t xml:space="preserve">253 337 7352 </t>
  </si>
  <si>
    <t>Massachusetts</t>
  </si>
  <si>
    <t>RAUL</t>
  </si>
  <si>
    <t>ORTIZ</t>
  </si>
  <si>
    <t>ORTIZ.RAUL64@GMAIL.COM</t>
  </si>
  <si>
    <t>617-309-6383</t>
  </si>
  <si>
    <t>ATTLEBORO</t>
  </si>
  <si>
    <t xml:space="preserve">Aaron </t>
  </si>
  <si>
    <t>Atherton</t>
  </si>
  <si>
    <t>aaronatherton2@gmail.com</t>
  </si>
  <si>
    <t>508 493 7158</t>
  </si>
  <si>
    <t>OPPONG-BOAMPONG</t>
  </si>
  <si>
    <t>oppong214@yahoo.com</t>
  </si>
  <si>
    <t xml:space="preserve">214 517 2449      </t>
  </si>
  <si>
    <t xml:space="preserve">GRAND PRAIRIE, TEL </t>
  </si>
  <si>
    <t xml:space="preserve">Kelsey </t>
  </si>
  <si>
    <t>Provost</t>
  </si>
  <si>
    <t>kelseylynnprovost@gmail.com</t>
  </si>
  <si>
    <t>508-818-4191</t>
  </si>
  <si>
    <t>Pocasset</t>
  </si>
  <si>
    <t xml:space="preserve">Kassandra </t>
  </si>
  <si>
    <t xml:space="preserve">Padila </t>
  </si>
  <si>
    <t>kpadilla@tapestryhealth.org</t>
  </si>
  <si>
    <t>iser</t>
  </si>
  <si>
    <t xml:space="preserve">Romario </t>
  </si>
  <si>
    <t xml:space="preserve">Cousins </t>
  </si>
  <si>
    <t xml:space="preserve">Romariocousins37@gmail.com </t>
  </si>
  <si>
    <t xml:space="preserve">239-241-4017 </t>
  </si>
  <si>
    <t xml:space="preserve">Broclton </t>
  </si>
  <si>
    <t xml:space="preserve"> lopez-Quiles</t>
  </si>
  <si>
    <t>rllopezquiles98@gmail.com</t>
  </si>
  <si>
    <t>(774) 441-4427</t>
  </si>
  <si>
    <t>Amakye</t>
  </si>
  <si>
    <t>eantwi@loandepot.com</t>
  </si>
  <si>
    <t>860-656-4285</t>
  </si>
  <si>
    <t xml:space="preserve">Israel </t>
  </si>
  <si>
    <t>i.armand@aol.com</t>
  </si>
  <si>
    <t>617-935-5592</t>
  </si>
  <si>
    <t>Jeru</t>
  </si>
  <si>
    <t>jerulopes21@gmail.com</t>
  </si>
  <si>
    <t>774-206-7852</t>
  </si>
  <si>
    <t>Krystal</t>
  </si>
  <si>
    <t xml:space="preserve"> Fritz </t>
  </si>
  <si>
    <t xml:space="preserve">mskrystalgrace3@gmail.com </t>
  </si>
  <si>
    <t xml:space="preserve">(603) 247-8291 </t>
  </si>
  <si>
    <t>Pelham</t>
  </si>
  <si>
    <t>Christiana</t>
  </si>
  <si>
    <t>Kyeraa</t>
  </si>
  <si>
    <t>kyeraachristiana24@gmail.com</t>
  </si>
  <si>
    <t xml:space="preserve">Foley </t>
  </si>
  <si>
    <t xml:space="preserve">elijahfoley@ymail.com </t>
  </si>
  <si>
    <t xml:space="preserve">(781) 298-5460 </t>
  </si>
  <si>
    <t xml:space="preserve">Sebastian </t>
  </si>
  <si>
    <t xml:space="preserve"> Lariosa </t>
  </si>
  <si>
    <t xml:space="preserve">Sebastianlariosa@yahoo.com </t>
  </si>
  <si>
    <t xml:space="preserve">(508) 713-3739 </t>
  </si>
  <si>
    <t xml:space="preserve">Stella </t>
  </si>
  <si>
    <t xml:space="preserve"> DiFronzo </t>
  </si>
  <si>
    <t xml:space="preserve">sdifronzo31@gmail.com </t>
  </si>
  <si>
    <t xml:space="preserve">(617) 999-4381 </t>
  </si>
  <si>
    <t xml:space="preserve">Dalisha </t>
  </si>
  <si>
    <t xml:space="preserve"> Marrero </t>
  </si>
  <si>
    <t xml:space="preserve">dalishamarrero1@gmail.com </t>
  </si>
  <si>
    <t xml:space="preserve">413) 378-8758 </t>
  </si>
  <si>
    <t xml:space="preserve">Holoke </t>
  </si>
  <si>
    <t xml:space="preserve">Marino </t>
  </si>
  <si>
    <t xml:space="preserve">Alejandro Velasquez </t>
  </si>
  <si>
    <t xml:space="preserve">Marinovelasquez87@gmail.com </t>
  </si>
  <si>
    <t xml:space="preserve">781) 521-9719 </t>
  </si>
  <si>
    <t xml:space="preserve">karenmms305@gmail.com </t>
  </si>
  <si>
    <t xml:space="preserve">508) 897-7729 </t>
  </si>
  <si>
    <t xml:space="preserve"> Beckford </t>
  </si>
  <si>
    <t xml:space="preserve">tj.beckford29@yahoo.com </t>
  </si>
  <si>
    <t xml:space="preserve">(860) 244-3667 </t>
  </si>
  <si>
    <t>Bloomfield</t>
  </si>
  <si>
    <t xml:space="preserve">Niveah </t>
  </si>
  <si>
    <t xml:space="preserve">Mcintosh </t>
  </si>
  <si>
    <t xml:space="preserve">Niveahmcintosh@gmail.com </t>
  </si>
  <si>
    <t xml:space="preserve">(774) 268-0622 </t>
  </si>
  <si>
    <t xml:space="preserve"> Lopez </t>
  </si>
  <si>
    <t xml:space="preserve">edlopez282@gmail.com </t>
  </si>
  <si>
    <t xml:space="preserve">(978) 350-7158 </t>
  </si>
  <si>
    <t xml:space="preserve">Caitlyn </t>
  </si>
  <si>
    <t xml:space="preserve">Donovan </t>
  </si>
  <si>
    <t>centeredbodycare@gmail.com</t>
  </si>
  <si>
    <t xml:space="preserve">Bencheley </t>
  </si>
  <si>
    <t>Auguste</t>
  </si>
  <si>
    <t>bencheleyauguste32@gmail.com</t>
  </si>
  <si>
    <t xml:space="preserve">321 732 0485  </t>
  </si>
  <si>
    <t>Brooks</t>
  </si>
  <si>
    <t>jocelynbrooks345@gmail.com</t>
  </si>
  <si>
    <t>(781) 535-7024</t>
  </si>
  <si>
    <t xml:space="preserve">Kenny </t>
  </si>
  <si>
    <t>Kennyjulien03@gmail.com</t>
  </si>
  <si>
    <t>413 512 1298</t>
  </si>
  <si>
    <t xml:space="preserve">Keiyara </t>
  </si>
  <si>
    <t xml:space="preserve">keiyarajohnson02@gmail.com </t>
  </si>
  <si>
    <t xml:space="preserve">(339) 213-9323 </t>
  </si>
  <si>
    <t xml:space="preserve">kwabena </t>
  </si>
  <si>
    <t xml:space="preserve"> Amakye </t>
  </si>
  <si>
    <t xml:space="preserve">amakye.kwabenat@gmail.com </t>
  </si>
  <si>
    <t xml:space="preserve">860) 656-4285 </t>
  </si>
  <si>
    <t>Huntsville</t>
  </si>
  <si>
    <t xml:space="preserve"> Cordero </t>
  </si>
  <si>
    <t xml:space="preserve">413bikelife.rico@gmail.com </t>
  </si>
  <si>
    <t xml:space="preserve">(413) 250-6986 </t>
  </si>
  <si>
    <t xml:space="preserve">Neila </t>
  </si>
  <si>
    <t xml:space="preserve"> Foster </t>
  </si>
  <si>
    <t xml:space="preserve">fosterneila37@gmail.com </t>
  </si>
  <si>
    <t xml:space="preserve">(857) 251-0266 </t>
  </si>
  <si>
    <t xml:space="preserve">Latasia </t>
  </si>
  <si>
    <t xml:space="preserve">McLendon </t>
  </si>
  <si>
    <t xml:space="preserve">latasia.mclendon321@gmail.com </t>
  </si>
  <si>
    <t xml:space="preserve">(601) 441-1979 </t>
  </si>
  <si>
    <t>Columbia</t>
  </si>
  <si>
    <t xml:space="preserve">Aponte </t>
  </si>
  <si>
    <t xml:space="preserve">lockedin298@gmail.com </t>
  </si>
  <si>
    <t xml:space="preserve">917) 431-6043 </t>
  </si>
  <si>
    <t xml:space="preserve">Ariel </t>
  </si>
  <si>
    <t xml:space="preserve">ariel.williams13@snhu.edu </t>
  </si>
  <si>
    <t xml:space="preserve">401) 742-8475 </t>
  </si>
  <si>
    <t xml:space="preserve">ogcarlos282@gmail.com </t>
  </si>
  <si>
    <t xml:space="preserve">(978) 375-8162 </t>
  </si>
  <si>
    <t xml:space="preserve">Iris </t>
  </si>
  <si>
    <t xml:space="preserve"> Cruz-Villodas </t>
  </si>
  <si>
    <t xml:space="preserve">villodas92@gmail.com </t>
  </si>
  <si>
    <t xml:space="preserve">(413) 949-5404 </t>
  </si>
  <si>
    <t xml:space="preserve">jocelynbrooks123@gmail.com </t>
  </si>
  <si>
    <t xml:space="preserve">781) 535-7024 </t>
  </si>
  <si>
    <t>Leila</t>
  </si>
  <si>
    <t xml:space="preserve"> Mathieu </t>
  </si>
  <si>
    <t xml:space="preserve">leilamathieu0@gmail.com </t>
  </si>
  <si>
    <t xml:space="preserve">(508) 484-3475 </t>
  </si>
  <si>
    <t>LIZZETTE</t>
  </si>
  <si>
    <t xml:space="preserve"> KENDANG </t>
  </si>
  <si>
    <t xml:space="preserve">shebby.lizzette@gmail.com </t>
  </si>
  <si>
    <t xml:space="preserve">(572) 205-5808 </t>
  </si>
  <si>
    <t>Colorado Springs</t>
  </si>
  <si>
    <t xml:space="preserve">Joseph Shumsky </t>
  </si>
  <si>
    <t xml:space="preserve">Josephshumsky@protonmail.com </t>
  </si>
  <si>
    <t xml:space="preserve">(978) 868-8909 </t>
  </si>
  <si>
    <t>Rutland</t>
  </si>
  <si>
    <t xml:space="preserve">Bridges </t>
  </si>
  <si>
    <t>Jamesebridges3@gmail.com</t>
  </si>
  <si>
    <t xml:space="preserve">401-548-3707 </t>
  </si>
  <si>
    <t xml:space="preserve">Cumberland </t>
  </si>
  <si>
    <t xml:space="preserve">Sunny </t>
  </si>
  <si>
    <t xml:space="preserve"> Nwoke</t>
  </si>
  <si>
    <t>nwokesunny22@gmail.com</t>
  </si>
  <si>
    <t>781 855 8673</t>
  </si>
  <si>
    <t xml:space="preserve">Valentine </t>
  </si>
  <si>
    <t>Beluchukwu</t>
  </si>
  <si>
    <t>508 808 5374</t>
  </si>
  <si>
    <t>Jaiden</t>
  </si>
  <si>
    <t>Baillargeon</t>
  </si>
  <si>
    <t>jrivbaihern159@gmail.com</t>
  </si>
  <si>
    <t>508 744 8288</t>
  </si>
  <si>
    <t>Garraud</t>
  </si>
  <si>
    <t>edygarraud15@aol.com</t>
  </si>
  <si>
    <t>347-987-8962</t>
  </si>
  <si>
    <t>mtyyoung@gmail.com</t>
  </si>
  <si>
    <t>508-883-7824</t>
  </si>
  <si>
    <t xml:space="preserve">Blackstone </t>
  </si>
  <si>
    <t xml:space="preserve">Negron </t>
  </si>
  <si>
    <t xml:space="preserve">joelburgos2822@icloud.com </t>
  </si>
  <si>
    <t xml:space="preserve">508-414-1259 </t>
  </si>
  <si>
    <t xml:space="preserve">Wilfer </t>
  </si>
  <si>
    <t xml:space="preserve">Madera Vargas </t>
  </si>
  <si>
    <t>maderawilfer@gmail.com</t>
  </si>
  <si>
    <t xml:space="preserve">774-519-7109 </t>
  </si>
  <si>
    <t xml:space="preserve">Liriano </t>
  </si>
  <si>
    <t>liriano126@gmail.com</t>
  </si>
  <si>
    <t xml:space="preserve">508-410-5862 </t>
  </si>
  <si>
    <t xml:space="preserve">Nickolay </t>
  </si>
  <si>
    <t xml:space="preserve"> Stewart </t>
  </si>
  <si>
    <t xml:space="preserve">nickolaystewart5@gmail.com </t>
  </si>
  <si>
    <t xml:space="preserve">(177) 429-3036 </t>
  </si>
  <si>
    <t>North Brookfield</t>
  </si>
  <si>
    <t xml:space="preserve">Bawi  </t>
  </si>
  <si>
    <t xml:space="preserve">Thang </t>
  </si>
  <si>
    <t xml:space="preserve">itsbawithang@yahoo.com </t>
  </si>
  <si>
    <t xml:space="preserve">(774) 219-6945 </t>
  </si>
  <si>
    <t>Norton</t>
  </si>
  <si>
    <t xml:space="preserve">Anselm </t>
  </si>
  <si>
    <t xml:space="preserve"> Okeke </t>
  </si>
  <si>
    <t xml:space="preserve">akemeugocha@gmail.com </t>
  </si>
  <si>
    <t xml:space="preserve">623) 293-7094 </t>
  </si>
  <si>
    <t>Nolan</t>
  </si>
  <si>
    <t xml:space="preserve"> Christenson </t>
  </si>
  <si>
    <t xml:space="preserve">nchristenson@umass.edu </t>
  </si>
  <si>
    <t xml:space="preserve">(413) 977-8441 </t>
  </si>
  <si>
    <t>Southwick</t>
  </si>
  <si>
    <t xml:space="preserve">Walter </t>
  </si>
  <si>
    <t>walt359@gmail.com</t>
  </si>
  <si>
    <t xml:space="preserve">Shaquille </t>
  </si>
  <si>
    <t>Shaquillethomas95@gmail.com</t>
  </si>
  <si>
    <t>352) 209-0654</t>
  </si>
  <si>
    <t>molegeertilien@gmail.com</t>
  </si>
  <si>
    <t xml:space="preserve">Jodeci </t>
  </si>
  <si>
    <t xml:space="preserve">Garcia </t>
  </si>
  <si>
    <t>jayfgarcia94@gmail.com</t>
  </si>
  <si>
    <t>(401) 470-5434</t>
  </si>
  <si>
    <t xml:space="preserve">Denise </t>
  </si>
  <si>
    <t xml:space="preserve">deniseltorresmd@gmail.com </t>
  </si>
  <si>
    <t xml:space="preserve">(917) 900-6690 </t>
  </si>
  <si>
    <t>Bonita Springs</t>
  </si>
  <si>
    <t>Medina</t>
  </si>
  <si>
    <t>Tmtito@gmail.com</t>
  </si>
  <si>
    <t>774 433 0022</t>
  </si>
  <si>
    <t>Mallboro</t>
  </si>
  <si>
    <t xml:space="preserve">Owen  </t>
  </si>
  <si>
    <t xml:space="preserve">papciak </t>
  </si>
  <si>
    <t xml:space="preserve">Owenpapciak771@gmail.com </t>
  </si>
  <si>
    <t xml:space="preserve">283) 883-6306 </t>
  </si>
  <si>
    <t xml:space="preserve">Meriden </t>
  </si>
  <si>
    <t xml:space="preserve">Nydea </t>
  </si>
  <si>
    <t xml:space="preserve">Francklin </t>
  </si>
  <si>
    <t xml:space="preserve">nydeafr@gmail.com </t>
  </si>
  <si>
    <t xml:space="preserve">(617) 318-7041 </t>
  </si>
  <si>
    <t xml:space="preserve">Tatjana </t>
  </si>
  <si>
    <t xml:space="preserve">Gumeni </t>
  </si>
  <si>
    <t xml:space="preserve">gumenitatjana@yahoo.com </t>
  </si>
  <si>
    <t xml:space="preserve">347) 636-0647 </t>
  </si>
  <si>
    <t xml:space="preserve">MD ASIF UL HOQ KHAN </t>
  </si>
  <si>
    <t xml:space="preserve">asif.khan.bd677@gmail.com </t>
  </si>
  <si>
    <t xml:space="preserve">(857) 829-1054 </t>
  </si>
  <si>
    <t xml:space="preserve"> Gates </t>
  </si>
  <si>
    <t xml:space="preserve">jordangates70068@gmail.com </t>
  </si>
  <si>
    <t xml:space="preserve">413) 310-6476 </t>
  </si>
  <si>
    <t xml:space="preserve">Yini </t>
  </si>
  <si>
    <t xml:space="preserve"> Rosario </t>
  </si>
  <si>
    <t xml:space="preserve">Yini200@icloud.com </t>
  </si>
  <si>
    <t xml:space="preserve">347) 471-3969 </t>
  </si>
  <si>
    <t xml:space="preserve">Gerard </t>
  </si>
  <si>
    <t xml:space="preserve">Nken </t>
  </si>
  <si>
    <t>nkemgerard@gmail.com</t>
  </si>
  <si>
    <t>781 309 2116</t>
  </si>
  <si>
    <t xml:space="preserve"> Demary </t>
  </si>
  <si>
    <t xml:space="preserve">Demary420@gmail.com </t>
  </si>
  <si>
    <t xml:space="preserve">413) 412-9456 </t>
  </si>
  <si>
    <t>PITTSFIELD</t>
  </si>
  <si>
    <t>Karl</t>
  </si>
  <si>
    <t xml:space="preserve">tecaterunner@gmail.com </t>
  </si>
  <si>
    <t xml:space="preserve">508) 579-1817 </t>
  </si>
  <si>
    <t>Soares</t>
  </si>
  <si>
    <t>andy36.as@gmail.com</t>
  </si>
  <si>
    <t>774-635-1834</t>
  </si>
  <si>
    <t>Kamaris</t>
  </si>
  <si>
    <t>colonkamaris@yahoo.com</t>
  </si>
  <si>
    <t>413-504-2194</t>
  </si>
  <si>
    <t xml:space="preserve">Moises </t>
  </si>
  <si>
    <t>Viana da Silva</t>
  </si>
  <si>
    <t>moisesviana1975@gmail.com</t>
  </si>
  <si>
    <t>508) 739-3953</t>
  </si>
  <si>
    <t xml:space="preserve">dumas cordero </t>
  </si>
  <si>
    <t>rico.chinito2025@gmail.com</t>
  </si>
  <si>
    <t xml:space="preserve">BRANDON </t>
  </si>
  <si>
    <t xml:space="preserve"> WOLF</t>
  </si>
  <si>
    <t>Brandonwolf590@gmail.com</t>
  </si>
  <si>
    <t>612-430-5047</t>
  </si>
  <si>
    <t>Vadnais Heights</t>
  </si>
  <si>
    <t>MN</t>
  </si>
  <si>
    <t>iwill4fam@gmail.com</t>
  </si>
  <si>
    <t xml:space="preserve">Jean Jovin </t>
  </si>
  <si>
    <t xml:space="preserve">jdjovin@hotmail.com </t>
  </si>
  <si>
    <t xml:space="preserve">(774) 262-1192 </t>
  </si>
  <si>
    <t>Grafton</t>
  </si>
  <si>
    <t xml:space="preserve">Jaelyn </t>
  </si>
  <si>
    <t xml:space="preserve">Excellent </t>
  </si>
  <si>
    <t xml:space="preserve">jaelynexcellent@gmail.com </t>
  </si>
  <si>
    <t xml:space="preserve">857) 343-9325 </t>
  </si>
  <si>
    <t>Nassar</t>
  </si>
  <si>
    <t>Nicholasnassar367@gmail.com</t>
  </si>
  <si>
    <t>(774) 535-5085</t>
  </si>
  <si>
    <t>Rex</t>
  </si>
  <si>
    <t>Tanue</t>
  </si>
  <si>
    <t>Tamabang95@yahoo.com</t>
  </si>
  <si>
    <t>(469) 394-4341</t>
  </si>
  <si>
    <t>Tx</t>
  </si>
  <si>
    <t>Jyline</t>
  </si>
  <si>
    <t>Purnell</t>
  </si>
  <si>
    <t>Leo19.jp@gmail.com</t>
  </si>
  <si>
    <t>(978) 885-3357</t>
  </si>
  <si>
    <t>Friend</t>
  </si>
  <si>
    <t xml:space="preserve">Branden </t>
  </si>
  <si>
    <t xml:space="preserve">Sostre </t>
  </si>
  <si>
    <t xml:space="preserve">Branden.Sostre@yahoo.com </t>
  </si>
  <si>
    <t xml:space="preserve">(475) 559-0238 </t>
  </si>
  <si>
    <t xml:space="preserve">Euclides </t>
  </si>
  <si>
    <t xml:space="preserve">Andrade-Gomes </t>
  </si>
  <si>
    <t xml:space="preserve">euclidesandradegomes@gmail.com </t>
  </si>
  <si>
    <t xml:space="preserve">(508) 851-4672 </t>
  </si>
  <si>
    <t>Cameron</t>
  </si>
  <si>
    <t xml:space="preserve"> Cassidy </t>
  </si>
  <si>
    <t xml:space="preserve">camcassidy06@gmail.com </t>
  </si>
  <si>
    <t xml:space="preserve">774) 462-2040 </t>
  </si>
  <si>
    <t>Hopedale</t>
  </si>
  <si>
    <t xml:space="preserve">Morgan </t>
  </si>
  <si>
    <t xml:space="preserve">metavinylmorgan@gmail.com </t>
  </si>
  <si>
    <t xml:space="preserve">(508) 292-6815 </t>
  </si>
  <si>
    <t xml:space="preserve"> Rutledge </t>
  </si>
  <si>
    <t xml:space="preserve">mikeyrut36@gmail.com </t>
  </si>
  <si>
    <t xml:space="preserve">(781) 400-0412 </t>
  </si>
  <si>
    <t xml:space="preserve">Hollingworth </t>
  </si>
  <si>
    <t xml:space="preserve">hollingworthpaulhunter@gmail.com </t>
  </si>
  <si>
    <t xml:space="preserve">(978) 273-9191 </t>
  </si>
  <si>
    <t xml:space="preserve">Yair </t>
  </si>
  <si>
    <t xml:space="preserve"> Koenig </t>
  </si>
  <si>
    <t xml:space="preserve">yairkoenig@gmail.com </t>
  </si>
  <si>
    <t xml:space="preserve">(516) 603-4036 </t>
  </si>
  <si>
    <t xml:space="preserve">Leisa </t>
  </si>
  <si>
    <t xml:space="preserve">Rodney Davis </t>
  </si>
  <si>
    <t xml:space="preserve">davis.leisa@yahoo.com </t>
  </si>
  <si>
    <t xml:space="preserve">(617) 840-8009 </t>
  </si>
  <si>
    <t xml:space="preserve">Achley  </t>
  </si>
  <si>
    <t xml:space="preserve">Sainvilus </t>
  </si>
  <si>
    <t xml:space="preserve">achley67@gmail.com </t>
  </si>
  <si>
    <t xml:space="preserve">(617) 291-2491 </t>
  </si>
  <si>
    <t xml:space="preserve">Trajan  </t>
  </si>
  <si>
    <t xml:space="preserve"> Lounsbury </t>
  </si>
  <si>
    <t xml:space="preserve">Tlounsbury99@gmail.com </t>
  </si>
  <si>
    <t xml:space="preserve">(203) 893-6228 </t>
  </si>
  <si>
    <t xml:space="preserve">Tengbeh </t>
  </si>
  <si>
    <t xml:space="preserve">davidtengbeh@gmail.com </t>
  </si>
  <si>
    <t xml:space="preserve">(401) 548-2750 </t>
  </si>
  <si>
    <t xml:space="preserve"> MacNeil </t>
  </si>
  <si>
    <t xml:space="preserve">bob.macneil08@gmail.com </t>
  </si>
  <si>
    <t xml:space="preserve">(781) 206-5706 </t>
  </si>
  <si>
    <t>Bryan</t>
  </si>
  <si>
    <t xml:space="preserve"> Holguin </t>
  </si>
  <si>
    <t>bryan.holguin246@gmail.com</t>
  </si>
  <si>
    <t>617 712 8075</t>
  </si>
  <si>
    <t xml:space="preserve">quade </t>
  </si>
  <si>
    <t xml:space="preserve"> Bradford </t>
  </si>
  <si>
    <t>quavobrad22@icloud.com</t>
  </si>
  <si>
    <t>(914) 218-1953</t>
  </si>
  <si>
    <t>Dante</t>
  </si>
  <si>
    <t xml:space="preserve"> Estrada </t>
  </si>
  <si>
    <t>estdante25@icloud.com</t>
  </si>
  <si>
    <t>413-405-4729</t>
  </si>
  <si>
    <t xml:space="preserve">Nathania </t>
  </si>
  <si>
    <t>Orellana</t>
  </si>
  <si>
    <t>nathiorellana818@gmail.com</t>
  </si>
  <si>
    <t>617-461-2512</t>
  </si>
  <si>
    <t>Hennessy</t>
  </si>
  <si>
    <t>jomihenn@icloud.com</t>
  </si>
  <si>
    <t>774-276-7226</t>
  </si>
  <si>
    <t xml:space="preserve">Brieyana </t>
  </si>
  <si>
    <t xml:space="preserve">Santana </t>
  </si>
  <si>
    <t>brieyanasantana@outlook.com</t>
  </si>
  <si>
    <t>978-727-6323</t>
  </si>
  <si>
    <t xml:space="preserve">Londonderry </t>
  </si>
  <si>
    <t xml:space="preserve">jormanny </t>
  </si>
  <si>
    <t xml:space="preserve">Nunez </t>
  </si>
  <si>
    <t xml:space="preserve">jornunez423@gmail.com </t>
  </si>
  <si>
    <t xml:space="preserve">857) 395-7467 </t>
  </si>
  <si>
    <t xml:space="preserve">Mikaila </t>
  </si>
  <si>
    <t xml:space="preserve">Williams-Pina </t>
  </si>
  <si>
    <t xml:space="preserve">mikailapina@gmail.com </t>
  </si>
  <si>
    <t xml:space="preserve">(781) 400-4357 </t>
  </si>
  <si>
    <t xml:space="preserve">Venante </t>
  </si>
  <si>
    <t xml:space="preserve"> Baptiste</t>
  </si>
  <si>
    <t>venante9@gmail.com</t>
  </si>
  <si>
    <t xml:space="preserve">774 707 5086 </t>
  </si>
  <si>
    <t>Lynch</t>
  </si>
  <si>
    <t>briannalynchrock@icloud.com</t>
  </si>
  <si>
    <t>781-901-2071</t>
  </si>
  <si>
    <t>Fharlley</t>
  </si>
  <si>
    <t>fharlley.paiva@yahoo.com</t>
  </si>
  <si>
    <t>508-215-9430</t>
  </si>
  <si>
    <t xml:space="preserve">Martinez </t>
  </si>
  <si>
    <t>maddiemartinez03@icloud.com</t>
  </si>
  <si>
    <t>413) 800-5419</t>
  </si>
  <si>
    <t xml:space="preserve">Keandre </t>
  </si>
  <si>
    <t>riconmadison15@gmail.com</t>
  </si>
  <si>
    <t>774 253 0067</t>
  </si>
  <si>
    <t xml:space="preserve">Fithburg </t>
  </si>
  <si>
    <t>Cribb</t>
  </si>
  <si>
    <t xml:space="preserve">aaroncribb@hotmail.com </t>
  </si>
  <si>
    <t>(617) 202-8908</t>
  </si>
  <si>
    <t xml:space="preserve">South Paris </t>
  </si>
  <si>
    <t xml:space="preserve">Me </t>
  </si>
  <si>
    <t xml:space="preserve">Parris </t>
  </si>
  <si>
    <t xml:space="preserve">Heath </t>
  </si>
  <si>
    <t xml:space="preserve">parrisheath123@gmail.com </t>
  </si>
  <si>
    <t xml:space="preserve">(845) 598-3264 </t>
  </si>
  <si>
    <t xml:space="preserve">Sunderland </t>
  </si>
  <si>
    <t>Valentine</t>
  </si>
  <si>
    <t xml:space="preserve">Beluchukwu </t>
  </si>
  <si>
    <t>valentinebeluchukwu@yahoo.com</t>
  </si>
  <si>
    <t>(508) 808-5374</t>
  </si>
  <si>
    <t>Bony</t>
  </si>
  <si>
    <t>Belois</t>
  </si>
  <si>
    <t>bonybls6@gmail.com</t>
  </si>
  <si>
    <t>(857) 246-5263</t>
  </si>
  <si>
    <t xml:space="preserve">DOC Website/ Eligible List </t>
  </si>
  <si>
    <t>Nosley Cesar</t>
  </si>
  <si>
    <t>Carrera Jr.</t>
  </si>
  <si>
    <t>ncjcesar.97@gmail.com</t>
  </si>
  <si>
    <t>(978) 233-1539</t>
  </si>
  <si>
    <t>djindajarvis@yahoo.com</t>
  </si>
  <si>
    <t>(508) 309-2430</t>
  </si>
  <si>
    <t xml:space="preserve">Kyle </t>
  </si>
  <si>
    <t>Dixon</t>
  </si>
  <si>
    <t>jordanedixon83@gmail.com</t>
  </si>
  <si>
    <t>(617) 980-1387</t>
  </si>
  <si>
    <t>Skyler</t>
  </si>
  <si>
    <t>Skyler.blake15@gmail.com</t>
  </si>
  <si>
    <t>(774) 786-0676</t>
  </si>
  <si>
    <t>Mercado</t>
  </si>
  <si>
    <t>Jasonmercado1117@gmail.com</t>
  </si>
  <si>
    <t>(978) 701-3046</t>
  </si>
  <si>
    <t xml:space="preserve">Gabriella </t>
  </si>
  <si>
    <t xml:space="preserve">Morkeski </t>
  </si>
  <si>
    <t xml:space="preserve">gabby.exclusive@gmail.com </t>
  </si>
  <si>
    <t xml:space="preserve">(978) 476-9054 </t>
  </si>
  <si>
    <t xml:space="preserve">Noslen </t>
  </si>
  <si>
    <t xml:space="preserve"> Medeiros </t>
  </si>
  <si>
    <t xml:space="preserve">noslenpainting@gmail.com </t>
  </si>
  <si>
    <t xml:space="preserve">774) 225-5171 </t>
  </si>
  <si>
    <t>Mamadou</t>
  </si>
  <si>
    <t xml:space="preserve">Fanta </t>
  </si>
  <si>
    <t>mamadoufantakourouma@gmail.com</t>
  </si>
  <si>
    <t>774-528-6752</t>
  </si>
  <si>
    <t xml:space="preserve">St Sauveur </t>
  </si>
  <si>
    <t xml:space="preserve">Medzer </t>
  </si>
  <si>
    <t>jeanmedzer92@gmail.com</t>
  </si>
  <si>
    <t>fathermike2005@gmail.com</t>
  </si>
  <si>
    <t>682-372-7535</t>
  </si>
  <si>
    <t xml:space="preserve">Dallas </t>
  </si>
  <si>
    <t>Alvarado</t>
  </si>
  <si>
    <t>franklinalvarado776@gmail.com</t>
  </si>
  <si>
    <t>Lulimachi</t>
  </si>
  <si>
    <t>Ricklulimachi@gmail.com</t>
  </si>
  <si>
    <t>(978) 394-6226</t>
  </si>
  <si>
    <t xml:space="preserve">Jeanfracois </t>
  </si>
  <si>
    <t>steevejeanfrancois23@gmail.com</t>
  </si>
  <si>
    <t xml:space="preserve">Career Showcase </t>
  </si>
  <si>
    <t>Bikele</t>
  </si>
  <si>
    <t xml:space="preserve">afranbikele@gmail.com </t>
  </si>
  <si>
    <t>971-178-3676</t>
  </si>
  <si>
    <t>Corvallis</t>
  </si>
  <si>
    <t xml:space="preserve">OR </t>
  </si>
  <si>
    <t xml:space="preserve">Carolin </t>
  </si>
  <si>
    <t xml:space="preserve">carolyntorres009@gmail.com </t>
  </si>
  <si>
    <t xml:space="preserve">978) 818-4171 </t>
  </si>
  <si>
    <t>Russell</t>
  </si>
  <si>
    <t>russellthompsonjr@gmail.com</t>
  </si>
  <si>
    <t>Kassandra</t>
  </si>
  <si>
    <t xml:space="preserve"> Fragoso </t>
  </si>
  <si>
    <t xml:space="preserve">fragosok@outlook.com </t>
  </si>
  <si>
    <t>774-223-8406</t>
  </si>
  <si>
    <t xml:space="preserve"> Dorelus</t>
  </si>
  <si>
    <t xml:space="preserve">menadinedorelus@gmail.com </t>
  </si>
  <si>
    <t xml:space="preserve">Ibraheem </t>
  </si>
  <si>
    <t>Almarawi</t>
  </si>
  <si>
    <t>totrue4@gmail.com</t>
  </si>
  <si>
    <t xml:space="preserve">(310)-806-5133 </t>
  </si>
  <si>
    <t xml:space="preserve">Cantin </t>
  </si>
  <si>
    <t>alextincan36@gmail.com</t>
  </si>
  <si>
    <t>978-407-1632</t>
  </si>
  <si>
    <t>mrrcarrington@gmail.com</t>
  </si>
  <si>
    <t>774-586-5085</t>
  </si>
  <si>
    <t xml:space="preserve">Esteban </t>
  </si>
  <si>
    <t xml:space="preserve">Carrillo </t>
  </si>
  <si>
    <t>estebancar@gmail.com</t>
  </si>
  <si>
    <t xml:space="preserve">Christie </t>
  </si>
  <si>
    <t xml:space="preserve">ant.christie28@gmail.com </t>
  </si>
  <si>
    <t xml:space="preserve">(413) 302-5696 </t>
  </si>
  <si>
    <t xml:space="preserve">Fred </t>
  </si>
  <si>
    <t xml:space="preserve">moisenoel24@gmail.com </t>
  </si>
  <si>
    <t xml:space="preserve">786) 436-2242 </t>
  </si>
  <si>
    <t xml:space="preserve"> Perez </t>
  </si>
  <si>
    <t xml:space="preserve">Morelluis2023@gmail.com </t>
  </si>
  <si>
    <t xml:space="preserve">(978) 860-5228 </t>
  </si>
  <si>
    <t xml:space="preserve"> Aadan </t>
  </si>
  <si>
    <t>ahmedaadan389@gmail.com</t>
  </si>
  <si>
    <t>(617) 447-0845</t>
  </si>
  <si>
    <t xml:space="preserve">Kennadeigh </t>
  </si>
  <si>
    <t xml:space="preserve">Sylvia </t>
  </si>
  <si>
    <t xml:space="preserve">Kennap76@gmail.com </t>
  </si>
  <si>
    <t xml:space="preserve">(774) 503-4474 </t>
  </si>
  <si>
    <t xml:space="preserve"> Perez</t>
  </si>
  <si>
    <t>Stephanieperez0613@gmail.com</t>
  </si>
  <si>
    <t>857-398-9902</t>
  </si>
  <si>
    <t xml:space="preserve">JONATHAN </t>
  </si>
  <si>
    <t>Yeo</t>
  </si>
  <si>
    <t>Jonyeo24@gmail.com</t>
  </si>
  <si>
    <t>(757)-812-5858</t>
  </si>
  <si>
    <t>Stafford</t>
  </si>
  <si>
    <t xml:space="preserve">Zavras </t>
  </si>
  <si>
    <t xml:space="preserve">alexisz11903@gmail.com </t>
  </si>
  <si>
    <t xml:space="preserve">Naleigha </t>
  </si>
  <si>
    <t xml:space="preserve"> Evans</t>
  </si>
  <si>
    <t>Naleighape@gmail.com</t>
  </si>
  <si>
    <t>252-350-7788</t>
  </si>
  <si>
    <t>Galvin</t>
  </si>
  <si>
    <t>tgalvin733@gmail.com</t>
  </si>
  <si>
    <t>(774) 343-9782</t>
  </si>
  <si>
    <t xml:space="preserve">Jansen </t>
  </si>
  <si>
    <t xml:space="preserve">bjansen2022@gmail.com </t>
  </si>
  <si>
    <t xml:space="preserve">(774) 534-0933 </t>
  </si>
  <si>
    <t xml:space="preserve">Roberge </t>
  </si>
  <si>
    <t xml:space="preserve">PMROBERGE27@GMAIL.COM </t>
  </si>
  <si>
    <t xml:space="preserve">(850) 624-4420 </t>
  </si>
  <si>
    <t>MAURICIO</t>
  </si>
  <si>
    <t xml:space="preserve">DUARTE </t>
  </si>
  <si>
    <t xml:space="preserve">mauricioduarte1@hotmail.com </t>
  </si>
  <si>
    <t xml:space="preserve">(774) 386-2319 </t>
  </si>
  <si>
    <t xml:space="preserve"> Figueroa </t>
  </si>
  <si>
    <t xml:space="preserve">marcosf@bu.edu </t>
  </si>
  <si>
    <t xml:space="preserve">401) 261-5790 </t>
  </si>
  <si>
    <t xml:space="preserve">RYAN </t>
  </si>
  <si>
    <t xml:space="preserve"> CUMMINGS </t>
  </si>
  <si>
    <t xml:space="preserve">ryanfcummings93@yahoo.com </t>
  </si>
  <si>
    <t xml:space="preserve">413) 330-7855 </t>
  </si>
  <si>
    <t xml:space="preserve">West springfield </t>
  </si>
  <si>
    <t xml:space="preserve"> Suber </t>
  </si>
  <si>
    <t xml:space="preserve">xxsuberxx18@gmail.com </t>
  </si>
  <si>
    <t xml:space="preserve">(401) 775-9539 </t>
  </si>
  <si>
    <t>Woonsocke</t>
  </si>
  <si>
    <t xml:space="preserve"> Roberts </t>
  </si>
  <si>
    <t xml:space="preserve">snooshi2017181920@gmail.com </t>
  </si>
  <si>
    <t xml:space="preserve">772) 913-5488 </t>
  </si>
  <si>
    <t xml:space="preserve">Davenport, Florida </t>
  </si>
  <si>
    <t xml:space="preserve">Martin </t>
  </si>
  <si>
    <t xml:space="preserve">mediazr1@icloud.com </t>
  </si>
  <si>
    <t xml:space="preserve">480) 487-9153 </t>
  </si>
  <si>
    <t>Buckeye</t>
  </si>
  <si>
    <t>AR</t>
  </si>
  <si>
    <t xml:space="preserve"> Pizarro </t>
  </si>
  <si>
    <t xml:space="preserve">Pizarro.javy17@gmail.com </t>
  </si>
  <si>
    <t xml:space="preserve">(413) 210-3156 </t>
  </si>
  <si>
    <t xml:space="preserve"> Hugo </t>
  </si>
  <si>
    <t xml:space="preserve">john_hugo@comcast.net </t>
  </si>
  <si>
    <t xml:space="preserve">(617) 777-2141 </t>
  </si>
  <si>
    <t xml:space="preserve">Woburn, MA </t>
  </si>
  <si>
    <t>Fresnel</t>
  </si>
  <si>
    <t xml:space="preserve">fresnylouis@gmail.com </t>
  </si>
  <si>
    <t xml:space="preserve">781) 390-0035 </t>
  </si>
  <si>
    <t>Devante</t>
  </si>
  <si>
    <t xml:space="preserve"> Jones </t>
  </si>
  <si>
    <t xml:space="preserve">Devantejones135@gmail.com </t>
  </si>
  <si>
    <t xml:space="preserve">413) 363-3574 </t>
  </si>
  <si>
    <t xml:space="preserve">Springfield, </t>
  </si>
  <si>
    <t>Cassandra</t>
  </si>
  <si>
    <t xml:space="preserve"> Haile </t>
  </si>
  <si>
    <t xml:space="preserve">chaile90@icloud.com </t>
  </si>
  <si>
    <t xml:space="preserve">(413) 364-5080 </t>
  </si>
  <si>
    <t xml:space="preserve">Christ </t>
  </si>
  <si>
    <t xml:space="preserve"> Josaphat </t>
  </si>
  <si>
    <t xml:space="preserve">Christlovejosaphat@gmail.com </t>
  </si>
  <si>
    <t xml:space="preserve">774) 339-1464 </t>
  </si>
  <si>
    <t xml:space="preserve">Karly </t>
  </si>
  <si>
    <t xml:space="preserve"> Setterstrom </t>
  </si>
  <si>
    <t xml:space="preserve">Karlysetterstrom2001@gmail.com </t>
  </si>
  <si>
    <t xml:space="preserve">413) 455-9117 </t>
  </si>
  <si>
    <t xml:space="preserve">Osaro </t>
  </si>
  <si>
    <t xml:space="preserve">omorogieva </t>
  </si>
  <si>
    <t xml:space="preserve">talktojeff2003@yahoo.com </t>
  </si>
  <si>
    <t xml:space="preserve">(617) 888-1863 </t>
  </si>
  <si>
    <t xml:space="preserve">Rosania </t>
  </si>
  <si>
    <t xml:space="preserve">Coq </t>
  </si>
  <si>
    <t xml:space="preserve">rosaniac68@gmail.com </t>
  </si>
  <si>
    <t xml:space="preserve">(774) 606-7766 </t>
  </si>
  <si>
    <t>calvin</t>
  </si>
  <si>
    <t xml:space="preserve"> king jr </t>
  </si>
  <si>
    <t xml:space="preserve">Calvinking81500@gmail.com </t>
  </si>
  <si>
    <t xml:space="preserve">(781) 386-7383 </t>
  </si>
  <si>
    <t>hanson</t>
  </si>
  <si>
    <t xml:space="preserve">Yari </t>
  </si>
  <si>
    <t xml:space="preserve">Baldwin </t>
  </si>
  <si>
    <t>yarib19991999@gmail.com</t>
  </si>
  <si>
    <t xml:space="preserve">508-663-8164 </t>
  </si>
  <si>
    <t>Francois</t>
  </si>
  <si>
    <t>logandream29@yahoo.com</t>
  </si>
  <si>
    <t>(954) 798-7163</t>
  </si>
  <si>
    <t xml:space="preserve">Jashawn </t>
  </si>
  <si>
    <t>Woods</t>
  </si>
  <si>
    <t>woodsjashawn@yahoo.com</t>
  </si>
  <si>
    <t>443-581-8159</t>
  </si>
  <si>
    <t xml:space="preserve">Pike </t>
  </si>
  <si>
    <t>brandon.pike32118@icloud.com</t>
  </si>
  <si>
    <t>413-636-5035</t>
  </si>
  <si>
    <t>Monson</t>
  </si>
  <si>
    <t xml:space="preserve"> De Jesus </t>
  </si>
  <si>
    <t>elprofeta742@gmail.com</t>
  </si>
  <si>
    <t>978 972 0214</t>
  </si>
  <si>
    <t>Roberts</t>
  </si>
  <si>
    <t>snooshi2017181920@gmail.com</t>
  </si>
  <si>
    <t xml:space="preserve">Florida </t>
  </si>
  <si>
    <t xml:space="preserve">Christian </t>
  </si>
  <si>
    <t xml:space="preserve">Haddock </t>
  </si>
  <si>
    <t xml:space="preserve">christianhaddock4@gmail.com </t>
  </si>
  <si>
    <t xml:space="preserve">413) 885-1994 </t>
  </si>
  <si>
    <t xml:space="preserve">sammiejo32789@aol.com </t>
  </si>
  <si>
    <t>(508) 846-8322</t>
  </si>
  <si>
    <t xml:space="preserve">Grover </t>
  </si>
  <si>
    <t xml:space="preserve">Seangrover34@gmail.com </t>
  </si>
  <si>
    <t xml:space="preserve">Fortwood </t>
  </si>
  <si>
    <t xml:space="preserve">Bryanna </t>
  </si>
  <si>
    <t xml:space="preserve"> Silva </t>
  </si>
  <si>
    <t>bryannasilvaa7@gmail.com</t>
  </si>
  <si>
    <t xml:space="preserve">508-372-5457 </t>
  </si>
  <si>
    <t xml:space="preserve">Wilfredo </t>
  </si>
  <si>
    <t>a</t>
  </si>
  <si>
    <t>inglesw84@gmail.com</t>
  </si>
  <si>
    <t>774-242-5618</t>
  </si>
  <si>
    <t xml:space="preserve">Karakouzian </t>
  </si>
  <si>
    <t xml:space="preserve">nicholask2003@gmail.com </t>
  </si>
  <si>
    <t xml:space="preserve">339) 234-4243 </t>
  </si>
  <si>
    <t xml:space="preserve">Cristiano </t>
  </si>
  <si>
    <t xml:space="preserve"> Virla </t>
  </si>
  <si>
    <t xml:space="preserve">Eldervirla@gmail.com </t>
  </si>
  <si>
    <t xml:space="preserve">(508) 353-5903 </t>
  </si>
  <si>
    <t xml:space="preserve">Jacobo </t>
  </si>
  <si>
    <t xml:space="preserve"> Polanco </t>
  </si>
  <si>
    <t xml:space="preserve">Jacobopolanco12@gmail.com </t>
  </si>
  <si>
    <t xml:space="preserve">(860) 995-0167 </t>
  </si>
  <si>
    <t xml:space="preserve">Fairfield </t>
  </si>
  <si>
    <t xml:space="preserve">Emmanuel  </t>
  </si>
  <si>
    <t xml:space="preserve"> Karngar </t>
  </si>
  <si>
    <t xml:space="preserve">Emmanuelkarngar1@gmail.com </t>
  </si>
  <si>
    <t xml:space="preserve">401) 419-7390 </t>
  </si>
  <si>
    <t>PAWTUCKET</t>
  </si>
  <si>
    <t xml:space="preserve">DesmondMcPherson88@Gmail.com </t>
  </si>
  <si>
    <t xml:space="preserve">(857) 246-5373    </t>
  </si>
  <si>
    <t xml:space="preserve">Cesar </t>
  </si>
  <si>
    <t>Gill</t>
  </si>
  <si>
    <t>juliogil0221@icloud.com</t>
  </si>
  <si>
    <t>(978) 566-2266</t>
  </si>
  <si>
    <t>Rhode Island</t>
  </si>
  <si>
    <t>Marta</t>
  </si>
  <si>
    <t>Humanes</t>
  </si>
  <si>
    <t>vmm02366@su.suffolk.edu</t>
  </si>
  <si>
    <t>(915) 261-2166</t>
  </si>
  <si>
    <t>Ari</t>
  </si>
  <si>
    <t>Koutsogiannis</t>
  </si>
  <si>
    <t>akouts123@gmail.com</t>
  </si>
  <si>
    <t>(774) 274-9433</t>
  </si>
  <si>
    <t>Tatjana</t>
  </si>
  <si>
    <t>Gumeni</t>
  </si>
  <si>
    <t>gumenitatjana#@yahoo.com</t>
  </si>
  <si>
    <t>(347) 636-0647</t>
  </si>
  <si>
    <t>Jayson</t>
  </si>
  <si>
    <t>jaysonfrazer1998@gmail.com</t>
  </si>
  <si>
    <t>(508) 939-0206</t>
  </si>
  <si>
    <t>Amarli</t>
  </si>
  <si>
    <t>Saul-Straw</t>
  </si>
  <si>
    <t>asaulstraw@gmail.com</t>
  </si>
  <si>
    <t>(617) 767-1910</t>
  </si>
  <si>
    <t xml:space="preserve">Dacosta </t>
  </si>
  <si>
    <t>carlosdacosta24@gmail.com</t>
  </si>
  <si>
    <t>(508) 345-5834</t>
  </si>
  <si>
    <t xml:space="preserve">Fairhaven </t>
  </si>
  <si>
    <t>Farah</t>
  </si>
  <si>
    <t xml:space="preserve">Pinson </t>
  </si>
  <si>
    <t>fpinson@recoverysolutions.us</t>
  </si>
  <si>
    <t>(781) 885-9067</t>
  </si>
  <si>
    <t>Christan</t>
  </si>
  <si>
    <t>Mannix</t>
  </si>
  <si>
    <t>Cmqnnix@gmail.com</t>
  </si>
  <si>
    <t>(774) 273-3452</t>
  </si>
  <si>
    <t>Carver</t>
  </si>
  <si>
    <t>Kiley</t>
  </si>
  <si>
    <t>erickileykicks@gmail.com</t>
  </si>
  <si>
    <t>(978) 760-0552</t>
  </si>
  <si>
    <t>Ciara</t>
  </si>
  <si>
    <t>Thorme</t>
  </si>
  <si>
    <t>cicilovee222@gmail.com</t>
  </si>
  <si>
    <t>(857) 283-2545</t>
  </si>
  <si>
    <t>Tyshawn</t>
  </si>
  <si>
    <t>tdavis8710@gmail.com</t>
  </si>
  <si>
    <t>(781) 774-9000</t>
  </si>
  <si>
    <t>Mirvalley</t>
  </si>
  <si>
    <t xml:space="preserve"> Narcisse</t>
  </si>
  <si>
    <t>mimienarcisse@gmail.com</t>
  </si>
  <si>
    <t>(617) 955-2229</t>
  </si>
  <si>
    <t>Jereem</t>
  </si>
  <si>
    <t>Langlais</t>
  </si>
  <si>
    <t>jereem.langlais@gmail.com</t>
  </si>
  <si>
    <t>(781) 929-3583</t>
  </si>
  <si>
    <t>Hughes</t>
  </si>
  <si>
    <t>alexhughes10253@icloud.com</t>
  </si>
  <si>
    <t>(440) 219-2538</t>
  </si>
  <si>
    <t>North Ridgeville</t>
  </si>
  <si>
    <t>Oh</t>
  </si>
  <si>
    <t>Enaira</t>
  </si>
  <si>
    <t>enairaw@gmail.com</t>
  </si>
  <si>
    <t>(225) 476-2608</t>
  </si>
  <si>
    <t xml:space="preserve">Jean Coute </t>
  </si>
  <si>
    <t>Pierremary28@gmail.com</t>
  </si>
  <si>
    <t>781-350-6106</t>
  </si>
  <si>
    <t xml:space="preserve">Sauro </t>
  </si>
  <si>
    <t xml:space="preserve">abtechrich@verizon.net </t>
  </si>
  <si>
    <t xml:space="preserve">(617) 851-2978 </t>
  </si>
  <si>
    <t>Rene</t>
  </si>
  <si>
    <t>jd.rene30@gmail.com</t>
  </si>
  <si>
    <t>(413) 390-1309</t>
  </si>
  <si>
    <t>St Pierre</t>
  </si>
  <si>
    <t>spjduq@icloud.com</t>
  </si>
  <si>
    <t>781-518-8942</t>
  </si>
  <si>
    <t>Jerome</t>
  </si>
  <si>
    <t>Penn</t>
  </si>
  <si>
    <t>jp62911@gmail.com</t>
  </si>
  <si>
    <t>(617) 436-8541</t>
  </si>
  <si>
    <t>Dyneisha</t>
  </si>
  <si>
    <t>Corbett</t>
  </si>
  <si>
    <t>dyneishacorbett03@gmail.com</t>
  </si>
  <si>
    <t>781-809-5102</t>
  </si>
  <si>
    <t>Malik</t>
  </si>
  <si>
    <t>Fofana</t>
  </si>
  <si>
    <t>fofana.mjl@gmail.com</t>
  </si>
  <si>
    <t xml:space="preserve">	(617) 981-2481</t>
  </si>
  <si>
    <t>Bessard</t>
  </si>
  <si>
    <t>alainbessard@icloud.com</t>
  </si>
  <si>
    <t>239-296-9478</t>
  </si>
  <si>
    <t>Chukwuemeka</t>
  </si>
  <si>
    <t xml:space="preserve"> Okere </t>
  </si>
  <si>
    <t xml:space="preserve">Okere2013@outlook.com </t>
  </si>
  <si>
    <t xml:space="preserve">240) 318-4368 </t>
  </si>
  <si>
    <t>Bowie</t>
  </si>
  <si>
    <t xml:space="preserve"> Brown</t>
  </si>
  <si>
    <t>downtownbrownn67@gmail.com</t>
  </si>
  <si>
    <t>508 930 2118</t>
  </si>
  <si>
    <t xml:space="preserve"> Nathalia </t>
  </si>
  <si>
    <t>Tejeda</t>
  </si>
  <si>
    <t>ntejeda01@gmail.com</t>
  </si>
  <si>
    <t xml:space="preserve">Burton </t>
  </si>
  <si>
    <t xml:space="preserve">amb749985@gmail.com </t>
  </si>
  <si>
    <t xml:space="preserve">(857) 334-0725 </t>
  </si>
  <si>
    <t xml:space="preserve"> Francois </t>
  </si>
  <si>
    <t xml:space="preserve">S.FRANCOIS713@YAHOO.COM </t>
  </si>
  <si>
    <t xml:space="preserve">(857) 334-6447 </t>
  </si>
  <si>
    <t xml:space="preserve"> Needham </t>
  </si>
  <si>
    <t xml:space="preserve">arthurneedham13@gmail.com </t>
  </si>
  <si>
    <t xml:space="preserve">(413) 563-1833 </t>
  </si>
  <si>
    <t xml:space="preserve">Meitamei </t>
  </si>
  <si>
    <t xml:space="preserve">dkmeitamei@gmail.com </t>
  </si>
  <si>
    <t xml:space="preserve">(074) 400-6590 </t>
  </si>
  <si>
    <t xml:space="preserve">Uk, London </t>
  </si>
  <si>
    <t xml:space="preserve">Boamah </t>
  </si>
  <si>
    <t>rodbameek13@yahoo.com</t>
  </si>
  <si>
    <t xml:space="preserve">508) 615-4557 </t>
  </si>
  <si>
    <t>Jn Claude</t>
  </si>
  <si>
    <t xml:space="preserve"> Maison </t>
  </si>
  <si>
    <t xml:space="preserve">jeanclaudemaison06@gmail.com </t>
  </si>
  <si>
    <t xml:space="preserve">504) 295-7399 </t>
  </si>
  <si>
    <t xml:space="preserve">Gretna, Louisiana </t>
  </si>
  <si>
    <t>LA</t>
  </si>
  <si>
    <t xml:space="preserve"> Fofana </t>
  </si>
  <si>
    <t xml:space="preserve">fofana.mjl@gmail.com </t>
  </si>
  <si>
    <t xml:space="preserve">617) 981-2481 </t>
  </si>
  <si>
    <t xml:space="preserve">Nelvin </t>
  </si>
  <si>
    <t>nelvinrodriguez746@gmail.com</t>
  </si>
  <si>
    <t>India</t>
  </si>
  <si>
    <t>Daniels</t>
  </si>
  <si>
    <t>indialichelle@icloud.com</t>
  </si>
  <si>
    <t>413 5803699</t>
  </si>
  <si>
    <t xml:space="preserve">Sprinfield </t>
  </si>
  <si>
    <t xml:space="preserve">Daley </t>
  </si>
  <si>
    <t>douglasdaley312@gmail.com</t>
  </si>
  <si>
    <t xml:space="preserve">Luis N </t>
  </si>
  <si>
    <t xml:space="preserve">Forchue Custodio </t>
  </si>
  <si>
    <t>forchue12@icloud.com</t>
  </si>
  <si>
    <t xml:space="preserve">Nathaly </t>
  </si>
  <si>
    <t xml:space="preserve"> Jeancharles </t>
  </si>
  <si>
    <t>nathalyjc@yahoo.com</t>
  </si>
  <si>
    <t xml:space="preserve"> Roslindale </t>
  </si>
  <si>
    <t>Mckasia</t>
  </si>
  <si>
    <t>mckasiawilliams@gmail.com</t>
  </si>
  <si>
    <t>Veri</t>
  </si>
  <si>
    <t>Abelingo</t>
  </si>
  <si>
    <t>abelingo2013@gmail.com</t>
  </si>
  <si>
    <t xml:space="preserve"> Sean </t>
  </si>
  <si>
    <t xml:space="preserve"> Stealth</t>
  </si>
  <si>
    <t>seanstealth@icloud.com</t>
  </si>
  <si>
    <t>929-990-3155</t>
  </si>
  <si>
    <t>Sheffield</t>
  </si>
  <si>
    <t xml:space="preserve">Raquel </t>
  </si>
  <si>
    <t xml:space="preserve"> Pena</t>
  </si>
  <si>
    <t>rpena120@icloud.com</t>
  </si>
  <si>
    <t xml:space="preserve">Shawnte </t>
  </si>
  <si>
    <t xml:space="preserve"> Walls</t>
  </si>
  <si>
    <t>shawnte13.walls@gmail.com</t>
  </si>
  <si>
    <t xml:space="preserve">Jodel </t>
  </si>
  <si>
    <t>Jean Pierre</t>
  </si>
  <si>
    <t>jodel89@gmail.com</t>
  </si>
  <si>
    <t>857-242-8176</t>
  </si>
  <si>
    <t xml:space="preserve">Ogbonnaya </t>
  </si>
  <si>
    <t xml:space="preserve"> C.Chukwu </t>
  </si>
  <si>
    <t>osychristy@gmail.com</t>
  </si>
  <si>
    <t xml:space="preserve">Taunton  </t>
  </si>
  <si>
    <t xml:space="preserve">Richelis </t>
  </si>
  <si>
    <t xml:space="preserve"> Matos Betances</t>
  </si>
  <si>
    <t>Richelismatosbetances@gmail.com</t>
  </si>
  <si>
    <t xml:space="preserve">Enaira </t>
  </si>
  <si>
    <t xml:space="preserve">Enairaw@gmail.com </t>
  </si>
  <si>
    <t>225) 476-2608</t>
  </si>
  <si>
    <t xml:space="preserve"> Houston </t>
  </si>
  <si>
    <t xml:space="preserve">Aishorjo </t>
  </si>
  <si>
    <t xml:space="preserve"> Paul Bablee </t>
  </si>
  <si>
    <t xml:space="preserve">aishorjo95@gmail.com </t>
  </si>
  <si>
    <t xml:space="preserve">530) 219-8354 </t>
  </si>
  <si>
    <t xml:space="preserve">Chelsea </t>
  </si>
  <si>
    <t xml:space="preserve">Motta </t>
  </si>
  <si>
    <t>chel.leigh98@icloud.com</t>
  </si>
  <si>
    <t xml:space="preserve">      (764)-510-6304</t>
  </si>
  <si>
    <t xml:space="preserve">Moison </t>
  </si>
  <si>
    <t xml:space="preserve">Forwrkemail@gmail.com </t>
  </si>
  <si>
    <t>603 732 5870</t>
  </si>
  <si>
    <t>New Ipswich</t>
  </si>
  <si>
    <t xml:space="preserve"> Adjei </t>
  </si>
  <si>
    <t xml:space="preserve">akwasiadjeigh@gmail.com </t>
  </si>
  <si>
    <t xml:space="preserve">(959) 237-3936 </t>
  </si>
  <si>
    <t xml:space="preserve"> Laguerre </t>
  </si>
  <si>
    <t xml:space="preserve">laguerrejames54@gmail.com </t>
  </si>
  <si>
    <t xml:space="preserve">Magdala Apollon </t>
  </si>
  <si>
    <t xml:space="preserve"> Apollon </t>
  </si>
  <si>
    <t xml:space="preserve">gaymagdala1984@gmail.com </t>
  </si>
  <si>
    <t xml:space="preserve">(339) 221-8647 </t>
  </si>
  <si>
    <t>Melena</t>
  </si>
  <si>
    <t xml:space="preserve">Karolemeas </t>
  </si>
  <si>
    <t xml:space="preserve">melenakarol@gmail.com </t>
  </si>
  <si>
    <t xml:space="preserve">(781) 856-1344 </t>
  </si>
  <si>
    <t xml:space="preserve">Esther Nimako </t>
  </si>
  <si>
    <t xml:space="preserve"> Nimako </t>
  </si>
  <si>
    <t xml:space="preserve">esther2let@gmail.com </t>
  </si>
  <si>
    <t xml:space="preserve">(608) 422-1274 </t>
  </si>
  <si>
    <t>Sun Prairie</t>
  </si>
  <si>
    <t>WI</t>
  </si>
  <si>
    <t xml:space="preserve">Kyra </t>
  </si>
  <si>
    <t xml:space="preserve">Pickard </t>
  </si>
  <si>
    <t>pickardkyra08@gmail.com</t>
  </si>
  <si>
    <t xml:space="preserve">Moses </t>
  </si>
  <si>
    <t xml:space="preserve"> Brisson </t>
  </si>
  <si>
    <t>mosesbrisson@icloud.com</t>
  </si>
  <si>
    <t>(781) 706-5069</t>
  </si>
  <si>
    <t xml:space="preserve">dforrester45g@gmail.com </t>
  </si>
  <si>
    <t xml:space="preserve">(857) 719-2801 </t>
  </si>
  <si>
    <t>Wanda</t>
  </si>
  <si>
    <t>michellegarcia4611@live.com</t>
  </si>
  <si>
    <t>(401) 298-3859</t>
  </si>
  <si>
    <t>Chris</t>
  </si>
  <si>
    <t>Todd</t>
  </si>
  <si>
    <t>christodd004@gmail.com</t>
  </si>
  <si>
    <t>(774) 273-5948</t>
  </si>
  <si>
    <t xml:space="preserve">Jaethen </t>
  </si>
  <si>
    <t xml:space="preserve">Jaethen Ramos </t>
  </si>
  <si>
    <t>774-633-7970</t>
  </si>
  <si>
    <t xml:space="preserve">Dayter </t>
  </si>
  <si>
    <t>dayter1985@gmail.com</t>
  </si>
  <si>
    <t xml:space="preserve">508) 801-3221 </t>
  </si>
  <si>
    <t>Mryan881@yahoo.com</t>
  </si>
  <si>
    <t>978-799-5176</t>
  </si>
  <si>
    <t xml:space="preserve">emmge90@gmail.com </t>
  </si>
  <si>
    <t>857-888-7328</t>
  </si>
  <si>
    <t xml:space="preserve">Anneris </t>
  </si>
  <si>
    <t xml:space="preserve"> J Camacho Ramos </t>
  </si>
  <si>
    <t xml:space="preserve">ajcr.610@gmail.com </t>
  </si>
  <si>
    <t xml:space="preserve">(978) 942-0007 </t>
  </si>
  <si>
    <t xml:space="preserve">Carrion </t>
  </si>
  <si>
    <t>Shaliacluis23@gmail.com</t>
  </si>
  <si>
    <t>413-214-9467</t>
  </si>
  <si>
    <t>Fonge</t>
  </si>
  <si>
    <t xml:space="preserve">Mratebezi@gmail.com </t>
  </si>
  <si>
    <t>781-244-4860</t>
  </si>
  <si>
    <t xml:space="preserve">Finnessey </t>
  </si>
  <si>
    <t>sfinnessey8753@westfield.ma.edu</t>
  </si>
  <si>
    <t>413-362-2560</t>
  </si>
  <si>
    <t xml:space="preserve">Darlene </t>
  </si>
  <si>
    <t xml:space="preserve"> Hernandez </t>
  </si>
  <si>
    <t xml:space="preserve">darlene19hernandez@icloud.com </t>
  </si>
  <si>
    <t xml:space="preserve">(413) 390-5058 </t>
  </si>
  <si>
    <t>Gethro</t>
  </si>
  <si>
    <t>Nerosil</t>
  </si>
  <si>
    <t>gnerosil86@gmail.com</t>
  </si>
  <si>
    <t>774-849-8493</t>
  </si>
  <si>
    <t>xjr12193842@gmail.com</t>
  </si>
  <si>
    <t>401-497-6254</t>
  </si>
  <si>
    <t>Parent</t>
  </si>
  <si>
    <t>parentcurtis@gmail.com</t>
  </si>
  <si>
    <t>508-807-7436</t>
  </si>
  <si>
    <t xml:space="preserve"> Hussain</t>
  </si>
  <si>
    <t>a0865303@gmail.com</t>
  </si>
  <si>
    <t>518 729 0204</t>
  </si>
  <si>
    <t>Valdir</t>
  </si>
  <si>
    <t>Docanto</t>
  </si>
  <si>
    <t>Valdir3423@yahoo.com</t>
  </si>
  <si>
    <t>617-334-4785</t>
  </si>
  <si>
    <t xml:space="preserve">Todd </t>
  </si>
  <si>
    <t xml:space="preserve">christodd004@gmail.com </t>
  </si>
  <si>
    <t xml:space="preserve">(774) 273-5948 </t>
  </si>
  <si>
    <t>Briggs</t>
  </si>
  <si>
    <t>GavinBriggs47@gmail.com</t>
  </si>
  <si>
    <t>774)-303-9218</t>
  </si>
  <si>
    <t>Korey</t>
  </si>
  <si>
    <t>Jones-Coble</t>
  </si>
  <si>
    <t>koreyjones58@yahoo.com</t>
  </si>
  <si>
    <t>(434) 394-8911</t>
  </si>
  <si>
    <t>andralisss525@gmail.com</t>
  </si>
  <si>
    <t>207-852-3135</t>
  </si>
  <si>
    <t>Jesse</t>
  </si>
  <si>
    <t>Tompkins</t>
  </si>
  <si>
    <t>jessetompkins01@gmail.com</t>
  </si>
  <si>
    <t>508-948-7111</t>
  </si>
  <si>
    <t xml:space="preserve">Dumais </t>
  </si>
  <si>
    <t xml:space="preserve">samantha.dumais1225@gmail.com </t>
  </si>
  <si>
    <t xml:space="preserve">(774) 275-9376 </t>
  </si>
  <si>
    <t>Fiorentino</t>
  </si>
  <si>
    <t>Fiorentino.Jesse@outlook.com</t>
  </si>
  <si>
    <t>857-615-1448</t>
  </si>
  <si>
    <t xml:space="preserve"> Malave </t>
  </si>
  <si>
    <t xml:space="preserve">genesis.g.12@hotmail.com </t>
  </si>
  <si>
    <t xml:space="preserve">(774) 764-9406 </t>
  </si>
  <si>
    <t xml:space="preserve">joszman88@gmail.com </t>
  </si>
  <si>
    <t xml:space="preserve">(401) 808-1390 </t>
  </si>
  <si>
    <t xml:space="preserve">Connor </t>
  </si>
  <si>
    <t>Van Wie</t>
  </si>
  <si>
    <t>connor.vanwie@snhu.edu</t>
  </si>
  <si>
    <t>570-249-0417</t>
  </si>
  <si>
    <t xml:space="preserve">Randy </t>
  </si>
  <si>
    <t xml:space="preserve">Veras </t>
  </si>
  <si>
    <t xml:space="preserve">randyv24@gmail.com </t>
  </si>
  <si>
    <t xml:space="preserve">(978) 390-2283 </t>
  </si>
  <si>
    <t>Tadaja</t>
  </si>
  <si>
    <t xml:space="preserve"> Allen</t>
  </si>
  <si>
    <t>tadajaallenx3@gmail.com</t>
  </si>
  <si>
    <t>(773)969-0707</t>
  </si>
  <si>
    <t xml:space="preserve">Kayvon </t>
  </si>
  <si>
    <t xml:space="preserve"> Burks </t>
  </si>
  <si>
    <t>kayvonburks67@gmail.com</t>
  </si>
  <si>
    <t>774) 365-0945</t>
  </si>
  <si>
    <t xml:space="preserve">Javier </t>
  </si>
  <si>
    <t xml:space="preserve"> Cintron</t>
  </si>
  <si>
    <t>javierc.rtt@gmail.com</t>
  </si>
  <si>
    <t>413-388-4384</t>
  </si>
  <si>
    <t>Tammy</t>
  </si>
  <si>
    <t xml:space="preserve"> Lawrence </t>
  </si>
  <si>
    <t xml:space="preserve">tammy.lawrence9@icloud.com </t>
  </si>
  <si>
    <t xml:space="preserve">(617) 905-5720 </t>
  </si>
  <si>
    <t xml:space="preserve">Kaylee </t>
  </si>
  <si>
    <t xml:space="preserve">Lebron </t>
  </si>
  <si>
    <t>Kayleelebron000@gmail.com</t>
  </si>
  <si>
    <t>774) 502-8020</t>
  </si>
  <si>
    <t>Billie</t>
  </si>
  <si>
    <t>Singletary</t>
  </si>
  <si>
    <t>billiesingletary@yahoo.com</t>
  </si>
  <si>
    <t>617-866-1247</t>
  </si>
  <si>
    <t xml:space="preserve">ALVARO </t>
  </si>
  <si>
    <t xml:space="preserve">TORRES </t>
  </si>
  <si>
    <t>alvaro.torres@fdc.myflorida.com</t>
  </si>
  <si>
    <t>954-865-2644</t>
  </si>
  <si>
    <t xml:space="preserve">Dakeria </t>
  </si>
  <si>
    <t xml:space="preserve"> Barnes</t>
  </si>
  <si>
    <t xml:space="preserve">dakeriabarnes@gmail.com </t>
  </si>
  <si>
    <t xml:space="preserve">781) 351-5478 </t>
  </si>
  <si>
    <t>Miquel</t>
  </si>
  <si>
    <t>Marlou</t>
  </si>
  <si>
    <t>Guerrero</t>
  </si>
  <si>
    <t>marloujguerrero@gmail.com</t>
  </si>
  <si>
    <t xml:space="preserve"> 401-450-7369</t>
  </si>
  <si>
    <t xml:space="preserve">Woodline </t>
  </si>
  <si>
    <t xml:space="preserve"> Maignan</t>
  </si>
  <si>
    <t>woodlinemaignan@gmail.com</t>
  </si>
  <si>
    <t>(781) 888-6407</t>
  </si>
  <si>
    <t>Bright</t>
  </si>
  <si>
    <t>Osasere</t>
  </si>
  <si>
    <t>osaserebright@gmail.com</t>
  </si>
  <si>
    <t>978-349-1712</t>
  </si>
  <si>
    <t xml:space="preserve">Serrano </t>
  </si>
  <si>
    <t xml:space="preserve">luisserrano72387@gmail.com </t>
  </si>
  <si>
    <t xml:space="preserve">(978) 696-1686 </t>
  </si>
  <si>
    <t xml:space="preserve">Deamel </t>
  </si>
  <si>
    <t xml:space="preserve"> Berroa </t>
  </si>
  <si>
    <t xml:space="preserve">deamelberroa@gmail.com  </t>
  </si>
  <si>
    <t xml:space="preserve">(774) 271-4334 </t>
  </si>
  <si>
    <t>Thaynara</t>
  </si>
  <si>
    <t>DeCristofano</t>
  </si>
  <si>
    <t>oliveira.thay1992@gmail.com</t>
  </si>
  <si>
    <t>774-999-9255</t>
  </si>
  <si>
    <t>Ludwige</t>
  </si>
  <si>
    <t>Elvariste Yoyo</t>
  </si>
  <si>
    <t>ludwigelvariste@gmail.com</t>
  </si>
  <si>
    <t>857-397-3357</t>
  </si>
  <si>
    <t xml:space="preserve">Quiana </t>
  </si>
  <si>
    <t xml:space="preserve"> McDaniel </t>
  </si>
  <si>
    <t>quianamcdaniel94@gmail.com</t>
  </si>
  <si>
    <t>347-757-9901</t>
  </si>
  <si>
    <t>Jamaul</t>
  </si>
  <si>
    <t>Miller</t>
  </si>
  <si>
    <t>jamaulmiller@gmail.com</t>
  </si>
  <si>
    <t>(857) 216-9660</t>
  </si>
  <si>
    <t>Pirelli</t>
  </si>
  <si>
    <t>cole.pirelli@outlook.com</t>
  </si>
  <si>
    <t>781-856-9185</t>
  </si>
  <si>
    <t xml:space="preserve"> Redfern </t>
  </si>
  <si>
    <t xml:space="preserve">giannaredfern@gmail.com </t>
  </si>
  <si>
    <t xml:space="preserve">(857) 247-3741 </t>
  </si>
  <si>
    <t xml:space="preserve">Robii </t>
  </si>
  <si>
    <t>Souto</t>
  </si>
  <si>
    <t>robii.sou14@gmail.com</t>
  </si>
  <si>
    <t>617-279-1224</t>
  </si>
  <si>
    <t xml:space="preserve">Summer </t>
  </si>
  <si>
    <t xml:space="preserve"> Turner </t>
  </si>
  <si>
    <t xml:space="preserve">summernicole42017@icloud.com </t>
  </si>
  <si>
    <t xml:space="preserve">(978) 894-7414 </t>
  </si>
  <si>
    <t>eough</t>
  </si>
  <si>
    <t>desalvojoseph6@gmail.com</t>
  </si>
  <si>
    <t>978-866-4254</t>
  </si>
  <si>
    <t xml:space="preserve">Daniel.Francis1068@gmail.com </t>
  </si>
  <si>
    <t>617-980-2980</t>
  </si>
  <si>
    <t>Keough</t>
  </si>
  <si>
    <t>rkeogy@gmail.com</t>
  </si>
  <si>
    <t>781-413-7207</t>
  </si>
  <si>
    <t xml:space="preserve">Pendergast </t>
  </si>
  <si>
    <t>bjpendergast35@yahoo.com</t>
  </si>
  <si>
    <t>781-771-9229</t>
  </si>
  <si>
    <t xml:space="preserve">Stephanie </t>
  </si>
  <si>
    <t xml:space="preserve"> perez-ives </t>
  </si>
  <si>
    <t xml:space="preserve">stephanieperez0613@gmail.com </t>
  </si>
  <si>
    <t xml:space="preserve">JERRY </t>
  </si>
  <si>
    <t>SANDIMAN</t>
  </si>
  <si>
    <t>jerrysandiman@yahoo.com</t>
  </si>
  <si>
    <t>508-333-5340</t>
  </si>
  <si>
    <t>Bruce</t>
  </si>
  <si>
    <t>bruce8926@gmail.com</t>
  </si>
  <si>
    <t>339-214-1124</t>
  </si>
  <si>
    <t>derrickansah224@gmail.com</t>
  </si>
  <si>
    <t>508-552-1285</t>
  </si>
  <si>
    <t>Seth</t>
  </si>
  <si>
    <t>Finnessey</t>
  </si>
  <si>
    <t>sethfinnessey@gmail.com</t>
  </si>
  <si>
    <t>(413) 362-2560</t>
  </si>
  <si>
    <t xml:space="preserve">Dahlas </t>
  </si>
  <si>
    <t xml:space="preserve"> Forgie </t>
  </si>
  <si>
    <t xml:space="preserve">dcforgie@outlook.com </t>
  </si>
  <si>
    <t xml:space="preserve">(413) 372-2311 </t>
  </si>
  <si>
    <t xml:space="preserve">Joyce </t>
  </si>
  <si>
    <t>benjoyce34@gmail.com</t>
  </si>
  <si>
    <t xml:space="preserve">774-265-4184 </t>
  </si>
  <si>
    <t>Lucrechia</t>
  </si>
  <si>
    <t>Lubin</t>
  </si>
  <si>
    <t>lucrechialubin@gmail.com</t>
  </si>
  <si>
    <t>(786) 296-5442</t>
  </si>
  <si>
    <t xml:space="preserve">Maldonado </t>
  </si>
  <si>
    <t xml:space="preserve">Maldonado.v1895@gmail.com </t>
  </si>
  <si>
    <t xml:space="preserve">(781) 632-8604 </t>
  </si>
  <si>
    <t>Dylan</t>
  </si>
  <si>
    <t>Martir-piche</t>
  </si>
  <si>
    <t>603-309-6436</t>
  </si>
  <si>
    <t>Jillian</t>
  </si>
  <si>
    <t>Mord</t>
  </si>
  <si>
    <t>Jillian1210@aol.com</t>
  </si>
  <si>
    <t>978-407-7482</t>
  </si>
  <si>
    <t>Oluwasey</t>
  </si>
  <si>
    <t>Ojoko</t>
  </si>
  <si>
    <t>oluwaseyiojoko@gmail.com</t>
  </si>
  <si>
    <t>401-359-2526</t>
  </si>
  <si>
    <t xml:space="preserve">Landon </t>
  </si>
  <si>
    <t xml:space="preserve">Rousseau </t>
  </si>
  <si>
    <t>landonm0821@gmail.com</t>
  </si>
  <si>
    <t>774-287-6770</t>
  </si>
  <si>
    <t xml:space="preserve">Lavancia </t>
  </si>
  <si>
    <t>Scarlet</t>
  </si>
  <si>
    <t>nova958@gmail.com</t>
  </si>
  <si>
    <t>609-849-7801</t>
  </si>
  <si>
    <t xml:space="preserve"> Taveras </t>
  </si>
  <si>
    <t xml:space="preserve">miguelitotaveras2930@gmail.com </t>
  </si>
  <si>
    <t>781-600-5602</t>
  </si>
  <si>
    <t xml:space="preserve"> Ahern</t>
  </si>
  <si>
    <t>jahern28@icloud.com</t>
  </si>
  <si>
    <t>978-987-5639</t>
  </si>
  <si>
    <t>Cabrera Luna</t>
  </si>
  <si>
    <t>mike032004@gmail.com</t>
  </si>
  <si>
    <t>617-834-5525</t>
  </si>
  <si>
    <t>Ohenebakduah2@gmail.com</t>
  </si>
  <si>
    <t xml:space="preserve">Anilton </t>
  </si>
  <si>
    <t xml:space="preserve">Fernandes </t>
  </si>
  <si>
    <t xml:space="preserve">aniltonjorge1993@hotmail.com </t>
  </si>
  <si>
    <t xml:space="preserve">774-360-7791 </t>
  </si>
  <si>
    <t>Miguelina</t>
  </si>
  <si>
    <t>German</t>
  </si>
  <si>
    <t>miguegerman1027@gmail.com</t>
  </si>
  <si>
    <t>617-792-8041</t>
  </si>
  <si>
    <t xml:space="preserve">Renne </t>
  </si>
  <si>
    <t xml:space="preserve">Hariston </t>
  </si>
  <si>
    <t>rhairston1130@gmail.com</t>
  </si>
  <si>
    <t>617-571-4162</t>
  </si>
  <si>
    <t xml:space="preserve"> Hussain </t>
  </si>
  <si>
    <t xml:space="preserve">a0865303@gmail.com </t>
  </si>
  <si>
    <t xml:space="preserve">(518) 729-0204 </t>
  </si>
  <si>
    <t>Shaleika</t>
  </si>
  <si>
    <t>Matthews</t>
  </si>
  <si>
    <t>shaleikamatthews@gmail.com</t>
  </si>
  <si>
    <t>617 )297- 1145</t>
  </si>
  <si>
    <t xml:space="preserve">Gethro </t>
  </si>
  <si>
    <t xml:space="preserve">Nerosil </t>
  </si>
  <si>
    <t xml:space="preserve">gnerosil86@gmail.com </t>
  </si>
  <si>
    <t xml:space="preserve">774-849-8493 </t>
  </si>
  <si>
    <t xml:space="preserve">Osemwegie </t>
  </si>
  <si>
    <t>justice4ad@yahoo.com</t>
  </si>
  <si>
    <t xml:space="preserve">(508) 665-9387 </t>
  </si>
  <si>
    <t>Boakye</t>
  </si>
  <si>
    <t>lifeisgoodasap@gmail.com</t>
  </si>
  <si>
    <t>781-475-0924</t>
  </si>
  <si>
    <t xml:space="preserve"> DaSilva </t>
  </si>
  <si>
    <t>sdasilva0228@gmail.com</t>
  </si>
  <si>
    <t>508-818-4725</t>
  </si>
  <si>
    <t xml:space="preserve">Shantel </t>
  </si>
  <si>
    <t xml:space="preserve"> Davis </t>
  </si>
  <si>
    <t xml:space="preserve">ShantelDavis2020@gmail.com </t>
  </si>
  <si>
    <t xml:space="preserve">857) 701-3509 </t>
  </si>
  <si>
    <t xml:space="preserve">kayladias@icloud.com </t>
  </si>
  <si>
    <t xml:space="preserve">(508) 496-6808 </t>
  </si>
  <si>
    <t>Mothusi</t>
  </si>
  <si>
    <t>Diseko</t>
  </si>
  <si>
    <t>mmdiseko@gmail.com</t>
  </si>
  <si>
    <t>774 422 8257</t>
  </si>
  <si>
    <t xml:space="preserve"> Falkornia </t>
  </si>
  <si>
    <t xml:space="preserve">Gfalkorn01@northshore.edu </t>
  </si>
  <si>
    <t xml:space="preserve">(978) 394-4453 </t>
  </si>
  <si>
    <t xml:space="preserve">Frimantz </t>
  </si>
  <si>
    <t>Ebenzer</t>
  </si>
  <si>
    <t>Ihejirika</t>
  </si>
  <si>
    <t>nezer.ihejirika@yahoo.com</t>
  </si>
  <si>
    <t>425-399-4453</t>
  </si>
  <si>
    <t>Carmin</t>
  </si>
  <si>
    <t>Macario</t>
  </si>
  <si>
    <t>carminmarchena25@gmail.com</t>
  </si>
  <si>
    <t>508-310-8424</t>
  </si>
  <si>
    <t xml:space="preserve">Metcalf </t>
  </si>
  <si>
    <t xml:space="preserve">briannajoycex0@gmail.com </t>
  </si>
  <si>
    <t xml:space="preserve">(716) 446-7093 </t>
  </si>
  <si>
    <t xml:space="preserve">sethianjames02@gmail.com </t>
  </si>
  <si>
    <t xml:space="preserve">(978) 930-4753 </t>
  </si>
  <si>
    <t>Valliere</t>
  </si>
  <si>
    <t>Juniorpip@yahoo.com</t>
  </si>
  <si>
    <t xml:space="preserve"> Zaragoza Gonzalez</t>
  </si>
  <si>
    <t>5039022sam@gmail.com</t>
  </si>
  <si>
    <t>508-206-0417</t>
  </si>
  <si>
    <t>bjacquie45@yahoo.com</t>
  </si>
  <si>
    <t>781-510-1760</t>
  </si>
  <si>
    <t>Brisson</t>
  </si>
  <si>
    <t>781-706-5069</t>
  </si>
  <si>
    <t>Jayonia</t>
  </si>
  <si>
    <t xml:space="preserve">jcannon@csimail.org </t>
  </si>
  <si>
    <t xml:space="preserve">(203) 690-2438 </t>
  </si>
  <si>
    <t xml:space="preserve">Clancy </t>
  </si>
  <si>
    <t>joshua.clancy@gmail.com</t>
  </si>
  <si>
    <t>508-507-0140</t>
  </si>
  <si>
    <t xml:space="preserve">Colburn </t>
  </si>
  <si>
    <t xml:space="preserve">pcolburn25@yahoo.com </t>
  </si>
  <si>
    <t xml:space="preserve">(978) 696-7129 </t>
  </si>
  <si>
    <t>joshua.figueroa5@ipr.edu</t>
  </si>
  <si>
    <t xml:space="preserve">(787) 222-2766 </t>
  </si>
  <si>
    <t>Alydia</t>
  </si>
  <si>
    <t>Le</t>
  </si>
  <si>
    <t>alydia.le19@gmail.com</t>
  </si>
  <si>
    <t>(978) 906-4451</t>
  </si>
  <si>
    <t xml:space="preserve">Frashley </t>
  </si>
  <si>
    <t>Paula</t>
  </si>
  <si>
    <t>paulafrashley@gmail.com</t>
  </si>
  <si>
    <t>617-963-4266</t>
  </si>
  <si>
    <t>Jimmy</t>
  </si>
  <si>
    <t>Ventura</t>
  </si>
  <si>
    <t>jimmyventura8787@yahoo.com</t>
  </si>
  <si>
    <t>(907)947-2918</t>
  </si>
  <si>
    <t>Walcott</t>
  </si>
  <si>
    <t>rwalcott@live.com</t>
  </si>
  <si>
    <t>(617)990-7683 </t>
  </si>
  <si>
    <t xml:space="preserve">Woodland </t>
  </si>
  <si>
    <t xml:space="preserve">adamwoodland16@icloud.com </t>
  </si>
  <si>
    <t xml:space="preserve">(774) 331-1989 </t>
  </si>
  <si>
    <t>Mohamed</t>
  </si>
  <si>
    <t xml:space="preserve"> Bah</t>
  </si>
  <si>
    <t>bahmo278@gmail.com</t>
  </si>
  <si>
    <t xml:space="preserve"> (617) 982-4011</t>
  </si>
  <si>
    <t>Jeremias</t>
  </si>
  <si>
    <t>Campos</t>
  </si>
  <si>
    <t>Dubem</t>
  </si>
  <si>
    <t>ciwezekwem@gmail.com</t>
  </si>
  <si>
    <t>706-908-8762</t>
  </si>
  <si>
    <t xml:space="preserve">Liengu </t>
  </si>
  <si>
    <t>Etaka Liote</t>
  </si>
  <si>
    <t>lienguetakaliote@gmail.com</t>
  </si>
  <si>
    <t>(346) 434-4515</t>
  </si>
  <si>
    <t>McDevitt</t>
  </si>
  <si>
    <t>kayla.mcdevitt@yahoo.com</t>
  </si>
  <si>
    <t>508-397-4082</t>
  </si>
  <si>
    <t xml:space="preserve">kelly  </t>
  </si>
  <si>
    <t xml:space="preserve">O’Connor </t>
  </si>
  <si>
    <t xml:space="preserve">kellyantonia.2411@gmail.com </t>
  </si>
  <si>
    <t>774-279-8093</t>
  </si>
  <si>
    <t xml:space="preserve"> Semedo </t>
  </si>
  <si>
    <t xml:space="preserve">bruno123vaz@hotmail.com </t>
  </si>
  <si>
    <t xml:space="preserve">(401) 428-8963 </t>
  </si>
  <si>
    <t xml:space="preserve">Johathan </t>
  </si>
  <si>
    <t>berthiaume</t>
  </si>
  <si>
    <t>johnjr1820@gmail.com</t>
  </si>
  <si>
    <t>401-500-5948</t>
  </si>
  <si>
    <t>Andrew</t>
  </si>
  <si>
    <t>andrew_calvagno@yahoo.com</t>
  </si>
  <si>
    <t>781-924-9678</t>
  </si>
  <si>
    <t>Anneris</t>
  </si>
  <si>
    <t>Camacho</t>
  </si>
  <si>
    <t>ajcr.610@gmail.com</t>
  </si>
  <si>
    <t>978-942-0007</t>
  </si>
  <si>
    <t xml:space="preserve">Moise </t>
  </si>
  <si>
    <t xml:space="preserve"> Carice-Cadet</t>
  </si>
  <si>
    <t xml:space="preserve">moisecadet8523@gmail.com </t>
  </si>
  <si>
    <t>617-828-0471</t>
  </si>
  <si>
    <t xml:space="preserve">Linsky </t>
  </si>
  <si>
    <t xml:space="preserve">mikelinsky3@gmail.com </t>
  </si>
  <si>
    <t xml:space="preserve">(508) 397-6984 </t>
  </si>
  <si>
    <t>Catherine</t>
  </si>
  <si>
    <t>catherinelopes94@gmail.com</t>
  </si>
  <si>
    <t>617-888-0144</t>
  </si>
  <si>
    <t xml:space="preserve">Aileen </t>
  </si>
  <si>
    <t xml:space="preserve">Nicol </t>
  </si>
  <si>
    <t xml:space="preserve">aileen4cranberrycottages@gmail.com </t>
  </si>
  <si>
    <t xml:space="preserve">508) 273-5693 </t>
  </si>
  <si>
    <t>newtonprevilon@gmail.com</t>
  </si>
  <si>
    <t>857-417-8643</t>
  </si>
  <si>
    <t xml:space="preserve">ervello Santiago </t>
  </si>
  <si>
    <t>alexsantiago64@gmail.com</t>
  </si>
  <si>
    <t>978-728-1261</t>
  </si>
  <si>
    <t>Ivyana</t>
  </si>
  <si>
    <t>ivyanascott123456@icloud.com</t>
  </si>
  <si>
    <t>857-266-7427</t>
  </si>
  <si>
    <t xml:space="preserve"> Servello </t>
  </si>
  <si>
    <t xml:space="preserve">joeservello00@gmail.com </t>
  </si>
  <si>
    <t xml:space="preserve">(508) 801-3078 </t>
  </si>
  <si>
    <t xml:space="preserve">Franchezca </t>
  </si>
  <si>
    <t>Valerio Valdez</t>
  </si>
  <si>
    <t>Franchezcav07@gmail.com</t>
  </si>
  <si>
    <t>857-505-8838</t>
  </si>
  <si>
    <t>aagyem1@gmail.com</t>
  </si>
  <si>
    <t>774-293-3252</t>
  </si>
  <si>
    <t>Bourgeois</t>
  </si>
  <si>
    <t>bourgeois213@icloud.com</t>
  </si>
  <si>
    <t>702-521-1133</t>
  </si>
  <si>
    <t>Harrison</t>
  </si>
  <si>
    <t>Eboigbe</t>
  </si>
  <si>
    <t>gbharry@gmail.com</t>
  </si>
  <si>
    <t>774-826-9060</t>
  </si>
  <si>
    <t>Gabriel</t>
  </si>
  <si>
    <t>tygabriel20@gmail.com</t>
  </si>
  <si>
    <t>(774) 331-6369</t>
  </si>
  <si>
    <t xml:space="preserve">Mae </t>
  </si>
  <si>
    <t xml:space="preserve">Luchini </t>
  </si>
  <si>
    <t>maeml17@aol.com</t>
  </si>
  <si>
    <t>781-901-2284</t>
  </si>
  <si>
    <t xml:space="preserve">Mcfarlane </t>
  </si>
  <si>
    <t xml:space="preserve">Alexmcfarlanebsc@gmail.com </t>
  </si>
  <si>
    <t xml:space="preserve">508) 364-7522 </t>
  </si>
  <si>
    <t>montenegrino</t>
  </si>
  <si>
    <t xml:space="preserve">petermontenegrino@gmail.com </t>
  </si>
  <si>
    <t xml:space="preserve">(508) 250-8234 </t>
  </si>
  <si>
    <t xml:space="preserve"> Ribeiro </t>
  </si>
  <si>
    <t xml:space="preserve">sarahribeiro7775@gmail.com </t>
  </si>
  <si>
    <t xml:space="preserve">(774) 778-3277 </t>
  </si>
  <si>
    <t xml:space="preserve"> Duqueestrada </t>
  </si>
  <si>
    <t>danteheyyy@icloud.com</t>
  </si>
  <si>
    <t>774-364-3886</t>
  </si>
  <si>
    <t>Gonzalezfranklin6052@gmail.com</t>
  </si>
  <si>
    <t>978-514-3952</t>
  </si>
  <si>
    <t xml:space="preserve">gabriellegonzalez117@gmail.com </t>
  </si>
  <si>
    <t xml:space="preserve">(413) 330-0338 </t>
  </si>
  <si>
    <t xml:space="preserve">Judeson </t>
  </si>
  <si>
    <t xml:space="preserve">judesonhenry@gmail.com </t>
  </si>
  <si>
    <t>857-237-9964</t>
  </si>
  <si>
    <t>Darlene</t>
  </si>
  <si>
    <t>darlenehsrnandez944@gmail.com</t>
  </si>
  <si>
    <t>413-390-5058</t>
  </si>
  <si>
    <t>Loujeames</t>
  </si>
  <si>
    <t>Jusmé</t>
  </si>
  <si>
    <t>jusmloujeames@yahoo.com</t>
  </si>
  <si>
    <t>(781) 308-0638</t>
  </si>
  <si>
    <t xml:space="preserve">Jay' Len </t>
  </si>
  <si>
    <t xml:space="preserve"> Mahan </t>
  </si>
  <si>
    <t>Jaylen.mahan11@yahoo.com</t>
  </si>
  <si>
    <t xml:space="preserve">(203) 349-0017 </t>
  </si>
  <si>
    <t xml:space="preserve">Leette </t>
  </si>
  <si>
    <t xml:space="preserve">Marshall </t>
  </si>
  <si>
    <t xml:space="preserve">ladiielee@gmail.com </t>
  </si>
  <si>
    <t xml:space="preserve">(857) 287-0662 </t>
  </si>
  <si>
    <t xml:space="preserve">Antony </t>
  </si>
  <si>
    <t>perez.antonyj@gmail.com</t>
  </si>
  <si>
    <t xml:space="preserve">774-578-1558 </t>
  </si>
  <si>
    <t xml:space="preserve"> Scurry </t>
  </si>
  <si>
    <t xml:space="preserve">jacknmarley32@gmail.com </t>
  </si>
  <si>
    <t xml:space="preserve">860-922-7123 </t>
  </si>
  <si>
    <t xml:space="preserve">Jefferson </t>
  </si>
  <si>
    <t xml:space="preserve">Dornezon </t>
  </si>
  <si>
    <t>Dornezonj@gmail.com</t>
  </si>
  <si>
    <t>978-397-7310</t>
  </si>
  <si>
    <t>Joao</t>
  </si>
  <si>
    <t>duarte</t>
  </si>
  <si>
    <t>sacvjohn@gmail.com</t>
  </si>
  <si>
    <t>617-905-2449</t>
  </si>
  <si>
    <t>Antonielly</t>
  </si>
  <si>
    <t>Guilherme</t>
  </si>
  <si>
    <t>ozeiasandnelly@hotmail.com</t>
  </si>
  <si>
    <t>(978)601-7876</t>
  </si>
  <si>
    <t>Pouchon</t>
  </si>
  <si>
    <t>Henry</t>
  </si>
  <si>
    <t>pouchonh1999@gmail.com</t>
  </si>
  <si>
    <t>(857) 991-7598</t>
  </si>
  <si>
    <t>Ruth</t>
  </si>
  <si>
    <t>Luna</t>
  </si>
  <si>
    <t>ruthyluna1008@gmail.com</t>
  </si>
  <si>
    <t>Mensah</t>
  </si>
  <si>
    <t>mensgends@yahoo.com</t>
  </si>
  <si>
    <t>413-218-9289</t>
  </si>
  <si>
    <t xml:space="preserve"> Palacio </t>
  </si>
  <si>
    <t xml:space="preserve">dianap_1981@hotmail.com </t>
  </si>
  <si>
    <t xml:space="preserve">(401) 574-6430 </t>
  </si>
  <si>
    <t xml:space="preserve">Deborah </t>
  </si>
  <si>
    <t>Robertson</t>
  </si>
  <si>
    <t>debkayrob@gmail.com</t>
  </si>
  <si>
    <t xml:space="preserve">617-835-3192 </t>
  </si>
  <si>
    <t xml:space="preserve">Theriault </t>
  </si>
  <si>
    <t>kyletheriault50@gmail.com</t>
  </si>
  <si>
    <t xml:space="preserve">774-461-5025 </t>
  </si>
  <si>
    <t>Nathaly</t>
  </si>
  <si>
    <t>nathalytorresveras65@gmail.com</t>
  </si>
  <si>
    <t>786-750-1902</t>
  </si>
  <si>
    <t xml:space="preserve">Erica </t>
  </si>
  <si>
    <t>tru3lov30983@icloud.com</t>
  </si>
  <si>
    <t>860-997-0943</t>
  </si>
  <si>
    <t>gelin</t>
  </si>
  <si>
    <t>emmge90@gmail.com</t>
  </si>
  <si>
    <t xml:space="preserve">Abdi </t>
  </si>
  <si>
    <t>Hassan</t>
  </si>
  <si>
    <t>abdihassan28@gmail.com</t>
  </si>
  <si>
    <t>857-230-8985</t>
  </si>
  <si>
    <t>Ronnie</t>
  </si>
  <si>
    <t xml:space="preserve"> Jacobs </t>
  </si>
  <si>
    <t xml:space="preserve">ronniesacredbox@gmail.com </t>
  </si>
  <si>
    <t xml:space="preserve">(413) 693-6722 </t>
  </si>
  <si>
    <t>Saliim</t>
  </si>
  <si>
    <t>Lee</t>
  </si>
  <si>
    <t>saliimlee@outlook.com</t>
  </si>
  <si>
    <t>(617) 206-0905</t>
  </si>
  <si>
    <t>kgp553@gmail.com</t>
  </si>
  <si>
    <t>401-398-9472</t>
  </si>
  <si>
    <t xml:space="preserve">Tanike </t>
  </si>
  <si>
    <t>Thrope</t>
  </si>
  <si>
    <t>tanikethorpe@gmail.com</t>
  </si>
  <si>
    <t xml:space="preserve">754-284-8887 </t>
  </si>
  <si>
    <t>Giovanni</t>
  </si>
  <si>
    <t>Acevedo-cruz</t>
  </si>
  <si>
    <t>Gio123787@gmail.com</t>
  </si>
  <si>
    <t>959-222-3257</t>
  </si>
  <si>
    <t>ej87783@gmail.com</t>
  </si>
  <si>
    <t>lagoy</t>
  </si>
  <si>
    <t>jlagoy2014@gmail.com</t>
  </si>
  <si>
    <t>978-413-6683</t>
  </si>
  <si>
    <t xml:space="preserve"> Libbey-Lajoie </t>
  </si>
  <si>
    <t xml:space="preserve">libbeyla@gmail.com </t>
  </si>
  <si>
    <t xml:space="preserve">(774) 280-2286 </t>
  </si>
  <si>
    <t>Rowe</t>
  </si>
  <si>
    <t>roweluke57@gmail.com</t>
  </si>
  <si>
    <t>508-558-6145</t>
  </si>
  <si>
    <t>mshaw126@terpmail.umd.edu</t>
  </si>
  <si>
    <t>Auguste </t>
  </si>
  <si>
    <t>rivelinokarl@gmail.com</t>
  </si>
  <si>
    <t>774-386-7248</t>
  </si>
  <si>
    <t>Francois </t>
  </si>
  <si>
    <t>Jolivier458@gmail.com </t>
  </si>
  <si>
    <t>(781) 300-3644</t>
  </si>
  <si>
    <t xml:space="preserve">Sharisse </t>
  </si>
  <si>
    <t xml:space="preserve"> Kelly-White</t>
  </si>
  <si>
    <t>Sharissekw@gmail.com</t>
  </si>
  <si>
    <t>857-504-5157</t>
  </si>
  <si>
    <t>Luiz Gustavo</t>
  </si>
  <si>
    <t xml:space="preserve">Santos </t>
  </si>
  <si>
    <t>gutolopes95@gmail.com</t>
  </si>
  <si>
    <t>774-329-6932</t>
  </si>
  <si>
    <t xml:space="preserve"> Quinones</t>
  </si>
  <si>
    <t>aqusmc@gmail.com</t>
  </si>
  <si>
    <t>(401)601-9592</t>
  </si>
  <si>
    <t xml:space="preserve">Christain </t>
  </si>
  <si>
    <t xml:space="preserve">Vega </t>
  </si>
  <si>
    <t>Christian.vega86@gmail.com</t>
  </si>
  <si>
    <t>774-420-0191</t>
  </si>
  <si>
    <t>Coplin</t>
  </si>
  <si>
    <t>aaroncoplin@yahoo.com</t>
  </si>
  <si>
    <t>(857) 333-1626</t>
  </si>
  <si>
    <t>Jianyu</t>
  </si>
  <si>
    <t>Huang</t>
  </si>
  <si>
    <t>wangjyu2016@gmail.com</t>
  </si>
  <si>
    <t>857-269-8978</t>
  </si>
  <si>
    <t xml:space="preserve">Srieng </t>
  </si>
  <si>
    <t xml:space="preserve">Alexsrieng18@gmail.com </t>
  </si>
  <si>
    <t xml:space="preserve">(978) 419-6812 </t>
  </si>
  <si>
    <t xml:space="preserve">cassandran_32@hotmail.com </t>
  </si>
  <si>
    <t xml:space="preserve">(704) 726-4936 </t>
  </si>
  <si>
    <t>Margaret</t>
  </si>
  <si>
    <t>Contreras</t>
  </si>
  <si>
    <t>c.margaret17@gmail.com</t>
  </si>
  <si>
    <t>917-939-7848</t>
  </si>
  <si>
    <t>beng</t>
  </si>
  <si>
    <t>508-677-5758</t>
  </si>
  <si>
    <t>shykelamcandrew33@gmail.com</t>
  </si>
  <si>
    <t>857-249-7902</t>
  </si>
  <si>
    <t>Jeremil</t>
  </si>
  <si>
    <t>RIvera</t>
  </si>
  <si>
    <t>Jeremilrivera@gmail.com</t>
  </si>
  <si>
    <t>351-230-0994</t>
  </si>
  <si>
    <t xml:space="preserve">Ossepha </t>
  </si>
  <si>
    <t xml:space="preserve">Saint Fleur </t>
  </si>
  <si>
    <t xml:space="preserve">ossephasaintfleur5@gmail.com </t>
  </si>
  <si>
    <t>(774) 464-2562</t>
  </si>
  <si>
    <t>Exantus</t>
  </si>
  <si>
    <t>Alcimbert </t>
  </si>
  <si>
    <t>exantus.alcimbert@gmail.com</t>
  </si>
  <si>
    <t>508-239-3529</t>
  </si>
  <si>
    <t>arkoabigail91@gmail.com</t>
  </si>
  <si>
    <t>508 215 8173</t>
  </si>
  <si>
    <t xml:space="preserve">Alessa </t>
  </si>
  <si>
    <t>Carbo</t>
  </si>
  <si>
    <t>alessacarbo03@gmail.com</t>
  </si>
  <si>
    <t>978)-878-1769</t>
  </si>
  <si>
    <t xml:space="preserve">Tiann </t>
  </si>
  <si>
    <t>Tianndasilva@rocketmail.com</t>
  </si>
  <si>
    <t>774-634-7628</t>
  </si>
  <si>
    <t xml:space="preserve">Hayley.richard@yahoo.com </t>
  </si>
  <si>
    <t xml:space="preserve">(978) 516-8713 </t>
  </si>
  <si>
    <t xml:space="preserve">Melvin </t>
  </si>
  <si>
    <t xml:space="preserve">Cuevas </t>
  </si>
  <si>
    <t>melvincuevas051@gmail.com</t>
  </si>
  <si>
    <t>857-506-9521</t>
  </si>
  <si>
    <t xml:space="preserve">Paulo </t>
  </si>
  <si>
    <t xml:space="preserve">plphotos@icloud.com </t>
  </si>
  <si>
    <t xml:space="preserve">(774) 207-8104 </t>
  </si>
  <si>
    <t xml:space="preserve">Adrianna </t>
  </si>
  <si>
    <t xml:space="preserve"> White </t>
  </si>
  <si>
    <t xml:space="preserve">adriianna.white@gmail.com </t>
  </si>
  <si>
    <t>(978) 717-8232</t>
  </si>
  <si>
    <t>Yillah</t>
  </si>
  <si>
    <t>emmanuelyillah1@gmail.com</t>
  </si>
  <si>
    <t>571-477-6774</t>
  </si>
  <si>
    <t xml:space="preserve">Arnold </t>
  </si>
  <si>
    <t>mattitash1986@icloud.com</t>
  </si>
  <si>
    <t>508-567-9886</t>
  </si>
  <si>
    <t>Bryson</t>
  </si>
  <si>
    <t>brysondawn097@gmail.com</t>
  </si>
  <si>
    <t>508-733-0638</t>
  </si>
  <si>
    <t xml:space="preserve">Hackett Jr. </t>
  </si>
  <si>
    <t xml:space="preserve">eddie.hackett@gmail.com </t>
  </si>
  <si>
    <t xml:space="preserve">(603) 233-3351 </t>
  </si>
  <si>
    <t>Keandre</t>
  </si>
  <si>
    <t>ricomadison15@gmail.com</t>
  </si>
  <si>
    <t>774-253-0067</t>
  </si>
  <si>
    <t>dylanmonette7@gmail.com</t>
  </si>
  <si>
    <t>978 320 1726</t>
  </si>
  <si>
    <t>jaethen1@icloud.com</t>
  </si>
  <si>
    <t xml:space="preserve">Brewer </t>
  </si>
  <si>
    <t>daltonbrewer3@hotmail.com</t>
  </si>
  <si>
    <t>508-736-6529</t>
  </si>
  <si>
    <t>luiscanton128@icloud.com</t>
  </si>
  <si>
    <t>508-963-3448</t>
  </si>
  <si>
    <t xml:space="preserve">Yatira </t>
  </si>
  <si>
    <t xml:space="preserve">yatiragonzalez@gmail.com </t>
  </si>
  <si>
    <t xml:space="preserve">(917) 293-5563 </t>
  </si>
  <si>
    <t>Haley</t>
  </si>
  <si>
    <t>Duevaughn</t>
  </si>
  <si>
    <t>duevaughnh@gmail.com</t>
  </si>
  <si>
    <t>857-204-6644</t>
  </si>
  <si>
    <t xml:space="preserve">Clayton </t>
  </si>
  <si>
    <t xml:space="preserve"> lemos-Martin </t>
  </si>
  <si>
    <t xml:space="preserve">lemosmartin6524@gmail.com </t>
  </si>
  <si>
    <t xml:space="preserve">(774) 438-2011 </t>
  </si>
  <si>
    <t xml:space="preserve">Renel </t>
  </si>
  <si>
    <t xml:space="preserve">padovaniknoll@gmail.com </t>
  </si>
  <si>
    <t xml:space="preserve">(845) 213-5552 </t>
  </si>
  <si>
    <t>Christian</t>
  </si>
  <si>
    <t xml:space="preserve"> Smith</t>
  </si>
  <si>
    <t>christian.smith41@yahoo.com</t>
  </si>
  <si>
    <t>413-325-7411</t>
  </si>
  <si>
    <t xml:space="preserve">Dennis </t>
  </si>
  <si>
    <t>Dagoumas</t>
  </si>
  <si>
    <t>dennisdagoumas@gmail.com</t>
  </si>
  <si>
    <t>347-796-0751</t>
  </si>
  <si>
    <t xml:space="preserve">dayter1985@gmail.com </t>
  </si>
  <si>
    <t xml:space="preserve">Felix </t>
  </si>
  <si>
    <t>Frias</t>
  </si>
  <si>
    <t xml:space="preserve">Felixfrias111@gmail.com </t>
  </si>
  <si>
    <t>413-356-0298</t>
  </si>
  <si>
    <t xml:space="preserve">Medina </t>
  </si>
  <si>
    <t xml:space="preserve">nelvinmedina88@gmail.com </t>
  </si>
  <si>
    <t xml:space="preserve">413-231-2782 </t>
  </si>
  <si>
    <t xml:space="preserve">NII </t>
  </si>
  <si>
    <t xml:space="preserve">ADJETEY-SOWA </t>
  </si>
  <si>
    <t xml:space="preserve">adjeteysowa.na@gmail.com </t>
  </si>
  <si>
    <t xml:space="preserve">347) 723-6230 </t>
  </si>
  <si>
    <t xml:space="preserve"> Beauzile </t>
  </si>
  <si>
    <t xml:space="preserve">abeauzile@miltonps.org </t>
  </si>
  <si>
    <t xml:space="preserve">(401) 206-3820 </t>
  </si>
  <si>
    <t>Eh shanti</t>
  </si>
  <si>
    <t>Bey</t>
  </si>
  <si>
    <t>Ehshanti99@yahoo.com</t>
  </si>
  <si>
    <t>781-805-0208</t>
  </si>
  <si>
    <t>Carrion</t>
  </si>
  <si>
    <t>shaliacluis23@myyahoo.com</t>
  </si>
  <si>
    <t>Handrick</t>
  </si>
  <si>
    <t>yeseagulls@outlook.com</t>
  </si>
  <si>
    <t>978-760-8404 </t>
  </si>
  <si>
    <t>Enrico </t>
  </si>
  <si>
    <t>Lecce</t>
  </si>
  <si>
    <t>elecce66@gmail.com</t>
  </si>
  <si>
    <t>617 818-2023 </t>
  </si>
  <si>
    <t xml:space="preserve">Keven </t>
  </si>
  <si>
    <t xml:space="preserve">Molina </t>
  </si>
  <si>
    <t xml:space="preserve">kven243@gmail.com </t>
  </si>
  <si>
    <t xml:space="preserve">(774) 701-2258 </t>
  </si>
  <si>
    <t xml:space="preserve">Jeff </t>
  </si>
  <si>
    <t>jeff.paul1987@gmail.com_x000D_</t>
  </si>
  <si>
    <t xml:space="preserve"> 347-249-8830</t>
  </si>
  <si>
    <t xml:space="preserve">Rauhala </t>
  </si>
  <si>
    <t xml:space="preserve">erauh1217@gmail.com </t>
  </si>
  <si>
    <t xml:space="preserve">(978) 549-0320 </t>
  </si>
  <si>
    <t xml:space="preserve">Jayzer </t>
  </si>
  <si>
    <t>jzr630@gmail.com</t>
  </si>
  <si>
    <t>978-876-4187</t>
  </si>
  <si>
    <t xml:space="preserve">Sainvil </t>
  </si>
  <si>
    <t xml:space="preserve">roodysainvil@gmail.com </t>
  </si>
  <si>
    <t xml:space="preserve">(978) 483-1394 </t>
  </si>
  <si>
    <t xml:space="preserve">Felipe </t>
  </si>
  <si>
    <t xml:space="preserve"> Sampaio</t>
  </si>
  <si>
    <t>774 573 5460</t>
  </si>
  <si>
    <t>Stanley</t>
  </si>
  <si>
    <t>Gustave</t>
  </si>
  <si>
    <t>stnlgustave@gmail.com</t>
  </si>
  <si>
    <t>857-218-0347</t>
  </si>
  <si>
    <t xml:space="preserve"> Lashua </t>
  </si>
  <si>
    <t xml:space="preserve">slashua@comcast.net </t>
  </si>
  <si>
    <t xml:space="preserve">(978) 660-8295 </t>
  </si>
  <si>
    <t xml:space="preserve"> Oros </t>
  </si>
  <si>
    <t xml:space="preserve">ruthgolds76@gmail.com </t>
  </si>
  <si>
    <t xml:space="preserve">(508) 436-0264 </t>
  </si>
  <si>
    <t xml:space="preserve">Darius </t>
  </si>
  <si>
    <t>dariuswhite85@yahoo.com</t>
  </si>
  <si>
    <t>617-697-9917</t>
  </si>
  <si>
    <t xml:space="preserve"> Williams</t>
  </si>
  <si>
    <t>Bird</t>
  </si>
  <si>
    <t>jennabeanmarie@gmail.com</t>
  </si>
  <si>
    <t>774-259-1730</t>
  </si>
  <si>
    <t xml:space="preserve">Polinaria </t>
  </si>
  <si>
    <t xml:space="preserve">Giannino </t>
  </si>
  <si>
    <t xml:space="preserve">p_paulausa@hotmail.com </t>
  </si>
  <si>
    <t xml:space="preserve">(617) 767-1636 </t>
  </si>
  <si>
    <t xml:space="preserve">Jayden </t>
  </si>
  <si>
    <t xml:space="preserve">jaydenlee41304@icloud.com </t>
  </si>
  <si>
    <t xml:space="preserve">(774) 436-0033 </t>
  </si>
  <si>
    <t xml:space="preserve">Jeremy </t>
  </si>
  <si>
    <t>Xhija</t>
  </si>
  <si>
    <t>Jxhija14@gmail.com</t>
  </si>
  <si>
    <t xml:space="preserve">508-873-4044 </t>
  </si>
  <si>
    <t xml:space="preserve">Ethier </t>
  </si>
  <si>
    <t xml:space="preserve">Racingtntmx@aol.com </t>
  </si>
  <si>
    <t>(603) 265-2324</t>
  </si>
  <si>
    <t>Eliza</t>
  </si>
  <si>
    <t xml:space="preserve"> Tripp </t>
  </si>
  <si>
    <t xml:space="preserve">Elizatripp01@gmail.com </t>
  </si>
  <si>
    <t xml:space="preserve">774) 208-3429 </t>
  </si>
  <si>
    <t>Magelhaes</t>
  </si>
  <si>
    <t>dudamaga2002@gmail.com</t>
  </si>
  <si>
    <t>617-669-6912</t>
  </si>
  <si>
    <t>Pean</t>
  </si>
  <si>
    <t xml:space="preserve">pean1226@yahoo.fr </t>
  </si>
  <si>
    <t>857-258-5719</t>
  </si>
  <si>
    <t xml:space="preserve">Jesus </t>
  </si>
  <si>
    <t>Moreta</t>
  </si>
  <si>
    <t>Jesus.R.Moreta@gmail.com</t>
  </si>
  <si>
    <t>931-278-3318</t>
  </si>
  <si>
    <t>Anferadames1305@gmail.com</t>
  </si>
  <si>
    <t>401-414-9804</t>
  </si>
  <si>
    <t>smithjacey20@gmail.com</t>
  </si>
  <si>
    <t>857-385-6414</t>
  </si>
  <si>
    <t xml:space="preserve"> PERALTA</t>
  </si>
  <si>
    <t>Dmitri</t>
  </si>
  <si>
    <t>Erickson</t>
  </si>
  <si>
    <t>ericksondimitri@yahoo.com</t>
  </si>
  <si>
    <t>978-420-7612</t>
  </si>
  <si>
    <t xml:space="preserve">Julian </t>
  </si>
  <si>
    <t>Letslopezjulian@proton.me</t>
  </si>
  <si>
    <t xml:space="preserve">(219) 245-8205 </t>
  </si>
  <si>
    <t xml:space="preserve">Griffith, Indiana </t>
  </si>
  <si>
    <t xml:space="preserve">Opong </t>
  </si>
  <si>
    <t>opongeugene@gmail.com</t>
  </si>
  <si>
    <t>774-701-4827</t>
  </si>
  <si>
    <t xml:space="preserve">Alec </t>
  </si>
  <si>
    <t xml:space="preserve">Turner </t>
  </si>
  <si>
    <t>aturnerbuisness@aol.com</t>
  </si>
  <si>
    <t>774-280-9071</t>
  </si>
  <si>
    <t>Taiana (Cassandra)</t>
  </si>
  <si>
    <t>taiouetrey11@gmail.com</t>
  </si>
  <si>
    <t>617-750-3873</t>
  </si>
  <si>
    <t>Brian</t>
  </si>
  <si>
    <t>McNeil</t>
  </si>
  <si>
    <t>mcneil2137@gmail.com</t>
  </si>
  <si>
    <t>978-760-9121</t>
  </si>
  <si>
    <t xml:space="preserve">Yeh </t>
  </si>
  <si>
    <t>kylehyeh@gmail.com</t>
  </si>
  <si>
    <t>508-369-8664</t>
  </si>
  <si>
    <t>Alicia</t>
  </si>
  <si>
    <t>Whalen</t>
  </si>
  <si>
    <t>mariie.jackson@icloud.com</t>
  </si>
  <si>
    <t>413-356-7338</t>
  </si>
  <si>
    <t>Norcross</t>
  </si>
  <si>
    <t>Znorcross@msn.com</t>
  </si>
  <si>
    <t>978 962 1330</t>
  </si>
  <si>
    <t>Andreade</t>
  </si>
  <si>
    <t>kelyssama2@gmail.com</t>
  </si>
  <si>
    <t xml:space="preserve">	(401) 548-1558</t>
  </si>
  <si>
    <t xml:space="preserve">	mik3_smith88@yahoo.com</t>
  </si>
  <si>
    <t xml:space="preserve">	(410) 202-4975</t>
  </si>
  <si>
    <t xml:space="preserve">Columbia </t>
  </si>
  <si>
    <t>Mahira</t>
  </si>
  <si>
    <t>Mukhtarova</t>
  </si>
  <si>
    <t>mahira.mukhtarova@outlook.com</t>
  </si>
  <si>
    <t xml:space="preserve">	(857) 421-3710</t>
  </si>
  <si>
    <t>Dias</t>
  </si>
  <si>
    <t>d.diasphc@comcast.net</t>
  </si>
  <si>
    <t xml:space="preserve"> 	(978) 758-5356</t>
  </si>
  <si>
    <t>Westford</t>
  </si>
  <si>
    <t>Goggans</t>
  </si>
  <si>
    <t>EverettGoggans@comcast.net</t>
  </si>
  <si>
    <t xml:space="preserve">	(781) 603-5196</t>
  </si>
  <si>
    <t>Chetna</t>
  </si>
  <si>
    <t>Putta</t>
  </si>
  <si>
    <t>chetnaputta@gmail.com</t>
  </si>
  <si>
    <t xml:space="preserve">	(617) 480-6456</t>
  </si>
  <si>
    <t>Trang</t>
  </si>
  <si>
    <t>Pavon</t>
  </si>
  <si>
    <t>phamtrang161992@gmail.com</t>
  </si>
  <si>
    <t xml:space="preserve">	(781) 778-6140</t>
  </si>
  <si>
    <t>Watertown</t>
  </si>
  <si>
    <t xml:space="preserve">June </t>
  </si>
  <si>
    <t xml:space="preserve"> Lemieux </t>
  </si>
  <si>
    <t xml:space="preserve">junemlemieux@gmail.com </t>
  </si>
  <si>
    <t xml:space="preserve">978) 987-1335 </t>
  </si>
  <si>
    <t>Bilerica</t>
  </si>
  <si>
    <t>Kervens</t>
  </si>
  <si>
    <t xml:space="preserve"> Georges </t>
  </si>
  <si>
    <t xml:space="preserve">Kgcreative23@gmail.com </t>
  </si>
  <si>
    <t xml:space="preserve">(857) 258-9810 </t>
  </si>
  <si>
    <t xml:space="preserve">Wisken </t>
  </si>
  <si>
    <t xml:space="preserve">wiskennice@Gmail.com </t>
  </si>
  <si>
    <t xml:space="preserve">(857) 468-8643 </t>
  </si>
  <si>
    <t>Mike</t>
  </si>
  <si>
    <t xml:space="preserve"> Foreman </t>
  </si>
  <si>
    <t xml:space="preserve">khabibulan@yahoo.com </t>
  </si>
  <si>
    <t xml:space="preserve">(197) 825-7048 </t>
  </si>
  <si>
    <t xml:space="preserve">Bharath </t>
  </si>
  <si>
    <t xml:space="preserve"> Raj Pragada </t>
  </si>
  <si>
    <t xml:space="preserve">bharathrajpragada@gmail.com </t>
  </si>
  <si>
    <t xml:space="preserve">(857) 397-2462 </t>
  </si>
  <si>
    <t xml:space="preserve">Asra </t>
  </si>
  <si>
    <t xml:space="preserve"> Qadir </t>
  </si>
  <si>
    <t xml:space="preserve">asraqadir@msn.com </t>
  </si>
  <si>
    <t xml:space="preserve">(781) 790-3334 </t>
  </si>
  <si>
    <t xml:space="preserve">Yaron </t>
  </si>
  <si>
    <t xml:space="preserve"> Mahavi </t>
  </si>
  <si>
    <t xml:space="preserve">a49yrmc@gmail.com </t>
  </si>
  <si>
    <t xml:space="preserve">(857) 565-6495 </t>
  </si>
  <si>
    <t xml:space="preserve"> Oakes </t>
  </si>
  <si>
    <t xml:space="preserve">cjoakes@comcast.net </t>
  </si>
  <si>
    <t xml:space="preserve">(781) 290-8677 </t>
  </si>
  <si>
    <t xml:space="preserve">Max </t>
  </si>
  <si>
    <t xml:space="preserve">maxytyler10@yahoo.com </t>
  </si>
  <si>
    <t xml:space="preserve">978) 888-1903 </t>
  </si>
  <si>
    <t xml:space="preserve"> Boakye </t>
  </si>
  <si>
    <t xml:space="preserve">BOAKYEFK@GMAIL.COM </t>
  </si>
  <si>
    <t xml:space="preserve">(617) 368-0678 </t>
  </si>
  <si>
    <t xml:space="preserve">Dilshan </t>
  </si>
  <si>
    <t xml:space="preserve"> Saparbek </t>
  </si>
  <si>
    <t xml:space="preserve">dilshan1boston@gmail.com </t>
  </si>
  <si>
    <t xml:space="preserve">(774) 999-9273 </t>
  </si>
  <si>
    <t xml:space="preserve"> Atkins </t>
  </si>
  <si>
    <t xml:space="preserve">Michaelatkins93@gmail.com </t>
  </si>
  <si>
    <t xml:space="preserve">(617) 458-6509 </t>
  </si>
  <si>
    <t xml:space="preserve">mryan1811@gmail.com </t>
  </si>
  <si>
    <t xml:space="preserve">(774) 272-5377 </t>
  </si>
  <si>
    <t>Oxford</t>
  </si>
  <si>
    <t xml:space="preserve"> Rickard </t>
  </si>
  <si>
    <t xml:space="preserve">cj_rickard@yahoo.com </t>
  </si>
  <si>
    <t xml:space="preserve">781) 460-0075 </t>
  </si>
  <si>
    <t xml:space="preserve">Tsvetelina </t>
  </si>
  <si>
    <t xml:space="preserve"> Dimitrova </t>
  </si>
  <si>
    <t xml:space="preserve">ennad2022@gmail.com </t>
  </si>
  <si>
    <t xml:space="preserve">(508) 685-7892 </t>
  </si>
  <si>
    <t>Westwood</t>
  </si>
  <si>
    <t xml:space="preserve">Beatrice  </t>
  </si>
  <si>
    <t xml:space="preserve">Julien Francois </t>
  </si>
  <si>
    <t xml:space="preserve">bsanon512@gmail.com </t>
  </si>
  <si>
    <t xml:space="preserve">978) 754-5577 </t>
  </si>
  <si>
    <t>Plainville</t>
  </si>
  <si>
    <t>Marckelrie</t>
  </si>
  <si>
    <t xml:space="preserve">Tibreuil </t>
  </si>
  <si>
    <t xml:space="preserve">tibmarc16@gmail.com </t>
  </si>
  <si>
    <t xml:space="preserve">774) 381-8371 </t>
  </si>
  <si>
    <t xml:space="preserve">Kenia </t>
  </si>
  <si>
    <t xml:space="preserve">Guinto </t>
  </si>
  <si>
    <t xml:space="preserve">keniaguinto@yahoo.com </t>
  </si>
  <si>
    <t xml:space="preserve">805) 294-2481 </t>
  </si>
  <si>
    <t xml:space="preserve"> Carter </t>
  </si>
  <si>
    <t xml:space="preserve">jlcarter0325@gmail.com </t>
  </si>
  <si>
    <t xml:space="preserve">774) 287-8457 </t>
  </si>
  <si>
    <t>Bellingham</t>
  </si>
  <si>
    <t xml:space="preserve">Finch </t>
  </si>
  <si>
    <t xml:space="preserve">stevefinch1478@gmail.com </t>
  </si>
  <si>
    <t xml:space="preserve">(508) 565-4372 </t>
  </si>
  <si>
    <t>Jacawan</t>
  </si>
  <si>
    <t xml:space="preserve"> Daniel </t>
  </si>
  <si>
    <t xml:space="preserve">jacawandaniels123@gmail.com </t>
  </si>
  <si>
    <t xml:space="preserve">(716) 461-9701 </t>
  </si>
  <si>
    <t xml:space="preserve">Blake </t>
  </si>
  <si>
    <t xml:space="preserve"> Greco Muncy </t>
  </si>
  <si>
    <t xml:space="preserve">blakem667@gmail.com </t>
  </si>
  <si>
    <t xml:space="preserve">251) 648-3281 </t>
  </si>
  <si>
    <t>Portsmouth</t>
  </si>
  <si>
    <t xml:space="preserve"> Page </t>
  </si>
  <si>
    <t xml:space="preserve">tanishapage03@gmail.com </t>
  </si>
  <si>
    <t xml:space="preserve">617) 905-1908 </t>
  </si>
  <si>
    <t xml:space="preserve"> Andrade </t>
  </si>
  <si>
    <t xml:space="preserve">Sam.semedo25@gmail.com </t>
  </si>
  <si>
    <t xml:space="preserve">401) 332-3570 </t>
  </si>
  <si>
    <t xml:space="preserve">Kosta </t>
  </si>
  <si>
    <t xml:space="preserve"> Arabaxhi </t>
  </si>
  <si>
    <t xml:space="preserve">kostarabaxhi@gmail.com </t>
  </si>
  <si>
    <t xml:space="preserve">(603) 296-5519 </t>
  </si>
  <si>
    <t xml:space="preserve"> Andon </t>
  </si>
  <si>
    <t xml:space="preserve">Alexandon81392@gmail.com </t>
  </si>
  <si>
    <t xml:space="preserve">(617) 285-6233 </t>
  </si>
  <si>
    <t xml:space="preserve">Maloney </t>
  </si>
  <si>
    <t xml:space="preserve">ryan11maloney@gmail.com </t>
  </si>
  <si>
    <t xml:space="preserve">413) 231-7804 </t>
  </si>
  <si>
    <t xml:space="preserve">Feeding Hills </t>
  </si>
  <si>
    <t xml:space="preserve">Sequoia </t>
  </si>
  <si>
    <t xml:space="preserve"> Grubbs </t>
  </si>
  <si>
    <t xml:space="preserve">Sequoia97@gmail.com </t>
  </si>
  <si>
    <t xml:space="preserve">(781) 975-8035 </t>
  </si>
  <si>
    <t xml:space="preserve">Cece </t>
  </si>
  <si>
    <t xml:space="preserve">Bob </t>
  </si>
  <si>
    <t>ceceangry347@icloud.com</t>
  </si>
  <si>
    <t xml:space="preserve">Shaniqua </t>
  </si>
  <si>
    <t xml:space="preserve"> Hunt </t>
  </si>
  <si>
    <t xml:space="preserve">Shaniqua.hunt0@gmail.com </t>
  </si>
  <si>
    <t xml:space="preserve">978) 876-3628 </t>
  </si>
  <si>
    <t>Timothy</t>
  </si>
  <si>
    <t>Dufresne</t>
  </si>
  <si>
    <t>timdufresne73@gmail.com</t>
  </si>
  <si>
    <t xml:space="preserve">	(774) 452-1042</t>
  </si>
  <si>
    <t xml:space="preserve">	Webster</t>
  </si>
  <si>
    <t xml:space="preserve">	Aaron</t>
  </si>
  <si>
    <t>(508) 493-7158</t>
  </si>
  <si>
    <t>Rios</t>
  </si>
  <si>
    <t>jrios2002@icloud.com</t>
  </si>
  <si>
    <t>(978) 846-6590</t>
  </si>
  <si>
    <t xml:space="preserve">	Fitchburg</t>
  </si>
  <si>
    <t>Oyola</t>
  </si>
  <si>
    <t>aoyola9696@gmail.com</t>
  </si>
  <si>
    <t>(413) 291-6768</t>
  </si>
  <si>
    <t>Patrickka</t>
  </si>
  <si>
    <t>Campbell</t>
  </si>
  <si>
    <t>1pattycamp@gmail.com</t>
  </si>
  <si>
    <t>(508) 579-3184</t>
  </si>
  <si>
    <t xml:space="preserve">swjrbears@gmail.com </t>
  </si>
  <si>
    <t xml:space="preserve">(413) 205-9325 </t>
  </si>
  <si>
    <t xml:space="preserve">Ana </t>
  </si>
  <si>
    <t xml:space="preserve">Victoria Alves Caldeira </t>
  </si>
  <si>
    <t xml:space="preserve">acaldeira362007@gmail.com </t>
  </si>
  <si>
    <t xml:space="preserve">508) 663-8674 </t>
  </si>
  <si>
    <t xml:space="preserve">Zane </t>
  </si>
  <si>
    <t xml:space="preserve"> Vetter </t>
  </si>
  <si>
    <t>zvetter715@gmail.com</t>
  </si>
  <si>
    <t xml:space="preserve">(860) 713-8449 </t>
  </si>
  <si>
    <t xml:space="preserve">Tabitha </t>
  </si>
  <si>
    <t xml:space="preserve"> Gable </t>
  </si>
  <si>
    <t xml:space="preserve">Tabithagable1201@gmail.com </t>
  </si>
  <si>
    <t xml:space="preserve">(978) 350-4437 </t>
  </si>
  <si>
    <t xml:space="preserve"> Lacreta</t>
  </si>
  <si>
    <t>davidlacreta@gmail.com</t>
  </si>
  <si>
    <t>508-665-8772</t>
  </si>
  <si>
    <t xml:space="preserve">Carlos  </t>
  </si>
  <si>
    <t xml:space="preserve">Baez Hernandez </t>
  </si>
  <si>
    <t xml:space="preserve">hbaez6746@gmail.com </t>
  </si>
  <si>
    <t xml:space="preserve">(857) 264-8323 </t>
  </si>
  <si>
    <t>Jahairi</t>
  </si>
  <si>
    <t xml:space="preserve"> Blackwood </t>
  </si>
  <si>
    <t xml:space="preserve">jahairi24@gmail.com </t>
  </si>
  <si>
    <t xml:space="preserve">(413) 326-1809 </t>
  </si>
  <si>
    <t xml:space="preserve">Oshanah </t>
  </si>
  <si>
    <t xml:space="preserve"> Monteiro </t>
  </si>
  <si>
    <t xml:space="preserve">oshanahmonteiro95@gmail.com </t>
  </si>
  <si>
    <t xml:space="preserve">(774) 294-1584 </t>
  </si>
  <si>
    <t>Reggiani</t>
  </si>
  <si>
    <t>Apollon</t>
  </si>
  <si>
    <t xml:space="preserve">apollon.reggiani@icloud.com </t>
  </si>
  <si>
    <t xml:space="preserve">(774) 339-1836 </t>
  </si>
  <si>
    <t>Aderonke</t>
  </si>
  <si>
    <t>Oladapo</t>
  </si>
  <si>
    <t>ronnieformore@yahoo.com</t>
  </si>
  <si>
    <t>(347) 791-9720</t>
  </si>
  <si>
    <t>Rosati</t>
  </si>
  <si>
    <t>alexrosati99@gmail.com</t>
  </si>
  <si>
    <t>(781) 789-7331</t>
  </si>
  <si>
    <t>Louis</t>
  </si>
  <si>
    <t xml:space="preserve">Exil </t>
  </si>
  <si>
    <t xml:space="preserve">Lozamaexil@yahoo.fr </t>
  </si>
  <si>
    <t xml:space="preserve">857) 247-6363 </t>
  </si>
  <si>
    <t xml:space="preserve"> Colon</t>
  </si>
  <si>
    <t>joeycolon444@gmail.com</t>
  </si>
  <si>
    <t>860 836 6679</t>
  </si>
  <si>
    <t xml:space="preserve">Locke </t>
  </si>
  <si>
    <t xml:space="preserve">Meas </t>
  </si>
  <si>
    <t>lockesmeas@gmail.com</t>
  </si>
  <si>
    <t>(650) 278-5970</t>
  </si>
  <si>
    <t xml:space="preserve">Courtney </t>
  </si>
  <si>
    <t>jamiecourtney1989@gmail.com</t>
  </si>
  <si>
    <t>8439742733</t>
  </si>
  <si>
    <t>Mount Pleasant</t>
  </si>
  <si>
    <t>SC</t>
  </si>
  <si>
    <t xml:space="preserve">Ekwere </t>
  </si>
  <si>
    <t>petitbabo@gmail.com</t>
  </si>
  <si>
    <t>857) 261-0273</t>
  </si>
  <si>
    <t>oisaiah56@gmail.com</t>
  </si>
  <si>
    <t>(413) 270-6563</t>
  </si>
  <si>
    <t>Northampton</t>
  </si>
  <si>
    <t xml:space="preserve">Parke </t>
  </si>
  <si>
    <t xml:space="preserve">Alexander.t.parke@gmail.com </t>
  </si>
  <si>
    <t>419 360 7770</t>
  </si>
  <si>
    <t xml:space="preserve">Hanson </t>
  </si>
  <si>
    <t xml:space="preserve">Omar </t>
  </si>
  <si>
    <t xml:space="preserve"> Rehman</t>
  </si>
  <si>
    <t>omar.rehman.usa@gmail.com</t>
  </si>
  <si>
    <t xml:space="preserve"> 947 201 6829</t>
  </si>
  <si>
    <t>Mendes</t>
  </si>
  <si>
    <t>rayslove2001@gmail.com</t>
  </si>
  <si>
    <t>(617)-869-6162</t>
  </si>
  <si>
    <t>O'Neill</t>
  </si>
  <si>
    <t>alexa.oneill92@gmail.com</t>
  </si>
  <si>
    <t>(978)-496-0771</t>
  </si>
  <si>
    <t>Whitney</t>
  </si>
  <si>
    <t xml:space="preserve"> Cadet</t>
  </si>
  <si>
    <t>whitneycadet2623@gmail.com</t>
  </si>
  <si>
    <t>781-866-9045</t>
  </si>
  <si>
    <t>Mohammed</t>
  </si>
  <si>
    <t>zainh75@yahoo.com</t>
  </si>
  <si>
    <t xml:space="preserve">
(413) 250-6914</t>
  </si>
  <si>
    <t xml:space="preserve">
Indian Orchard</t>
  </si>
  <si>
    <t>Maria</t>
  </si>
  <si>
    <t>Fernandes</t>
  </si>
  <si>
    <t>malu1142@yahoo.com</t>
  </si>
  <si>
    <t xml:space="preserve">
(617) 373-0518</t>
  </si>
  <si>
    <t xml:space="preserve">
kathleen</t>
  </si>
  <si>
    <t>kathleenlgomes@gmail.com</t>
  </si>
  <si>
    <t>(401) 365-5170</t>
  </si>
  <si>
    <t xml:space="preserve">
North Attleboro</t>
  </si>
  <si>
    <t xml:space="preserve">
Mikel</t>
  </si>
  <si>
    <t>Posey</t>
  </si>
  <si>
    <t xml:space="preserve">
mposey1833@gmail.com</t>
  </si>
  <si>
    <t>(978) 822-2465</t>
  </si>
  <si>
    <t xml:space="preserve">
Boxborough</t>
  </si>
  <si>
    <t>Cordeiro</t>
  </si>
  <si>
    <t xml:space="preserve">
jakecordeiro88@gmail.com</t>
  </si>
  <si>
    <t xml:space="preserve">
(401) 316-9557</t>
  </si>
  <si>
    <t>Damian</t>
  </si>
  <si>
    <t>Doran</t>
  </si>
  <si>
    <t>d.doran3000@gmail.com</t>
  </si>
  <si>
    <t>(860) 982-0458</t>
  </si>
  <si>
    <t>Borges</t>
  </si>
  <si>
    <t>shawnborges1982@gmail.com</t>
  </si>
  <si>
    <t xml:space="preserve">
(413) 330-8071</t>
  </si>
  <si>
    <t xml:space="preserve">kareen </t>
  </si>
  <si>
    <t xml:space="preserve"> Francois</t>
  </si>
  <si>
    <t>kareenfrancois@gmail.com</t>
  </si>
  <si>
    <t>7813544760</t>
  </si>
  <si>
    <t xml:space="preserve">Ariana </t>
  </si>
  <si>
    <t xml:space="preserve"> Wood </t>
  </si>
  <si>
    <t>ariana12495@icloud.com</t>
  </si>
  <si>
    <t>401-771-7891</t>
  </si>
  <si>
    <t>Saquon</t>
  </si>
  <si>
    <t xml:space="preserve">Spence </t>
  </si>
  <si>
    <t>ssaquon617@icloud.com</t>
  </si>
  <si>
    <t>616028644</t>
  </si>
  <si>
    <t>Edgardo</t>
  </si>
  <si>
    <t>santiagoeliel2006@gmail.com</t>
  </si>
  <si>
    <t xml:space="preserve">
(978) 320-9028</t>
  </si>
  <si>
    <t>Tasos</t>
  </si>
  <si>
    <t>Apostle</t>
  </si>
  <si>
    <t xml:space="preserve">tasosapostle57@gmail.com  </t>
  </si>
  <si>
    <t>9786065602</t>
  </si>
  <si>
    <t xml:space="preserve">Dimonte </t>
  </si>
  <si>
    <t>adimonte91@gmail.com</t>
  </si>
  <si>
    <t xml:space="preserve">Toste </t>
  </si>
  <si>
    <t xml:space="preserve">Brian.toste@outlook.com </t>
  </si>
  <si>
    <t xml:space="preserve">(978) 631-6461 </t>
  </si>
  <si>
    <t>Edward</t>
  </si>
  <si>
    <t xml:space="preserve">Kaluuma  </t>
  </si>
  <si>
    <t>kaluumae70@gmail.com</t>
  </si>
  <si>
    <t xml:space="preserve"> 7748238341 </t>
  </si>
  <si>
    <t xml:space="preserve">Jakhyia </t>
  </si>
  <si>
    <t xml:space="preserve">Stokes-Thompson </t>
  </si>
  <si>
    <t xml:space="preserve">jay.benzzzz1@gmail.com </t>
  </si>
  <si>
    <t xml:space="preserve">(401) 998-7957 </t>
  </si>
  <si>
    <t xml:space="preserve">Antwi </t>
  </si>
  <si>
    <t xml:space="preserve">Ernerstoh.eak@gmail.com </t>
  </si>
  <si>
    <t xml:space="preserve">(571) 250-9444 </t>
  </si>
  <si>
    <t>Celina</t>
  </si>
  <si>
    <t>Elijiah</t>
  </si>
  <si>
    <t xml:space="preserve">Elirussell01@gmail.com </t>
  </si>
  <si>
    <t>78-423-3344</t>
  </si>
  <si>
    <t xml:space="preserve">
Ely</t>
  </si>
  <si>
    <t>Silvestre</t>
  </si>
  <si>
    <t>ellisannysilvestre@gmail.com</t>
  </si>
  <si>
    <t xml:space="preserve">
(774) 541-0201</t>
  </si>
  <si>
    <t xml:space="preserve">
Worcester,</t>
  </si>
  <si>
    <t>Kyle</t>
  </si>
  <si>
    <t xml:space="preserve">
russellkyle2002@gmail.com</t>
  </si>
  <si>
    <t>(508) 685-4060</t>
  </si>
  <si>
    <t xml:space="preserve">
Middleboro</t>
  </si>
  <si>
    <t>Gardy Laser</t>
  </si>
  <si>
    <t>lasargardy11@gmail.com</t>
  </si>
  <si>
    <t>(413) 271-0306</t>
  </si>
  <si>
    <t xml:space="preserve">
Christopher</t>
  </si>
  <si>
    <t>Alphonse</t>
  </si>
  <si>
    <t xml:space="preserve">
CJAlphonse001@gmail.com</t>
  </si>
  <si>
    <t xml:space="preserve">
(508) 558-3375</t>
  </si>
  <si>
    <t>Lauanny</t>
  </si>
  <si>
    <t>Dos Santos</t>
  </si>
  <si>
    <t>lauannydutradossantos34@gmail.com</t>
  </si>
  <si>
    <t>(774) 946-3953</t>
  </si>
  <si>
    <t>Paterson</t>
  </si>
  <si>
    <t>Gerome</t>
  </si>
  <si>
    <t>geromesbendji@gmail.com</t>
  </si>
  <si>
    <t>(978) 242-2773</t>
  </si>
  <si>
    <t xml:space="preserve">Hanscard </t>
  </si>
  <si>
    <t xml:space="preserve">Dormeus </t>
  </si>
  <si>
    <t>hanscarddormues@gmail.com</t>
  </si>
  <si>
    <t xml:space="preserve">617-991-4433 </t>
  </si>
  <si>
    <t xml:space="preserve">Jeane </t>
  </si>
  <si>
    <t xml:space="preserve">LaPointe </t>
  </si>
  <si>
    <t xml:space="preserve">jeanelapointe@gmail.com </t>
  </si>
  <si>
    <t xml:space="preserve">(978) 645-7434 </t>
  </si>
  <si>
    <t>JOEL</t>
  </si>
  <si>
    <t>AGUILA LUGO</t>
  </si>
  <si>
    <t>aguila75joel@gmail.com</t>
  </si>
  <si>
    <t>407-547-0576</t>
  </si>
  <si>
    <t xml:space="preserve">Westsprinfield </t>
  </si>
  <si>
    <t>Heather</t>
  </si>
  <si>
    <t>Aviante77@proton.me</t>
  </si>
  <si>
    <t>310) 526-1888</t>
  </si>
  <si>
    <t>DOMINGOS</t>
  </si>
  <si>
    <t>FERNANDES</t>
  </si>
  <si>
    <t>domingos75cv@gmail.com</t>
  </si>
  <si>
    <t>617-820-7964</t>
  </si>
  <si>
    <t>Patricia</t>
  </si>
  <si>
    <t>Griffith</t>
  </si>
  <si>
    <t>lilktrina333@icloud.com</t>
  </si>
  <si>
    <t>617-697-0727</t>
  </si>
  <si>
    <t>Chantel</t>
  </si>
  <si>
    <t>joneschantel14@gmail.com</t>
  </si>
  <si>
    <t>BufferSpings</t>
  </si>
  <si>
    <t>Kenyn</t>
  </si>
  <si>
    <t>Araujo</t>
  </si>
  <si>
    <t>kevynpersonal@gmail.com</t>
  </si>
  <si>
    <t>Boxford</t>
  </si>
  <si>
    <t xml:space="preserve">Lea </t>
  </si>
  <si>
    <t>Lea MacLean</t>
  </si>
  <si>
    <t>lea@leamaclean.com</t>
  </si>
  <si>
    <t>774-666-0016</t>
  </si>
  <si>
    <t xml:space="preserve">Cotton </t>
  </si>
  <si>
    <t xml:space="preserve">hockeyplayer0810@yahoo.com </t>
  </si>
  <si>
    <t xml:space="preserve">774) 993-9991 </t>
  </si>
  <si>
    <t>Millis</t>
  </si>
  <si>
    <t>Ruthel</t>
  </si>
  <si>
    <t xml:space="preserve">Queen </t>
  </si>
  <si>
    <t xml:space="preserve">ruthelqueen113@gmail.com </t>
  </si>
  <si>
    <t xml:space="preserve">(617) 515-3058 </t>
  </si>
  <si>
    <t>Ivana</t>
  </si>
  <si>
    <t>Buenopena</t>
  </si>
  <si>
    <t>Ivana2199@yahoo.com</t>
  </si>
  <si>
    <t>(978)-857-6648</t>
  </si>
  <si>
    <t>Byishimo</t>
  </si>
  <si>
    <t>Sebahizi</t>
  </si>
  <si>
    <t>rivasbismarck45@gmail.com</t>
  </si>
  <si>
    <t>(463) 297-9317</t>
  </si>
  <si>
    <t>Plainfield</t>
  </si>
  <si>
    <t>Prince</t>
  </si>
  <si>
    <t>iprince23@icloud.com</t>
  </si>
  <si>
    <t>(603) 355-7459</t>
  </si>
  <si>
    <t>brittneysmith1093@icloud.com</t>
  </si>
  <si>
    <t>617-870-8426</t>
  </si>
  <si>
    <t>WRENTHAM</t>
  </si>
  <si>
    <t xml:space="preserve">Elvin </t>
  </si>
  <si>
    <t>Ochoa</t>
  </si>
  <si>
    <t>elvinlaparra@icloud.com</t>
  </si>
  <si>
    <t>617-583-0143</t>
  </si>
  <si>
    <t xml:space="preserve">Canton </t>
  </si>
  <si>
    <t xml:space="preserve">Lorraine </t>
  </si>
  <si>
    <t xml:space="preserve">Joyce Santos </t>
  </si>
  <si>
    <t>santos.lorraine@yahoo.com</t>
  </si>
  <si>
    <t>623 204 4530</t>
  </si>
  <si>
    <t xml:space="preserve">Roddrick </t>
  </si>
  <si>
    <t>roderickharrisiii@gmail.com</t>
  </si>
  <si>
    <t>781-521-5801</t>
  </si>
  <si>
    <t xml:space="preserve">alainjlouis3@gmail.com </t>
  </si>
  <si>
    <t xml:space="preserve">(617) 921-6642 </t>
  </si>
  <si>
    <t>Curry</t>
  </si>
  <si>
    <t>wesley.curry@comcast.net</t>
  </si>
  <si>
    <t>978-501-9334</t>
  </si>
  <si>
    <t>Julian</t>
  </si>
  <si>
    <t>(219) 245-8205</t>
  </si>
  <si>
    <t xml:space="preserve">Rocha </t>
  </si>
  <si>
    <t xml:space="preserve">johnrocharicardo@gmail.com </t>
  </si>
  <si>
    <t xml:space="preserve">978) 333-3972 </t>
  </si>
  <si>
    <t xml:space="preserve">Mira </t>
  </si>
  <si>
    <t xml:space="preserve">Abdallah </t>
  </si>
  <si>
    <t>abdallahmira6@gmail.com</t>
  </si>
  <si>
    <t xml:space="preserve">Gilmore </t>
  </si>
  <si>
    <t>Oben</t>
  </si>
  <si>
    <t xml:space="preserve">gilmoreoben@yahoo.com </t>
  </si>
  <si>
    <t>505-999-6752</t>
  </si>
  <si>
    <t>Albuquerque</t>
  </si>
  <si>
    <t>Dadgerry</t>
  </si>
  <si>
    <t>St. Rose</t>
  </si>
  <si>
    <t>Dstrose9721@gmail.com</t>
  </si>
  <si>
    <t>617 936 9500</t>
  </si>
  <si>
    <t>Castro</t>
  </si>
  <si>
    <t>michalcastro2007@gmail.com</t>
  </si>
  <si>
    <t>(774) 477-9341</t>
  </si>
  <si>
    <t>Jordan</t>
  </si>
  <si>
    <t>jordanashleyhughes1@gmail.com</t>
  </si>
  <si>
    <t>(508) 395-7789</t>
  </si>
  <si>
    <t>Osaro</t>
  </si>
  <si>
    <t>Jeffery Omorogieva</t>
  </si>
  <si>
    <t>talktojeff2003@yahoo.com</t>
  </si>
  <si>
    <t>(617) 888-1863</t>
  </si>
  <si>
    <t>Mcgrail</t>
  </si>
  <si>
    <t>johnmcgrail614@gmail.com</t>
  </si>
  <si>
    <t>(774) 777-9006</t>
  </si>
  <si>
    <t xml:space="preserve">Leach </t>
  </si>
  <si>
    <t xml:space="preserve">aaronjleach11@gmail.com </t>
  </si>
  <si>
    <t xml:space="preserve">508) 446-0827 </t>
  </si>
  <si>
    <t>Stephano</t>
  </si>
  <si>
    <t>Tejada</t>
  </si>
  <si>
    <t>stephtejx02@gmail.com</t>
  </si>
  <si>
    <t>(978) 210-6402</t>
  </si>
  <si>
    <t>Loreno</t>
  </si>
  <si>
    <t>Nikolli</t>
  </si>
  <si>
    <t>nikolliloreno@gmail.com</t>
  </si>
  <si>
    <t>(860) 726-6510</t>
  </si>
  <si>
    <t xml:space="preserve">Wethrfield </t>
  </si>
  <si>
    <t>Eugenio</t>
  </si>
  <si>
    <t>Pillkahn</t>
  </si>
  <si>
    <t>eugeniopillkahn@yahoo.com</t>
  </si>
  <si>
    <t>(617) 755-9557</t>
  </si>
  <si>
    <t>Brando</t>
  </si>
  <si>
    <t>Mendieta</t>
  </si>
  <si>
    <t>anthony_mendieta@yahoo.com</t>
  </si>
  <si>
    <t>(707) 628-3891</t>
  </si>
  <si>
    <t>Sacramento</t>
  </si>
  <si>
    <t>Romuald</t>
  </si>
  <si>
    <t>Colin</t>
  </si>
  <si>
    <t>romualdcolin01821@gmail.com</t>
  </si>
  <si>
    <t>(781) 715-4922</t>
  </si>
  <si>
    <t>Janny</t>
  </si>
  <si>
    <t>Medrano</t>
  </si>
  <si>
    <t>jannymedrano@yahoo.com</t>
  </si>
  <si>
    <t>(442) 322-5764</t>
  </si>
  <si>
    <t>Raleigh</t>
  </si>
  <si>
    <t>NC</t>
  </si>
  <si>
    <t>Morgan</t>
  </si>
  <si>
    <t>Emond</t>
  </si>
  <si>
    <t>memond95@icloud.com</t>
  </si>
  <si>
    <t>978-877-8688</t>
  </si>
  <si>
    <t>patriciadepinalopes@gmail.com</t>
  </si>
  <si>
    <t>(857) 939-6009</t>
  </si>
  <si>
    <t>Roxbury</t>
  </si>
  <si>
    <t>Walfri</t>
  </si>
  <si>
    <t>bestsm877@gmail.com</t>
  </si>
  <si>
    <t xml:space="preserve">	(508) 612-6949</t>
  </si>
  <si>
    <t>Lenchie</t>
  </si>
  <si>
    <t>Felix</t>
  </si>
  <si>
    <t>lenchiefelix@gmail.com</t>
  </si>
  <si>
    <t>305-922-0553</t>
  </si>
  <si>
    <t>Miami</t>
  </si>
  <si>
    <t>DOC-01944</t>
  </si>
  <si>
    <t>Ciana</t>
  </si>
  <si>
    <t>Rentas</t>
  </si>
  <si>
    <t>rentasciana@gmail.com</t>
  </si>
  <si>
    <t>508-904-5057</t>
  </si>
  <si>
    <t xml:space="preserve">Pean </t>
  </si>
  <si>
    <t xml:space="preserve">(857) 258-5719 </t>
  </si>
  <si>
    <t xml:space="preserve">Fitchburg  </t>
  </si>
  <si>
    <t>Anjealis</t>
  </si>
  <si>
    <t>rodriguezanjealis9@gmail.com</t>
  </si>
  <si>
    <t>(617) 435-9266</t>
  </si>
  <si>
    <t>Mackenzie</t>
  </si>
  <si>
    <t>Klein</t>
  </si>
  <si>
    <t>meklein118@gmail.com</t>
  </si>
  <si>
    <t>(802) 733-4201</t>
  </si>
  <si>
    <t>Evan</t>
  </si>
  <si>
    <t>Malick</t>
  </si>
  <si>
    <t>edm5225@gmail.com</t>
  </si>
  <si>
    <t>(617) 483-5424</t>
  </si>
  <si>
    <t>Rosas</t>
  </si>
  <si>
    <t>brian01904@gmail.com</t>
  </si>
  <si>
    <t>(617) 866-7668</t>
  </si>
  <si>
    <t>Osadebamwen</t>
  </si>
  <si>
    <t>Destiny Oriakhi</t>
  </si>
  <si>
    <t xml:space="preserve">
(781) 888-5782</t>
  </si>
  <si>
    <t>Baptista</t>
  </si>
  <si>
    <t>josebaptista10273@gmail.com</t>
  </si>
  <si>
    <t>860-232-8241</t>
  </si>
  <si>
    <t>Davion</t>
  </si>
  <si>
    <t>Portes</t>
  </si>
  <si>
    <t>davionportes91817@gmail.com</t>
  </si>
  <si>
    <t xml:space="preserve">	(401) 470-4244</t>
  </si>
  <si>
    <t xml:space="preserve">Chitsner </t>
  </si>
  <si>
    <t xml:space="preserve"> Gauthier </t>
  </si>
  <si>
    <t>cbgauthier12@gmail.com</t>
  </si>
  <si>
    <t xml:space="preserve">(781) 975-3422 </t>
  </si>
  <si>
    <t xml:space="preserve">Middleboro MA </t>
  </si>
  <si>
    <t xml:space="preserve">joshuailopez14@gmail.com </t>
  </si>
  <si>
    <t xml:space="preserve">(351) 356-6726 </t>
  </si>
  <si>
    <t xml:space="preserve">Maria Magalhaes </t>
  </si>
  <si>
    <t xml:space="preserve">dudamaga2002@gmail.com </t>
  </si>
  <si>
    <t xml:space="preserve">(617) 669-6912 </t>
  </si>
  <si>
    <t>Luzier</t>
  </si>
  <si>
    <t>zacharyluzier@yahoo.com</t>
  </si>
  <si>
    <t>978-407-0672</t>
  </si>
  <si>
    <t>Cycle Stage</t>
  </si>
  <si>
    <t>Action</t>
  </si>
  <si>
    <t># of actions</t>
  </si>
  <si>
    <t>Outcome</t>
  </si>
  <si>
    <t>Log Date</t>
  </si>
  <si>
    <t>Recruiter Assessment</t>
  </si>
  <si>
    <t xml:space="preserve">Material Sent </t>
  </si>
  <si>
    <t xml:space="preserve">Notes </t>
  </si>
  <si>
    <t>Days_Since_Log</t>
  </si>
  <si>
    <t>Eligible_For_Followup</t>
  </si>
  <si>
    <t>Followup_Bucket</t>
  </si>
  <si>
    <t>DOC-01514</t>
  </si>
  <si>
    <t xml:space="preserve">Non Responsive </t>
  </si>
  <si>
    <t>Call</t>
  </si>
  <si>
    <t xml:space="preserve">Connected </t>
  </si>
  <si>
    <t>Interested</t>
  </si>
  <si>
    <t xml:space="preserve">His dad work at MCI Concord </t>
  </si>
  <si>
    <t>DOC-01447</t>
  </si>
  <si>
    <t>NTA (Notice to Appear)</t>
  </si>
  <si>
    <t xml:space="preserve">Pending </t>
  </si>
  <si>
    <t xml:space="preserve">Move to Exam Traker </t>
  </si>
  <si>
    <t xml:space="preserve">Civil Service Exam link </t>
  </si>
  <si>
    <t xml:space="preserve">Works for TSA in Texas need to reschedule his exam day </t>
  </si>
  <si>
    <t>DOC-01407</t>
  </si>
  <si>
    <t>ARP (Academy Readiness Program) Phase 1</t>
  </si>
  <si>
    <t>Registered</t>
  </si>
  <si>
    <t xml:space="preserve">Low Drop off risk </t>
  </si>
  <si>
    <t>Study/prep  Guided</t>
  </si>
  <si>
    <t xml:space="preserve">is in the Army has worked correction for TX </t>
  </si>
  <si>
    <t>DOC-01455</t>
  </si>
  <si>
    <t xml:space="preserve">Interested </t>
  </si>
  <si>
    <t>Low drop off risk</t>
  </si>
  <si>
    <t xml:space="preserve">nd left Voice mail </t>
  </si>
  <si>
    <t>DOC-00240</t>
  </si>
  <si>
    <t>1:1 call</t>
  </si>
  <si>
    <t xml:space="preserve">Passive interest </t>
  </si>
  <si>
    <t xml:space="preserve">has been in he database for a while did not take the Nov or Feb exam </t>
  </si>
  <si>
    <t>DOC-01481</t>
  </si>
  <si>
    <t>DOC-00272</t>
  </si>
  <si>
    <t xml:space="preserve">No Show </t>
  </si>
  <si>
    <t>DOC-00082</t>
  </si>
  <si>
    <t>DOC-01564</t>
  </si>
  <si>
    <t>VIS(Virstual information session)</t>
  </si>
  <si>
    <t xml:space="preserve">Email </t>
  </si>
  <si>
    <t xml:space="preserve">Tuesday session </t>
  </si>
  <si>
    <t xml:space="preserve">No phone number to call, sent follow up email </t>
  </si>
  <si>
    <t>DOC-01520</t>
  </si>
  <si>
    <t xml:space="preserve">Thursday Session </t>
  </si>
  <si>
    <t>attened session on 1/29/2026</t>
  </si>
  <si>
    <t>DOC-01536</t>
  </si>
  <si>
    <t>DOC-01328</t>
  </si>
  <si>
    <t xml:space="preserve">Not Interested </t>
  </si>
  <si>
    <t xml:space="preserve">Full Outreach Email </t>
  </si>
  <si>
    <t>DOC-01831</t>
  </si>
  <si>
    <t>VIS (Virtual Information session)  Link</t>
  </si>
  <si>
    <t>attened session on 2/05/2026</t>
  </si>
  <si>
    <t>DOC-01814</t>
  </si>
  <si>
    <t>Scheduled</t>
  </si>
  <si>
    <t xml:space="preserve">Low drop off risk </t>
  </si>
  <si>
    <t>DOC-00752</t>
  </si>
  <si>
    <t>Follow Up Email/Link</t>
  </si>
  <si>
    <t xml:space="preserve">Did not pass the Nov Exam, Taking Feb Exam on 21st </t>
  </si>
  <si>
    <t>DOC-00002</t>
  </si>
  <si>
    <t>Asked to be removed from database</t>
  </si>
  <si>
    <t>High drop Off risk</t>
  </si>
  <si>
    <t>DOC-00142</t>
  </si>
  <si>
    <t>ARP (Academy Readiness Program) Link</t>
  </si>
  <si>
    <t xml:space="preserve">Missed the daedline for the Last Civil Service Exam, looking to june Exam </t>
  </si>
  <si>
    <t>DOC-01518</t>
  </si>
  <si>
    <t>Non Responsive</t>
  </si>
  <si>
    <t>Pending</t>
  </si>
  <si>
    <t>DOC-01852</t>
  </si>
  <si>
    <t>DOC-01815</t>
  </si>
  <si>
    <t>Voice Mail</t>
  </si>
  <si>
    <t>DOC-01821</t>
  </si>
  <si>
    <t>Outreach</t>
  </si>
  <si>
    <t>Full Outreach Email</t>
  </si>
  <si>
    <t>DOC-01837</t>
  </si>
  <si>
    <t>Closed Registration outreach</t>
  </si>
  <si>
    <t>1:1 Link</t>
  </si>
  <si>
    <t xml:space="preserve">Monday Feb 23, 2026 ⋅ 2pm – 2:30pm </t>
  </si>
  <si>
    <t>DOC-01827</t>
  </si>
  <si>
    <t>DOC-01833</t>
  </si>
  <si>
    <t>DOC-01838</t>
  </si>
  <si>
    <t>Open Registration outreach</t>
  </si>
  <si>
    <t>Sent information, Send Reminder about Civil Serive Monday</t>
  </si>
  <si>
    <t>DOC-01845</t>
  </si>
  <si>
    <t>Moderate drop off risk</t>
  </si>
  <si>
    <t>Re-Engagment Email/Link</t>
  </si>
  <si>
    <t>Works for Vital Core and looking to be a CPO</t>
  </si>
  <si>
    <t>DOC-01851</t>
  </si>
  <si>
    <t>DOC-01843</t>
  </si>
  <si>
    <t>DOC-01849</t>
  </si>
  <si>
    <t>DOC-01663</t>
  </si>
  <si>
    <t>In the Academy</t>
  </si>
  <si>
    <t>Text</t>
  </si>
  <si>
    <t>Follow Up / Thank you Email/Link</t>
  </si>
  <si>
    <t xml:space="preserve">in RTC 339 </t>
  </si>
  <si>
    <t>DOC-01817</t>
  </si>
  <si>
    <t>DOC-01823</t>
  </si>
  <si>
    <t>Tom Clark</t>
  </si>
  <si>
    <t>Wants Tech position no Corrections</t>
  </si>
  <si>
    <t>DOC-01829</t>
  </si>
  <si>
    <t>Cycle 2- VIS(Virstual information session)</t>
  </si>
  <si>
    <t>DOC-01835</t>
  </si>
  <si>
    <t>DOC-01841</t>
  </si>
  <si>
    <t>DOC-01847</t>
  </si>
  <si>
    <t>DOC-01853</t>
  </si>
  <si>
    <t>Re-Engagment</t>
  </si>
  <si>
    <t>Connected</t>
  </si>
  <si>
    <t>DOC-00601</t>
  </si>
  <si>
    <t>DOC-01855</t>
  </si>
  <si>
    <t>DOC-01861</t>
  </si>
  <si>
    <t xml:space="preserve">1:1 call 10:00am - Wednesday, February 18, 2026 </t>
  </si>
  <si>
    <t>DOC-01531</t>
  </si>
  <si>
    <t>number and email do not work.</t>
  </si>
  <si>
    <t>DOC-01538</t>
  </si>
  <si>
    <t>DOC-01544</t>
  </si>
  <si>
    <t>Number does not work</t>
  </si>
  <si>
    <t>DOC-01550</t>
  </si>
  <si>
    <t xml:space="preserve">Number does not work </t>
  </si>
  <si>
    <t>DOC-00926</t>
  </si>
  <si>
    <t>ARP (Academy Readiness Program) Phase 2</t>
  </si>
  <si>
    <t>Needs additional follow up</t>
  </si>
  <si>
    <t>needs to respond to email invitations to register for sessions</t>
  </si>
  <si>
    <t>DOC-01867</t>
  </si>
  <si>
    <t xml:space="preserve">09:30am - Friday, February 6, 2026 </t>
  </si>
  <si>
    <t>DOC-01822</t>
  </si>
  <si>
    <t>DOC-01828</t>
  </si>
  <si>
    <t>DOC-01834</t>
  </si>
  <si>
    <t>DOC-01840</t>
  </si>
  <si>
    <t>Number does no work</t>
  </si>
  <si>
    <t>DOC-01846</t>
  </si>
  <si>
    <t>Number does nto work</t>
  </si>
  <si>
    <t>DOC-01859</t>
  </si>
  <si>
    <t>Non responsive</t>
  </si>
  <si>
    <t>DOC-01865</t>
  </si>
  <si>
    <t>DOC-01869</t>
  </si>
  <si>
    <t>Send Information Session Link for Tuesday</t>
  </si>
  <si>
    <t>DOC-01858</t>
  </si>
  <si>
    <t>DOC-01515</t>
  </si>
  <si>
    <t>DOC-01403</t>
  </si>
  <si>
    <t>DOC-01468</t>
  </si>
  <si>
    <t>781-793-8014</t>
  </si>
  <si>
    <t>Exploring options/informative</t>
  </si>
  <si>
    <t>Looking for Internship for EOPPS, maybe DOC Internship, Sent infoformation on internship via email</t>
  </si>
  <si>
    <t>DOC-01513</t>
  </si>
  <si>
    <t>DOC-01530</t>
  </si>
  <si>
    <t>No answer</t>
  </si>
  <si>
    <t>Rescheduled/Missed</t>
  </si>
  <si>
    <t>Missed Scheduled Teams 1:1 call, email sent to reschedule</t>
  </si>
  <si>
    <t>DOC-01537</t>
  </si>
  <si>
    <t>Phone # isn't Vaild</t>
  </si>
  <si>
    <t>DOC-01543</t>
  </si>
  <si>
    <t>DOC-01549</t>
  </si>
  <si>
    <t>Phone Number does not work, sent email</t>
  </si>
  <si>
    <t>DOC-01556</t>
  </si>
  <si>
    <t>DOC-01562</t>
  </si>
  <si>
    <t>Interested in CPO, explained to sign up for Correction Officer Exam and Switch over once in, Did internship with State Parole</t>
  </si>
  <si>
    <t>DOC-00011</t>
  </si>
  <si>
    <t>DOC-00594</t>
  </si>
  <si>
    <t>updated email address</t>
  </si>
  <si>
    <t>DOC-00695</t>
  </si>
  <si>
    <t xml:space="preserve">Has an interview with Bristol County </t>
  </si>
  <si>
    <t>DOC-01874</t>
  </si>
  <si>
    <t>Looking for more information about state vs county</t>
  </si>
  <si>
    <t>DOC-00017</t>
  </si>
  <si>
    <t>Number not working / Sent VIS</t>
  </si>
  <si>
    <t>DOC-01872</t>
  </si>
  <si>
    <t>Relocating to Arlington- family worked Walpole wants June exam</t>
  </si>
  <si>
    <t>DOC-00047</t>
  </si>
  <si>
    <t>number not working / Sent VIS</t>
  </si>
  <si>
    <t>DOC-00055</t>
  </si>
  <si>
    <t>DOC-00054</t>
  </si>
  <si>
    <t xml:space="preserve">Do not Contact </t>
  </si>
  <si>
    <t>Number not in use</t>
  </si>
  <si>
    <t>DOC-00061</t>
  </si>
  <si>
    <t>Does not meet min requirments</t>
  </si>
  <si>
    <t xml:space="preserve">English is secondary language </t>
  </si>
  <si>
    <t>DOC-01862</t>
  </si>
  <si>
    <t>Left voice mail on 2/5/2026</t>
  </si>
  <si>
    <t>DOC-00023</t>
  </si>
  <si>
    <t>Wants to be CO, applied for County but State is more appealing</t>
  </si>
  <si>
    <t>DOC-01559</t>
  </si>
  <si>
    <t>DOC-01878</t>
  </si>
  <si>
    <t>DOC-01876</t>
  </si>
  <si>
    <t>DOC-01529</t>
  </si>
  <si>
    <t>Sent Email, going to call</t>
  </si>
  <si>
    <t>DOC-00074</t>
  </si>
  <si>
    <t>DOC-00080</t>
  </si>
  <si>
    <t>DOC-00086</t>
  </si>
  <si>
    <t>Do not contact</t>
  </si>
  <si>
    <t>Wrong number</t>
  </si>
  <si>
    <t>DOC-00098</t>
  </si>
  <si>
    <t>Not Interested</t>
  </si>
  <si>
    <t xml:space="preserve">Passed police exam </t>
  </si>
  <si>
    <t>DOC-00104</t>
  </si>
  <si>
    <t>DOC-00110</t>
  </si>
  <si>
    <t>DOC-00116</t>
  </si>
  <si>
    <t>DOC-01346</t>
  </si>
  <si>
    <t>Going to look over email , Back up plan for a job, Seems Very Excited about the position, Signed up for Feb 21st exam</t>
  </si>
  <si>
    <t>DOC-01353</t>
  </si>
  <si>
    <t>DOC-00122</t>
  </si>
  <si>
    <t>DOC-01359</t>
  </si>
  <si>
    <t>Going to look over email</t>
  </si>
  <si>
    <t>DOC-01365</t>
  </si>
  <si>
    <t>Left Voicemail</t>
  </si>
  <si>
    <t>DOC-01374</t>
  </si>
  <si>
    <t>DOC-01380</t>
  </si>
  <si>
    <t>DOC-01386</t>
  </si>
  <si>
    <t>DOC-01395</t>
  </si>
  <si>
    <t>Busy going to call back another time</t>
  </si>
  <si>
    <t>DOC-01402</t>
  </si>
  <si>
    <t>DOC-01412</t>
  </si>
  <si>
    <t>DOC-01421</t>
  </si>
  <si>
    <t>DOC-01429</t>
  </si>
  <si>
    <t>Going to look over email and give a call back</t>
  </si>
  <si>
    <t>DOC-01435</t>
  </si>
  <si>
    <t>DOC-01444</t>
  </si>
  <si>
    <t>DOC-01458</t>
  </si>
  <si>
    <t>Recrieved another job, a thank you email was sent if interested in future</t>
  </si>
  <si>
    <t>DOC-01348</t>
  </si>
  <si>
    <t>DOC-01354</t>
  </si>
  <si>
    <t>DOC-01360</t>
  </si>
  <si>
    <t>Hung up phone</t>
  </si>
  <si>
    <t>DOC-01366</t>
  </si>
  <si>
    <t>DOC-01375</t>
  </si>
  <si>
    <t>DOC-01381</t>
  </si>
  <si>
    <t>DOC-01482</t>
  </si>
  <si>
    <t>Talk in 1:1 on TEAMS, Scheduled for Feb 21st EXAM want to do ARP</t>
  </si>
  <si>
    <t>DOC-01387</t>
  </si>
  <si>
    <t>DOC-01396</t>
  </si>
  <si>
    <t>DOC-01404</t>
  </si>
  <si>
    <t>DOC-01413</t>
  </si>
  <si>
    <t>DOC-01423</t>
  </si>
  <si>
    <t>DOC-01430</t>
  </si>
  <si>
    <t>DOC-01436</t>
  </si>
  <si>
    <t>DOC-01445</t>
  </si>
  <si>
    <t>DOC-01453</t>
  </si>
  <si>
    <t>DOC-01471</t>
  </si>
  <si>
    <t>DOC-01499</t>
  </si>
  <si>
    <t>DOC-01492</t>
  </si>
  <si>
    <t>DOC-01505</t>
  </si>
  <si>
    <t>DOC-01511</t>
  </si>
  <si>
    <t>DOC-01525</t>
  </si>
  <si>
    <t>DOC-00128</t>
  </si>
  <si>
    <t>DOC-00275</t>
  </si>
  <si>
    <t>DOC-00281</t>
  </si>
  <si>
    <t>DOC-00287</t>
  </si>
  <si>
    <t>DOC-00293</t>
  </si>
  <si>
    <t>DOC-00299</t>
  </si>
  <si>
    <t>DOC-00305</t>
  </si>
  <si>
    <t>DOC-00317</t>
  </si>
  <si>
    <t>DOC-00326</t>
  </si>
  <si>
    <t>DOC-00332</t>
  </si>
  <si>
    <t>DOC-00339</t>
  </si>
  <si>
    <t>DOC-01157</t>
  </si>
  <si>
    <t xml:space="preserve">Looking to take the CPO Exam </t>
  </si>
  <si>
    <t>DOC-00354</t>
  </si>
  <si>
    <t>DOC-00360</t>
  </si>
  <si>
    <t>DOC-00365</t>
  </si>
  <si>
    <t>DOC-00371</t>
  </si>
  <si>
    <t>DOC-00377</t>
  </si>
  <si>
    <t>Employed by DOC 2008</t>
  </si>
  <si>
    <t>DOC-01347</t>
  </si>
  <si>
    <t>DOC-01352</t>
  </si>
  <si>
    <t>DOC-01358</t>
  </si>
  <si>
    <t>DOC-01364</t>
  </si>
  <si>
    <t>Wants to sign up for June Exam</t>
  </si>
  <si>
    <t>DOC-01373</t>
  </si>
  <si>
    <t xml:space="preserve">Interested in signing up for June Exam .. always had interest in law enforcement. Currently works at CarMax. Wants security </t>
  </si>
  <si>
    <t>DOC-01379</t>
  </si>
  <si>
    <t>Wants to be removed from system</t>
  </si>
  <si>
    <t>DOC-01385</t>
  </si>
  <si>
    <t>DOC-01394</t>
  </si>
  <si>
    <t>DOC-01401</t>
  </si>
  <si>
    <t>questionable about joining .. wants to sit in on VIS</t>
  </si>
  <si>
    <t>DOC-01410</t>
  </si>
  <si>
    <t>DOC-01418</t>
  </si>
  <si>
    <t>DOC-01428</t>
  </si>
  <si>
    <t xml:space="preserve">Recived </t>
  </si>
  <si>
    <t>Move to recruitment exam tracker</t>
  </si>
  <si>
    <t>Taking February Exam - High interest, in ARP</t>
  </si>
  <si>
    <t>DOC-01443</t>
  </si>
  <si>
    <t>DOC-01451</t>
  </si>
  <si>
    <t>DOC-01459</t>
  </si>
  <si>
    <t>Taking February Exam - High interest</t>
  </si>
  <si>
    <t>DOC-01469</t>
  </si>
  <si>
    <t>DOC-01474</t>
  </si>
  <si>
    <t>DOC-01338</t>
  </si>
  <si>
    <t>Passive interest</t>
  </si>
  <si>
    <t>DOC-01882</t>
  </si>
  <si>
    <t>DOC-01480</t>
  </si>
  <si>
    <t>Would love to work for Department but has felony - still going through</t>
  </si>
  <si>
    <t>DOC-01340</t>
  </si>
  <si>
    <t>Civil Service Exam (Day of Exam)</t>
  </si>
  <si>
    <t xml:space="preserve">11:00am - Friday, February 20, 2026 </t>
  </si>
  <si>
    <t>DOC-01487</t>
  </si>
  <si>
    <t>DOC-01497</t>
  </si>
  <si>
    <t>DOC-01502</t>
  </si>
  <si>
    <t>DOC-01888</t>
  </si>
  <si>
    <t>DOC-01889</t>
  </si>
  <si>
    <t>Sent email, Phone Number isn't Vaild</t>
  </si>
  <si>
    <t>DOC-01883</t>
  </si>
  <si>
    <t>DOC-01890</t>
  </si>
  <si>
    <t>DOC-01509</t>
  </si>
  <si>
    <t>DOC-01523</t>
  </si>
  <si>
    <t>1 on 1 call. Wants to take June exam --- will participate in ARP</t>
  </si>
  <si>
    <t>DOC-01535</t>
  </si>
  <si>
    <t>Passive but.. wants to sit in on VIS</t>
  </si>
  <si>
    <t>DOC-01542</t>
  </si>
  <si>
    <t>DOC-01548</t>
  </si>
  <si>
    <t>DOC-01555</t>
  </si>
  <si>
    <t xml:space="preserve">set up multiple 1 on 1 calls .. but did not join. Following up with phone call </t>
  </si>
  <si>
    <t>DOC-01561</t>
  </si>
  <si>
    <t>Enrolling in ARP, planning on taking June exam</t>
  </si>
  <si>
    <t>DOC-01816</t>
  </si>
  <si>
    <t>Highly interested in CO Position. Taking Feb 21 exam</t>
  </si>
  <si>
    <t>DOC-01820</t>
  </si>
  <si>
    <t>DOC-01826</t>
  </si>
  <si>
    <t>DOC-01832</t>
  </si>
  <si>
    <t>DOC-01839</t>
  </si>
  <si>
    <t>DOC-01844</t>
  </si>
  <si>
    <t>DOC-01850</t>
  </si>
  <si>
    <t>DOC-01856</t>
  </si>
  <si>
    <t>DOC-01868</t>
  </si>
  <si>
    <t>Highly interested in CO Position. Works as ground keeper for Brockton. No Stabilty -- Wants to take June Exam</t>
  </si>
  <si>
    <t>DOC-01870</t>
  </si>
  <si>
    <t>DOC-01881</t>
  </si>
  <si>
    <t>DOC-01887</t>
  </si>
  <si>
    <t>DOC-00491</t>
  </si>
  <si>
    <t>Spoke, interested maybe wants to be a cop is going to attend info session</t>
  </si>
  <si>
    <t>DOC-00503</t>
  </si>
  <si>
    <t>DOC-00068</t>
  </si>
  <si>
    <t>DOC-00114</t>
  </si>
  <si>
    <t>Connected, Sent information going to sign up for infomration session wants to maybe be a cop</t>
  </si>
  <si>
    <t>DOC-00504</t>
  </si>
  <si>
    <t>DOC-00555</t>
  </si>
  <si>
    <t>DOC-00557</t>
  </si>
  <si>
    <t>DOC-00582</t>
  </si>
  <si>
    <t>DOC-00585</t>
  </si>
  <si>
    <t>In ARP, recieved 73 on November exam -- not on eligible list yet</t>
  </si>
  <si>
    <t>DOC-00597</t>
  </si>
  <si>
    <t>DOC-00649</t>
  </si>
  <si>
    <t>DOC-00650</t>
  </si>
  <si>
    <t>DOC-00653</t>
  </si>
  <si>
    <t>DOC-00654</t>
  </si>
  <si>
    <t>DOC-00705</t>
  </si>
  <si>
    <t>DOC-00706</t>
  </si>
  <si>
    <t>DOC-00707</t>
  </si>
  <si>
    <t>DOC-00708</t>
  </si>
  <si>
    <t>DOC-00709</t>
  </si>
  <si>
    <t>Left voicemail and sent over VIS link</t>
  </si>
  <si>
    <t>DOC-00718</t>
  </si>
  <si>
    <t>DOC-00719</t>
  </si>
  <si>
    <t>DOC-00720</t>
  </si>
  <si>
    <t>DOC-00004</t>
  </si>
  <si>
    <t>DOC-01204</t>
  </si>
  <si>
    <t>DOC-01898</t>
  </si>
  <si>
    <t>Connected with 1:1 call, wants to register for March Open Enrolement</t>
  </si>
  <si>
    <t>DOC-01901</t>
  </si>
  <si>
    <t>Left Voicemail, Sent information for infor session on Tuesday at 4:00</t>
  </si>
  <si>
    <t>DOC-00382</t>
  </si>
  <si>
    <t>DOC-00389</t>
  </si>
  <si>
    <t>DOC-00394</t>
  </si>
  <si>
    <t>DOC-00399</t>
  </si>
  <si>
    <t>DOC-00405</t>
  </si>
  <si>
    <t>DOC-00158</t>
  </si>
  <si>
    <t>DOC-00419</t>
  </si>
  <si>
    <t>DOC-00426</t>
  </si>
  <si>
    <t>number not in use</t>
  </si>
  <si>
    <t>DOC-00431</t>
  </si>
  <si>
    <t>DOC-01904</t>
  </si>
  <si>
    <t xml:space="preserve">Friday Feb 20, 2026 ⋅ 11:30am – 12pm </t>
  </si>
  <si>
    <t>DOC-00437</t>
  </si>
  <si>
    <t>DOC-00449</t>
  </si>
  <si>
    <t>DOC-01344</t>
  </si>
  <si>
    <t>DOC-01343</t>
  </si>
  <si>
    <t>11:30am - Friday, February 20, 2026</t>
  </si>
  <si>
    <t>DOC-00133</t>
  </si>
  <si>
    <t>DOC-00136</t>
  </si>
  <si>
    <t xml:space="preserve">Did not take the Nov 15th Exam. </t>
  </si>
  <si>
    <t>DOC-00461</t>
  </si>
  <si>
    <t>DOC-00468</t>
  </si>
  <si>
    <t>DOC-00474</t>
  </si>
  <si>
    <t>DOC-00486</t>
  </si>
  <si>
    <t>DOC-00500</t>
  </si>
  <si>
    <t>DOC-00506</t>
  </si>
  <si>
    <t>DOC-00512</t>
  </si>
  <si>
    <t>DOC-00518</t>
  </si>
  <si>
    <t>DOC-00703</t>
  </si>
  <si>
    <t>DOC-00524</t>
  </si>
  <si>
    <t>Voicemail / VIS sent</t>
  </si>
  <si>
    <t>DOC-00530</t>
  </si>
  <si>
    <t>DOC-00704</t>
  </si>
  <si>
    <t>DOC-00715</t>
  </si>
  <si>
    <t>DOC-00536</t>
  </si>
  <si>
    <t>DOC-00716</t>
  </si>
  <si>
    <t>DOC-00722</t>
  </si>
  <si>
    <t>DOC-00554</t>
  </si>
  <si>
    <t>DOC-00717</t>
  </si>
  <si>
    <t>On unemployement, can't apply for job right now?</t>
  </si>
  <si>
    <t>DOC-00562</t>
  </si>
  <si>
    <t>DOC-00568</t>
  </si>
  <si>
    <t>DOC-00580</t>
  </si>
  <si>
    <t>DOC-00592</t>
  </si>
  <si>
    <t>DOC-00610</t>
  </si>
  <si>
    <t>DOC-00624</t>
  </si>
  <si>
    <t>DOC-00728</t>
  </si>
  <si>
    <t>Sent link for Virtual info Tuesday at 4:00</t>
  </si>
  <si>
    <t>DOC-00630</t>
  </si>
  <si>
    <t>DOC-00640</t>
  </si>
  <si>
    <t>DOC-00660</t>
  </si>
  <si>
    <t>DOC-00666</t>
  </si>
  <si>
    <t>DOC-00673</t>
  </si>
  <si>
    <t>DOC-01877</t>
  </si>
  <si>
    <t>currectly security guard, looking for a career</t>
  </si>
  <si>
    <t>DOC-00681</t>
  </si>
  <si>
    <t>DOC-00688</t>
  </si>
  <si>
    <t>DOC-00697</t>
  </si>
  <si>
    <t>DOC-01873</t>
  </si>
  <si>
    <t xml:space="preserve">uber driver currently, former security guard. looking for a career </t>
  </si>
  <si>
    <t>DOC-00727</t>
  </si>
  <si>
    <t>DOC-00739</t>
  </si>
  <si>
    <t>DOC-01910</t>
  </si>
  <si>
    <t>Connected, sent information for the  4:00 info session</t>
  </si>
  <si>
    <t>DOC-01911</t>
  </si>
  <si>
    <t>DOC-00746</t>
  </si>
  <si>
    <t>Taking test Feb. 21st</t>
  </si>
  <si>
    <t>DOC-00758</t>
  </si>
  <si>
    <t>DOC-00771</t>
  </si>
  <si>
    <t>DOC-00777</t>
  </si>
  <si>
    <t>DOC-00784</t>
  </si>
  <si>
    <t>DOC-00790</t>
  </si>
  <si>
    <t>DOC-01866</t>
  </si>
  <si>
    <t>registered for GED but no certificate yet, extremely interested in oportunity as COI</t>
  </si>
  <si>
    <t>DOC-01914</t>
  </si>
  <si>
    <t>DOC-01565</t>
  </si>
  <si>
    <t>DOC-01804</t>
  </si>
  <si>
    <t>DOC-01805</t>
  </si>
  <si>
    <t>DOC-01895</t>
  </si>
  <si>
    <t>DOC-01905</t>
  </si>
  <si>
    <t>DOC-01915</t>
  </si>
  <si>
    <t>DOC-01571</t>
  </si>
  <si>
    <t>DOC-01576</t>
  </si>
  <si>
    <t>DOC-01582</t>
  </si>
  <si>
    <t>DOC-01588</t>
  </si>
  <si>
    <t>DOC-01594</t>
  </si>
  <si>
    <t>DOC-00806</t>
  </si>
  <si>
    <t>passed exam in November</t>
  </si>
  <si>
    <t>DOC-00813</t>
  </si>
  <si>
    <t>DOC-00825</t>
  </si>
  <si>
    <t>DOC-00831</t>
  </si>
  <si>
    <t>DOC-00838</t>
  </si>
  <si>
    <t>DOC-00843</t>
  </si>
  <si>
    <t>DOC-01891</t>
  </si>
  <si>
    <t>DOC-01899</t>
  </si>
  <si>
    <t>recieved notice to apprear</t>
  </si>
  <si>
    <t>DOC-01860</t>
  </si>
  <si>
    <t>19 just moved from CT, wants to be BPD.</t>
  </si>
  <si>
    <t>DOC-01854</t>
  </si>
  <si>
    <t>DOC-01921</t>
  </si>
  <si>
    <t>DOC-01848</t>
  </si>
  <si>
    <t>DOC-01896</t>
  </si>
  <si>
    <t>DOC-01836</t>
  </si>
  <si>
    <t>Truck driving expereince, looking for stability and consistant work</t>
  </si>
  <si>
    <t>DOC-01902</t>
  </si>
  <si>
    <t>DOC-01906</t>
  </si>
  <si>
    <t>DOC-01830</t>
  </si>
  <si>
    <t>DOC-01824</t>
  </si>
  <si>
    <t>DOC-01912</t>
  </si>
  <si>
    <t>recieved NTA</t>
  </si>
  <si>
    <t>DOC-01818</t>
  </si>
  <si>
    <t>DOC-01799</t>
  </si>
  <si>
    <t>DOC-01919</t>
  </si>
  <si>
    <t>private security at legacy place</t>
  </si>
  <si>
    <t>DOC-00849</t>
  </si>
  <si>
    <t>DOC-00854</t>
  </si>
  <si>
    <t>DOC-00866</t>
  </si>
  <si>
    <t>Exam on Feb 21st</t>
  </si>
  <si>
    <t>DOC-01819</t>
  </si>
  <si>
    <t xml:space="preserve">not looking to work in Correction </t>
  </si>
  <si>
    <t>DOC-00863</t>
  </si>
  <si>
    <t>DOC-00870</t>
  </si>
  <si>
    <t>DOC-01884</t>
  </si>
  <si>
    <t xml:space="preserve">10:30am - Friday, February 20, 2026 </t>
  </si>
  <si>
    <t>DOC-00876</t>
  </si>
  <si>
    <t>DOC-00882</t>
  </si>
  <si>
    <t>DOC-01388</t>
  </si>
  <si>
    <t>DOC-00887</t>
  </si>
  <si>
    <t>hung up phone</t>
  </si>
  <si>
    <t>DOC-00893</t>
  </si>
  <si>
    <t>DOC-00490</t>
  </si>
  <si>
    <t>DOC-00899</t>
  </si>
  <si>
    <t>DOC-00905</t>
  </si>
  <si>
    <t>DOC-00910</t>
  </si>
  <si>
    <t>DOC-00917</t>
  </si>
  <si>
    <t>DOC-00923</t>
  </si>
  <si>
    <t>DOC-00928</t>
  </si>
  <si>
    <t>paased exam in November</t>
  </si>
  <si>
    <t>DOC-00934</t>
  </si>
  <si>
    <t>DOC-00940</t>
  </si>
  <si>
    <t>DOC-00946</t>
  </si>
  <si>
    <t>DOC-00962</t>
  </si>
  <si>
    <t>DOC-00974</t>
  </si>
  <si>
    <t>not intrested at the moment</t>
  </si>
  <si>
    <t>DOC-01781</t>
  </si>
  <si>
    <t>DOC-00983</t>
  </si>
  <si>
    <t>DOC-01780</t>
  </si>
  <si>
    <t>DOC-01778</t>
  </si>
  <si>
    <t>not interested due to daily commute to the academy</t>
  </si>
  <si>
    <t>DOC-00990</t>
  </si>
  <si>
    <t>DOC-00996</t>
  </si>
  <si>
    <t>DOC-01002</t>
  </si>
  <si>
    <t>DOC-01775</t>
  </si>
  <si>
    <t>DOC-01772</t>
  </si>
  <si>
    <t>DOC-01771</t>
  </si>
  <si>
    <t>DOC-01770</t>
  </si>
  <si>
    <t>DOC-01923</t>
  </si>
  <si>
    <t xml:space="preserve">Does Not have a Driver license or vehicle </t>
  </si>
  <si>
    <t>DOC-01769</t>
  </si>
  <si>
    <t>DOC-01766</t>
  </si>
  <si>
    <t>DOC-01764</t>
  </si>
  <si>
    <t>DOC-01008</t>
  </si>
  <si>
    <t>DOC-01014</t>
  </si>
  <si>
    <t>DOC-01022</t>
  </si>
  <si>
    <t>DOC-01027</t>
  </si>
  <si>
    <t>DOC-01033</t>
  </si>
  <si>
    <t>DOC-01039</t>
  </si>
  <si>
    <t>DOC-01043</t>
  </si>
  <si>
    <t>DOC-01063</t>
  </si>
  <si>
    <t>DOC-01068</t>
  </si>
  <si>
    <t>DOC-01080</t>
  </si>
  <si>
    <t>DOC-01086</t>
  </si>
  <si>
    <t>DOC-01098</t>
  </si>
  <si>
    <t>DOC-01104</t>
  </si>
  <si>
    <t>DOC-01110</t>
  </si>
  <si>
    <t xml:space="preserve">Does not have a voicemaill set up </t>
  </si>
  <si>
    <t>DOC-01117</t>
  </si>
  <si>
    <t xml:space="preserve">Does not have a voicemail set up </t>
  </si>
  <si>
    <t>DOC-01123</t>
  </si>
  <si>
    <t>DOC-01129</t>
  </si>
  <si>
    <t>Hung up phone/ sent VIS</t>
  </si>
  <si>
    <t>DOC-01135</t>
  </si>
  <si>
    <t>DOC-01147</t>
  </si>
  <si>
    <t>DOC-01153</t>
  </si>
  <si>
    <t>DOC-01907</t>
  </si>
  <si>
    <t>DOC-01165</t>
  </si>
  <si>
    <t>DOC-01908</t>
  </si>
  <si>
    <t>DOC-01909</t>
  </si>
  <si>
    <t>Sent email</t>
  </si>
  <si>
    <t>DOC-01171</t>
  </si>
  <si>
    <t>DOC-01178</t>
  </si>
  <si>
    <t>DOC-01190</t>
  </si>
  <si>
    <t>hung up phone / sent VIS</t>
  </si>
  <si>
    <t>DOC-01196</t>
  </si>
  <si>
    <t>number not in use / sent VIS</t>
  </si>
  <si>
    <t>DOC-01202</t>
  </si>
  <si>
    <t>DOC-01208</t>
  </si>
  <si>
    <t>DOC-01214</t>
  </si>
  <si>
    <t>DOC-01220</t>
  </si>
  <si>
    <t>DOC-01226</t>
  </si>
  <si>
    <t>DOC-01232</t>
  </si>
  <si>
    <t>Number not in use / sent VIS</t>
  </si>
  <si>
    <t>DOC-01239</t>
  </si>
  <si>
    <t>DOC-01244</t>
  </si>
  <si>
    <t>DOC-01918</t>
  </si>
  <si>
    <t>DOC-01927</t>
  </si>
  <si>
    <t>Thursday 2/12/2026</t>
  </si>
  <si>
    <t>DOC-01925</t>
  </si>
  <si>
    <t>DOC-01920</t>
  </si>
  <si>
    <t>DOC-01916</t>
  </si>
  <si>
    <t>DOC-01924</t>
  </si>
  <si>
    <t>DOC-00012</t>
  </si>
  <si>
    <t>DOC-00217</t>
  </si>
  <si>
    <t xml:space="preserve">did not take the Nov Exam, and is currently not looking for Corrections/ 90 day follow up plan </t>
  </si>
  <si>
    <t>DOC-00222</t>
  </si>
  <si>
    <t xml:space="preserve">Live in North Dokata , and wants to take the Civil Service Exam On line </t>
  </si>
  <si>
    <t>DOC-00077</t>
  </si>
  <si>
    <t>DOC-00076</t>
  </si>
  <si>
    <t xml:space="preserve">Did not pass the Nov Exam </t>
  </si>
  <si>
    <t>DOC-00066</t>
  </si>
  <si>
    <t>DOC-00119</t>
  </si>
  <si>
    <t>Very interested, going to set up a 1:1</t>
  </si>
  <si>
    <t>DOC-01636</t>
  </si>
  <si>
    <t>currently on eligilibity list</t>
  </si>
  <si>
    <t>DOC-01707</t>
  </si>
  <si>
    <t>DOC-01213</t>
  </si>
  <si>
    <t>DOC-01661</t>
  </si>
  <si>
    <t>DOC-01721</t>
  </si>
  <si>
    <t>DOC-01159</t>
  </si>
  <si>
    <t>DOC-00153</t>
  </si>
  <si>
    <t>DOC-01929</t>
  </si>
  <si>
    <t>No Show</t>
  </si>
  <si>
    <t>Missed 1:1 Meeting</t>
  </si>
  <si>
    <t>DOC-01897</t>
  </si>
  <si>
    <t>bank customer service teller</t>
  </si>
  <si>
    <t>DOC-01290</t>
  </si>
  <si>
    <t xml:space="preserve">living in NY, moving to TX on 2/25 to start new job work for TX CJ Dept. </t>
  </si>
  <si>
    <t>DOC-01647</t>
  </si>
  <si>
    <t>currently working security at hotel. Went through process before, serious this time.</t>
  </si>
  <si>
    <t>DOC-01437</t>
  </si>
  <si>
    <t xml:space="preserve">Previous recruit in RTC 336 but was </t>
  </si>
  <si>
    <t>DOC-00247</t>
  </si>
  <si>
    <t>DOC-01356</t>
  </si>
  <si>
    <t>DOC-01439</t>
  </si>
  <si>
    <t>DOC-01486</t>
  </si>
  <si>
    <t>DOC-00476</t>
  </si>
  <si>
    <t>Do Not Contact</t>
  </si>
  <si>
    <t>DOC-00484</t>
  </si>
  <si>
    <t>DOC-00190</t>
  </si>
  <si>
    <t>DOC-01300</t>
  </si>
  <si>
    <t>DOC-01293</t>
  </si>
  <si>
    <t>DOC-01268</t>
  </si>
  <si>
    <t>DOC-01926</t>
  </si>
  <si>
    <t>DOC-01930</t>
  </si>
  <si>
    <t>DOC-00029</t>
  </si>
  <si>
    <t>DOC-00035</t>
  </si>
  <si>
    <t>DOC-00041</t>
  </si>
  <si>
    <t>Number not in use / Sent VIS</t>
  </si>
  <si>
    <t>DOC-01121</t>
  </si>
  <si>
    <t>Not going to make it to exam, will register for next</t>
  </si>
  <si>
    <t>DOC-01312</t>
  </si>
  <si>
    <t>DOC-00196</t>
  </si>
  <si>
    <t>DOC-01609</t>
  </si>
  <si>
    <t>DOC-00263</t>
  </si>
  <si>
    <t>DOC-01913</t>
  </si>
  <si>
    <t>DOC-01922</t>
  </si>
  <si>
    <t>DOC-01934</t>
  </si>
  <si>
    <t>DOC-01350</t>
  </si>
  <si>
    <t>DOC-00146</t>
  </si>
  <si>
    <t xml:space="preserve">inquired about open case and </t>
  </si>
  <si>
    <t>DOC-01723</t>
  </si>
  <si>
    <t>felony charge 5 years ago but case was sealed/ time in ludlow jail</t>
  </si>
  <si>
    <t>DOC-01507</t>
  </si>
  <si>
    <t>DOC-00556</t>
  </si>
  <si>
    <t>DOC-00558</t>
  </si>
  <si>
    <t>DOC-00584</t>
  </si>
  <si>
    <t>DOC-00587</t>
  </si>
  <si>
    <t>DOC-00598</t>
  </si>
  <si>
    <t>DOC-00647</t>
  </si>
  <si>
    <t>DOC-00648</t>
  </si>
  <si>
    <t>DOC-00652</t>
  </si>
  <si>
    <t>DOC-00700</t>
  </si>
  <si>
    <t>DOC-00701</t>
  </si>
  <si>
    <t>DOC-00702</t>
  </si>
  <si>
    <t>DOC-00732</t>
  </si>
  <si>
    <t>DOC-01072</t>
  </si>
  <si>
    <t>DOC-01073</t>
  </si>
  <si>
    <t>DOC-01075</t>
  </si>
  <si>
    <t>DOC-01077</t>
  </si>
  <si>
    <t>DOC-01078</t>
  </si>
  <si>
    <t>DOC-01079</t>
  </si>
  <si>
    <t>DOC-01081</t>
  </si>
  <si>
    <t>DOC-01082</t>
  </si>
  <si>
    <t>DOC-01083</t>
  </si>
  <si>
    <t>DOC-01084</t>
  </si>
  <si>
    <t>DOC-01085</t>
  </si>
  <si>
    <t>DOC-01087</t>
  </si>
  <si>
    <t>DOC-01088</t>
  </si>
  <si>
    <t>DOC-00609</t>
  </si>
  <si>
    <t>DOC-01885</t>
  </si>
  <si>
    <t>Civilian</t>
  </si>
  <si>
    <t>DOC-01629</t>
  </si>
  <si>
    <t>Currently in academy</t>
  </si>
  <si>
    <t>DOC-01686</t>
  </si>
  <si>
    <t>DOC-00637</t>
  </si>
  <si>
    <t>DOC-00998</t>
  </si>
  <si>
    <t>DOC-01933</t>
  </si>
  <si>
    <t>DOC-01939</t>
  </si>
  <si>
    <t>DOC-01026</t>
  </si>
  <si>
    <t xml:space="preserve">ARP (Acadmeny Reideness program ) Phase 1, </t>
  </si>
  <si>
    <t>DOC-00003</t>
  </si>
  <si>
    <t>DOC-01940</t>
  </si>
  <si>
    <t>DOC-01943</t>
  </si>
  <si>
    <t>DOC-00175</t>
  </si>
  <si>
    <t xml:space="preserve">ARP (Acadmeny Reideness program ) Phase 2, </t>
  </si>
  <si>
    <t>DOC-01931</t>
  </si>
  <si>
    <t>DOC-01936</t>
  </si>
  <si>
    <t>DOC-01942</t>
  </si>
  <si>
    <t>DOC-01947</t>
  </si>
  <si>
    <t>DOC-00914</t>
  </si>
  <si>
    <t>DOC-00411</t>
  </si>
  <si>
    <t>voicemail / sent VIS</t>
  </si>
  <si>
    <t>DOC-00443</t>
  </si>
  <si>
    <t>Number not in use / VIS sent</t>
  </si>
  <si>
    <t>DOC-00494</t>
  </si>
  <si>
    <t>voicemail /VIS</t>
  </si>
  <si>
    <t>DOC-00542</t>
  </si>
  <si>
    <t>DOC-00548</t>
  </si>
  <si>
    <t>voicemail / VIS</t>
  </si>
  <si>
    <t>DOC-00801</t>
  </si>
  <si>
    <t>Taking test Feb. 21st 2026</t>
  </si>
  <si>
    <t>DOC-00957</t>
  </si>
  <si>
    <t>DOC-01074</t>
  </si>
  <si>
    <t>DOC-01460</t>
  </si>
  <si>
    <t>DOC-01476</t>
  </si>
  <si>
    <t>DOC-01483</t>
  </si>
  <si>
    <t>Test on Feb 21st 2026</t>
  </si>
  <si>
    <t>DOC-01557</t>
  </si>
  <si>
    <t>DOC-01864</t>
  </si>
  <si>
    <t>DOC-01871</t>
  </si>
  <si>
    <t>DOC-01875</t>
  </si>
  <si>
    <t>DOC-01880</t>
  </si>
  <si>
    <t>DOC-01917</t>
  </si>
  <si>
    <t>DOC-01935</t>
  </si>
  <si>
    <t>DOC-01941</t>
  </si>
  <si>
    <t>DOC-01478</t>
  </si>
  <si>
    <t>Accepted a new job offer</t>
  </si>
  <si>
    <t>DOC-01952</t>
  </si>
  <si>
    <t>High interest .. wants to start as a CO then eventually transfer to a CPO</t>
  </si>
  <si>
    <t>DOC-00820</t>
  </si>
  <si>
    <t>DOC-01946</t>
  </si>
  <si>
    <t>Full Outreach and Welcome Email sent</t>
  </si>
  <si>
    <t>DOC-01037</t>
  </si>
  <si>
    <t>DOC-01938</t>
  </si>
  <si>
    <t>DOC-01956</t>
  </si>
  <si>
    <t>DOC-01673</t>
  </si>
  <si>
    <t>DOC-01189</t>
  </si>
  <si>
    <t>DOC-01659</t>
  </si>
  <si>
    <t>DOC-00756</t>
  </si>
  <si>
    <t>Exam Month</t>
  </si>
  <si>
    <t>Exam Year</t>
  </si>
  <si>
    <t>Registration Status</t>
  </si>
  <si>
    <t>Exam Cycle Stage</t>
  </si>
  <si>
    <t xml:space="preserve">Exam outcome/ Status </t>
  </si>
  <si>
    <t xml:space="preserve">Action </t>
  </si>
  <si>
    <t xml:space="preserve">Recruiter Assessment </t>
  </si>
  <si>
    <t>DOC-01504</t>
  </si>
  <si>
    <t>February</t>
  </si>
  <si>
    <t>Moved to Eligible list</t>
  </si>
  <si>
    <t>DOC-01501</t>
  </si>
  <si>
    <t>Civil Service Exam (Day)</t>
  </si>
  <si>
    <t>TBD</t>
  </si>
  <si>
    <t>DOC-01299</t>
  </si>
  <si>
    <t>DOC-00522</t>
  </si>
  <si>
    <t>No Answer</t>
  </si>
  <si>
    <t>Low drop-off risk</t>
  </si>
  <si>
    <t>DOC-01422</t>
  </si>
  <si>
    <t>DOC-00070</t>
  </si>
  <si>
    <t>DOC-01391</t>
  </si>
  <si>
    <t>Needs additional follow-up</t>
  </si>
  <si>
    <t>DOC-00380</t>
  </si>
  <si>
    <t>November</t>
  </si>
  <si>
    <t>Passed</t>
  </si>
  <si>
    <t>DOC-01000</t>
  </si>
  <si>
    <t>Recived</t>
  </si>
  <si>
    <t>DOC-00525</t>
  </si>
  <si>
    <t>DOC-01371</t>
  </si>
  <si>
    <t>DOC-01431</t>
  </si>
  <si>
    <t>DOC-01493</t>
  </si>
  <si>
    <t>DOC-01490</t>
  </si>
  <si>
    <t>DOC-01235</t>
  </si>
  <si>
    <t>DOC-01488</t>
  </si>
  <si>
    <t>Voicemail</t>
  </si>
  <si>
    <t>DOC-01484</t>
  </si>
  <si>
    <t>DOC-01494</t>
  </si>
  <si>
    <t>DOC-01052</t>
  </si>
  <si>
    <t>DOC-01489</t>
  </si>
  <si>
    <t>DOC-01462</t>
  </si>
  <si>
    <t>DOC-01441</t>
  </si>
  <si>
    <t>DOC-00489</t>
  </si>
  <si>
    <t>DOC-01222</t>
  </si>
  <si>
    <t>DOC-01228</t>
  </si>
  <si>
    <t>DOC-01415</t>
  </si>
  <si>
    <t>June</t>
  </si>
  <si>
    <t>DOC-01367</t>
  </si>
  <si>
    <t>DOC-01463</t>
  </si>
  <si>
    <t>DOC-01464</t>
  </si>
  <si>
    <t>DOC-01467</t>
  </si>
  <si>
    <t>DOC-01452</t>
  </si>
  <si>
    <t>Moderate drop-off risk</t>
  </si>
  <si>
    <t>DOC-01440</t>
  </si>
  <si>
    <t>DOC-00205</t>
  </si>
  <si>
    <t>High drop-off risk</t>
  </si>
  <si>
    <t>DOC-01442</t>
  </si>
  <si>
    <t>DOC-01389</t>
  </si>
  <si>
    <t>DOC-01066</t>
  </si>
  <si>
    <t>DOC-01434</t>
  </si>
  <si>
    <t xml:space="preserve">Score released/ Not on Eligble list </t>
  </si>
  <si>
    <t>DOC-01246</t>
  </si>
  <si>
    <t>DOC-01426</t>
  </si>
  <si>
    <t>DOC-01411</t>
  </si>
  <si>
    <t>DOC-01156</t>
  </si>
  <si>
    <t>DOC-01405</t>
  </si>
  <si>
    <t>DOC-01420</t>
  </si>
  <si>
    <t>DOC-01406</t>
  </si>
  <si>
    <t>DOC-01221</t>
  </si>
  <si>
    <t>DOC-01015</t>
  </si>
  <si>
    <t>DOC-01332</t>
  </si>
  <si>
    <t>DOC-00999</t>
  </si>
  <si>
    <t>DOC-00078</t>
  </si>
  <si>
    <t>DOC-01317</t>
  </si>
  <si>
    <t>DOC-01345</t>
  </si>
  <si>
    <t>DOC-01349</t>
  </si>
  <si>
    <t>DOC-00160</t>
  </si>
  <si>
    <t>DOC-01369</t>
  </si>
  <si>
    <t>DOC-01400</t>
  </si>
  <si>
    <t>DOC-01397</t>
  </si>
  <si>
    <t>DOC-00101</t>
  </si>
  <si>
    <t>DOC-01528</t>
  </si>
  <si>
    <t>DOC-01216</t>
  </si>
  <si>
    <t>DOC-01200</t>
  </si>
  <si>
    <t>DOC-01170</t>
  </si>
  <si>
    <t>DOC-00952</t>
  </si>
  <si>
    <t>DOC-01211</t>
  </si>
  <si>
    <t>DOC-00796</t>
  </si>
  <si>
    <t>DOC-01128</t>
  </si>
  <si>
    <t>DOC-01201</t>
  </si>
  <si>
    <t>DOC-00021</t>
  </si>
  <si>
    <t>DOC-01145</t>
  </si>
  <si>
    <t>DOC-01286</t>
  </si>
  <si>
    <t>DOC-01281</t>
  </si>
  <si>
    <t>DOC-00572</t>
  </si>
  <si>
    <t>DOC-00968</t>
  </si>
  <si>
    <t>DOC-01240</t>
  </si>
  <si>
    <t>DOC-01041</t>
  </si>
  <si>
    <t>DOC-01056</t>
  </si>
  <si>
    <t>DOC-01090</t>
  </si>
  <si>
    <t>DOC-01092</t>
  </si>
  <si>
    <t>DOC-01095</t>
  </si>
  <si>
    <t>DOC-01102</t>
  </si>
  <si>
    <t>DOC-01127</t>
  </si>
  <si>
    <t>DOC-01125</t>
  </si>
  <si>
    <t>DOC-00495</t>
  </si>
  <si>
    <t>DOC-00856</t>
  </si>
  <si>
    <t>DOC-01141</t>
  </si>
  <si>
    <t>DOC-01016</t>
  </si>
  <si>
    <t>DOC-01184</t>
  </si>
  <si>
    <t>DOC-00424</t>
  </si>
  <si>
    <t>DOC-01191</t>
  </si>
  <si>
    <t>DOC-00231</t>
  </si>
  <si>
    <t>DOC-00320</t>
  </si>
  <si>
    <t>DOC-00249</t>
  </si>
  <si>
    <t>DOC-01030</t>
  </si>
  <si>
    <t>DOC-00096</t>
  </si>
  <si>
    <t>DOC-01195</t>
  </si>
  <si>
    <t>DOC-00097</t>
  </si>
  <si>
    <t>DOC-01223</t>
  </si>
  <si>
    <t>DOC-01181</t>
  </si>
  <si>
    <t>DOC-00095</t>
  </si>
  <si>
    <t>DOC-01167</t>
  </si>
  <si>
    <t>DOC-00092</t>
  </si>
  <si>
    <t>DOC-00089</t>
  </si>
  <si>
    <t>DOC-00057</t>
  </si>
  <si>
    <t>DOC-00059</t>
  </si>
  <si>
    <t>DOC-01057</t>
  </si>
  <si>
    <t>DOC-00329</t>
  </si>
  <si>
    <t>DOC-01049</t>
  </si>
  <si>
    <t>DOC-00037</t>
  </si>
  <si>
    <t>DOC-00022</t>
  </si>
  <si>
    <t>DOC-00031</t>
  </si>
  <si>
    <t>DOC-00867</t>
  </si>
  <si>
    <t>DOC-00106</t>
  </si>
  <si>
    <t>DOC-00038</t>
  </si>
  <si>
    <t>DOC-00130</t>
  </si>
  <si>
    <t>Score released/ Not on Eligble list</t>
  </si>
  <si>
    <t>DOC-00132</t>
  </si>
  <si>
    <t>DOC-00134</t>
  </si>
  <si>
    <t>DOC-00135</t>
  </si>
  <si>
    <t>DOC-00137</t>
  </si>
  <si>
    <t>DOC-00138</t>
  </si>
  <si>
    <t>DOC-00139</t>
  </si>
  <si>
    <t>DOC-00140</t>
  </si>
  <si>
    <t>DOC-00141</t>
  </si>
  <si>
    <t>DOC-00145</t>
  </si>
  <si>
    <t>DOC-00147</t>
  </si>
  <si>
    <t>DOC-00148</t>
  </si>
  <si>
    <t>Does not meet minimum requirements</t>
  </si>
  <si>
    <t>DOC-00149</t>
  </si>
  <si>
    <t>DOC-00150</t>
  </si>
  <si>
    <t>DOC-00161</t>
  </si>
  <si>
    <t>DOC-00162</t>
  </si>
  <si>
    <t>DOC-00163</t>
  </si>
  <si>
    <t>DOC-00164</t>
  </si>
  <si>
    <t>DOC-00165</t>
  </si>
  <si>
    <t>DOC-00166</t>
  </si>
  <si>
    <t>DOC-00167</t>
  </si>
  <si>
    <t>DOC-00168</t>
  </si>
  <si>
    <t>DOC-00169</t>
  </si>
  <si>
    <t>DOC-00170</t>
  </si>
  <si>
    <t>DOC-00171</t>
  </si>
  <si>
    <t>DOC-00172</t>
  </si>
  <si>
    <t>DOC-00173</t>
  </si>
  <si>
    <t>DOC-00174</t>
  </si>
  <si>
    <t>DOC-00176</t>
  </si>
  <si>
    <t>DOC-00177</t>
  </si>
  <si>
    <t>DOC-00178</t>
  </si>
  <si>
    <t>DOC-00179</t>
  </si>
  <si>
    <t>DOC-00180</t>
  </si>
  <si>
    <t>DOC-00181</t>
  </si>
  <si>
    <t>DOC-00182</t>
  </si>
  <si>
    <t>DOC-00183</t>
  </si>
  <si>
    <t>DOC-00184</t>
  </si>
  <si>
    <t>DOC-00185</t>
  </si>
  <si>
    <t>DOC-00186</t>
  </si>
  <si>
    <t>DOC-00187</t>
  </si>
  <si>
    <t>DOC-00188</t>
  </si>
  <si>
    <t>DOC-00189</t>
  </si>
  <si>
    <t>DOC-00191</t>
  </si>
  <si>
    <t>DOC-00192</t>
  </si>
  <si>
    <t>DOC-00193</t>
  </si>
  <si>
    <t>DOC-00194</t>
  </si>
  <si>
    <t>DOC-00195</t>
  </si>
  <si>
    <t>DOC-00197</t>
  </si>
  <si>
    <t>DOC-00198</t>
  </si>
  <si>
    <t>DOC-00199</t>
  </si>
  <si>
    <t xml:space="preserve">Text </t>
  </si>
  <si>
    <t>DOC-00200</t>
  </si>
  <si>
    <t>DOC-00201</t>
  </si>
  <si>
    <t>DOC-00202</t>
  </si>
  <si>
    <t>DOC-00203</t>
  </si>
  <si>
    <t>DOC-00204</t>
  </si>
  <si>
    <t>DOC-00206</t>
  </si>
  <si>
    <t>DOC-00207</t>
  </si>
  <si>
    <t>DOC-00208</t>
  </si>
  <si>
    <t>DOC-00209</t>
  </si>
  <si>
    <t>DOC-00210</t>
  </si>
  <si>
    <t>DOC-00211</t>
  </si>
  <si>
    <t>DOC-00212</t>
  </si>
  <si>
    <t>DOC-00213</t>
  </si>
  <si>
    <t>DOC-00214</t>
  </si>
  <si>
    <t>DOC-00215</t>
  </si>
  <si>
    <t>DOC-00216</t>
  </si>
  <si>
    <t>DOC-00218</t>
  </si>
  <si>
    <t>DOC-00219</t>
  </si>
  <si>
    <t>DOC-00220</t>
  </si>
  <si>
    <t>DOC-00223</t>
  </si>
  <si>
    <t>DOC-00224</t>
  </si>
  <si>
    <t>DOC-00225</t>
  </si>
  <si>
    <t>DOC-00226</t>
  </si>
  <si>
    <t>DOC-00227</t>
  </si>
  <si>
    <t>DOC-00228</t>
  </si>
  <si>
    <t>DOC-00229</t>
  </si>
  <si>
    <t>DOC-00230</t>
  </si>
  <si>
    <t>DOC-00232</t>
  </si>
  <si>
    <t>January</t>
  </si>
  <si>
    <t>March</t>
  </si>
  <si>
    <t>DOC-01802</t>
  </si>
  <si>
    <t>August</t>
  </si>
  <si>
    <t>DOC-01590</t>
  </si>
  <si>
    <t>DOC-01598</t>
  </si>
  <si>
    <t>DOC-01599</t>
  </si>
  <si>
    <t>DOC-01597</t>
  </si>
  <si>
    <t>DOC-01622</t>
  </si>
  <si>
    <t>May</t>
  </si>
  <si>
    <t>DOC-01626</t>
  </si>
  <si>
    <t>DOC-01628</t>
  </si>
  <si>
    <t>DOC-01627</t>
  </si>
  <si>
    <t>DOC-01630</t>
  </si>
  <si>
    <t>DOC-01634</t>
  </si>
  <si>
    <t>DOC-01633</t>
  </si>
  <si>
    <t>DOC-01640</t>
  </si>
  <si>
    <t>DOC-01646</t>
  </si>
  <si>
    <t>DOC-01642</t>
  </si>
  <si>
    <t>DOC-01638</t>
  </si>
  <si>
    <t>DOC-01639</t>
  </si>
  <si>
    <t>DOC-01581</t>
  </si>
  <si>
    <t>DOC-01645</t>
  </si>
  <si>
    <t>DOC-01652</t>
  </si>
  <si>
    <t>DOC-01650</t>
  </si>
  <si>
    <t>DOC-01651</t>
  </si>
  <si>
    <t>DOC-01656</t>
  </si>
  <si>
    <t>DOC-01657</t>
  </si>
  <si>
    <t>DOC-01654</t>
  </si>
  <si>
    <t>DOC-01670</t>
  </si>
  <si>
    <t>DOC-01668</t>
  </si>
  <si>
    <t>DOC-01669</t>
  </si>
  <si>
    <t>DOC-01667</t>
  </si>
  <si>
    <t>DOC-01660</t>
  </si>
  <si>
    <t>DOC-01675</t>
  </si>
  <si>
    <t>DOC-01674</t>
  </si>
  <si>
    <t>DOC-01676</t>
  </si>
  <si>
    <t>DOC-01671</t>
  </si>
  <si>
    <t>DOC-01683</t>
  </si>
  <si>
    <t>DOC-01680</t>
  </si>
  <si>
    <t>DOC-01678</t>
  </si>
  <si>
    <t>DOC-01681</t>
  </si>
  <si>
    <t>DOC-01682</t>
  </si>
  <si>
    <t>DOC-01685</t>
  </si>
  <si>
    <t>DOC-01696</t>
  </si>
  <si>
    <t>DOC-01694</t>
  </si>
  <si>
    <t>DOC-01695</t>
  </si>
  <si>
    <t>DOC-01700</t>
  </si>
  <si>
    <t>DOC-01702</t>
  </si>
  <si>
    <t>DOC-01708</t>
  </si>
  <si>
    <t>DOC-01698</t>
  </si>
  <si>
    <t>DOC-01703</t>
  </si>
  <si>
    <t>DOC-01704</t>
  </si>
  <si>
    <t>DOC-01809</t>
  </si>
  <si>
    <t>DOC-01810</t>
  </si>
  <si>
    <t>DOC-01713</t>
  </si>
  <si>
    <t>DOC-01714</t>
  </si>
  <si>
    <t>DOC-01716</t>
  </si>
  <si>
    <t>DOC-01718</t>
  </si>
  <si>
    <t>DOC-01719</t>
  </si>
  <si>
    <t>DOC-01811</t>
  </si>
  <si>
    <t>DOC-01715</t>
  </si>
  <si>
    <t>DOC-00318</t>
  </si>
  <si>
    <t>DOC-01572</t>
  </si>
  <si>
    <t>DOC-01724</t>
  </si>
  <si>
    <t>DOC-01726</t>
  </si>
  <si>
    <t>DOC-01720</t>
  </si>
  <si>
    <t>DOC-01725</t>
  </si>
  <si>
    <t>DOC-01731</t>
  </si>
  <si>
    <t>DOC-01729</t>
  </si>
  <si>
    <t>DOC-01738</t>
  </si>
  <si>
    <t>DOC-01730</t>
  </si>
  <si>
    <t>DOC-01735</t>
  </si>
  <si>
    <t>DOC-01739</t>
  </si>
  <si>
    <t>DOC-01733</t>
  </si>
  <si>
    <t>DOC-01742</t>
  </si>
  <si>
    <t>DOC-01746</t>
  </si>
  <si>
    <t>DOC-01749</t>
  </si>
  <si>
    <t>DOC-01753</t>
  </si>
  <si>
    <t>DOC-01803</t>
  </si>
  <si>
    <t>DOC-00661</t>
  </si>
  <si>
    <t>DOC-01756</t>
  </si>
  <si>
    <t>DOC-01755</t>
  </si>
  <si>
    <t>DOC-01757</t>
  </si>
  <si>
    <t>DOC-01758</t>
  </si>
  <si>
    <t>DOC-01761</t>
  </si>
  <si>
    <t>DOC-01765</t>
  </si>
  <si>
    <t>DOC-01812</t>
  </si>
  <si>
    <t>DOC-01664</t>
  </si>
  <si>
    <t>DOC-01774</t>
  </si>
  <si>
    <t>DOC-01784</t>
  </si>
  <si>
    <t>DOC-01785</t>
  </si>
  <si>
    <t>DOC-01786</t>
  </si>
  <si>
    <t>DOC-01574</t>
  </si>
  <si>
    <t>DOC-01782</t>
  </si>
  <si>
    <t>DOC-01776</t>
  </si>
  <si>
    <t>DOC-01790</t>
  </si>
  <si>
    <t>DOC-01791</t>
  </si>
  <si>
    <t>DOC-01789</t>
  </si>
  <si>
    <t>DOC-01794</t>
  </si>
  <si>
    <t>DOC-01813</t>
  </si>
  <si>
    <t>DOC-01567</t>
  </si>
  <si>
    <t>DOC-01797</t>
  </si>
  <si>
    <t>DOC-00233</t>
  </si>
  <si>
    <t>DOC-00234</t>
  </si>
  <si>
    <t>DOC-00235</t>
  </si>
  <si>
    <t>DOC-00236</t>
  </si>
  <si>
    <t>DOC-00237</t>
  </si>
  <si>
    <t>DOC-00238</t>
  </si>
  <si>
    <t>DOC-00239</t>
  </si>
  <si>
    <t>DOC-00241</t>
  </si>
  <si>
    <t>DOC-00242</t>
  </si>
  <si>
    <t>DOC-00243</t>
  </si>
  <si>
    <t>doc-01346</t>
  </si>
  <si>
    <t>Received</t>
  </si>
  <si>
    <t>DOC-00886</t>
  </si>
  <si>
    <t>Cianna</t>
  </si>
  <si>
    <t>DOC-00816</t>
  </si>
  <si>
    <t>DOC-00087</t>
  </si>
  <si>
    <t>DOC-01116</t>
  </si>
  <si>
    <t>DOC-00342</t>
  </si>
  <si>
    <t>DOC-01579</t>
  </si>
  <si>
    <t>DOC-01754</t>
  </si>
  <si>
    <t>DOC-01727</t>
  </si>
  <si>
    <t>DOC-01732</t>
  </si>
  <si>
    <t>DOC-01398</t>
  </si>
  <si>
    <t>DOC-01699</t>
  </si>
  <si>
    <t>DOC-01945</t>
  </si>
  <si>
    <t>DOC-01743</t>
  </si>
  <si>
    <t>DOC-01679</t>
  </si>
  <si>
    <t>DOC-01690</t>
  </si>
  <si>
    <t>DOC-01692</t>
  </si>
  <si>
    <t>DOC-01693</t>
  </si>
  <si>
    <t>DOC-00965</t>
  </si>
  <si>
    <t>DOC-01710</t>
  </si>
  <si>
    <t>DOC-01717</t>
  </si>
  <si>
    <t>DOC-01722</t>
  </si>
  <si>
    <t>DOC-01951</t>
  </si>
  <si>
    <t>DOC-00261</t>
  </si>
  <si>
    <t>DOC-01614</t>
  </si>
  <si>
    <t>DOC-01648</t>
  </si>
  <si>
    <t>DOC-01759</t>
  </si>
  <si>
    <t>DOC-01568</t>
  </si>
  <si>
    <t>DOC-01637</t>
  </si>
  <si>
    <t>DOC-01691</t>
  </si>
  <si>
    <t>DOC-01705</t>
  </si>
  <si>
    <t>DOC-00523</t>
  </si>
  <si>
    <t>DOC-00620</t>
  </si>
  <si>
    <t>DOC-01807</t>
  </si>
  <si>
    <t>DOC-01433</t>
  </si>
  <si>
    <t>DOC-01241</t>
  </si>
  <si>
    <t>DOC-01798</t>
  </si>
  <si>
    <t>DOC-01687</t>
  </si>
  <si>
    <t>DOC-01711</t>
  </si>
  <si>
    <t>DOC-01744</t>
  </si>
  <si>
    <t>DOC-01752</t>
  </si>
  <si>
    <t>DOC-01783</t>
  </si>
  <si>
    <t>DOC-01593</t>
  </si>
  <si>
    <t>DOC-01587</t>
  </si>
  <si>
    <t>DOC-00851</t>
  </si>
  <si>
    <t>DOC-01603</t>
  </si>
  <si>
    <t>DOC-01608</t>
  </si>
  <si>
    <t>DOC-01610</t>
  </si>
  <si>
    <t>DOC-01618</t>
  </si>
  <si>
    <t>DOC-01620</t>
  </si>
  <si>
    <t>DOC-01623</t>
  </si>
  <si>
    <t>DOC-01649</t>
  </si>
  <si>
    <t>DOC-01653</t>
  </si>
  <si>
    <t>DOC-01688</t>
  </si>
  <si>
    <t>DOC-01741</t>
  </si>
  <si>
    <t>DOC-01745</t>
  </si>
  <si>
    <t>DOC-01093</t>
  </si>
  <si>
    <t>DOC-01763</t>
  </si>
  <si>
    <t>DOC-01788</t>
  </si>
  <si>
    <t>DOC-01792</t>
  </si>
  <si>
    <t>DOC-01007</t>
  </si>
  <si>
    <t>DOC-01796</t>
  </si>
  <si>
    <t>DOC-00958</t>
  </si>
  <si>
    <t>DOC-00296</t>
  </si>
  <si>
    <t>DOC-00770</t>
  </si>
  <si>
    <t>DOC-00398</t>
  </si>
  <si>
    <t>DOC-01142</t>
  </si>
  <si>
    <t>DOC-00710</t>
  </si>
  <si>
    <t>DOC-00874</t>
  </si>
  <si>
    <t>DOC-00873</t>
  </si>
  <si>
    <t>DOC-01953</t>
  </si>
  <si>
    <t>DOC-00045</t>
  </si>
  <si>
    <t>DOC-00245</t>
  </si>
  <si>
    <t>DOC-00336</t>
  </si>
  <si>
    <t>DOC-00255</t>
  </si>
  <si>
    <t>DOC-00896</t>
  </si>
  <si>
    <t>DOC-01120</t>
  </si>
  <si>
    <t>DOC-01419</t>
  </si>
  <si>
    <t>DOC-00081</t>
  </si>
  <si>
    <t>DOC-00600</t>
  </si>
  <si>
    <t>DOC-00864</t>
  </si>
  <si>
    <t>DOC-00259</t>
  </si>
  <si>
    <t>DOC-00085</t>
  </si>
  <si>
    <t>DOC-00949</t>
  </si>
  <si>
    <t>DOC-00418</t>
  </si>
  <si>
    <t>DOC-00583</t>
  </si>
  <si>
    <t>DOC-00295</t>
  </si>
  <si>
    <t>DOC-01215</t>
  </si>
  <si>
    <t>DOC-00515</t>
  </si>
  <si>
    <t>DOC-01259</t>
  </si>
  <si>
    <t>DOC-01605</t>
  </si>
  <si>
    <t>DOC-01662</t>
  </si>
  <si>
    <t>DOC-01611</t>
  </si>
  <si>
    <t>DOC-01666</t>
  </si>
  <si>
    <t>DOC-01795</t>
  </si>
  <si>
    <t>DOC-01099</t>
  </si>
  <si>
    <t>DOC-01768</t>
  </si>
  <si>
    <t>Score</t>
  </si>
  <si>
    <t>Rank</t>
  </si>
  <si>
    <t>VeteranStatus</t>
  </si>
  <si>
    <t>Column1</t>
  </si>
  <si>
    <t>DOC-00627</t>
  </si>
  <si>
    <t>DOC-01621</t>
  </si>
  <si>
    <t>Exam outcome/ Status</t>
  </si>
  <si>
    <t xml:space="preserve">Outcome </t>
  </si>
  <si>
    <t>PT. Fitness test</t>
  </si>
  <si>
    <t>Background Check</t>
  </si>
  <si>
    <t>Drug test</t>
  </si>
  <si>
    <t>PsychStatus</t>
  </si>
  <si>
    <t>Onboarding Status</t>
  </si>
  <si>
    <t>Sent link</t>
  </si>
  <si>
    <t>Recruiter Outreach Email</t>
  </si>
  <si>
    <t>Pass</t>
  </si>
  <si>
    <t>Re-Engage</t>
  </si>
  <si>
    <t>Yes</t>
  </si>
  <si>
    <t>Fail</t>
  </si>
  <si>
    <t>No</t>
  </si>
  <si>
    <t>Onboarded</t>
  </si>
  <si>
    <t>No-Show</t>
  </si>
  <si>
    <t>Failed</t>
  </si>
  <si>
    <t>April</t>
  </si>
  <si>
    <t>Disqualified</t>
  </si>
  <si>
    <t>Career Showcase/ Inperson Event</t>
  </si>
  <si>
    <t>Informative</t>
  </si>
  <si>
    <t>Recommend for in-person event DOC</t>
  </si>
  <si>
    <t>Re-Engagement / Follow-Up</t>
  </si>
  <si>
    <t xml:space="preserve">In Academy </t>
  </si>
  <si>
    <t>Civil Service Exam link</t>
  </si>
  <si>
    <t>Unknown</t>
  </si>
  <si>
    <t>Do not Contact</t>
  </si>
  <si>
    <t>Community Partner</t>
  </si>
  <si>
    <t>I-9 form</t>
  </si>
  <si>
    <t>July</t>
  </si>
  <si>
    <t>Cycle 2- 1:1 call</t>
  </si>
  <si>
    <t>Follow Up</t>
  </si>
  <si>
    <t>September</t>
  </si>
  <si>
    <t>ARP (Academy Readiness Program) Phase 3</t>
  </si>
  <si>
    <t>Hung up Phone</t>
  </si>
  <si>
    <t>October</t>
  </si>
  <si>
    <t>In Person</t>
  </si>
  <si>
    <t>Tuesday Session</t>
  </si>
  <si>
    <t>Candidate was looking for information</t>
  </si>
  <si>
    <t>Flyer</t>
  </si>
  <si>
    <t>Thursday Session</t>
  </si>
  <si>
    <t>Fee Waiver</t>
  </si>
  <si>
    <t>December</t>
  </si>
  <si>
    <t>Civilian role</t>
  </si>
  <si>
    <t>Recruitment Survey Link</t>
  </si>
  <si>
    <t>Internship</t>
  </si>
  <si>
    <t>Career Showcase Flyer</t>
  </si>
  <si>
    <t>Showed up</t>
  </si>
  <si>
    <t>Showed Up</t>
  </si>
  <si>
    <t>Re-Scheduled/Military Make Up Date</t>
  </si>
  <si>
    <t>RTC Academy</t>
  </si>
  <si>
    <t>Disqualified from previous process</t>
  </si>
  <si>
    <t>OPT-Out</t>
  </si>
  <si>
    <t xml:space="preserve"> </t>
  </si>
  <si>
    <t xml:space="preserve">ARP (Acadmeny Reideness program ) Phase 3, </t>
  </si>
  <si>
    <t>Move to Exam Tracker</t>
  </si>
  <si>
    <t>Do not Contact/Future Outreach</t>
  </si>
  <si>
    <t>Pre scren InviteDate</t>
  </si>
  <si>
    <t>DOC-00001</t>
  </si>
  <si>
    <t>Candidates last Contacted 90+ days Ago</t>
  </si>
  <si>
    <t>Candidates last Contacted 
between 60 to 90 days ago</t>
  </si>
  <si>
    <t>Candidates last Contacted 
between 30 t0 60 days ago</t>
  </si>
  <si>
    <t>Cycle stage</t>
  </si>
  <si>
    <t>Days Since Last Log</t>
  </si>
  <si>
    <t>Days Since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</si>
</sst>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=9999999]###\-####;\(###\)\ ###\-####"/>
  </numFmts>
  <fonts count="5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Aptos"/>
      <family val="2"/>
    </font>
    <font>
      <sz val="12"/>
      <color rgb="FF000000"/>
      <name val="Aptos"/>
      <family val="2"/>
      <charset val="1"/>
    </font>
    <font>
      <sz val="11"/>
      <color rgb="FF000000"/>
      <name val="Aptos"/>
      <family val="2"/>
    </font>
    <font>
      <sz val="12"/>
      <color rgb="FF15232B"/>
      <name val="Aptos"/>
      <family val="2"/>
    </font>
    <font>
      <sz val="12"/>
      <color rgb="FF2D2D2D"/>
      <name val="Indeed Sans"/>
      <charset val="1"/>
    </font>
    <font>
      <sz val="11"/>
      <color rgb="FF000000"/>
      <name val="Calibri"/>
      <family val="2"/>
      <charset val="1"/>
    </font>
    <font>
      <sz val="12"/>
      <color rgb="FF000000"/>
      <name val="Aptos Display"/>
      <family val="2"/>
    </font>
    <font>
      <sz val="12"/>
      <color rgb="FF15232B"/>
      <name val="Aptos Display"/>
      <family val="2"/>
    </font>
    <font>
      <sz val="12"/>
      <color rgb="FF333333"/>
      <name val="Aptos Display"/>
      <family val="2"/>
    </font>
    <font>
      <sz val="12"/>
      <name val="Aptos Display"/>
      <family val="2"/>
    </font>
    <font>
      <sz val="12"/>
      <color rgb="FF595959"/>
      <name val="Noto Sans"/>
      <family val="2"/>
      <charset val="1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u/>
      <sz val="11"/>
      <color rgb="FF467886"/>
      <name val="Aptos Narrow"/>
      <family val="2"/>
    </font>
    <font>
      <u/>
      <sz val="11"/>
      <color rgb="FF156082"/>
      <name val="Aptos Narrow"/>
      <family val="2"/>
    </font>
    <font>
      <sz val="11"/>
      <color rgb="FF9C0006"/>
      <name val="Calibri"/>
      <family val="2"/>
    </font>
    <font>
      <u/>
      <sz val="11"/>
      <color rgb="FF0563C1"/>
      <name val="Calibri"/>
      <family val="2"/>
    </font>
    <font>
      <sz val="11"/>
      <color rgb="FF666666"/>
      <name val="Arial"/>
      <family val="2"/>
    </font>
    <font>
      <sz val="10"/>
      <color rgb="FF000000"/>
      <name val="Arial"/>
      <family val="2"/>
    </font>
    <font>
      <sz val="11"/>
      <color rgb="FF000000"/>
      <name val="Roboto"/>
    </font>
    <font>
      <sz val="11"/>
      <color rgb="FF000000"/>
      <name val="Arial"/>
      <family val="2"/>
    </font>
    <font>
      <sz val="12"/>
      <color theme="1"/>
      <name val="Aptos"/>
      <family val="2"/>
      <charset val="1"/>
    </font>
    <font>
      <sz val="12"/>
      <color rgb="FF15232B"/>
      <name val="Aptos"/>
      <family val="2"/>
      <charset val="1"/>
    </font>
    <font>
      <sz val="11"/>
      <color theme="1"/>
      <name val="Aptos"/>
      <family val="2"/>
    </font>
    <font>
      <sz val="11"/>
      <color theme="1"/>
      <name val="Times New Roman"/>
      <family val="1"/>
    </font>
    <font>
      <sz val="11"/>
      <color rgb="FF242424"/>
      <name val="Calibri"/>
      <family val="2"/>
    </font>
    <font>
      <sz val="11"/>
      <color theme="1"/>
      <name val="Calibri"/>
      <family val="2"/>
    </font>
    <font>
      <sz val="11"/>
      <color rgb="FF476788"/>
      <name val="Proxima Nova"/>
      <charset val="1"/>
    </font>
    <font>
      <sz val="11"/>
      <color rgb="FF15232B"/>
      <name val="Aptos Narrow"/>
      <family val="2"/>
      <scheme val="minor"/>
    </font>
    <font>
      <sz val="12"/>
      <color rgb="FF2D2D2D"/>
      <name val="Noto Sans"/>
      <family val="2"/>
    </font>
    <font>
      <sz val="9"/>
      <color rgb="FF000000"/>
      <name val="Helvetica"/>
      <charset val="1"/>
    </font>
    <font>
      <sz val="12"/>
      <color theme="1"/>
      <name val="Aptos"/>
      <family val="2"/>
    </font>
    <font>
      <sz val="11"/>
      <color rgb="FF000000"/>
      <name val="Segoe UI"/>
      <family val="2"/>
    </font>
    <font>
      <sz val="11.5"/>
      <color rgb="FF757575"/>
      <name val="Helvetica Neue"/>
      <family val="1"/>
      <charset val="1"/>
    </font>
    <font>
      <sz val="10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u/>
      <sz val="11"/>
      <color theme="10"/>
      <name val="Times New Roman"/>
      <family val="1"/>
    </font>
    <font>
      <u/>
      <sz val="11"/>
      <color theme="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charset val="1"/>
    </font>
    <font>
      <sz val="9"/>
      <color rgb="FF242424"/>
      <name val="Arial"/>
      <charset val="1"/>
    </font>
    <font>
      <sz val="11"/>
      <color rgb="FF000000"/>
      <name val="Aptos Narrow"/>
      <family val="2"/>
      <charset val="1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0E6F5"/>
        <bgColor rgb="FFC0E6F5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4EA72E"/>
      </left>
      <right style="thin">
        <color rgb="FF4EA72E"/>
      </right>
      <top style="thin">
        <color rgb="FF4EA72E"/>
      </top>
      <bottom style="thin">
        <color rgb="FF4EA72E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3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6" fillId="0" borderId="0" xfId="0" applyFont="1"/>
    <xf numFmtId="164" fontId="0" fillId="0" borderId="0" xfId="0" applyNumberFormat="1" applyAlignment="1">
      <alignment horizontal="left" vertical="top"/>
    </xf>
    <xf numFmtId="164" fontId="10" fillId="0" borderId="0" xfId="0" applyNumberFormat="1" applyFont="1" applyAlignment="1" applyProtection="1">
      <alignment horizontal="center" vertical="top"/>
      <protection locked="0"/>
    </xf>
    <xf numFmtId="0" fontId="10" fillId="0" borderId="0" xfId="0" applyFont="1" applyAlignment="1" applyProtection="1">
      <alignment vertical="top"/>
      <protection locked="0"/>
    </xf>
    <xf numFmtId="0" fontId="10" fillId="0" borderId="6" xfId="0" applyFont="1" applyBorder="1" applyAlignment="1" applyProtection="1">
      <alignment vertical="top"/>
      <protection locked="0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2" fillId="0" borderId="0" xfId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6" fillId="3" borderId="0" xfId="0" applyFont="1" applyFill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 applyFill="1" applyAlignment="1" applyProtection="1">
      <alignment horizontal="left" vertical="top"/>
      <protection locked="0"/>
    </xf>
    <xf numFmtId="0" fontId="2" fillId="0" borderId="0" xfId="1" applyFill="1" applyBorder="1" applyAlignment="1" applyProtection="1">
      <alignment horizontal="left" vertical="top"/>
      <protection locked="0"/>
    </xf>
    <xf numFmtId="14" fontId="0" fillId="0" borderId="0" xfId="0" applyNumberFormat="1" applyAlignment="1">
      <alignment horizontal="left"/>
    </xf>
    <xf numFmtId="22" fontId="10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14" fontId="10" fillId="0" borderId="5" xfId="0" applyNumberFormat="1" applyFont="1" applyBorder="1" applyAlignment="1" applyProtection="1">
      <alignment horizontal="left" vertical="top"/>
      <protection locked="0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0" fillId="0" borderId="0" xfId="0" applyFont="1" applyAlignment="1" applyProtection="1">
      <alignment horizontal="left" vertical="top"/>
      <protection locked="0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2" fillId="0" borderId="0" xfId="1" applyFill="1" applyBorder="1" applyAlignment="1">
      <alignment horizontal="left"/>
    </xf>
    <xf numFmtId="0" fontId="37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 wrapText="1" readingOrder="1"/>
    </xf>
    <xf numFmtId="0" fontId="44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8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0" fontId="45" fillId="0" borderId="0" xfId="0" applyFont="1" applyAlignment="1">
      <alignment horizontal="left"/>
    </xf>
    <xf numFmtId="49" fontId="10" fillId="0" borderId="0" xfId="0" applyNumberFormat="1" applyFont="1" applyAlignment="1" applyProtection="1">
      <alignment horizontal="left" vertical="top"/>
      <protection locked="0"/>
    </xf>
    <xf numFmtId="0" fontId="36" fillId="0" borderId="0" xfId="0" applyFont="1" applyAlignment="1">
      <alignment horizontal="left"/>
    </xf>
    <xf numFmtId="0" fontId="2" fillId="0" borderId="0" xfId="1" applyFill="1" applyBorder="1" applyAlignment="1">
      <alignment horizontal="left" vertical="top"/>
    </xf>
    <xf numFmtId="0" fontId="38" fillId="0" borderId="0" xfId="0" applyFont="1" applyAlignment="1">
      <alignment horizontal="left"/>
    </xf>
    <xf numFmtId="0" fontId="2" fillId="0" borderId="0" xfId="1" applyFill="1" applyBorder="1" applyAlignment="1">
      <alignment horizontal="left" wrapText="1"/>
    </xf>
    <xf numFmtId="0" fontId="47" fillId="0" borderId="0" xfId="1" applyFont="1" applyFill="1" applyBorder="1" applyAlignment="1">
      <alignment horizontal="left"/>
    </xf>
    <xf numFmtId="49" fontId="48" fillId="0" borderId="0" xfId="1" applyNumberFormat="1" applyFont="1" applyAlignment="1">
      <alignment horizontal="left"/>
    </xf>
    <xf numFmtId="49" fontId="48" fillId="0" borderId="0" xfId="1" applyNumberFormat="1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30" fillId="0" borderId="0" xfId="0" applyFont="1"/>
    <xf numFmtId="0" fontId="0" fillId="0" borderId="3" xfId="0" applyBorder="1"/>
    <xf numFmtId="0" fontId="46" fillId="5" borderId="8" xfId="0" applyFont="1" applyFill="1" applyBorder="1"/>
    <xf numFmtId="0" fontId="46" fillId="0" borderId="8" xfId="0" applyFont="1" applyBorder="1"/>
    <xf numFmtId="43" fontId="0" fillId="0" borderId="0" xfId="0" applyNumberFormat="1"/>
    <xf numFmtId="0" fontId="2" fillId="0" borderId="0" xfId="1" applyAlignment="1" applyProtection="1">
      <alignment horizontal="left" vertical="top"/>
      <protection locked="0"/>
    </xf>
    <xf numFmtId="0" fontId="2" fillId="0" borderId="0" xfId="1" applyBorder="1" applyAlignment="1" applyProtection="1">
      <alignment horizontal="left" vertical="top"/>
      <protection locked="0"/>
    </xf>
    <xf numFmtId="0" fontId="51" fillId="0" borderId="0" xfId="0" applyFont="1"/>
    <xf numFmtId="0" fontId="2" fillId="0" borderId="0" xfId="1"/>
    <xf numFmtId="0" fontId="52" fillId="0" borderId="0" xfId="0" applyFont="1" applyAlignment="1">
      <alignment horizontal="left"/>
    </xf>
    <xf numFmtId="0" fontId="52" fillId="0" borderId="0" xfId="0" applyFont="1"/>
    <xf numFmtId="0" fontId="8" fillId="0" borderId="7" xfId="0" applyFont="1" applyBorder="1" applyAlignment="1">
      <alignment horizontal="left"/>
    </xf>
    <xf numFmtId="0" fontId="24" fillId="0" borderId="0" xfId="0" applyFont="1"/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164" fontId="10" fillId="0" borderId="0" xfId="0" applyNumberFormat="1" applyFont="1" applyAlignment="1">
      <alignment horizontal="left" vertical="top"/>
    </xf>
    <xf numFmtId="0" fontId="35" fillId="0" borderId="0" xfId="0" applyFont="1" applyAlignment="1">
      <alignment horizontal="left"/>
    </xf>
    <xf numFmtId="0" fontId="35" fillId="0" borderId="0" xfId="0" applyFont="1"/>
    <xf numFmtId="164" fontId="10" fillId="0" borderId="0" xfId="0" applyNumberFormat="1" applyFont="1" applyAlignment="1" applyProtection="1">
      <alignment horizontal="left" vertical="top"/>
      <protection locked="0"/>
    </xf>
    <xf numFmtId="0" fontId="37" fillId="0" borderId="0" xfId="0" applyFont="1" applyAlignment="1">
      <alignment horizontal="left" vertical="top"/>
    </xf>
    <xf numFmtId="0" fontId="53" fillId="0" borderId="0" xfId="0" applyFont="1"/>
    <xf numFmtId="0" fontId="54" fillId="6" borderId="0" xfId="0" applyFont="1" applyFill="1" applyAlignment="1">
      <alignment wrapText="1"/>
    </xf>
    <xf numFmtId="0" fontId="2" fillId="6" borderId="0" xfId="1" applyFill="1" applyAlignment="1">
      <alignment wrapText="1"/>
    </xf>
    <xf numFmtId="0" fontId="2" fillId="0" borderId="0" xfId="1" applyBorder="1" applyAlignment="1"/>
    <xf numFmtId="0" fontId="2" fillId="0" borderId="0" xfId="1" applyFill="1" applyAlignment="1" applyProtection="1">
      <alignment vertical="top"/>
      <protection locked="0"/>
    </xf>
    <xf numFmtId="164" fontId="10" fillId="0" borderId="0" xfId="0" applyNumberFormat="1" applyFont="1" applyAlignment="1" applyProtection="1">
      <alignment vertical="top"/>
      <protection locked="0"/>
    </xf>
    <xf numFmtId="0" fontId="2" fillId="0" borderId="0" xfId="1" applyFill="1" applyBorder="1" applyAlignment="1" applyProtection="1">
      <alignment vertical="top"/>
      <protection locked="0"/>
    </xf>
    <xf numFmtId="0" fontId="2" fillId="0" borderId="0" xfId="1" applyAlignment="1"/>
    <xf numFmtId="49" fontId="48" fillId="0" borderId="0" xfId="1" applyNumberFormat="1" applyFont="1" applyAlignment="1"/>
    <xf numFmtId="49" fontId="10" fillId="0" borderId="0" xfId="0" applyNumberFormat="1" applyFont="1" applyAlignment="1" applyProtection="1">
      <alignment vertical="top"/>
      <protection locked="0"/>
    </xf>
    <xf numFmtId="49" fontId="2" fillId="0" borderId="0" xfId="1" applyNumberFormat="1" applyAlignment="1"/>
    <xf numFmtId="0" fontId="2" fillId="0" borderId="0" xfId="1" applyAlignment="1" applyProtection="1">
      <alignment vertical="top"/>
      <protection locked="0"/>
    </xf>
    <xf numFmtId="0" fontId="32" fillId="0" borderId="0" xfId="0" applyFont="1"/>
    <xf numFmtId="0" fontId="55" fillId="0" borderId="0" xfId="0" applyFont="1"/>
    <xf numFmtId="14" fontId="55" fillId="0" borderId="0" xfId="0" applyNumberFormat="1" applyFont="1" applyAlignment="1">
      <alignment horizontal="left"/>
    </xf>
    <xf numFmtId="0" fontId="55" fillId="0" borderId="0" xfId="0" applyFont="1" applyAlignment="1">
      <alignment horizontal="left"/>
    </xf>
    <xf numFmtId="0" fontId="55" fillId="7" borderId="0" xfId="0" applyFont="1" applyFill="1"/>
    <xf numFmtId="14" fontId="55" fillId="7" borderId="0" xfId="0" applyNumberFormat="1" applyFont="1" applyFill="1" applyAlignment="1">
      <alignment horizontal="left"/>
    </xf>
    <xf numFmtId="0" fontId="55" fillId="7" borderId="0" xfId="0" applyFont="1" applyFill="1" applyAlignment="1">
      <alignment horizontal="left"/>
    </xf>
    <xf numFmtId="0" fontId="2" fillId="7" borderId="0" xfId="1" applyFill="1" applyAlignment="1">
      <alignment horizontal="left"/>
    </xf>
    <xf numFmtId="49" fontId="0" fillId="0" borderId="0" xfId="0" applyNumberFormat="1" applyAlignment="1">
      <alignment horizontal="left"/>
    </xf>
    <xf numFmtId="0" fontId="56" fillId="0" borderId="0" xfId="0" applyFont="1"/>
    <xf numFmtId="0" fontId="2" fillId="8" borderId="9" xfId="1" applyFill="1" applyBorder="1" applyAlignment="1"/>
    <xf numFmtId="0" fontId="49" fillId="4" borderId="0" xfId="0" applyFont="1" applyFill="1" applyAlignment="1">
      <alignment horizontal="center"/>
    </xf>
    <xf numFmtId="0" fontId="49" fillId="4" borderId="6" xfId="0" applyFont="1" applyFill="1" applyBorder="1" applyAlignment="1">
      <alignment horizontal="center"/>
    </xf>
    <xf numFmtId="0" fontId="50" fillId="4" borderId="0" xfId="0" applyFont="1" applyFill="1" applyAlignment="1">
      <alignment horizontal="center" wrapText="1"/>
    </xf>
    <xf numFmtId="0" fontId="50" fillId="4" borderId="0" xfId="0" applyFont="1" applyFill="1" applyAlignment="1">
      <alignment horizontal="center"/>
    </xf>
    <xf numFmtId="0" fontId="50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3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protection locked="0" hidden="0"/>
    </dxf>
    <dxf>
      <alignment horizontal="left"/>
      <protection locked="0" hidden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 View" id="{FC5AAC0A-7687-4630-BE42-BAC4D57C2DBA}">
    <nsvFilter filterId="{9A2F4C7E-695B-4F2A-A782-232A2097422C}" ref="A1:L1957" tableId="2">
      <columnFilter colId="9" id="{3548CC69-EBCD-4C30-A88F-5EFF556BC19D}">
        <filter colId="9">
          <x:filters>
            <x:filter val="Austin Campos"/>
          </x:filters>
        </filter>
      </columnFilter>
    </nsvFilter>
  </namedSheetView>
  <namedSheetView name="Enrique View" id="{858CA183-30C0-4FEE-AE70-9A2F2A3CC2C1}">
    <nsvFilter filterId="{9A2F4C7E-695B-4F2A-A782-232A2097422C}" ref="A1:L1957" tableId="2">
      <columnFilter colId="9" id="{3548CC69-EBCD-4C30-A88F-5EFF556BC19D}">
        <filter colId="9">
          <x:filters>
            <x:filter val="Enrique Ortiz"/>
          </x:filters>
        </filter>
      </columnFilter>
    </nsvFilter>
  </namedSheetView>
  <namedSheetView name="Jevon View" id="{E5AF9BFA-853B-4CF3-BDEF-235CCDD33BB8}">
    <nsvFilter filterId="{9A2F4C7E-695B-4F2A-A782-232A2097422C}" ref="A1:L1957" tableId="2">
      <columnFilter colId="9" id="{3548CC69-EBCD-4C30-A88F-5EFF556BC19D}">
        <filter colId="9">
          <x:filters>
            <x:filter val="Jevon Brown Simpson"/>
          </x:filters>
        </filter>
      </columnFilter>
    </nsvFilter>
  </namedSheetView>
  <namedSheetView name="Moses View" id="{6A4A22EC-2DD3-4616-9AB6-FD41A62BEC32}">
    <nsvFilter filterId="{9A2F4C7E-695B-4F2A-A782-232A2097422C}" ref="A1:L1957" tableId="2">
      <columnFilter colId="9" id="{3548CC69-EBCD-4C30-A88F-5EFF556BC19D}">
        <filter colId="9">
          <x:filters>
            <x:filter val="Zenon Moses"/>
          </x:filters>
        </filter>
      </columnFilter>
    </nsvFilter>
  </namedSheetView>
  <namedSheetView name="Servello View" id="{301F7801-1E45-4783-8126-5C038C15E882}">
    <nsvFilter filterId="{9A2F4C7E-695B-4F2A-A782-232A2097422C}" ref="A1:L1957" tableId="2">
      <columnFilter colId="9" id="{3548CC69-EBCD-4C30-A88F-5EFF556BC19D}">
        <filter colId="9">
          <x:filters>
            <x:filter val="Christopher Servello"/>
          </x:filters>
        </filter>
      </columnFilter>
    </nsvFilter>
  </namedSheetView>
  <namedSheetView name="Tom View" id="{CD1E40B5-ABBB-4B2F-A9D7-2EF55C81B103}">
    <nsvFilter filterId="{9A2F4C7E-695B-4F2A-A782-232A2097422C}" ref="A1:L1957" tableId="2">
      <columnFilter colId="9" id="{3548CC69-EBCD-4C30-A88F-5EFF556BC19D}">
        <filter colId="9">
          <x:filters>
            <x:filter val="Tom Clark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2CA6E344-5BF4-4BE7-AD8D-CEB551C78167}">
    <nsvFilter filterId="{0AE88932-440B-45F2-8FA0-E926B1B620AB}" ref="A1:R515" tableId="4">
      <columnFilter colId="5" id="{75B98899-850B-4FF2-B31E-0E7543EC0BF7}">
        <filter colId="5">
          <x:filters>
            <x:filter val="Austin Campos"/>
          </x:filters>
        </filter>
      </columnFilter>
    </nsvFilter>
  </namedSheetView>
  <namedSheetView name="Enrique View" id="{6D54CCA2-4A59-4382-84F3-A830C9FAD030}">
    <nsvFilter filterId="{0AE88932-440B-45F2-8FA0-E926B1B620AB}" ref="A1:R515" tableId="4">
      <columnFilter colId="5" id="{75B98899-850B-4FF2-B31E-0E7543EC0BF7}">
        <filter colId="5">
          <x:filters>
            <x:filter val="Enrique Ortiz"/>
          </x:filters>
        </filter>
      </columnFilter>
    </nsvFilter>
  </namedSheetView>
  <namedSheetView name="Jevon View" id="{00107CDA-3066-48D3-BD56-533D196B3263}">
    <nsvFilter filterId="{0AE88932-440B-45F2-8FA0-E926B1B620AB}" ref="A1:R515" tableId="4">
      <columnFilter colId="5" id="{75B98899-850B-4FF2-B31E-0E7543EC0BF7}">
        <filter colId="5">
          <x:filters>
            <x:filter val="Jevon Brown Simpson"/>
          </x:filters>
        </filter>
      </columnFilter>
    </nsvFilter>
  </namedSheetView>
  <namedSheetView name="Moses View" id="{ADA11FAE-9C24-4E94-B702-702A059E1521}">
    <nsvFilter filterId="{0AE88932-440B-45F2-8FA0-E926B1B620AB}" ref="A1:R515" tableId="4">
      <columnFilter colId="5" id="{75B98899-850B-4FF2-B31E-0E7543EC0BF7}">
        <filter colId="5">
          <x:filters>
            <x:filter val="Zenon Moses"/>
          </x:filters>
        </filter>
      </columnFilter>
    </nsvFilter>
  </namedSheetView>
  <namedSheetView name="Servello View" id="{DC9AF25D-718E-4F32-970B-981E42ECDDB3}">
    <nsvFilter filterId="{0AE88932-440B-45F2-8FA0-E926B1B620AB}" ref="A1:R515" tableId="4">
      <columnFilter colId="5" id="{75B98899-850B-4FF2-B31E-0E7543EC0BF7}">
        <filter colId="5">
          <x:filters>
            <x:filter val="Christopher Servello"/>
          </x:filters>
        </filter>
      </columnFilter>
      <sortRules>
        <sortRule colId="8" id="{A262DCF2-6921-41E6-B6DB-5306AB196D79}">
          <sortCondition ref="I1:I515"/>
        </sortRule>
      </sortRules>
    </nsvFilter>
  </namedSheetView>
  <namedSheetView name="Tom View" id="{1CEEE7F2-1184-41B6-BB7F-F5AF8F706361}">
    <nsvFilter filterId="{0AE88932-440B-45F2-8FA0-E926B1B620AB}" ref="A1:R515" tableId="4">
      <columnFilter colId="5" id="{75B98899-850B-4FF2-B31E-0E7543EC0BF7}">
        <filter colId="5">
          <x:filters>
            <x:filter val="Tom Clark"/>
          </x:filters>
        </filter>
      </columnFilter>
    </nsvFilter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ustin's View" id="{EFF92B0E-A25B-4098-BDAE-3944E3F00577}">
    <nsvFilter filterId="{026B0208-1D0E-4487-BEB5-29A0659DA49C}" ref="A1:T491" tableId="1">
      <columnFilter colId="5" id="{A4C6606B-9480-4392-94CA-5ABD40D6AFDE}">
        <filter colId="5">
          <x:filters>
            <x:filter val="Austin Campos"/>
          </x:filters>
        </filter>
      </columnFilter>
    </nsvFilter>
  </namedSheetView>
  <namedSheetView name="Jevon View" id="{8604B7C3-8F9B-4C84-A467-46C72523ECB3}">
    <nsvFilter filterId="{026B0208-1D0E-4487-BEB5-29A0659DA49C}" ref="A1:T491" tableId="1">
      <columnFilter colId="5" id="{A4C6606B-9480-4392-94CA-5ABD40D6AFDE}">
        <filter colId="5">
          <x:filters>
            <x:filter val="Jevon Brown Simpson"/>
          </x:filters>
        </filter>
      </columnFilter>
      <columnFilter colId="7" id="{87598C0E-F037-47A7-B174-86AC12285FCD}">
        <filter colId="7">
          <x:filters>
            <x:filter val="February"/>
          </x:filters>
        </filter>
      </columnFilter>
    </nsvFilter>
  </namedSheetView>
  <namedSheetView name="Moses View" id="{784C769F-537B-4583-8B84-F58DE4AEC552}">
    <nsvFilter filterId="{026B0208-1D0E-4487-BEB5-29A0659DA49C}" ref="A1:T491" tableId="1">
      <columnFilter colId="5" id="{A4C6606B-9480-4392-94CA-5ABD40D6AFDE}">
        <filter colId="5">
          <x:filters>
            <x:filter val="Zenon Moses"/>
          </x:filters>
        </filter>
      </columnFilter>
    </nsvFilter>
  </namedSheetView>
  <namedSheetView name="Servello View" id="{31F2E0B8-4DC6-49B4-8B94-DFC10049CB19}">
    <nsvFilter filterId="{026B0208-1D0E-4487-BEB5-29A0659DA49C}" ref="A1:T491" tableId="1">
      <columnFilter colId="5" id="{A4C6606B-9480-4392-94CA-5ABD40D6AFDE}">
        <filter colId="5">
          <x:filters>
            <x:filter val="Christopher Servello"/>
          </x:filters>
        </filter>
      </columnFilter>
    </nsvFilter>
  </namedSheetView>
  <namedSheetView name="Tom View" id="{C624AB6B-890E-4F14-937A-E5004ECB3403}">
    <nsvFilter filterId="{026B0208-1D0E-4487-BEB5-29A0659DA49C}" ref="A1:T491" tableId="1">
      <columnFilter colId="5" id="{A4C6606B-9480-4392-94CA-5ABD40D6AFDE}">
        <filter colId="5">
          <x:filters>
            <x:filter val="Tom Clark"/>
          </x:filters>
        </filter>
      </columnFilter>
    </nsvFilter>
  </namedSheetView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DD3C1F63-4896-4B57-8B24-2BD54533D0AD}">
    <nsvFilter filterId="{2BD1CF0A-6A2C-4405-A35C-7A859190E370}" ref="A1:K206" tableId="3">
      <columnFilter colId="5" id="{EB43AF94-095C-4938-A6D0-D57F1102E101}">
        <filter colId="5">
          <x:filters>
            <x:filter val="Jevon Brown Simpson"/>
          </x:filters>
        </filter>
      </columnFilter>
    </nsvFilter>
  </namedSheetView>
  <namedSheetView name="Moses View" id="{EDDBFC69-D3E2-4B24-A129-38AFA6FEC1C4}">
    <nsvFilter filterId="{2BD1CF0A-6A2C-4405-A35C-7A859190E370}" ref="A1:K206" tableId="3">
      <columnFilter colId="5" id="{EB43AF94-095C-4938-A6D0-D57F1102E101}">
        <filter colId="5">
          <x:filters>
            <x:filter val="Zenon Moses"/>
          </x:filters>
        </filter>
      </columnFilter>
    </nsvFilter>
  </namedSheetView>
  <namedSheetView name="Tom View" id="{3912CA42-E5F9-417D-BFD1-B9EC51350FFB}">
    <nsvFilter filterId="{2BD1CF0A-6A2C-4405-A35C-7A859190E370}" ref="A1:K206" tableId="3">
      <columnFilter colId="5" id="{EB43AF94-095C-4938-A6D0-D57F1102E101}">
        <filter colId="5">
          <x:filters>
            <x:filter val="Tom Clark"/>
          </x:filters>
        </filter>
      </columnFilter>
    </nsvFilter>
  </namedSheetView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Jevon View" id="{528EB1C2-F44D-448B-9D12-9FB8A2048F72}">
    <nsvFilter filterId="{0E864792-5AC0-4019-9721-12AB11DF95BA}" ref="A1:M3" tableId="7">
      <columnFilter colId="5" id="{3E8531DB-854C-4007-838F-1DF8DF817EE9}">
        <filter colId="5">
          <x:filters>
            <x:filter val="Jevon Brown Simpson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F4C7E-695B-4F2A-A782-232A2097422C}" name="tblMaster" displayName="tblMaster" ref="A1:L1957" totalsRowShown="0">
  <autoFilter ref="A1:L1957" xr:uid="{9A2F4C7E-695B-4F2A-A782-232A2097422C}"/>
  <tableColumns count="12">
    <tableColumn id="1" xr3:uid="{176D701A-F296-4274-A716-098CAA6061EA}" name="Unique ID">
      <calculatedColumnFormula array="1">_xlfn.LET(_xlpm.e,L2,
IF(_xlpm.e="","",
"DOC-"&amp;TEXT(ROW()-ROW(tblMaster[#Headers]),"00000")
))</calculatedColumnFormula>
    </tableColumn>
    <tableColumn id="2" xr3:uid="{741F6373-55CB-4FD4-9C22-9EB2FBFA3CAF}" name="Submission Date" dataDxfId="92"/>
    <tableColumn id="3" xr3:uid="{D1980D2A-3DD8-42C4-83A7-B6C6E1393FC5}" name="First Name" dataDxfId="91"/>
    <tableColumn id="4" xr3:uid="{7EEDB567-4D5D-4F4F-94FE-DABFD376A406}" name="Last Name" dataDxfId="90"/>
    <tableColumn id="5" xr3:uid="{B4D2FF70-49A9-4F40-9062-7E244493E680}" name="Email" dataDxfId="89"/>
    <tableColumn id="6" xr3:uid="{F21370C5-69C7-4E50-BCD3-3C9523A07CCC}" name="Phone"/>
    <tableColumn id="7" xr3:uid="{6AC03793-9D9A-461D-99A7-11848AED880D}" name="City" dataDxfId="88"/>
    <tableColumn id="8" xr3:uid="{EEE65D37-91F9-4CE4-9D31-7772B65686B6}" name="State"/>
    <tableColumn id="9" xr3:uid="{54885526-8192-4E73-A596-24FAC5D8E9D3}" name="Source"/>
    <tableColumn id="10" xr3:uid="{3548CC69-EBCD-4C30-A88F-5EFF556BC19D}" name="Recruiter" dataDxfId="87"/>
    <tableColumn id="11" xr3:uid="{1334DE53-D349-40DF-BBFC-5B3BBDA8EB97}" name="Recruitment Cycle" dataDxfId="86"/>
    <tableColumn id="12" xr3:uid="{698681B6-DCDA-40A6-B407-61803A50813A}" name="Email_Clean">
      <calculatedColumnFormula>_xlfn.LET(_xlpm.x,E2,
_xlpm.y,TRIM(CLEAN(SUBSTITUTE(_xlpm.x,CHAR(160)," "))),
LOWER(_xlpm.y))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88932-440B-45F2-8FA0-E926B1B620AB}" name="tblLog" displayName="tblLog" ref="A1:R515" totalsRowShown="0" headerRowDxfId="85">
  <autoFilter ref="A1:R515" xr:uid="{0AE88932-440B-45F2-8FA0-E926B1B620AB}"/>
  <tableColumns count="18">
    <tableColumn id="1" xr3:uid="{DB340617-6757-4F6E-993E-09262AB1FE6D}" name="Unique ID"/>
    <tableColumn id="2" xr3:uid="{3B6586DE-AC4F-405D-8110-917C3443A02E}" name="First Name">
      <calculatedColumnFormula>IFERROR(_xlfn.XLOOKUP(tblLog[[#This Row],[Unique ID]], tblMaster[Unique ID], tblMaster[First Name], ""), "")</calculatedColumnFormula>
    </tableColumn>
    <tableColumn id="3" xr3:uid="{172319E9-36EC-4C90-BA63-4896253332E0}" name="Last Name">
      <calculatedColumnFormula>IFERROR(_xlfn.XLOOKUP(tblLog[[#This Row],[Unique ID]], tblMaster[Unique ID], tblMaster[Last Name], ""), "")</calculatedColumnFormula>
    </tableColumn>
    <tableColumn id="4" xr3:uid="{E924FD6F-837F-4F9B-94BB-F6B416BB7377}" name="Email">
      <calculatedColumnFormula>IFERROR(_xlfn.XLOOKUP(tblLog[[#This Row],[Unique ID]], tblMaster[Unique ID], tblMaster[Email_Clean], ""), "")</calculatedColumnFormula>
    </tableColumn>
    <tableColumn id="5" xr3:uid="{6CE9AEF3-E7E1-4328-887B-9C58E3A53C83}" name="Phone">
      <calculatedColumnFormula>IFERROR(_xlfn.XLOOKUP(tblLog[[#This Row],[Unique ID]], tblMaster[Unique ID], tblMaster[Phone], ""), "")</calculatedColumnFormula>
    </tableColumn>
    <tableColumn id="6" xr3:uid="{75B98899-850B-4FF2-B31E-0E7543EC0BF7}" name="Recruiter">
      <calculatedColumnFormula>IFERROR(_xlfn.XLOOKUP(tblLog[[#This Row],[Unique ID]], tblMaster[Unique ID], tblMaster[Recruiter], ""), "")</calculatedColumnFormula>
    </tableColumn>
    <tableColumn id="7" xr3:uid="{0F27FE8C-8B04-4A6B-B5AB-C3833B4DDA40}" name="Recruitment Cycle">
      <calculatedColumnFormula>IFERROR(_xlfn.XLOOKUP(tblLog[[#This Row],[Unique ID]], tblMaster[Unique ID], tblMaster[Recruitment Cycle], ""), "")</calculatedColumnFormula>
    </tableColumn>
    <tableColumn id="8" xr3:uid="{FF7D0FCB-815E-4685-B635-755C4349D5DB}" name="Cycle Stage"/>
    <tableColumn id="9" xr3:uid="{A262DCF2-6921-41E6-B6DB-5306AB196D79}" name="Action"/>
    <tableColumn id="12" xr3:uid="{B32703DB-5DE3-4F45-A2A9-C584B4998311}" name="# of actions" dataDxfId="84"/>
    <tableColumn id="10" xr3:uid="{D5F734B0-EB69-4BB4-A0D2-D760078DD6A7}" name="Outcome"/>
    <tableColumn id="11" xr3:uid="{BF379F79-B682-417E-B50E-880F89D1CF65}" name="Log Date"/>
    <tableColumn id="13" xr3:uid="{B4B4CE9A-5D74-4DE7-AF82-5C4503A44384}" name="Recruiter Assessment"/>
    <tableColumn id="14" xr3:uid="{5C1B06C0-E435-4119-9838-7C90864C6CCF}" name="Material Sent "/>
    <tableColumn id="15" xr3:uid="{B2371D0E-7958-40ED-9DCA-F0C8BADEBAD8}" name="Notes "/>
    <tableColumn id="16" xr3:uid="{C0CA8118-DBC9-457A-9CE3-BB6B8FD6FAEA}" name="Days_Since_Log" dataDxfId="83">
      <calculatedColumnFormula>IF(tblLog[[#This Row],[Log Date]]="","",TODAY()-tblLog[[#This Row],[Log Date]])</calculatedColumnFormula>
    </tableColumn>
    <tableColumn id="17" xr3:uid="{9B060836-055F-483C-AD51-E57108D9C177}" name="Eligible_For_Followup" dataDxfId="82">
      <calculatedColumnFormula>IF(tblLog[[#This Row],[Log Date]]="","",IF(TRIM(tblLog[[#This Row],[Cycle Stage]])="Asked to be removed from database","NO","YES"))</calculatedColumnFormula>
    </tableColumn>
    <tableColumn id="18" xr3:uid="{53186A3B-198A-42D4-810F-F486891E8B86}" name="Followup_Bucket" dataDxfId="81">
      <calculatedColumnFormula>IF(tblLog[[#This Row],[Eligible_For_Followup]]&lt;&gt;"YES","",
 IF(tblLog[[#This Row],[Days_Since_Log]]&gt;=90,"90+",
 IF(tblLog[[#This Row],[Days_Since_Log]]&gt;=60,"60-89",
 IF(tblLog[[#This Row],[Days_Since_Log]]&gt;=30,"30-59",""))))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B0208-1D0E-4487-BEB5-29A0659DA49C}" name="tabExam" displayName="tabExam" ref="A1:T491" totalsRowShown="0" headerRowDxfId="80" headerRowBorderDxfId="79" tableBorderDxfId="78">
  <autoFilter ref="A1:T491" xr:uid="{026B0208-1D0E-4487-BEB5-29A0659DA49C}"/>
  <tableColumns count="20">
    <tableColumn id="1" xr3:uid="{AA96D346-360A-4A5B-A720-4B46BBC0F0C0}" name="Unique ID"/>
    <tableColumn id="2" xr3:uid="{A5077E7D-9B4D-4274-9D0C-483947488680}" name="First Name">
      <calculatedColumnFormula>IFERROR(_xlfn.XLOOKUP(tabExam[[#This Row],[Unique ID]], tblMaster[Unique ID], tblMaster[First Name], ""), "")</calculatedColumnFormula>
    </tableColumn>
    <tableColumn id="3" xr3:uid="{542CDB09-7D26-4956-A278-BA22DC6DD91E}" name="Last Name">
      <calculatedColumnFormula>IFERROR(_xlfn.XLOOKUP(tabExam[[#This Row],[Unique ID]], tblMaster[Unique ID], tblMaster[Last Name], ""), "")</calculatedColumnFormula>
    </tableColumn>
    <tableColumn id="4" xr3:uid="{ACB18630-EFCE-43B8-A2FA-F751238CF237}" name="Email">
      <calculatedColumnFormula>IFERROR(_xlfn.XLOOKUP(tabExam[[#This Row],[Unique ID]], tblMaster[Unique ID], tblMaster[Email_Clean], ""), "")</calculatedColumnFormula>
    </tableColumn>
    <tableColumn id="5" xr3:uid="{5C45BB8E-509F-4B6F-83AD-E64D605B3767}" name="Phone">
      <calculatedColumnFormula>IFERROR(_xlfn.XLOOKUP(tabExam[[#This Row],[Unique ID]], tblMaster[Unique ID], tblMaster[Phone], ""), "")</calculatedColumnFormula>
    </tableColumn>
    <tableColumn id="6" xr3:uid="{A4C6606B-9480-4392-94CA-5ABD40D6AFDE}" name="Recruiter">
      <calculatedColumnFormula>IFERROR(_xlfn.XLOOKUP(tabExam[[#This Row],[Unique ID]], tblMaster[Unique ID], tblMaster[Recruiter], ""), "")</calculatedColumnFormula>
    </tableColumn>
    <tableColumn id="7" xr3:uid="{82243BB7-ACF6-4AC5-AD68-B5911A1C0010}" name="Recruitment Cycle">
      <calculatedColumnFormula>IFERROR(_xlfn.XLOOKUP(tabExam[[#This Row],[Unique ID]], tblMaster[Unique ID], tblMaster[Recruitment Cycle], ""), "")</calculatedColumnFormula>
    </tableColumn>
    <tableColumn id="8" xr3:uid="{87598C0E-F037-47A7-B174-86AC12285FCD}" name="Exam Month"/>
    <tableColumn id="9" xr3:uid="{1A48C973-FF18-4BB6-9FBD-3C70B4FA2C37}" name="Exam Year"/>
    <tableColumn id="10" xr3:uid="{A608EAC5-8689-4E1B-B90F-64ADDEECDA58}" name="Registration Status"/>
    <tableColumn id="11" xr3:uid="{1B62006E-984C-4722-893E-1337EA9156D2}" name="Exam Cycle Stage"/>
    <tableColumn id="12" xr3:uid="{11EF0E07-1603-4F56-B60B-8EF02BDB7FB3}" name="Exam outcome/ Status "/>
    <tableColumn id="13" xr3:uid="{70A081BA-A628-4CFA-9ADC-F5A3FA56828C}" name="Action "/>
    <tableColumn id="14" xr3:uid="{B4A1928E-F746-40A0-BFBB-522787E241D6}" name="Outcome"/>
    <tableColumn id="15" xr3:uid="{63930639-BEA2-4CB6-B99C-F8E2B2D66C32}" name="Log Date"/>
    <tableColumn id="16" xr3:uid="{77F31A0A-C35B-44B5-BB99-F75448458078}" name="Recruiter Assessment "/>
    <tableColumn id="17" xr3:uid="{AD2A7D62-8A5F-480B-9206-D90B42CB07F8}" name="Days_Since_Log" dataDxfId="77">
      <calculatedColumnFormula>IF(tabExam[[#This Row],[Log Date]]="","",TODAY()-tabExam[[#This Row],[Log Date]])</calculatedColumnFormula>
    </tableColumn>
    <tableColumn id="18" xr3:uid="{8E0CD35C-5B7E-4F75-ACC0-A1FA6D67BA63}" name="Eligible_For_Followup" dataDxfId="76">
      <calculatedColumnFormula>IF(tabExam[[#This Row],[Log Date]]="","",IF(TRIM(tabExam[[#This Row],[Exam Cycle Stage]])="Asked to be removed from database","NO","YES"))</calculatedColumnFormula>
    </tableColumn>
    <tableColumn id="19" xr3:uid="{311F4364-76E1-42E9-9CB5-A902563C2B7C}" name="Followup_Bucket" dataDxfId="75">
      <calculatedColumnFormula>IF(tabExam[[#This Row],[Eligible_For_Followup]]&lt;&gt;"YES","",
 IF(tabExam[[#This Row],[Days_Since_Log]]&gt;=90,"90+",
 IF(tabExam[[#This Row],[Days_Since_Log]]&gt;=60,"60-89",
 IF(tabExam[[#This Row],[Days_Since_Log]]&gt;=30,"30-59",""))))</calculatedColumnFormula>
    </tableColumn>
    <tableColumn id="20" xr3:uid="{E4003061-B06D-48E2-B3E7-77DD95600E9A}" name="Notes " dataDxfId="7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D1CF0A-6A2C-4405-A35C-7A859190E370}" name="lstEligible" displayName="lstEligible" ref="A1:K206" totalsRowShown="0" headerRowDxfId="73" headerRowBorderDxfId="72" tableBorderDxfId="71">
  <autoFilter ref="A1:K206" xr:uid="{2BD1CF0A-6A2C-4405-A35C-7A859190E370}"/>
  <tableColumns count="11">
    <tableColumn id="1" xr3:uid="{5503DBD6-0466-4591-BF1F-A0E54553348D}" name="Unique ID"/>
    <tableColumn id="2" xr3:uid="{D51796D3-873C-41CD-9587-C8B589475C16}" name="First Name">
      <calculatedColumnFormula>IFERROR(_xlfn.XLOOKUP(lstEligible[[#This Row],[Unique ID]], tblMaster[Unique ID], tblMaster[First Name], ""), "")</calculatedColumnFormula>
    </tableColumn>
    <tableColumn id="3" xr3:uid="{4BC1B6E3-3E77-4251-B293-6225D427817F}" name="Last Name">
      <calculatedColumnFormula>IFERROR(_xlfn.XLOOKUP(lstEligible[[#This Row],[Unique ID]], tblMaster[Unique ID], tblMaster[Last Name], ""), "")</calculatedColumnFormula>
    </tableColumn>
    <tableColumn id="4" xr3:uid="{69965107-85CA-4900-9616-94E19D38ED42}" name="Email">
      <calculatedColumnFormula>IFERROR(_xlfn.XLOOKUP(lstEligible[[#This Row],[Unique ID]], tblMaster[Unique ID], tblMaster[Email_Clean], ""), "")</calculatedColumnFormula>
    </tableColumn>
    <tableColumn id="5" xr3:uid="{2E9A7064-9406-447D-8F79-582A6D99B29E}" name="Phone">
      <calculatedColumnFormula>IFERROR(_xlfn.XLOOKUP(lstEligible[[#This Row],[Unique ID]], tblMaster[Unique ID], tblMaster[Phone], ""), "")</calculatedColumnFormula>
    </tableColumn>
    <tableColumn id="6" xr3:uid="{EB43AF94-095C-4938-A6D0-D57F1102E101}" name="Recruiter">
      <calculatedColumnFormula>IFERROR(_xlfn.XLOOKUP(lstEligible[[#This Row],[Unique ID]], tblMaster[Unique ID], tblMaster[Recruiter], ""), "")</calculatedColumnFormula>
    </tableColumn>
    <tableColumn id="7" xr3:uid="{A21B60C3-BD52-4DEC-889C-33C553049D15}" name="Recruitment Cycle">
      <calculatedColumnFormula>IFERROR(_xlfn.XLOOKUP(lstEligible[[#This Row],[Unique ID]], tblMaster[Unique ID], tblMaster[Recruitment Cycle], ""), "")</calculatedColumnFormula>
    </tableColumn>
    <tableColumn id="8" xr3:uid="{55339FC8-86E8-48A0-BE1F-044D25EA915E}" name="Score" dataDxfId="70"/>
    <tableColumn id="9" xr3:uid="{D3A6E8AA-34EF-4882-BF58-E5B5116A0CB3}" name="Rank" dataDxfId="69"/>
    <tableColumn id="10" xr3:uid="{032703C7-A360-4E68-BAED-6E3940FA3A96}" name="VeteranStatus"/>
    <tableColumn id="11" xr3:uid="{99619981-1BB9-4633-8EFB-E01C291D0FF7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4B9132-7882-44BF-8DED-98FB7EF2894C}" name="tblActionOutcome" displayName="tblActionOutcome" ref="K1:L109" totalsRowShown="0">
  <autoFilter ref="K1:L109" xr:uid="{5C4B9132-7882-44BF-8DED-98FB7EF2894C}"/>
  <tableColumns count="2">
    <tableColumn id="1" xr3:uid="{F7232120-6775-465C-86EB-BBCB1BA35237}" name="Cycle Stage" dataDxfId="68"/>
    <tableColumn id="2" xr3:uid="{35C30CFC-A5A1-4C63-9B69-1A0A9B977727}" name="Outcome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DF882D-1729-4EF8-8C3A-7B1CAD564D2B}" name="tblActionOutcome2" displayName="tblActionOutcome2" ref="S1:T33" totalsRowShown="0" headerRowDxfId="67">
  <autoFilter ref="S1:T33" xr:uid="{FBDF882D-1729-4EF8-8C3A-7B1CAD564D2B}"/>
  <tableColumns count="2">
    <tableColumn id="1" xr3:uid="{A3C20716-5718-4081-B315-3E7F026B214E}" name="Exam Cycle Stage"/>
    <tableColumn id="2" xr3:uid="{2265535F-E6B9-49E3-BCD9-FBCFADC97709}" name="Exam outcome/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864792-5AC0-4019-9721-12AB11DF95BA}" name="lstOnboarding" displayName="lstOnboarding" ref="A1:M3" totalsRowShown="0">
  <autoFilter ref="A1:M3" xr:uid="{0E864792-5AC0-4019-9721-12AB11DF95BA}"/>
  <tableColumns count="13">
    <tableColumn id="1" xr3:uid="{665AF08D-37D0-41F7-95C6-8F99FE0F0941}" name="Unique ID"/>
    <tableColumn id="2" xr3:uid="{3823559F-F8A6-42E0-886B-27FA7DA1B2B4}" name="First Name">
      <calculatedColumnFormula>IFERROR(_xlfn.XLOOKUP(lstOnboarding[[#This Row],[Unique ID]], tblMaster[Unique ID], tblMaster[First Name], ""), "")</calculatedColumnFormula>
    </tableColumn>
    <tableColumn id="3" xr3:uid="{7E9228B9-CA82-44AA-85C1-2B5A94E5844A}" name="Last Name">
      <calculatedColumnFormula>IFERROR(_xlfn.XLOOKUP(lstOnboarding[[#This Row],[Unique ID]], tblMaster[Unique ID], tblMaster[Last Name], ""), "")</calculatedColumnFormula>
    </tableColumn>
    <tableColumn id="4" xr3:uid="{D71EAA7A-3078-43A0-A841-747CB462206E}" name="Email">
      <calculatedColumnFormula>IFERROR(_xlfn.XLOOKUP(lstOnboarding[[#This Row],[Unique ID]], tblMaster[Unique ID], tblMaster[Email_Clean], ""), "")</calculatedColumnFormula>
    </tableColumn>
    <tableColumn id="5" xr3:uid="{7CAAFF3B-7C89-4A2F-BD93-FFACBEEFBEC1}" name="Phone">
      <calculatedColumnFormula>IFERROR(_xlfn.XLOOKUP(lstOnboarding[[#This Row],[Unique ID]], tblMaster[Unique ID], tblMaster[Phone], ""), "")</calculatedColumnFormula>
    </tableColumn>
    <tableColumn id="6" xr3:uid="{3E8531DB-854C-4007-838F-1DF8DF817EE9}" name="Recruiter">
      <calculatedColumnFormula>IFERROR(_xlfn.XLOOKUP(lstOnboarding[[#This Row],[Unique ID]], tblMaster[Unique ID], tblMaster[Recruiter], ""), "")</calculatedColumnFormula>
    </tableColumn>
    <tableColumn id="7" xr3:uid="{8D3507DA-CBE4-4B2F-8A50-E029D7CC7A0B}" name="Recruitment Cycle">
      <calculatedColumnFormula>IFERROR(_xlfn.XLOOKUP(lstOnboarding[[#This Row],[Unique ID]], tblMaster[Unique ID], tblMaster[Recruitment Cycle], ""), "")</calculatedColumnFormula>
    </tableColumn>
    <tableColumn id="8" xr3:uid="{D5F8410B-523F-4A58-A9E1-FA519EE77126}" name="Pre scren InviteDate"/>
    <tableColumn id="9" xr3:uid="{BED08350-0BC3-43F6-AD69-EA47403CB111}" name="PT. Fitness test"/>
    <tableColumn id="10" xr3:uid="{3BC334CC-58BB-4522-9045-AA2AFBC16500}" name="Background Check"/>
    <tableColumn id="11" xr3:uid="{EF23E013-2229-4F0F-84DD-970B42B3A04D}" name="Drug test"/>
    <tableColumn id="12" xr3:uid="{6022F559-11EF-4C9A-B113-8F8A4907F6E6}" name="PsychStatus"/>
    <tableColumn id="13" xr3:uid="{B6085D73-3CF5-478F-AF56-19FEC167012F}" name="Onboarding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carminmarchena25@gmail.com" TargetMode="External"/><Relationship Id="rId21" Type="http://schemas.openxmlformats.org/officeDocument/2006/relationships/hyperlink" Target="mailto:nabdeloughab61@gmail.com" TargetMode="External"/><Relationship Id="rId170" Type="http://schemas.openxmlformats.org/officeDocument/2006/relationships/hyperlink" Target="mailto:michaeljoyce42@yahoo.com" TargetMode="External"/><Relationship Id="rId268" Type="http://schemas.openxmlformats.org/officeDocument/2006/relationships/hyperlink" Target="mailto:Nanakaci@yahoo.com" TargetMode="External"/><Relationship Id="rId475" Type="http://schemas.openxmlformats.org/officeDocument/2006/relationships/hyperlink" Target="mailto:Ecenat2011@yahoo.com" TargetMode="External"/><Relationship Id="rId682" Type="http://schemas.openxmlformats.org/officeDocument/2006/relationships/hyperlink" Target="mailto:Gabrielaperlera19@icloud.com" TargetMode="External"/><Relationship Id="rId128" Type="http://schemas.openxmlformats.org/officeDocument/2006/relationships/hyperlink" Target="mailto:fritzner670@gmail.com" TargetMode="External"/><Relationship Id="rId335" Type="http://schemas.openxmlformats.org/officeDocument/2006/relationships/hyperlink" Target="mailto:Liliana.amado@myguardian.org" TargetMode="External"/><Relationship Id="rId542" Type="http://schemas.openxmlformats.org/officeDocument/2006/relationships/hyperlink" Target="mailto:joshcox1011@gmail.com" TargetMode="External"/><Relationship Id="rId987" Type="http://schemas.openxmlformats.org/officeDocument/2006/relationships/hyperlink" Target="mailto:Jackson.hernandez@nichols.edu" TargetMode="External"/><Relationship Id="rId1172" Type="http://schemas.openxmlformats.org/officeDocument/2006/relationships/hyperlink" Target="mailto:lawebb1515@gmail.com" TargetMode="External"/><Relationship Id="rId402" Type="http://schemas.openxmlformats.org/officeDocument/2006/relationships/hyperlink" Target="mailto:louiservena@yahoo.ca" TargetMode="External"/><Relationship Id="rId847" Type="http://schemas.openxmlformats.org/officeDocument/2006/relationships/hyperlink" Target="mailto:dominiquejean007@gmail.com" TargetMode="External"/><Relationship Id="rId1032" Type="http://schemas.openxmlformats.org/officeDocument/2006/relationships/hyperlink" Target="mailto:dmiller01.work@gmail.com" TargetMode="External"/><Relationship Id="rId1477" Type="http://schemas.openxmlformats.org/officeDocument/2006/relationships/hyperlink" Target="mailto:luisserrano72387@gmail.com" TargetMode="External"/><Relationship Id="rId1684" Type="http://schemas.openxmlformats.org/officeDocument/2006/relationships/hyperlink" Target="mailto:junemlemieux@gmail.com" TargetMode="External"/><Relationship Id="rId707" Type="http://schemas.openxmlformats.org/officeDocument/2006/relationships/hyperlink" Target="mailto:frankiec1124@gmail.com" TargetMode="External"/><Relationship Id="rId914" Type="http://schemas.openxmlformats.org/officeDocument/2006/relationships/hyperlink" Target="mailto:jackylandaverde62@icloud.com" TargetMode="External"/><Relationship Id="rId1337" Type="http://schemas.openxmlformats.org/officeDocument/2006/relationships/hyperlink" Target="mailto:steevejeanfrancois23@gmail.com" TargetMode="External"/><Relationship Id="rId1544" Type="http://schemas.openxmlformats.org/officeDocument/2006/relationships/hyperlink" Target="mailto:andrew_calvagno@yahoo.com" TargetMode="External"/><Relationship Id="rId1751" Type="http://schemas.openxmlformats.org/officeDocument/2006/relationships/hyperlink" Target="mailto:ssaquon617@icloud.com" TargetMode="External"/><Relationship Id="rId43" Type="http://schemas.openxmlformats.org/officeDocument/2006/relationships/hyperlink" Target="mailto:kinss1987@yahoo.com" TargetMode="External"/><Relationship Id="rId1404" Type="http://schemas.openxmlformats.org/officeDocument/2006/relationships/hyperlink" Target="mailto:alexhughes10253@icloud.com" TargetMode="External"/><Relationship Id="rId1611" Type="http://schemas.openxmlformats.org/officeDocument/2006/relationships/hyperlink" Target="mailto:ossephasaintfleur5@gmail.com" TargetMode="External"/><Relationship Id="rId192" Type="http://schemas.openxmlformats.org/officeDocument/2006/relationships/hyperlink" Target="mailto:ivonduku@gmail.com" TargetMode="External"/><Relationship Id="rId1709" Type="http://schemas.openxmlformats.org/officeDocument/2006/relationships/hyperlink" Target="mailto:ryan11maloney@gmail.com" TargetMode="External"/><Relationship Id="rId497" Type="http://schemas.openxmlformats.org/officeDocument/2006/relationships/hyperlink" Target="mailto:william.l4rgy@outlook.com" TargetMode="External"/><Relationship Id="rId357" Type="http://schemas.openxmlformats.org/officeDocument/2006/relationships/hyperlink" Target="mailto:ferdibirdi777@gmail.com" TargetMode="External"/><Relationship Id="rId1194" Type="http://schemas.openxmlformats.org/officeDocument/2006/relationships/hyperlink" Target="mailto:noel.rosado85@icloud.com" TargetMode="External"/><Relationship Id="rId217" Type="http://schemas.openxmlformats.org/officeDocument/2006/relationships/hyperlink" Target="mailto:sollorelizab@gmail.com" TargetMode="External"/><Relationship Id="rId564" Type="http://schemas.openxmlformats.org/officeDocument/2006/relationships/hyperlink" Target="mailto:aulgil0208@gmail.com" TargetMode="External"/><Relationship Id="rId771" Type="http://schemas.openxmlformats.org/officeDocument/2006/relationships/hyperlink" Target="mailto:zanka67@aol.com" TargetMode="External"/><Relationship Id="rId869" Type="http://schemas.openxmlformats.org/officeDocument/2006/relationships/hyperlink" Target="mailto:danielarmand77@live.com" TargetMode="External"/><Relationship Id="rId1499" Type="http://schemas.openxmlformats.org/officeDocument/2006/relationships/hyperlink" Target="mailto:Jillian1210@aol.com" TargetMode="External"/><Relationship Id="rId424" Type="http://schemas.openxmlformats.org/officeDocument/2006/relationships/hyperlink" Target="mailto:Flavorgh@yahoo.com" TargetMode="External"/><Relationship Id="rId631" Type="http://schemas.openxmlformats.org/officeDocument/2006/relationships/hyperlink" Target="mailto:elijahnganda87@gmail.com" TargetMode="External"/><Relationship Id="rId729" Type="http://schemas.openxmlformats.org/officeDocument/2006/relationships/hyperlink" Target="mailto:niecejaay@gmail.com" TargetMode="External"/><Relationship Id="rId1054" Type="http://schemas.openxmlformats.org/officeDocument/2006/relationships/hyperlink" Target="mailto:vrm1015@usnh.edu" TargetMode="External"/><Relationship Id="rId1261" Type="http://schemas.openxmlformats.org/officeDocument/2006/relationships/hyperlink" Target="mailto:shebby.lizzette@gmail.com" TargetMode="External"/><Relationship Id="rId1359" Type="http://schemas.openxmlformats.org/officeDocument/2006/relationships/hyperlink" Target="mailto:marcosf@bu.edu" TargetMode="External"/><Relationship Id="rId936" Type="http://schemas.openxmlformats.org/officeDocument/2006/relationships/hyperlink" Target="mailto:mohammedissahohio@gmail.com" TargetMode="External"/><Relationship Id="rId1121" Type="http://schemas.openxmlformats.org/officeDocument/2006/relationships/hyperlink" Target="mailto:Mlcolon2401@student.stcc.edu" TargetMode="External"/><Relationship Id="rId1219" Type="http://schemas.openxmlformats.org/officeDocument/2006/relationships/hyperlink" Target="mailto:moralesasher71@gmail.com" TargetMode="External"/><Relationship Id="rId1566" Type="http://schemas.openxmlformats.org/officeDocument/2006/relationships/hyperlink" Target="mailto:darlenehsrnandez944@gmail.com" TargetMode="External"/><Relationship Id="rId1773" Type="http://schemas.openxmlformats.org/officeDocument/2006/relationships/hyperlink" Target="mailto:kevynpersonal@gmail.com" TargetMode="External"/><Relationship Id="rId65" Type="http://schemas.openxmlformats.org/officeDocument/2006/relationships/hyperlink" Target="mailto:rcpickle88@gmail.com" TargetMode="External"/><Relationship Id="rId1426" Type="http://schemas.openxmlformats.org/officeDocument/2006/relationships/hyperlink" Target="mailto:forchue12@icloud.com" TargetMode="External"/><Relationship Id="rId1633" Type="http://schemas.openxmlformats.org/officeDocument/2006/relationships/hyperlink" Target="mailto:christian.smith41@yahoo.com" TargetMode="External"/><Relationship Id="rId1700" Type="http://schemas.openxmlformats.org/officeDocument/2006/relationships/hyperlink" Target="mailto:keniaguinto@yahoo.com" TargetMode="External"/><Relationship Id="rId281" Type="http://schemas.openxmlformats.org/officeDocument/2006/relationships/hyperlink" Target="mailto:monique_send@yahoo.com" TargetMode="External"/><Relationship Id="rId141" Type="http://schemas.openxmlformats.org/officeDocument/2006/relationships/hyperlink" Target="mailto:josephbotelho121576@icloud.com" TargetMode="External"/><Relationship Id="rId379" Type="http://schemas.openxmlformats.org/officeDocument/2006/relationships/hyperlink" Target="mailto:mnicolemurph@gmail.com" TargetMode="External"/><Relationship Id="rId586" Type="http://schemas.openxmlformats.org/officeDocument/2006/relationships/hyperlink" Target="mailto:brandongray@outlook.com" TargetMode="External"/><Relationship Id="rId793" Type="http://schemas.openxmlformats.org/officeDocument/2006/relationships/hyperlink" Target="mailto:ftoussaint303@gmail.com" TargetMode="External"/><Relationship Id="rId7" Type="http://schemas.openxmlformats.org/officeDocument/2006/relationships/hyperlink" Target="mailto:Fernandezrandy879@gmail.com" TargetMode="External"/><Relationship Id="rId239" Type="http://schemas.openxmlformats.org/officeDocument/2006/relationships/hyperlink" Target="mailto:arsenaultshawn287@gmail.com" TargetMode="External"/><Relationship Id="rId446" Type="http://schemas.openxmlformats.org/officeDocument/2006/relationships/hyperlink" Target="mailto:bradf333@outlook.com" TargetMode="External"/><Relationship Id="rId653" Type="http://schemas.openxmlformats.org/officeDocument/2006/relationships/hyperlink" Target="mailto:penttilab@gmail.com" TargetMode="External"/><Relationship Id="rId1076" Type="http://schemas.openxmlformats.org/officeDocument/2006/relationships/hyperlink" Target="mailto:Mdiaz52419@gmail.com" TargetMode="External"/><Relationship Id="rId1283" Type="http://schemas.openxmlformats.org/officeDocument/2006/relationships/hyperlink" Target="mailto:gumenitatjana@yahoo.com" TargetMode="External"/><Relationship Id="rId1490" Type="http://schemas.openxmlformats.org/officeDocument/2006/relationships/hyperlink" Target="mailto:bjpendergast35@yahoo.com" TargetMode="External"/><Relationship Id="rId306" Type="http://schemas.openxmlformats.org/officeDocument/2006/relationships/hyperlink" Target="mailto:alexandretheodore5@gmail.com" TargetMode="External"/><Relationship Id="rId860" Type="http://schemas.openxmlformats.org/officeDocument/2006/relationships/hyperlink" Target="mailto:ibsoncity@gmail.com" TargetMode="External"/><Relationship Id="rId958" Type="http://schemas.openxmlformats.org/officeDocument/2006/relationships/hyperlink" Target="mailto:jaythanlauture@gmail.com" TargetMode="External"/><Relationship Id="rId1143" Type="http://schemas.openxmlformats.org/officeDocument/2006/relationships/hyperlink" Target="mailto:jonbosco25@gmail.com" TargetMode="External"/><Relationship Id="rId1588" Type="http://schemas.openxmlformats.org/officeDocument/2006/relationships/hyperlink" Target="mailto:kgp553@gmail.com" TargetMode="External"/><Relationship Id="rId1795" Type="http://schemas.openxmlformats.org/officeDocument/2006/relationships/hyperlink" Target="mailto:johnmcgrail614@gmail.com" TargetMode="External"/><Relationship Id="rId87" Type="http://schemas.openxmlformats.org/officeDocument/2006/relationships/hyperlink" Target="mailto:douglasab1@yahoo.com" TargetMode="External"/><Relationship Id="rId513" Type="http://schemas.openxmlformats.org/officeDocument/2006/relationships/hyperlink" Target="mailto:ninawells23@icloud.com" TargetMode="External"/><Relationship Id="rId720" Type="http://schemas.openxmlformats.org/officeDocument/2006/relationships/hyperlink" Target="mailto:saraijatnael2323@gmail.com" TargetMode="External"/><Relationship Id="rId818" Type="http://schemas.openxmlformats.org/officeDocument/2006/relationships/hyperlink" Target="mailto:Christelle341@gmail.com" TargetMode="External"/><Relationship Id="rId1350" Type="http://schemas.openxmlformats.org/officeDocument/2006/relationships/hyperlink" Target="mailto:ahmedaadan389@gmail.com" TargetMode="External"/><Relationship Id="rId1448" Type="http://schemas.openxmlformats.org/officeDocument/2006/relationships/hyperlink" Target="mailto:darlene19hernandez@icloud.com" TargetMode="External"/><Relationship Id="rId1655" Type="http://schemas.openxmlformats.org/officeDocument/2006/relationships/hyperlink" Target="mailto:p_paulausa@hotmail.com" TargetMode="External"/><Relationship Id="rId1003" Type="http://schemas.openxmlformats.org/officeDocument/2006/relationships/hyperlink" Target="mailto:Stevenson.cantave@yahoo.com" TargetMode="External"/><Relationship Id="rId1210" Type="http://schemas.openxmlformats.org/officeDocument/2006/relationships/hyperlink" Target="mailto:mhcorliss@gmail.com" TargetMode="External"/><Relationship Id="rId1308" Type="http://schemas.openxmlformats.org/officeDocument/2006/relationships/hyperlink" Target="mailto:bob.macneil08@gmail.com" TargetMode="External"/><Relationship Id="rId1515" Type="http://schemas.openxmlformats.org/officeDocument/2006/relationships/hyperlink" Target="mailto:sdasilva0228@gmail.com" TargetMode="External"/><Relationship Id="rId1722" Type="http://schemas.openxmlformats.org/officeDocument/2006/relationships/hyperlink" Target="mailto:hbaez6746@gmail.com" TargetMode="External"/><Relationship Id="rId14" Type="http://schemas.openxmlformats.org/officeDocument/2006/relationships/hyperlink" Target="mailto:Jessicalafleur42082@gmail.com" TargetMode="External"/><Relationship Id="rId163" Type="http://schemas.openxmlformats.org/officeDocument/2006/relationships/hyperlink" Target="mailto:awol5669@gmail.com" TargetMode="External"/><Relationship Id="rId370" Type="http://schemas.openxmlformats.org/officeDocument/2006/relationships/hyperlink" Target="mailto:philodorlove@yahoo.com" TargetMode="External"/><Relationship Id="rId230" Type="http://schemas.openxmlformats.org/officeDocument/2006/relationships/hyperlink" Target="mailto:jose.rosa1979@yahoo.com" TargetMode="External"/><Relationship Id="rId468" Type="http://schemas.openxmlformats.org/officeDocument/2006/relationships/hyperlink" Target="mailto:jarviskoundong@yahoo.com" TargetMode="External"/><Relationship Id="rId675" Type="http://schemas.openxmlformats.org/officeDocument/2006/relationships/hyperlink" Target="mailto:sarahrathburn@hotmail.com" TargetMode="External"/><Relationship Id="rId882" Type="http://schemas.openxmlformats.org/officeDocument/2006/relationships/hyperlink" Target="mailto:loudrictabu@gmail.com" TargetMode="External"/><Relationship Id="rId1098" Type="http://schemas.openxmlformats.org/officeDocument/2006/relationships/hyperlink" Target="mailto:Louisjurgenson22@gmail.com" TargetMode="External"/><Relationship Id="rId328" Type="http://schemas.openxmlformats.org/officeDocument/2006/relationships/hyperlink" Target="mailto:wheresgreg82@gmail.com" TargetMode="External"/><Relationship Id="rId535" Type="http://schemas.openxmlformats.org/officeDocument/2006/relationships/hyperlink" Target="mailto:etortorici98@gmail.com" TargetMode="External"/><Relationship Id="rId742" Type="http://schemas.openxmlformats.org/officeDocument/2006/relationships/hyperlink" Target="mailto:Lorenzo416@Outlook.com" TargetMode="External"/><Relationship Id="rId1165" Type="http://schemas.openxmlformats.org/officeDocument/2006/relationships/hyperlink" Target="mailto:williamson4590@gmail.com" TargetMode="External"/><Relationship Id="rId1372" Type="http://schemas.openxmlformats.org/officeDocument/2006/relationships/hyperlink" Target="mailto:rosaniac68@gmail.com" TargetMode="External"/><Relationship Id="rId602" Type="http://schemas.openxmlformats.org/officeDocument/2006/relationships/hyperlink" Target="mailto:raulgil0208@gmail.com" TargetMode="External"/><Relationship Id="rId1025" Type="http://schemas.openxmlformats.org/officeDocument/2006/relationships/hyperlink" Target="mailto:amps0104@gmail.com" TargetMode="External"/><Relationship Id="rId1232" Type="http://schemas.openxmlformats.org/officeDocument/2006/relationships/hyperlink" Target="mailto:eantwi@loandepot.com" TargetMode="External"/><Relationship Id="rId1677" Type="http://schemas.openxmlformats.org/officeDocument/2006/relationships/hyperlink" Target="mailto:kelyssama2@gmail.com" TargetMode="External"/><Relationship Id="rId907" Type="http://schemas.openxmlformats.org/officeDocument/2006/relationships/hyperlink" Target="mailto:mikesputo@icloud.com" TargetMode="External"/><Relationship Id="rId1537" Type="http://schemas.openxmlformats.org/officeDocument/2006/relationships/hyperlink" Target="mailto:bahmo278@gmail.com" TargetMode="External"/><Relationship Id="rId1744" Type="http://schemas.openxmlformats.org/officeDocument/2006/relationships/hyperlink" Target="mailto:kathleenlgomes@gmail.com" TargetMode="External"/><Relationship Id="rId36" Type="http://schemas.openxmlformats.org/officeDocument/2006/relationships/hyperlink" Target="mailto:giannson@gmail.com" TargetMode="External"/><Relationship Id="rId1604" Type="http://schemas.openxmlformats.org/officeDocument/2006/relationships/hyperlink" Target="mailto:wangjyu2016@gmail.com" TargetMode="External"/><Relationship Id="rId185" Type="http://schemas.openxmlformats.org/officeDocument/2006/relationships/hyperlink" Target="mailto:topmen34@outlook.com" TargetMode="External"/><Relationship Id="rId1811" Type="http://schemas.openxmlformats.org/officeDocument/2006/relationships/hyperlink" Target="mailto:rodriguezanjealis9@gmail.com" TargetMode="External"/><Relationship Id="rId392" Type="http://schemas.openxmlformats.org/officeDocument/2006/relationships/hyperlink" Target="mailto:jocelynbrooks123@yahoo.com" TargetMode="External"/><Relationship Id="rId697" Type="http://schemas.openxmlformats.org/officeDocument/2006/relationships/hyperlink" Target="mailto:casey0852017@gmail.com" TargetMode="External"/><Relationship Id="rId252" Type="http://schemas.openxmlformats.org/officeDocument/2006/relationships/hyperlink" Target="mailto:wildingdante12@icloud.com" TargetMode="External"/><Relationship Id="rId1187" Type="http://schemas.openxmlformats.org/officeDocument/2006/relationships/hyperlink" Target="mailto:elijrolle@gmail.com" TargetMode="External"/><Relationship Id="rId112" Type="http://schemas.openxmlformats.org/officeDocument/2006/relationships/hyperlink" Target="mailto:shoulders508@gmail.com" TargetMode="External"/><Relationship Id="rId557" Type="http://schemas.openxmlformats.org/officeDocument/2006/relationships/hyperlink" Target="mailto:Miajuliet1902@gmail.com" TargetMode="External"/><Relationship Id="rId764" Type="http://schemas.openxmlformats.org/officeDocument/2006/relationships/hyperlink" Target="mailto:hollymm1986@gmail.com" TargetMode="External"/><Relationship Id="rId971" Type="http://schemas.openxmlformats.org/officeDocument/2006/relationships/hyperlink" Target="mailto:sfatiwala786@gmail.com" TargetMode="External"/><Relationship Id="rId1394" Type="http://schemas.openxmlformats.org/officeDocument/2006/relationships/hyperlink" Target="mailto:%09jaysonfrazer1998@gmail.com" TargetMode="External"/><Relationship Id="rId1699" Type="http://schemas.openxmlformats.org/officeDocument/2006/relationships/hyperlink" Target="mailto:tibmarc16@gmail.com" TargetMode="External"/><Relationship Id="rId417" Type="http://schemas.openxmlformats.org/officeDocument/2006/relationships/hyperlink" Target="mailto:Jovenelpierre7@gmail.com" TargetMode="External"/><Relationship Id="rId624" Type="http://schemas.openxmlformats.org/officeDocument/2006/relationships/hyperlink" Target="mailto:nwradcliffe10@gmail.com" TargetMode="External"/><Relationship Id="rId831" Type="http://schemas.openxmlformats.org/officeDocument/2006/relationships/hyperlink" Target="mailto:cinthiasuastegui30@gmail.com" TargetMode="External"/><Relationship Id="rId1047" Type="http://schemas.openxmlformats.org/officeDocument/2006/relationships/hyperlink" Target="mailto:ochijeoliver646@gmail.com" TargetMode="External"/><Relationship Id="rId1254" Type="http://schemas.openxmlformats.org/officeDocument/2006/relationships/hyperlink" Target="mailto:latasia.mclendon321@gmail.com" TargetMode="External"/><Relationship Id="rId1461" Type="http://schemas.openxmlformats.org/officeDocument/2006/relationships/hyperlink" Target="mailto:joserivera980000@gmail.com" TargetMode="External"/><Relationship Id="rId929" Type="http://schemas.openxmlformats.org/officeDocument/2006/relationships/hyperlink" Target="mailto:shamaragrate22@gmail.com" TargetMode="External"/><Relationship Id="rId1114" Type="http://schemas.openxmlformats.org/officeDocument/2006/relationships/hyperlink" Target="mailto:lawrencesulonteh@gmail.com" TargetMode="External"/><Relationship Id="rId1321" Type="http://schemas.openxmlformats.org/officeDocument/2006/relationships/hyperlink" Target="mailto:aaroncribb@hotmail.com" TargetMode="External"/><Relationship Id="rId1559" Type="http://schemas.openxmlformats.org/officeDocument/2006/relationships/hyperlink" Target="mailto:maeml17@aol.com" TargetMode="External"/><Relationship Id="rId1766" Type="http://schemas.openxmlformats.org/officeDocument/2006/relationships/hyperlink" Target="mailto:hanscarddormues@gmail.com" TargetMode="External"/><Relationship Id="rId58" Type="http://schemas.openxmlformats.org/officeDocument/2006/relationships/hyperlink" Target="mailto:shawngrover11629@gmail.com" TargetMode="External"/><Relationship Id="rId1419" Type="http://schemas.openxmlformats.org/officeDocument/2006/relationships/hyperlink" Target="mailto:dkmeitamei@gmail.com" TargetMode="External"/><Relationship Id="rId1626" Type="http://schemas.openxmlformats.org/officeDocument/2006/relationships/hyperlink" Target="mailto:jaethen1@icloud.com" TargetMode="External"/><Relationship Id="rId274" Type="http://schemas.openxmlformats.org/officeDocument/2006/relationships/hyperlink" Target="mailto:Katdeluny19@gmail.com" TargetMode="External"/><Relationship Id="rId481" Type="http://schemas.openxmlformats.org/officeDocument/2006/relationships/hyperlink" Target="mailto:rudyorozco51@gmail.com" TargetMode="External"/><Relationship Id="rId134" Type="http://schemas.openxmlformats.org/officeDocument/2006/relationships/hyperlink" Target="mailto:yulissavittini@hotmail.com" TargetMode="External"/><Relationship Id="rId579" Type="http://schemas.openxmlformats.org/officeDocument/2006/relationships/hyperlink" Target="mailto:shebby.lizzette@gmail.com" TargetMode="External"/><Relationship Id="rId786" Type="http://schemas.openxmlformats.org/officeDocument/2006/relationships/hyperlink" Target="mailto:Lentz785@gmail.com" TargetMode="External"/><Relationship Id="rId993" Type="http://schemas.openxmlformats.org/officeDocument/2006/relationships/hyperlink" Target="mailto:Tposusky@gmail.com" TargetMode="External"/><Relationship Id="rId341" Type="http://schemas.openxmlformats.org/officeDocument/2006/relationships/hyperlink" Target="mailto:seif_elsheikh12@icloud.com" TargetMode="External"/><Relationship Id="rId439" Type="http://schemas.openxmlformats.org/officeDocument/2006/relationships/hyperlink" Target="mailto:sw081598@gmail.com" TargetMode="External"/><Relationship Id="rId646" Type="http://schemas.openxmlformats.org/officeDocument/2006/relationships/hyperlink" Target="mailto:travonwilliams0248@gmail.com" TargetMode="External"/><Relationship Id="rId1069" Type="http://schemas.openxmlformats.org/officeDocument/2006/relationships/hyperlink" Target="mailto:thayden1720@yahoo.com" TargetMode="External"/><Relationship Id="rId1276" Type="http://schemas.openxmlformats.org/officeDocument/2006/relationships/hyperlink" Target="mailto:Shaquillethomas95@gmail.com" TargetMode="External"/><Relationship Id="rId1483" Type="http://schemas.openxmlformats.org/officeDocument/2006/relationships/hyperlink" Target="mailto:cole.pirelli@outlook.com" TargetMode="External"/><Relationship Id="rId201" Type="http://schemas.openxmlformats.org/officeDocument/2006/relationships/hyperlink" Target="mailto:ggoppong@gmail.com" TargetMode="External"/><Relationship Id="rId506" Type="http://schemas.openxmlformats.org/officeDocument/2006/relationships/hyperlink" Target="mailto:johneshakennerly@gmail.com" TargetMode="External"/><Relationship Id="rId853" Type="http://schemas.openxmlformats.org/officeDocument/2006/relationships/hyperlink" Target="mailto:alandrefrancois12@gmail.com" TargetMode="External"/><Relationship Id="rId1136" Type="http://schemas.openxmlformats.org/officeDocument/2006/relationships/hyperlink" Target="mailto:josfarfann@gmail.com" TargetMode="External"/><Relationship Id="rId1690" Type="http://schemas.openxmlformats.org/officeDocument/2006/relationships/hyperlink" Target="mailto:a49yrmc@gmail.com" TargetMode="External"/><Relationship Id="rId1788" Type="http://schemas.openxmlformats.org/officeDocument/2006/relationships/hyperlink" Target="mailto:gilmoreoben@yahoo.com" TargetMode="External"/><Relationship Id="rId713" Type="http://schemas.openxmlformats.org/officeDocument/2006/relationships/hyperlink" Target="mailto:jimbilly@live.com" TargetMode="External"/><Relationship Id="rId920" Type="http://schemas.openxmlformats.org/officeDocument/2006/relationships/hyperlink" Target="mailto:venilkathiravan827@gmail.com" TargetMode="External"/><Relationship Id="rId1343" Type="http://schemas.openxmlformats.org/officeDocument/2006/relationships/hyperlink" Target="mailto:totrue4@gmail.com" TargetMode="External"/><Relationship Id="rId1550" Type="http://schemas.openxmlformats.org/officeDocument/2006/relationships/hyperlink" Target="mailto:newtonprevilon@gmail.com" TargetMode="External"/><Relationship Id="rId1648" Type="http://schemas.openxmlformats.org/officeDocument/2006/relationships/hyperlink" Target="mailto:stnlgustave@gmail.com" TargetMode="External"/><Relationship Id="rId1203" Type="http://schemas.openxmlformats.org/officeDocument/2006/relationships/hyperlink" Target="mailto:emekaogwu@myyahoo.com" TargetMode="External"/><Relationship Id="rId1410" Type="http://schemas.openxmlformats.org/officeDocument/2006/relationships/hyperlink" Target="mailto:%09jp62911@gmail.com" TargetMode="External"/><Relationship Id="rId1508" Type="http://schemas.openxmlformats.org/officeDocument/2006/relationships/hyperlink" Target="mailto:miguegerman1027@gmail.com" TargetMode="External"/><Relationship Id="rId1715" Type="http://schemas.openxmlformats.org/officeDocument/2006/relationships/hyperlink" Target="mailto:aoyola9696@gmail.com" TargetMode="External"/><Relationship Id="rId296" Type="http://schemas.openxmlformats.org/officeDocument/2006/relationships/hyperlink" Target="mailto:dasilvacurtis23@gmail.com" TargetMode="External"/><Relationship Id="rId156" Type="http://schemas.openxmlformats.org/officeDocument/2006/relationships/hyperlink" Target="mailto:fabrimendez31@gmail.com" TargetMode="External"/><Relationship Id="rId363" Type="http://schemas.openxmlformats.org/officeDocument/2006/relationships/hyperlink" Target="mailto:Sondypricila@gmail.com" TargetMode="External"/><Relationship Id="rId570" Type="http://schemas.openxmlformats.org/officeDocument/2006/relationships/hyperlink" Target="mailto:probinson013@gmail.com" TargetMode="External"/><Relationship Id="rId223" Type="http://schemas.openxmlformats.org/officeDocument/2006/relationships/hyperlink" Target="mailto:lifesaver188@gmail.com" TargetMode="External"/><Relationship Id="rId430" Type="http://schemas.openxmlformats.org/officeDocument/2006/relationships/hyperlink" Target="mailto:Frankiec1124@gmail.com" TargetMode="External"/><Relationship Id="rId668" Type="http://schemas.openxmlformats.org/officeDocument/2006/relationships/hyperlink" Target="mailto:faithjackson1004@gmail.con" TargetMode="External"/><Relationship Id="rId875" Type="http://schemas.openxmlformats.org/officeDocument/2006/relationships/hyperlink" Target="mailto:rosariogloria149412@gmail.com" TargetMode="External"/><Relationship Id="rId1060" Type="http://schemas.openxmlformats.org/officeDocument/2006/relationships/hyperlink" Target="mailto:stevenpothier1968@gmail.com" TargetMode="External"/><Relationship Id="rId1298" Type="http://schemas.openxmlformats.org/officeDocument/2006/relationships/hyperlink" Target="mailto:euclidesandradegomes@gmail.com" TargetMode="External"/><Relationship Id="rId528" Type="http://schemas.openxmlformats.org/officeDocument/2006/relationships/hyperlink" Target="mailto:cflo0709@gmail.com" TargetMode="External"/><Relationship Id="rId735" Type="http://schemas.openxmlformats.org/officeDocument/2006/relationships/hyperlink" Target="mailto:sadracj1988@gmail.com" TargetMode="External"/><Relationship Id="rId942" Type="http://schemas.openxmlformats.org/officeDocument/2006/relationships/hyperlink" Target="mailto:ashleysainthilaire@yahoo.com" TargetMode="External"/><Relationship Id="rId1158" Type="http://schemas.openxmlformats.org/officeDocument/2006/relationships/hyperlink" Target="mailto:santaellajessica97@gmail.com" TargetMode="External"/><Relationship Id="rId1365" Type="http://schemas.openxmlformats.org/officeDocument/2006/relationships/hyperlink" Target="mailto:john_hugo@comcast.net" TargetMode="External"/><Relationship Id="rId1572" Type="http://schemas.openxmlformats.org/officeDocument/2006/relationships/hyperlink" Target="mailto:mamunbabu@hotmail.com" TargetMode="External"/><Relationship Id="rId1018" Type="http://schemas.openxmlformats.org/officeDocument/2006/relationships/hyperlink" Target="mailto:jayvianjavier1604@gmail.com" TargetMode="External"/><Relationship Id="rId1225" Type="http://schemas.openxmlformats.org/officeDocument/2006/relationships/hyperlink" Target="mailto:ORTIZ.RAUL64@GMAIL.COM" TargetMode="External"/><Relationship Id="rId1432" Type="http://schemas.openxmlformats.org/officeDocument/2006/relationships/hyperlink" Target="mailto:shawnte13.walls@gmail.com" TargetMode="External"/><Relationship Id="rId71" Type="http://schemas.openxmlformats.org/officeDocument/2006/relationships/hyperlink" Target="mailto:bill.pomeroy@gmail.com" TargetMode="External"/><Relationship Id="rId802" Type="http://schemas.openxmlformats.org/officeDocument/2006/relationships/hyperlink" Target="mailto:daivonbrown1@gmail.com" TargetMode="External"/><Relationship Id="rId1737" Type="http://schemas.openxmlformats.org/officeDocument/2006/relationships/hyperlink" Target="mailto:rayslove2001@gmail.com" TargetMode="External"/><Relationship Id="rId29" Type="http://schemas.openxmlformats.org/officeDocument/2006/relationships/hyperlink" Target="mailto:giannanicholas22@gmail.com" TargetMode="External"/><Relationship Id="rId178" Type="http://schemas.openxmlformats.org/officeDocument/2006/relationships/hyperlink" Target="mailto:kendell.pemberton@gmail.com" TargetMode="External"/><Relationship Id="rId1804" Type="http://schemas.openxmlformats.org/officeDocument/2006/relationships/hyperlink" Target="mailto:patriciadepinalopes@gmail.com" TargetMode="External"/><Relationship Id="rId385" Type="http://schemas.openxmlformats.org/officeDocument/2006/relationships/hyperlink" Target="mailto:izyuh23@gmail.com" TargetMode="External"/><Relationship Id="rId592" Type="http://schemas.openxmlformats.org/officeDocument/2006/relationships/hyperlink" Target="mailto:mauriceafrancis82@gmail.com" TargetMode="External"/><Relationship Id="rId245" Type="http://schemas.openxmlformats.org/officeDocument/2006/relationships/hyperlink" Target="mailto:josephhebert2021@yahoo.com" TargetMode="External"/><Relationship Id="rId452" Type="http://schemas.openxmlformats.org/officeDocument/2006/relationships/hyperlink" Target="mailto:michael.ciaramicoli@aol.com" TargetMode="External"/><Relationship Id="rId897" Type="http://schemas.openxmlformats.org/officeDocument/2006/relationships/hyperlink" Target="mailto:joubertar23@gmail.com" TargetMode="External"/><Relationship Id="rId1082" Type="http://schemas.openxmlformats.org/officeDocument/2006/relationships/hyperlink" Target="mailto:bawneesioux@gmail.com" TargetMode="External"/><Relationship Id="rId105" Type="http://schemas.openxmlformats.org/officeDocument/2006/relationships/hyperlink" Target="mailto:jdemos722@gmail.com" TargetMode="External"/><Relationship Id="rId312" Type="http://schemas.openxmlformats.org/officeDocument/2006/relationships/hyperlink" Target="mailto:bissonnette8486@outlook.com" TargetMode="External"/><Relationship Id="rId757" Type="http://schemas.openxmlformats.org/officeDocument/2006/relationships/hyperlink" Target="mailto:rickeylw04fl@gmail.com" TargetMode="External"/><Relationship Id="rId964" Type="http://schemas.openxmlformats.org/officeDocument/2006/relationships/hyperlink" Target="mailto:KELOI1990@GMAIL.COM" TargetMode="External"/><Relationship Id="rId1387" Type="http://schemas.openxmlformats.org/officeDocument/2006/relationships/hyperlink" Target="mailto:Jacobopolanco12@gmail.com" TargetMode="External"/><Relationship Id="rId1594" Type="http://schemas.openxmlformats.org/officeDocument/2006/relationships/hyperlink" Target="mailto:roweluke57@gmail.com" TargetMode="External"/><Relationship Id="rId93" Type="http://schemas.openxmlformats.org/officeDocument/2006/relationships/hyperlink" Target="mailto:fredrickosei021@gmail.com" TargetMode="External"/><Relationship Id="rId617" Type="http://schemas.openxmlformats.org/officeDocument/2006/relationships/hyperlink" Target="mailto:mpov24@gmail.com" TargetMode="External"/><Relationship Id="rId824" Type="http://schemas.openxmlformats.org/officeDocument/2006/relationships/hyperlink" Target="mailto:crenaudbousto@gmail.com" TargetMode="External"/><Relationship Id="rId1247" Type="http://schemas.openxmlformats.org/officeDocument/2006/relationships/hyperlink" Target="mailto:bencheleyauguste32@gmail.com" TargetMode="External"/><Relationship Id="rId1454" Type="http://schemas.openxmlformats.org/officeDocument/2006/relationships/hyperlink" Target="mailto:Valdir3423@yahoo.com" TargetMode="External"/><Relationship Id="rId1661" Type="http://schemas.openxmlformats.org/officeDocument/2006/relationships/hyperlink" Target="mailto:Jesus.R.Moreta@gmail.com" TargetMode="External"/><Relationship Id="rId1107" Type="http://schemas.openxmlformats.org/officeDocument/2006/relationships/hyperlink" Target="mailto:jocelynmorales522@icloud.com" TargetMode="External"/><Relationship Id="rId1314" Type="http://schemas.openxmlformats.org/officeDocument/2006/relationships/hyperlink" Target="mailto:brieyanasantana@outlook.com" TargetMode="External"/><Relationship Id="rId1521" Type="http://schemas.openxmlformats.org/officeDocument/2006/relationships/hyperlink" Target="mailto:nezer.ihejirika@yahoo.com" TargetMode="External"/><Relationship Id="rId1759" Type="http://schemas.openxmlformats.org/officeDocument/2006/relationships/hyperlink" Target="mailto:Elirussell01@gmail.com" TargetMode="External"/><Relationship Id="rId1619" Type="http://schemas.openxmlformats.org/officeDocument/2006/relationships/hyperlink" Target="mailto:adriianna.white@gmail.com" TargetMode="External"/><Relationship Id="rId1826" Type="http://schemas.microsoft.com/office/2019/04/relationships/namedSheetView" Target="../namedSheetViews/namedSheetView1.xml"/><Relationship Id="rId20" Type="http://schemas.openxmlformats.org/officeDocument/2006/relationships/hyperlink" Target="mailto:nysonpacombe@gmail.com" TargetMode="External"/><Relationship Id="rId267" Type="http://schemas.openxmlformats.org/officeDocument/2006/relationships/hyperlink" Target="mailto:lasclafani333@gmail.com" TargetMode="External"/><Relationship Id="rId474" Type="http://schemas.openxmlformats.org/officeDocument/2006/relationships/hyperlink" Target="mailto:blaquedhn@yahoo.com" TargetMode="External"/><Relationship Id="rId127" Type="http://schemas.openxmlformats.org/officeDocument/2006/relationships/hyperlink" Target="mailto:gavinwright875@gmail.com" TargetMode="External"/><Relationship Id="rId681" Type="http://schemas.openxmlformats.org/officeDocument/2006/relationships/hyperlink" Target="mailto:ruthmarfo517334@gmail.com" TargetMode="External"/><Relationship Id="rId779" Type="http://schemas.openxmlformats.org/officeDocument/2006/relationships/hyperlink" Target="mailto:nerlande.paul@gmail.com" TargetMode="External"/><Relationship Id="rId986" Type="http://schemas.openxmlformats.org/officeDocument/2006/relationships/hyperlink" Target="mailto:Lily.barkley@nichols.edu" TargetMode="External"/><Relationship Id="rId334" Type="http://schemas.openxmlformats.org/officeDocument/2006/relationships/hyperlink" Target="mailto:Gmoney01603@yahoo.com" TargetMode="External"/><Relationship Id="rId541" Type="http://schemas.openxmlformats.org/officeDocument/2006/relationships/hyperlink" Target="mailto:Akaupu26@gmail.com" TargetMode="External"/><Relationship Id="rId639" Type="http://schemas.openxmlformats.org/officeDocument/2006/relationships/hyperlink" Target="mailto:zackareethunter@icloud.com" TargetMode="External"/><Relationship Id="rId1171" Type="http://schemas.openxmlformats.org/officeDocument/2006/relationships/hyperlink" Target="mailto:nectali_aguilar@yahoo.com" TargetMode="External"/><Relationship Id="rId1269" Type="http://schemas.openxmlformats.org/officeDocument/2006/relationships/hyperlink" Target="mailto:maderawilfer@gmail.com" TargetMode="External"/><Relationship Id="rId1476" Type="http://schemas.openxmlformats.org/officeDocument/2006/relationships/hyperlink" Target="mailto:reyesjohan755@gmail.com" TargetMode="External"/><Relationship Id="rId401" Type="http://schemas.openxmlformats.org/officeDocument/2006/relationships/hyperlink" Target="mailto:djely.rubes@gmail.com" TargetMode="External"/><Relationship Id="rId846" Type="http://schemas.openxmlformats.org/officeDocument/2006/relationships/hyperlink" Target="mailto:nicaurydelacruzperez@gmail.com" TargetMode="External"/><Relationship Id="rId1031" Type="http://schemas.openxmlformats.org/officeDocument/2006/relationships/hyperlink" Target="mailto:azariashipman@gmail.com" TargetMode="External"/><Relationship Id="rId1129" Type="http://schemas.openxmlformats.org/officeDocument/2006/relationships/hyperlink" Target="mailto:jeovanny.lantigua@hotmail.com" TargetMode="External"/><Relationship Id="rId1683" Type="http://schemas.openxmlformats.org/officeDocument/2006/relationships/hyperlink" Target="mailto:phamtrang161992@gmail.com" TargetMode="External"/><Relationship Id="rId706" Type="http://schemas.openxmlformats.org/officeDocument/2006/relationships/hyperlink" Target="mailto:frederick.brima@hotmail.com" TargetMode="External"/><Relationship Id="rId913" Type="http://schemas.openxmlformats.org/officeDocument/2006/relationships/hyperlink" Target="mailto:meag.renee@yahoo.com" TargetMode="External"/><Relationship Id="rId1336" Type="http://schemas.openxmlformats.org/officeDocument/2006/relationships/hyperlink" Target="mailto:Ricklulimachi@gmail.com" TargetMode="External"/><Relationship Id="rId1543" Type="http://schemas.openxmlformats.org/officeDocument/2006/relationships/hyperlink" Target="mailto:johnjr1820@gmail.com" TargetMode="External"/><Relationship Id="rId1750" Type="http://schemas.openxmlformats.org/officeDocument/2006/relationships/hyperlink" Target="mailto:ariana12495@icloud.com" TargetMode="External"/><Relationship Id="rId42" Type="http://schemas.openxmlformats.org/officeDocument/2006/relationships/hyperlink" Target="mailto:chery.serge1969@gmail.com" TargetMode="External"/><Relationship Id="rId1403" Type="http://schemas.openxmlformats.org/officeDocument/2006/relationships/hyperlink" Target="mailto:%09jereem.langlais@gmail.com" TargetMode="External"/><Relationship Id="rId1610" Type="http://schemas.openxmlformats.org/officeDocument/2006/relationships/hyperlink" Target="mailto:Jeremilrivera@gmail.com" TargetMode="External"/><Relationship Id="rId191" Type="http://schemas.openxmlformats.org/officeDocument/2006/relationships/hyperlink" Target="mailto:d_pereira15@yahoo.com" TargetMode="External"/><Relationship Id="rId1708" Type="http://schemas.openxmlformats.org/officeDocument/2006/relationships/hyperlink" Target="mailto:Alexandon81392@gmail.com" TargetMode="External"/><Relationship Id="rId289" Type="http://schemas.openxmlformats.org/officeDocument/2006/relationships/hyperlink" Target="mailto:cottonschwab19@outlook.com" TargetMode="External"/><Relationship Id="rId496" Type="http://schemas.openxmlformats.org/officeDocument/2006/relationships/hyperlink" Target="mailto:briemariani@gmail.com" TargetMode="External"/><Relationship Id="rId149" Type="http://schemas.openxmlformats.org/officeDocument/2006/relationships/hyperlink" Target="mailto:joserobertoportilloa@gmail.com" TargetMode="External"/><Relationship Id="rId356" Type="http://schemas.openxmlformats.org/officeDocument/2006/relationships/hyperlink" Target="mailto:john0878@icloud.com" TargetMode="External"/><Relationship Id="rId563" Type="http://schemas.openxmlformats.org/officeDocument/2006/relationships/hyperlink" Target="mailto:julmicekerlin38@gmail.com" TargetMode="External"/><Relationship Id="rId770" Type="http://schemas.openxmlformats.org/officeDocument/2006/relationships/hyperlink" Target="mailto:mauricio_peralta32@hotmail.com" TargetMode="External"/><Relationship Id="rId1193" Type="http://schemas.openxmlformats.org/officeDocument/2006/relationships/hyperlink" Target="mailto:bayo.animashaun@yahoo.com" TargetMode="External"/><Relationship Id="rId216" Type="http://schemas.openxmlformats.org/officeDocument/2006/relationships/hyperlink" Target="mailto:williamson1928@hotmail.com" TargetMode="External"/><Relationship Id="rId423" Type="http://schemas.openxmlformats.org/officeDocument/2006/relationships/hyperlink" Target="mailto:romeond7@gmail.com" TargetMode="External"/><Relationship Id="rId868" Type="http://schemas.openxmlformats.org/officeDocument/2006/relationships/hyperlink" Target="mailto:Jorgepaguada96@gmail.com" TargetMode="External"/><Relationship Id="rId1053" Type="http://schemas.openxmlformats.org/officeDocument/2006/relationships/hyperlink" Target="mailto:grc.graciella246@gmail.com" TargetMode="External"/><Relationship Id="rId1260" Type="http://schemas.openxmlformats.org/officeDocument/2006/relationships/hyperlink" Target="mailto:leilamathieu0@gmail.com" TargetMode="External"/><Relationship Id="rId1498" Type="http://schemas.openxmlformats.org/officeDocument/2006/relationships/hyperlink" Target="mailto:Maldonado.v1895@gmail.com" TargetMode="External"/><Relationship Id="rId630" Type="http://schemas.openxmlformats.org/officeDocument/2006/relationships/hyperlink" Target="mailto:jahurtado.m@outlook.com" TargetMode="External"/><Relationship Id="rId728" Type="http://schemas.openxmlformats.org/officeDocument/2006/relationships/hyperlink" Target="mailto:Allygomes4@gmail.com" TargetMode="External"/><Relationship Id="rId935" Type="http://schemas.openxmlformats.org/officeDocument/2006/relationships/hyperlink" Target="mailto:amazingmac90@gmail.com" TargetMode="External"/><Relationship Id="rId1358" Type="http://schemas.openxmlformats.org/officeDocument/2006/relationships/hyperlink" Target="mailto:mauricioduarte1@hotmail.com" TargetMode="External"/><Relationship Id="rId1565" Type="http://schemas.openxmlformats.org/officeDocument/2006/relationships/hyperlink" Target="mailto:judesonhenry@gmail.com" TargetMode="External"/><Relationship Id="rId1772" Type="http://schemas.openxmlformats.org/officeDocument/2006/relationships/hyperlink" Target="mailto:joneschantel14@gmail.com" TargetMode="External"/><Relationship Id="rId64" Type="http://schemas.openxmlformats.org/officeDocument/2006/relationships/hyperlink" Target="mailto:leonmarsh34@gmail.com" TargetMode="External"/><Relationship Id="rId1120" Type="http://schemas.openxmlformats.org/officeDocument/2006/relationships/hyperlink" Target="mailto:eric.jpitts@yahoo.com" TargetMode="External"/><Relationship Id="rId1218" Type="http://schemas.openxmlformats.org/officeDocument/2006/relationships/hyperlink" Target="mailto:cassandracabrera2018@gmail.com" TargetMode="External"/><Relationship Id="rId1425" Type="http://schemas.openxmlformats.org/officeDocument/2006/relationships/hyperlink" Target="mailto:douglasdaley312@gmail.com" TargetMode="External"/><Relationship Id="rId1632" Type="http://schemas.openxmlformats.org/officeDocument/2006/relationships/hyperlink" Target="mailto:padovaniknoll@gmail.com" TargetMode="External"/><Relationship Id="rId280" Type="http://schemas.openxmlformats.org/officeDocument/2006/relationships/hyperlink" Target="mailto:brkhrrngtn@gmail.com" TargetMode="External"/><Relationship Id="rId140" Type="http://schemas.openxmlformats.org/officeDocument/2006/relationships/hyperlink" Target="mailto:Vanessat22@yahoo.com" TargetMode="External"/><Relationship Id="rId378" Type="http://schemas.openxmlformats.org/officeDocument/2006/relationships/hyperlink" Target="mailto:fbest1186@gmail.com" TargetMode="External"/><Relationship Id="rId585" Type="http://schemas.openxmlformats.org/officeDocument/2006/relationships/hyperlink" Target="mailto:ronalddumel8@gmail.com" TargetMode="External"/><Relationship Id="rId792" Type="http://schemas.openxmlformats.org/officeDocument/2006/relationships/hyperlink" Target="mailto:andrewbalestracci@gmail.com" TargetMode="External"/><Relationship Id="rId6" Type="http://schemas.openxmlformats.org/officeDocument/2006/relationships/hyperlink" Target="mailto:powelllaney8@gmail.com" TargetMode="External"/><Relationship Id="rId238" Type="http://schemas.openxmlformats.org/officeDocument/2006/relationships/hyperlink" Target="mailto:navarroreynaldo569@gmail.com" TargetMode="External"/><Relationship Id="rId445" Type="http://schemas.openxmlformats.org/officeDocument/2006/relationships/hyperlink" Target="mailto:stanimir72@yahoo.com" TargetMode="External"/><Relationship Id="rId652" Type="http://schemas.openxmlformats.org/officeDocument/2006/relationships/hyperlink" Target="mailto:seidesernot@gmail.com" TargetMode="External"/><Relationship Id="rId1075" Type="http://schemas.openxmlformats.org/officeDocument/2006/relationships/hyperlink" Target="mailto:Donishehu12345@hotmail.com" TargetMode="External"/><Relationship Id="rId1282" Type="http://schemas.openxmlformats.org/officeDocument/2006/relationships/hyperlink" Target="mailto:nydeafr@gmail.com" TargetMode="External"/><Relationship Id="rId305" Type="http://schemas.openxmlformats.org/officeDocument/2006/relationships/hyperlink" Target="mailto:Sadaqahrashid2@gmail.com" TargetMode="External"/><Relationship Id="rId512" Type="http://schemas.openxmlformats.org/officeDocument/2006/relationships/hyperlink" Target="mailto:fefeiler@icloud.com" TargetMode="External"/><Relationship Id="rId957" Type="http://schemas.openxmlformats.org/officeDocument/2006/relationships/hyperlink" Target="mailto:ramosantunesresendeantonio@gmail.com" TargetMode="External"/><Relationship Id="rId1142" Type="http://schemas.openxmlformats.org/officeDocument/2006/relationships/hyperlink" Target="mailto:Xjamesvalentinx@hotmail.com" TargetMode="External"/><Relationship Id="rId1587" Type="http://schemas.openxmlformats.org/officeDocument/2006/relationships/hyperlink" Target="mailto:saliimlee@outlook.com" TargetMode="External"/><Relationship Id="rId1794" Type="http://schemas.openxmlformats.org/officeDocument/2006/relationships/hyperlink" Target="mailto:talktojeff2003@yahoo.com" TargetMode="External"/><Relationship Id="rId86" Type="http://schemas.openxmlformats.org/officeDocument/2006/relationships/hyperlink" Target="mailto:deiahlopes0519@gmail.com" TargetMode="External"/><Relationship Id="rId817" Type="http://schemas.openxmlformats.org/officeDocument/2006/relationships/hyperlink" Target="mailto:smalandrino99@gmail.com" TargetMode="External"/><Relationship Id="rId1002" Type="http://schemas.openxmlformats.org/officeDocument/2006/relationships/hyperlink" Target="mailto:perlafranco.law@gmail.com" TargetMode="External"/><Relationship Id="rId1447" Type="http://schemas.openxmlformats.org/officeDocument/2006/relationships/hyperlink" Target="mailto:sfinnessey8753@westfield.ma.edu" TargetMode="External"/><Relationship Id="rId1654" Type="http://schemas.openxmlformats.org/officeDocument/2006/relationships/hyperlink" Target="mailto:jennabeanmarie@gmail.com" TargetMode="External"/><Relationship Id="rId1307" Type="http://schemas.openxmlformats.org/officeDocument/2006/relationships/hyperlink" Target="mailto:davidtengbeh@gmail.com" TargetMode="External"/><Relationship Id="rId1514" Type="http://schemas.openxmlformats.org/officeDocument/2006/relationships/hyperlink" Target="mailto:justice4ad@yahoo.com" TargetMode="External"/><Relationship Id="rId1721" Type="http://schemas.openxmlformats.org/officeDocument/2006/relationships/hyperlink" Target="mailto:davidlacreta@gmail.com" TargetMode="External"/><Relationship Id="rId13" Type="http://schemas.openxmlformats.org/officeDocument/2006/relationships/hyperlink" Target="mailto:Est93mommyshitt@icloud.com" TargetMode="External"/><Relationship Id="rId1819" Type="http://schemas.openxmlformats.org/officeDocument/2006/relationships/hyperlink" Target="mailto:cbgauthier12@gmail.com" TargetMode="External"/><Relationship Id="rId162" Type="http://schemas.openxmlformats.org/officeDocument/2006/relationships/hyperlink" Target="mailto:thibaultm2184@yahoo.com" TargetMode="External"/><Relationship Id="rId467" Type="http://schemas.openxmlformats.org/officeDocument/2006/relationships/hyperlink" Target="mailto:alissaraalexis9@gmail.com" TargetMode="External"/><Relationship Id="rId1097" Type="http://schemas.openxmlformats.org/officeDocument/2006/relationships/hyperlink" Target="mailto:naadeevans7@gmail.com" TargetMode="External"/><Relationship Id="rId674" Type="http://schemas.openxmlformats.org/officeDocument/2006/relationships/hyperlink" Target="mailto:shawanaparks@gmail.com" TargetMode="External"/><Relationship Id="rId881" Type="http://schemas.openxmlformats.org/officeDocument/2006/relationships/hyperlink" Target="mailto:Desheakusi@yahoo.com" TargetMode="External"/><Relationship Id="rId979" Type="http://schemas.openxmlformats.org/officeDocument/2006/relationships/hyperlink" Target="mailto:Luke.rogan@nichols.edu" TargetMode="External"/><Relationship Id="rId327" Type="http://schemas.openxmlformats.org/officeDocument/2006/relationships/hyperlink" Target="mailto:harringtonjake8@gmail.com" TargetMode="External"/><Relationship Id="rId534" Type="http://schemas.openxmlformats.org/officeDocument/2006/relationships/hyperlink" Target="mailto:rafaelsil17@gmail.com" TargetMode="External"/><Relationship Id="rId741" Type="http://schemas.openxmlformats.org/officeDocument/2006/relationships/hyperlink" Target="mailto:nathanmartin377@gmail.com" TargetMode="External"/><Relationship Id="rId839" Type="http://schemas.openxmlformats.org/officeDocument/2006/relationships/hyperlink" Target="mailto:georgiasarai@hotmail.com" TargetMode="External"/><Relationship Id="rId1164" Type="http://schemas.openxmlformats.org/officeDocument/2006/relationships/hyperlink" Target="mailto:rhunt25@lsu.edu" TargetMode="External"/><Relationship Id="rId1371" Type="http://schemas.openxmlformats.org/officeDocument/2006/relationships/hyperlink" Target="mailto:talktojeff2003@yahoo.com" TargetMode="External"/><Relationship Id="rId1469" Type="http://schemas.openxmlformats.org/officeDocument/2006/relationships/hyperlink" Target="mailto:Kayleelebron000@gmail.com" TargetMode="External"/><Relationship Id="rId601" Type="http://schemas.openxmlformats.org/officeDocument/2006/relationships/hyperlink" Target="mailto:garlensetienne@icloud.com" TargetMode="External"/><Relationship Id="rId1024" Type="http://schemas.openxmlformats.org/officeDocument/2006/relationships/hyperlink" Target="mailto:joshuacantillon1@gmail.com" TargetMode="External"/><Relationship Id="rId1231" Type="http://schemas.openxmlformats.org/officeDocument/2006/relationships/hyperlink" Target="mailto:rllopezquiles98@gmail.com" TargetMode="External"/><Relationship Id="rId1676" Type="http://schemas.openxmlformats.org/officeDocument/2006/relationships/hyperlink" Target="mailto:Znorcross@msn.com" TargetMode="External"/><Relationship Id="rId906" Type="http://schemas.openxmlformats.org/officeDocument/2006/relationships/hyperlink" Target="mailto:Sarah.Ribeiro001@umb.edu" TargetMode="External"/><Relationship Id="rId1329" Type="http://schemas.openxmlformats.org/officeDocument/2006/relationships/hyperlink" Target="mailto:Jasonmercado1117@gmail.com" TargetMode="External"/><Relationship Id="rId1536" Type="http://schemas.openxmlformats.org/officeDocument/2006/relationships/hyperlink" Target="mailto:adamwoodland16@icloud.com" TargetMode="External"/><Relationship Id="rId1743" Type="http://schemas.openxmlformats.org/officeDocument/2006/relationships/hyperlink" Target="mailto:malu1142@yahoo.com" TargetMode="External"/><Relationship Id="rId35" Type="http://schemas.openxmlformats.org/officeDocument/2006/relationships/hyperlink" Target="mailto:Joeldiazpr87@gmail.com" TargetMode="External"/><Relationship Id="rId1603" Type="http://schemas.openxmlformats.org/officeDocument/2006/relationships/hyperlink" Target="mailto:aaroncoplin@yahoo.com" TargetMode="External"/><Relationship Id="rId1810" Type="http://schemas.openxmlformats.org/officeDocument/2006/relationships/hyperlink" Target="mailto:pean1226@yahoo.fr" TargetMode="External"/><Relationship Id="rId184" Type="http://schemas.openxmlformats.org/officeDocument/2006/relationships/hyperlink" Target="mailto:jebrelle.martin@gmail.com" TargetMode="External"/><Relationship Id="rId391" Type="http://schemas.openxmlformats.org/officeDocument/2006/relationships/hyperlink" Target="mailto:jarrod.camerer@gmail.com" TargetMode="External"/><Relationship Id="rId251" Type="http://schemas.openxmlformats.org/officeDocument/2006/relationships/hyperlink" Target="mailto:tmrentas08@gmail.com" TargetMode="External"/><Relationship Id="rId489" Type="http://schemas.openxmlformats.org/officeDocument/2006/relationships/hyperlink" Target="mailto:Krice107@gmail.com" TargetMode="External"/><Relationship Id="rId696" Type="http://schemas.openxmlformats.org/officeDocument/2006/relationships/hyperlink" Target="mailto:zcmicheline5@icloud.com" TargetMode="External"/><Relationship Id="rId349" Type="http://schemas.openxmlformats.org/officeDocument/2006/relationships/hyperlink" Target="mailto:Brixsonaelliott@gmail.com" TargetMode="External"/><Relationship Id="rId556" Type="http://schemas.openxmlformats.org/officeDocument/2006/relationships/hyperlink" Target="mailto:oriakhidestiny@gmail.com" TargetMode="External"/><Relationship Id="rId763" Type="http://schemas.openxmlformats.org/officeDocument/2006/relationships/hyperlink" Target="mailto:acbull909@gmail.com" TargetMode="External"/><Relationship Id="rId1186" Type="http://schemas.openxmlformats.org/officeDocument/2006/relationships/hyperlink" Target="mailto:mizanibenjamin22@gmail.com" TargetMode="External"/><Relationship Id="rId1393" Type="http://schemas.openxmlformats.org/officeDocument/2006/relationships/hyperlink" Target="mailto:%09gumenitatjana" TargetMode="External"/><Relationship Id="rId111" Type="http://schemas.openxmlformats.org/officeDocument/2006/relationships/hyperlink" Target="mailto:gened4888@gmail.com" TargetMode="External"/><Relationship Id="rId209" Type="http://schemas.openxmlformats.org/officeDocument/2006/relationships/hyperlink" Target="mailto:dimitrygoin@gmail.com" TargetMode="External"/><Relationship Id="rId416" Type="http://schemas.openxmlformats.org/officeDocument/2006/relationships/hyperlink" Target="mailto:tgalvin733@gmail.com" TargetMode="External"/><Relationship Id="rId970" Type="http://schemas.openxmlformats.org/officeDocument/2006/relationships/hyperlink" Target="mailto:drodriguez25.dr@gmail.com" TargetMode="External"/><Relationship Id="rId1046" Type="http://schemas.openxmlformats.org/officeDocument/2006/relationships/hyperlink" Target="mailto:Wtyquan25@gmail.com" TargetMode="External"/><Relationship Id="rId1253" Type="http://schemas.openxmlformats.org/officeDocument/2006/relationships/hyperlink" Target="mailto:fosterneila37@gmail.com" TargetMode="External"/><Relationship Id="rId1698" Type="http://schemas.openxmlformats.org/officeDocument/2006/relationships/hyperlink" Target="mailto:ennad2022@gmail.com" TargetMode="External"/><Relationship Id="rId623" Type="http://schemas.openxmlformats.org/officeDocument/2006/relationships/hyperlink" Target="mailto:deseraypina87@yahoo.com" TargetMode="External"/><Relationship Id="rId830" Type="http://schemas.openxmlformats.org/officeDocument/2006/relationships/hyperlink" Target="mailto:emedeiros6106@gmail.com" TargetMode="External"/><Relationship Id="rId928" Type="http://schemas.openxmlformats.org/officeDocument/2006/relationships/hyperlink" Target="mailto:Lubinernest8@gmail.com" TargetMode="External"/><Relationship Id="rId1460" Type="http://schemas.openxmlformats.org/officeDocument/2006/relationships/hyperlink" Target="mailto:genesis.g.12@hotmail.com" TargetMode="External"/><Relationship Id="rId1558" Type="http://schemas.openxmlformats.org/officeDocument/2006/relationships/hyperlink" Target="mailto:tygabriel20@gmail.com" TargetMode="External"/><Relationship Id="rId1765" Type="http://schemas.openxmlformats.org/officeDocument/2006/relationships/hyperlink" Target="mailto:geromesbendji@gmail.com" TargetMode="External"/><Relationship Id="rId57" Type="http://schemas.openxmlformats.org/officeDocument/2006/relationships/hyperlink" Target="mailto:Peterlylynch509@gmail.com" TargetMode="External"/><Relationship Id="rId1113" Type="http://schemas.openxmlformats.org/officeDocument/2006/relationships/hyperlink" Target="mailto:travishenshaw@yahoo.com" TargetMode="External"/><Relationship Id="rId1320" Type="http://schemas.openxmlformats.org/officeDocument/2006/relationships/hyperlink" Target="mailto:maddiemartinez03@icloud.com" TargetMode="External"/><Relationship Id="rId1418" Type="http://schemas.openxmlformats.org/officeDocument/2006/relationships/hyperlink" Target="mailto:arthurneedham13@gmail.com" TargetMode="External"/><Relationship Id="rId1625" Type="http://schemas.openxmlformats.org/officeDocument/2006/relationships/hyperlink" Target="mailto:dylanmonette7@gmail.com" TargetMode="External"/><Relationship Id="rId273" Type="http://schemas.openxmlformats.org/officeDocument/2006/relationships/hyperlink" Target="mailto:anthony_semidey@yahoo.com" TargetMode="External"/><Relationship Id="rId480" Type="http://schemas.openxmlformats.org/officeDocument/2006/relationships/hyperlink" Target="mailto:Aetreix@gmail.com" TargetMode="External"/><Relationship Id="rId133" Type="http://schemas.openxmlformats.org/officeDocument/2006/relationships/hyperlink" Target="mailto:cpratt86@yahoo.com" TargetMode="External"/><Relationship Id="rId340" Type="http://schemas.openxmlformats.org/officeDocument/2006/relationships/hyperlink" Target="mailto:Allenreynoso04@iCloud.com" TargetMode="External"/><Relationship Id="rId578" Type="http://schemas.openxmlformats.org/officeDocument/2006/relationships/hyperlink" Target="mailto:cruzjovanni508@gmail.com" TargetMode="External"/><Relationship Id="rId785" Type="http://schemas.openxmlformats.org/officeDocument/2006/relationships/hyperlink" Target="mailto:Nataliecardona117@gmail.com" TargetMode="External"/><Relationship Id="rId992" Type="http://schemas.openxmlformats.org/officeDocument/2006/relationships/hyperlink" Target="mailto:Quakneshagj@gmail.com" TargetMode="External"/><Relationship Id="rId200" Type="http://schemas.openxmlformats.org/officeDocument/2006/relationships/hyperlink" Target="mailto:penar278@gmail.com" TargetMode="External"/><Relationship Id="rId438" Type="http://schemas.openxmlformats.org/officeDocument/2006/relationships/hyperlink" Target="mailto:rasrudine@gmail.com" TargetMode="External"/><Relationship Id="rId645" Type="http://schemas.openxmlformats.org/officeDocument/2006/relationships/hyperlink" Target="mailto:omfrancoeur@gmail.com" TargetMode="External"/><Relationship Id="rId852" Type="http://schemas.openxmlformats.org/officeDocument/2006/relationships/hyperlink" Target="mailto:tropical2520@gmail.com" TargetMode="External"/><Relationship Id="rId1068" Type="http://schemas.openxmlformats.org/officeDocument/2006/relationships/hyperlink" Target="mailto:yepes.steph@gmail.com" TargetMode="External"/><Relationship Id="rId1275" Type="http://schemas.openxmlformats.org/officeDocument/2006/relationships/hyperlink" Target="mailto:walt359@gmail.com" TargetMode="External"/><Relationship Id="rId1482" Type="http://schemas.openxmlformats.org/officeDocument/2006/relationships/hyperlink" Target="mailto:jamaulmiller@gmail.com" TargetMode="External"/><Relationship Id="rId505" Type="http://schemas.openxmlformats.org/officeDocument/2006/relationships/hyperlink" Target="mailto:kereczreagan@gmail.com" TargetMode="External"/><Relationship Id="rId712" Type="http://schemas.openxmlformats.org/officeDocument/2006/relationships/hyperlink" Target="mailto:tlbmontgomery@gmail.com" TargetMode="External"/><Relationship Id="rId1135" Type="http://schemas.openxmlformats.org/officeDocument/2006/relationships/hyperlink" Target="mailto:hayesfrances29@yahoo.com" TargetMode="External"/><Relationship Id="rId1342" Type="http://schemas.openxmlformats.org/officeDocument/2006/relationships/hyperlink" Target="mailto:menadinedorelus@gmail.com" TargetMode="External"/><Relationship Id="rId1787" Type="http://schemas.openxmlformats.org/officeDocument/2006/relationships/hyperlink" Target="mailto:abdallahmira6@gmail.com" TargetMode="External"/><Relationship Id="rId79" Type="http://schemas.openxmlformats.org/officeDocument/2006/relationships/hyperlink" Target="mailto:skylarmills1013@gmail.com" TargetMode="External"/><Relationship Id="rId1202" Type="http://schemas.openxmlformats.org/officeDocument/2006/relationships/hyperlink" Target="mailto:shufelt21@yahoo.com" TargetMode="External"/><Relationship Id="rId1647" Type="http://schemas.openxmlformats.org/officeDocument/2006/relationships/hyperlink" Target="mailto:roodysainvil@gmail.com" TargetMode="External"/><Relationship Id="rId1507" Type="http://schemas.openxmlformats.org/officeDocument/2006/relationships/hyperlink" Target="mailto:aniltonjorge1993@hotmail.com" TargetMode="External"/><Relationship Id="rId1714" Type="http://schemas.openxmlformats.org/officeDocument/2006/relationships/hyperlink" Target="mailto:jrios2002@icloud.com" TargetMode="External"/><Relationship Id="rId295" Type="http://schemas.openxmlformats.org/officeDocument/2006/relationships/hyperlink" Target="mailto:ortizleonela12@gmail.com" TargetMode="External"/><Relationship Id="rId155" Type="http://schemas.openxmlformats.org/officeDocument/2006/relationships/hyperlink" Target="mailto:baki.darwish@outlook.com" TargetMode="External"/><Relationship Id="rId362" Type="http://schemas.openxmlformats.org/officeDocument/2006/relationships/hyperlink" Target="mailto:Jennpas85@gmail.com" TargetMode="External"/><Relationship Id="rId1297" Type="http://schemas.openxmlformats.org/officeDocument/2006/relationships/hyperlink" Target="mailto:Branden.Sostre@yahoo.com" TargetMode="External"/><Relationship Id="rId222" Type="http://schemas.openxmlformats.org/officeDocument/2006/relationships/hyperlink" Target="mailto:guerby1987@gmail.com" TargetMode="External"/><Relationship Id="rId667" Type="http://schemas.openxmlformats.org/officeDocument/2006/relationships/hyperlink" Target="mailto:kizitonalugya@gmail.com" TargetMode="External"/><Relationship Id="rId874" Type="http://schemas.openxmlformats.org/officeDocument/2006/relationships/hyperlink" Target="mailto:caseycurrie1820@yahoo.com" TargetMode="External"/><Relationship Id="rId527" Type="http://schemas.openxmlformats.org/officeDocument/2006/relationships/hyperlink" Target="mailto:cerquozzi02@outlook.com" TargetMode="External"/><Relationship Id="rId734" Type="http://schemas.openxmlformats.org/officeDocument/2006/relationships/hyperlink" Target="mailto:drilliskayla@gmail.com" TargetMode="External"/><Relationship Id="rId941" Type="http://schemas.openxmlformats.org/officeDocument/2006/relationships/hyperlink" Target="mailto:Bgallagher984@gmail.com" TargetMode="External"/><Relationship Id="rId1157" Type="http://schemas.openxmlformats.org/officeDocument/2006/relationships/hyperlink" Target="mailto:jorgeiri0728@gmail.com" TargetMode="External"/><Relationship Id="rId1364" Type="http://schemas.openxmlformats.org/officeDocument/2006/relationships/hyperlink" Target="mailto:Pizarro.javy17@gmail.com" TargetMode="External"/><Relationship Id="rId1571" Type="http://schemas.openxmlformats.org/officeDocument/2006/relationships/hyperlink" Target="mailto:jacknmarley32@gmail.com" TargetMode="External"/><Relationship Id="rId70" Type="http://schemas.openxmlformats.org/officeDocument/2006/relationships/hyperlink" Target="mailto:saintjacquesharold@gmail.com" TargetMode="External"/><Relationship Id="rId801" Type="http://schemas.openxmlformats.org/officeDocument/2006/relationships/hyperlink" Target="mailto:richard.bestalleyne0202@gmail.com" TargetMode="External"/><Relationship Id="rId1017" Type="http://schemas.openxmlformats.org/officeDocument/2006/relationships/hyperlink" Target="mailto:moniqueyisrael@icloud.com" TargetMode="External"/><Relationship Id="rId1224" Type="http://schemas.openxmlformats.org/officeDocument/2006/relationships/hyperlink" Target="mailto:ednahpaul@gmail.com" TargetMode="External"/><Relationship Id="rId1431" Type="http://schemas.openxmlformats.org/officeDocument/2006/relationships/hyperlink" Target="mailto:rpena120@icloud.com" TargetMode="External"/><Relationship Id="rId1669" Type="http://schemas.openxmlformats.org/officeDocument/2006/relationships/hyperlink" Target="mailto:opongeugene@gmail.com" TargetMode="External"/><Relationship Id="rId1529" Type="http://schemas.openxmlformats.org/officeDocument/2006/relationships/hyperlink" Target="mailto:joshua.clancy@gmail.com" TargetMode="External"/><Relationship Id="rId1736" Type="http://schemas.openxmlformats.org/officeDocument/2006/relationships/hyperlink" Target="mailto:omar.rehman.usa@gmail.com" TargetMode="External"/><Relationship Id="rId28" Type="http://schemas.openxmlformats.org/officeDocument/2006/relationships/hyperlink" Target="mailto:shawnanderson_259@msn.com" TargetMode="External"/><Relationship Id="rId1803" Type="http://schemas.openxmlformats.org/officeDocument/2006/relationships/hyperlink" Target="mailto:memond95@icloud.com" TargetMode="External"/><Relationship Id="rId177" Type="http://schemas.openxmlformats.org/officeDocument/2006/relationships/hyperlink" Target="mailto:cluniechanelle@gmail.com" TargetMode="External"/><Relationship Id="rId384" Type="http://schemas.openxmlformats.org/officeDocument/2006/relationships/hyperlink" Target="mailto:kelimarhernandez123@gmail.com" TargetMode="External"/><Relationship Id="rId591" Type="http://schemas.openxmlformats.org/officeDocument/2006/relationships/hyperlink" Target="mailto:hclombardozzi@aol.com" TargetMode="External"/><Relationship Id="rId244" Type="http://schemas.openxmlformats.org/officeDocument/2006/relationships/hyperlink" Target="mailto:castroiorynunez@gmail.com" TargetMode="External"/><Relationship Id="rId689" Type="http://schemas.openxmlformats.org/officeDocument/2006/relationships/hyperlink" Target="mailto:ericheilman1771@yahoo.com" TargetMode="External"/><Relationship Id="rId896" Type="http://schemas.openxmlformats.org/officeDocument/2006/relationships/hyperlink" Target="mailto:DSEnglish2103@gmail.com" TargetMode="External"/><Relationship Id="rId1081" Type="http://schemas.openxmlformats.org/officeDocument/2006/relationships/hyperlink" Target="mailto:royaltytj2@gmail.com" TargetMode="External"/><Relationship Id="rId451" Type="http://schemas.openxmlformats.org/officeDocument/2006/relationships/hyperlink" Target="mailto:midderice@gmail.com" TargetMode="External"/><Relationship Id="rId549" Type="http://schemas.openxmlformats.org/officeDocument/2006/relationships/hyperlink" Target="mailto:Jeremibrito150@gmail.com" TargetMode="External"/><Relationship Id="rId756" Type="http://schemas.openxmlformats.org/officeDocument/2006/relationships/hyperlink" Target="mailto:chavinipowell@gmail.com" TargetMode="External"/><Relationship Id="rId1179" Type="http://schemas.openxmlformats.org/officeDocument/2006/relationships/hyperlink" Target="mailto:shagafta@gmail.com" TargetMode="External"/><Relationship Id="rId1386" Type="http://schemas.openxmlformats.org/officeDocument/2006/relationships/hyperlink" Target="mailto:Eldervirla@gmail.com" TargetMode="External"/><Relationship Id="rId1593" Type="http://schemas.openxmlformats.org/officeDocument/2006/relationships/hyperlink" Target="mailto:libbeyla@gmail.com" TargetMode="External"/><Relationship Id="rId104" Type="http://schemas.openxmlformats.org/officeDocument/2006/relationships/hyperlink" Target="mailto:coachvega413@gmail.com" TargetMode="External"/><Relationship Id="rId311" Type="http://schemas.openxmlformats.org/officeDocument/2006/relationships/hyperlink" Target="mailto:kemleyned@gmail.com" TargetMode="External"/><Relationship Id="rId409" Type="http://schemas.openxmlformats.org/officeDocument/2006/relationships/hyperlink" Target="mailto:smithjudah17@gmail.com" TargetMode="External"/><Relationship Id="rId963" Type="http://schemas.openxmlformats.org/officeDocument/2006/relationships/hyperlink" Target="mailto:mcgreeveys91@yahoo.com" TargetMode="External"/><Relationship Id="rId1039" Type="http://schemas.openxmlformats.org/officeDocument/2006/relationships/hyperlink" Target="mailto:therealjustin413@gmail.com" TargetMode="External"/><Relationship Id="rId1246" Type="http://schemas.openxmlformats.org/officeDocument/2006/relationships/hyperlink" Target="mailto:centeredbodycare@gmail.com" TargetMode="External"/><Relationship Id="rId92" Type="http://schemas.openxmlformats.org/officeDocument/2006/relationships/hyperlink" Target="mailto:akwasiadjeigh@gmail.com" TargetMode="External"/><Relationship Id="rId616" Type="http://schemas.openxmlformats.org/officeDocument/2006/relationships/hyperlink" Target="mailto:ayodejiomotayo25@gmail.com" TargetMode="External"/><Relationship Id="rId823" Type="http://schemas.openxmlformats.org/officeDocument/2006/relationships/hyperlink" Target="mailto:avantikanautiyal@gmail.com" TargetMode="External"/><Relationship Id="rId1453" Type="http://schemas.openxmlformats.org/officeDocument/2006/relationships/hyperlink" Target="mailto:Mryan881@yahoo.com" TargetMode="External"/><Relationship Id="rId1660" Type="http://schemas.openxmlformats.org/officeDocument/2006/relationships/hyperlink" Target="mailto:pean1226@yahoo.fr" TargetMode="External"/><Relationship Id="rId1758" Type="http://schemas.openxmlformats.org/officeDocument/2006/relationships/hyperlink" Target="mailto:Ernerstoh.eak@gmail.com" TargetMode="External"/><Relationship Id="rId1106" Type="http://schemas.openxmlformats.org/officeDocument/2006/relationships/hyperlink" Target="mailto:aftaj958@gmail.com" TargetMode="External"/><Relationship Id="rId1313" Type="http://schemas.openxmlformats.org/officeDocument/2006/relationships/hyperlink" Target="mailto:jomihenn@icloud.com" TargetMode="External"/><Relationship Id="rId1520" Type="http://schemas.openxmlformats.org/officeDocument/2006/relationships/hyperlink" Target="mailto:garlensetienne@icloud.com" TargetMode="External"/><Relationship Id="rId1618" Type="http://schemas.openxmlformats.org/officeDocument/2006/relationships/hyperlink" Target="mailto:plphotos@icloud.com" TargetMode="External"/><Relationship Id="rId1825" Type="http://schemas.openxmlformats.org/officeDocument/2006/relationships/table" Target="../tables/table1.xml"/><Relationship Id="rId199" Type="http://schemas.openxmlformats.org/officeDocument/2006/relationships/hyperlink" Target="mailto:Yissy66@yahoo.com" TargetMode="External"/><Relationship Id="rId266" Type="http://schemas.openxmlformats.org/officeDocument/2006/relationships/hyperlink" Target="mailto:Legend3540@aol.com" TargetMode="External"/><Relationship Id="rId473" Type="http://schemas.openxmlformats.org/officeDocument/2006/relationships/hyperlink" Target="mailto:cheahangc@gmail.com" TargetMode="External"/><Relationship Id="rId680" Type="http://schemas.openxmlformats.org/officeDocument/2006/relationships/hyperlink" Target="mailto:nelsonlina1214@gmail.com" TargetMode="External"/><Relationship Id="rId126" Type="http://schemas.openxmlformats.org/officeDocument/2006/relationships/hyperlink" Target="mailto:Jlo764ver@gmail.com" TargetMode="External"/><Relationship Id="rId333" Type="http://schemas.openxmlformats.org/officeDocument/2006/relationships/hyperlink" Target="mailto:henryflores97@gmail.com" TargetMode="External"/><Relationship Id="rId540" Type="http://schemas.openxmlformats.org/officeDocument/2006/relationships/hyperlink" Target="mailto:Jduponte64@gmail.com" TargetMode="External"/><Relationship Id="rId778" Type="http://schemas.openxmlformats.org/officeDocument/2006/relationships/hyperlink" Target="mailto:anthonytorres0812@gmail.com" TargetMode="External"/><Relationship Id="rId985" Type="http://schemas.openxmlformats.org/officeDocument/2006/relationships/hyperlink" Target="mailto:Bonvillbryce@gmail.com" TargetMode="External"/><Relationship Id="rId1170" Type="http://schemas.openxmlformats.org/officeDocument/2006/relationships/hyperlink" Target="mailto:annie.n.mccall@doc.state.ma.us" TargetMode="External"/><Relationship Id="rId638" Type="http://schemas.openxmlformats.org/officeDocument/2006/relationships/hyperlink" Target="mailto:kdavisnba98@gmail.com" TargetMode="External"/><Relationship Id="rId845" Type="http://schemas.openxmlformats.org/officeDocument/2006/relationships/hyperlink" Target="mailto:enriquelabounty@gmail.com" TargetMode="External"/><Relationship Id="rId1030" Type="http://schemas.openxmlformats.org/officeDocument/2006/relationships/hyperlink" Target="mailto:jackiehh0817@gmail.com" TargetMode="External"/><Relationship Id="rId1268" Type="http://schemas.openxmlformats.org/officeDocument/2006/relationships/hyperlink" Target="mailto:joelburgos2822@icloud.com" TargetMode="External"/><Relationship Id="rId1475" Type="http://schemas.openxmlformats.org/officeDocument/2006/relationships/hyperlink" Target="mailto:osaserebright@gmail.com" TargetMode="External"/><Relationship Id="rId1682" Type="http://schemas.openxmlformats.org/officeDocument/2006/relationships/hyperlink" Target="mailto:chetnaputta@gmail.com" TargetMode="External"/><Relationship Id="rId400" Type="http://schemas.openxmlformats.org/officeDocument/2006/relationships/hyperlink" Target="mailto:katerinadisho10@gmail.com" TargetMode="External"/><Relationship Id="rId705" Type="http://schemas.openxmlformats.org/officeDocument/2006/relationships/hyperlink" Target="mailto:kewingpaul@gmail.com" TargetMode="External"/><Relationship Id="rId1128" Type="http://schemas.openxmlformats.org/officeDocument/2006/relationships/hyperlink" Target="mailto:sadiqansu@yahoo.com" TargetMode="External"/><Relationship Id="rId1335" Type="http://schemas.openxmlformats.org/officeDocument/2006/relationships/hyperlink" Target="mailto:franklinalvarado776@gmail.com" TargetMode="External"/><Relationship Id="rId1542" Type="http://schemas.openxmlformats.org/officeDocument/2006/relationships/hyperlink" Target="mailto:bruno123vaz@hotmail.com" TargetMode="External"/><Relationship Id="rId912" Type="http://schemas.openxmlformats.org/officeDocument/2006/relationships/hyperlink" Target="mailto:7odriguez@gmail.com" TargetMode="External"/><Relationship Id="rId41" Type="http://schemas.openxmlformats.org/officeDocument/2006/relationships/hyperlink" Target="mailto:derekmomo@gmail.com" TargetMode="External"/><Relationship Id="rId1402" Type="http://schemas.openxmlformats.org/officeDocument/2006/relationships/hyperlink" Target="mailto:%09mimienarcisse@gmail.com" TargetMode="External"/><Relationship Id="rId1707" Type="http://schemas.openxmlformats.org/officeDocument/2006/relationships/hyperlink" Target="mailto:kostarabaxhi@gmail.com" TargetMode="External"/><Relationship Id="rId190" Type="http://schemas.openxmlformats.org/officeDocument/2006/relationships/hyperlink" Target="mailto:kaniyaw24@gmail.com" TargetMode="External"/><Relationship Id="rId288" Type="http://schemas.openxmlformats.org/officeDocument/2006/relationships/hyperlink" Target="mailto:cjforget123@gmail.com" TargetMode="External"/><Relationship Id="rId495" Type="http://schemas.openxmlformats.org/officeDocument/2006/relationships/hyperlink" Target="mailto:jbpharlee@gmail.com" TargetMode="External"/><Relationship Id="rId148" Type="http://schemas.openxmlformats.org/officeDocument/2006/relationships/hyperlink" Target="mailto:josiedesjardinsx96@gmail.com" TargetMode="External"/><Relationship Id="rId355" Type="http://schemas.openxmlformats.org/officeDocument/2006/relationships/hyperlink" Target="mailto:dreablake01@gmail.com" TargetMode="External"/><Relationship Id="rId562" Type="http://schemas.openxmlformats.org/officeDocument/2006/relationships/hyperlink" Target="mailto:dinag1863@gmail.com" TargetMode="External"/><Relationship Id="rId1192" Type="http://schemas.openxmlformats.org/officeDocument/2006/relationships/hyperlink" Target="mailto:parksdelilah488@email.com" TargetMode="External"/><Relationship Id="rId215" Type="http://schemas.openxmlformats.org/officeDocument/2006/relationships/hyperlink" Target="mailto:jennacarew3@gmail.com" TargetMode="External"/><Relationship Id="rId422" Type="http://schemas.openxmlformats.org/officeDocument/2006/relationships/hyperlink" Target="mailto:PERGRESS@YAHOO.COM" TargetMode="External"/><Relationship Id="rId867" Type="http://schemas.openxmlformats.org/officeDocument/2006/relationships/hyperlink" Target="mailto:Vensky8105@gmail.com" TargetMode="External"/><Relationship Id="rId1052" Type="http://schemas.openxmlformats.org/officeDocument/2006/relationships/hyperlink" Target="mailto:tdquinn91@gmail.com" TargetMode="External"/><Relationship Id="rId1497" Type="http://schemas.openxmlformats.org/officeDocument/2006/relationships/hyperlink" Target="mailto:lucrechialubin@gmail.com" TargetMode="External"/><Relationship Id="rId727" Type="http://schemas.openxmlformats.org/officeDocument/2006/relationships/hyperlink" Target="mailto:Nyellmcclain15@gmail.com" TargetMode="External"/><Relationship Id="rId934" Type="http://schemas.openxmlformats.org/officeDocument/2006/relationships/hyperlink" Target="mailto:Freeman.zander24@icloud.com" TargetMode="External"/><Relationship Id="rId1357" Type="http://schemas.openxmlformats.org/officeDocument/2006/relationships/hyperlink" Target="mailto:PMROBERGE27@GMAIL.COM" TargetMode="External"/><Relationship Id="rId1564" Type="http://schemas.openxmlformats.org/officeDocument/2006/relationships/hyperlink" Target="mailto:gabriellegonzalez117@gmail.com" TargetMode="External"/><Relationship Id="rId1771" Type="http://schemas.openxmlformats.org/officeDocument/2006/relationships/hyperlink" Target="mailto:lilktrina333@icloud.com" TargetMode="External"/><Relationship Id="rId63" Type="http://schemas.openxmlformats.org/officeDocument/2006/relationships/hyperlink" Target="mailto:devinfrancis16@gmail.com" TargetMode="External"/><Relationship Id="rId1217" Type="http://schemas.openxmlformats.org/officeDocument/2006/relationships/hyperlink" Target="mailto:mikeking3333@gmail.com" TargetMode="External"/><Relationship Id="rId1424" Type="http://schemas.openxmlformats.org/officeDocument/2006/relationships/hyperlink" Target="mailto:indialichelle@icloud.com" TargetMode="External"/><Relationship Id="rId1631" Type="http://schemas.openxmlformats.org/officeDocument/2006/relationships/hyperlink" Target="mailto:lemosmartin6524@gmail.com" TargetMode="External"/><Relationship Id="rId1729" Type="http://schemas.openxmlformats.org/officeDocument/2006/relationships/hyperlink" Target="mailto:Lozamaexil@yahoo.fr" TargetMode="External"/><Relationship Id="rId377" Type="http://schemas.openxmlformats.org/officeDocument/2006/relationships/hyperlink" Target="mailto:danchelwilliams1@gmail.com" TargetMode="External"/><Relationship Id="rId584" Type="http://schemas.openxmlformats.org/officeDocument/2006/relationships/hyperlink" Target="mailto:nankya_annet@yahoo.com" TargetMode="External"/><Relationship Id="rId5" Type="http://schemas.openxmlformats.org/officeDocument/2006/relationships/hyperlink" Target="mailto:Sgibson1@massasoit.edu" TargetMode="External"/><Relationship Id="rId237" Type="http://schemas.openxmlformats.org/officeDocument/2006/relationships/hyperlink" Target="mailto:zackareethunter@icloud.com" TargetMode="External"/><Relationship Id="rId791" Type="http://schemas.openxmlformats.org/officeDocument/2006/relationships/hyperlink" Target="mailto:paul.lison83@gmail.com" TargetMode="External"/><Relationship Id="rId889" Type="http://schemas.openxmlformats.org/officeDocument/2006/relationships/hyperlink" Target="mailto:mauriciosilva419@icloud.com" TargetMode="External"/><Relationship Id="rId1074" Type="http://schemas.openxmlformats.org/officeDocument/2006/relationships/hyperlink" Target="mailto:richiegskin@gmail.com" TargetMode="External"/><Relationship Id="rId444" Type="http://schemas.openxmlformats.org/officeDocument/2006/relationships/hyperlink" Target="mailto:Darian.wood8@gmail.com" TargetMode="External"/><Relationship Id="rId651" Type="http://schemas.openxmlformats.org/officeDocument/2006/relationships/hyperlink" Target="mailto:ngandaenock17@gmail.com" TargetMode="External"/><Relationship Id="rId749" Type="http://schemas.openxmlformats.org/officeDocument/2006/relationships/hyperlink" Target="mailto:antelrogers098@gmail.com" TargetMode="External"/><Relationship Id="rId1281" Type="http://schemas.openxmlformats.org/officeDocument/2006/relationships/hyperlink" Target="mailto:Owenpapciak771@gmail.com" TargetMode="External"/><Relationship Id="rId1379" Type="http://schemas.openxmlformats.org/officeDocument/2006/relationships/hyperlink" Target="mailto:snooshi2017181920@gmail.com" TargetMode="External"/><Relationship Id="rId1586" Type="http://schemas.openxmlformats.org/officeDocument/2006/relationships/hyperlink" Target="mailto:ronniesacredbox@gmail.com" TargetMode="External"/><Relationship Id="rId304" Type="http://schemas.openxmlformats.org/officeDocument/2006/relationships/hyperlink" Target="mailto:syniaedwards@gmail.com" TargetMode="External"/><Relationship Id="rId511" Type="http://schemas.openxmlformats.org/officeDocument/2006/relationships/hyperlink" Target="mailto:Sjcdrummer47@gmail.com" TargetMode="External"/><Relationship Id="rId609" Type="http://schemas.openxmlformats.org/officeDocument/2006/relationships/hyperlink" Target="mailto:joebizarre61@gmail.com" TargetMode="External"/><Relationship Id="rId956" Type="http://schemas.openxmlformats.org/officeDocument/2006/relationships/hyperlink" Target="mailto:romulojl2017@gmail.com" TargetMode="External"/><Relationship Id="rId1141" Type="http://schemas.openxmlformats.org/officeDocument/2006/relationships/hyperlink" Target="mailto:Jforbes984@aol.com" TargetMode="External"/><Relationship Id="rId1239" Type="http://schemas.openxmlformats.org/officeDocument/2006/relationships/hyperlink" Target="mailto:sdifronzo31@gmail.com" TargetMode="External"/><Relationship Id="rId1793" Type="http://schemas.openxmlformats.org/officeDocument/2006/relationships/hyperlink" Target="mailto:jordanashleyhughes1@gmail.com" TargetMode="External"/><Relationship Id="rId85" Type="http://schemas.openxmlformats.org/officeDocument/2006/relationships/hyperlink" Target="mailto:medjynadesilus@gmail.com" TargetMode="External"/><Relationship Id="rId816" Type="http://schemas.openxmlformats.org/officeDocument/2006/relationships/hyperlink" Target="mailto:jrourke413@gmail.com" TargetMode="External"/><Relationship Id="rId1001" Type="http://schemas.openxmlformats.org/officeDocument/2006/relationships/hyperlink" Target="mailto:tatianamartins1996@icloud.com" TargetMode="External"/><Relationship Id="rId1446" Type="http://schemas.openxmlformats.org/officeDocument/2006/relationships/hyperlink" Target="mailto:dayter1985@gmail.com" TargetMode="External"/><Relationship Id="rId1653" Type="http://schemas.openxmlformats.org/officeDocument/2006/relationships/hyperlink" Target="mailto:yuls52012@icloud.com" TargetMode="External"/><Relationship Id="rId1306" Type="http://schemas.openxmlformats.org/officeDocument/2006/relationships/hyperlink" Target="mailto:Tlounsbury99@gmail.com" TargetMode="External"/><Relationship Id="rId1513" Type="http://schemas.openxmlformats.org/officeDocument/2006/relationships/hyperlink" Target="mailto:lifeisgoodasap@gmail.com" TargetMode="External"/><Relationship Id="rId1720" Type="http://schemas.openxmlformats.org/officeDocument/2006/relationships/hyperlink" Target="mailto:Tabithagable1201@gmail.com" TargetMode="External"/><Relationship Id="rId12" Type="http://schemas.openxmlformats.org/officeDocument/2006/relationships/hyperlink" Target="mailto:jcupertinojr@gmail.com" TargetMode="External"/><Relationship Id="rId1818" Type="http://schemas.openxmlformats.org/officeDocument/2006/relationships/hyperlink" Target="mailto:davionportes91817@gmail.com" TargetMode="External"/><Relationship Id="rId161" Type="http://schemas.openxmlformats.org/officeDocument/2006/relationships/hyperlink" Target="mailto:fowoodg@gmail.com" TargetMode="External"/><Relationship Id="rId399" Type="http://schemas.openxmlformats.org/officeDocument/2006/relationships/hyperlink" Target="mailto:Kolisasammi@gmail.com" TargetMode="External"/><Relationship Id="rId259" Type="http://schemas.openxmlformats.org/officeDocument/2006/relationships/hyperlink" Target="mailto:tlbmontgomery@gmail.com" TargetMode="External"/><Relationship Id="rId466" Type="http://schemas.openxmlformats.org/officeDocument/2006/relationships/hyperlink" Target="mailto:zander1812@yahoo.com" TargetMode="External"/><Relationship Id="rId673" Type="http://schemas.openxmlformats.org/officeDocument/2006/relationships/hyperlink" Target="mailto:ajane.leee@gmail.com" TargetMode="External"/><Relationship Id="rId880" Type="http://schemas.openxmlformats.org/officeDocument/2006/relationships/hyperlink" Target="mailto:pfalandia@gmail.com" TargetMode="External"/><Relationship Id="rId1096" Type="http://schemas.openxmlformats.org/officeDocument/2006/relationships/hyperlink" Target="mailto:sincerepayne@icloud.com" TargetMode="External"/><Relationship Id="rId119" Type="http://schemas.openxmlformats.org/officeDocument/2006/relationships/hyperlink" Target="mailto:edixjunior@hotmail.com" TargetMode="External"/><Relationship Id="rId326" Type="http://schemas.openxmlformats.org/officeDocument/2006/relationships/hyperlink" Target="mailto:mkaras6@yahoo.com" TargetMode="External"/><Relationship Id="rId533" Type="http://schemas.openxmlformats.org/officeDocument/2006/relationships/hyperlink" Target="mailto:Gamingemail1987@yahoo.com" TargetMode="External"/><Relationship Id="rId978" Type="http://schemas.openxmlformats.org/officeDocument/2006/relationships/hyperlink" Target="mailto:fajr28561@gmail.com" TargetMode="External"/><Relationship Id="rId1163" Type="http://schemas.openxmlformats.org/officeDocument/2006/relationships/hyperlink" Target="mailto:alexis.jimenez289@gmail.com" TargetMode="External"/><Relationship Id="rId1370" Type="http://schemas.openxmlformats.org/officeDocument/2006/relationships/hyperlink" Target="mailto:Karlysetterstrom2001@gmail.com" TargetMode="External"/><Relationship Id="rId740" Type="http://schemas.openxmlformats.org/officeDocument/2006/relationships/hyperlink" Target="mailto:mrmatta860@gmail.com" TargetMode="External"/><Relationship Id="rId838" Type="http://schemas.openxmlformats.org/officeDocument/2006/relationships/hyperlink" Target="mailto:lalabloom1991@gmail.com" TargetMode="External"/><Relationship Id="rId1023" Type="http://schemas.openxmlformats.org/officeDocument/2006/relationships/hyperlink" Target="mailto:ssanz09@icloud.com" TargetMode="External"/><Relationship Id="rId1468" Type="http://schemas.openxmlformats.org/officeDocument/2006/relationships/hyperlink" Target="mailto:tammy.lawrence9@icloud.com" TargetMode="External"/><Relationship Id="rId1675" Type="http://schemas.openxmlformats.org/officeDocument/2006/relationships/hyperlink" Target="mailto:mariie.jackson@icloud.com" TargetMode="External"/><Relationship Id="rId600" Type="http://schemas.openxmlformats.org/officeDocument/2006/relationships/hyperlink" Target="mailto:fishhook89@yahoo.com" TargetMode="External"/><Relationship Id="rId1230" Type="http://schemas.openxmlformats.org/officeDocument/2006/relationships/hyperlink" Target="mailto:Romariocousins37@gmail.com" TargetMode="External"/><Relationship Id="rId1328" Type="http://schemas.openxmlformats.org/officeDocument/2006/relationships/hyperlink" Target="mailto:Skyler.blake15@gmail.com" TargetMode="External"/><Relationship Id="rId1535" Type="http://schemas.openxmlformats.org/officeDocument/2006/relationships/hyperlink" Target="mailto:rwalcott@live.com" TargetMode="External"/><Relationship Id="rId905" Type="http://schemas.openxmlformats.org/officeDocument/2006/relationships/hyperlink" Target="mailto:Armynursekirb@hotmail.com" TargetMode="External"/><Relationship Id="rId1742" Type="http://schemas.openxmlformats.org/officeDocument/2006/relationships/hyperlink" Target="mailto:zainh75@yahoo.com" TargetMode="External"/><Relationship Id="rId34" Type="http://schemas.openxmlformats.org/officeDocument/2006/relationships/hyperlink" Target="mailto:joshuamforever@gmail.com" TargetMode="External"/><Relationship Id="rId1602" Type="http://schemas.openxmlformats.org/officeDocument/2006/relationships/hyperlink" Target="mailto:Christian.vega86@gmail.com" TargetMode="External"/><Relationship Id="rId183" Type="http://schemas.openxmlformats.org/officeDocument/2006/relationships/hyperlink" Target="mailto:kandets@yahoo.com" TargetMode="External"/><Relationship Id="rId390" Type="http://schemas.openxmlformats.org/officeDocument/2006/relationships/hyperlink" Target="mailto:heartofwalmart@gmail.com" TargetMode="External"/><Relationship Id="rId250" Type="http://schemas.openxmlformats.org/officeDocument/2006/relationships/hyperlink" Target="mailto:stephen.bullock33@outlook.com" TargetMode="External"/><Relationship Id="rId488" Type="http://schemas.openxmlformats.org/officeDocument/2006/relationships/hyperlink" Target="mailto:alexis.j5715@gmail.com" TargetMode="External"/><Relationship Id="rId695" Type="http://schemas.openxmlformats.org/officeDocument/2006/relationships/hyperlink" Target="mailto:willowm0207@icloud.com" TargetMode="External"/><Relationship Id="rId110" Type="http://schemas.openxmlformats.org/officeDocument/2006/relationships/hyperlink" Target="mailto:jamesly0109@gmail.com" TargetMode="External"/><Relationship Id="rId348" Type="http://schemas.openxmlformats.org/officeDocument/2006/relationships/hyperlink" Target="mailto:Rapaport369@gmail.com" TargetMode="External"/><Relationship Id="rId555" Type="http://schemas.openxmlformats.org/officeDocument/2006/relationships/hyperlink" Target="mailto:Carlajoana2018@gmail.com" TargetMode="External"/><Relationship Id="rId762" Type="http://schemas.openxmlformats.org/officeDocument/2006/relationships/hyperlink" Target="mailto:amandaedwyer119@gmail.com" TargetMode="External"/><Relationship Id="rId1185" Type="http://schemas.openxmlformats.org/officeDocument/2006/relationships/hyperlink" Target="mailto:Dredejesus4@gmail.com" TargetMode="External"/><Relationship Id="rId1392" Type="http://schemas.openxmlformats.org/officeDocument/2006/relationships/hyperlink" Target="mailto:%09akouts123@gmail.com" TargetMode="External"/><Relationship Id="rId208" Type="http://schemas.openxmlformats.org/officeDocument/2006/relationships/hyperlink" Target="mailto:angelawaldrop0428@gmail.com" TargetMode="External"/><Relationship Id="rId415" Type="http://schemas.openxmlformats.org/officeDocument/2006/relationships/hyperlink" Target="mailto:bigtexas19999@gmail.com" TargetMode="External"/><Relationship Id="rId622" Type="http://schemas.openxmlformats.org/officeDocument/2006/relationships/hyperlink" Target="mailto:shireling1380@gmail.com" TargetMode="External"/><Relationship Id="rId1045" Type="http://schemas.openxmlformats.org/officeDocument/2006/relationships/hyperlink" Target="mailto:Aaliyahthomas844@gmail.com" TargetMode="External"/><Relationship Id="rId1252" Type="http://schemas.openxmlformats.org/officeDocument/2006/relationships/hyperlink" Target="mailto:413bikelife.rico@gmail.com" TargetMode="External"/><Relationship Id="rId1697" Type="http://schemas.openxmlformats.org/officeDocument/2006/relationships/hyperlink" Target="mailto:cj_rickard@yahoo.com" TargetMode="External"/><Relationship Id="rId927" Type="http://schemas.openxmlformats.org/officeDocument/2006/relationships/hyperlink" Target="mailto:margaritaaxo@icloud.com" TargetMode="External"/><Relationship Id="rId1112" Type="http://schemas.openxmlformats.org/officeDocument/2006/relationships/hyperlink" Target="mailto:haydenwaack@gmail.com" TargetMode="External"/><Relationship Id="rId1557" Type="http://schemas.openxmlformats.org/officeDocument/2006/relationships/hyperlink" Target="mailto:gbharry@gmail.com" TargetMode="External"/><Relationship Id="rId1764" Type="http://schemas.openxmlformats.org/officeDocument/2006/relationships/hyperlink" Target="mailto:lauannydutradossantos34@gmail.com" TargetMode="External"/><Relationship Id="rId56" Type="http://schemas.openxmlformats.org/officeDocument/2006/relationships/hyperlink" Target="mailto:augustave19@gmail.com" TargetMode="External"/><Relationship Id="rId1417" Type="http://schemas.openxmlformats.org/officeDocument/2006/relationships/hyperlink" Target="mailto:S.FRANCOIS713@YAHOO.COM" TargetMode="External"/><Relationship Id="rId1624" Type="http://schemas.openxmlformats.org/officeDocument/2006/relationships/hyperlink" Target="mailto:ricomadison15@gmail.com" TargetMode="External"/><Relationship Id="rId272" Type="http://schemas.openxmlformats.org/officeDocument/2006/relationships/hyperlink" Target="mailto:provmetnathan@gmail.com" TargetMode="External"/><Relationship Id="rId577" Type="http://schemas.openxmlformats.org/officeDocument/2006/relationships/hyperlink" Target="mailto:davidvidendo@yahoo.fr" TargetMode="External"/><Relationship Id="rId132" Type="http://schemas.openxmlformats.org/officeDocument/2006/relationships/hyperlink" Target="mailto:shanedetres12@outlook.com" TargetMode="External"/><Relationship Id="rId784" Type="http://schemas.openxmlformats.org/officeDocument/2006/relationships/hyperlink" Target="mailto:garrett.rainey0411@gmail.com" TargetMode="External"/><Relationship Id="rId991" Type="http://schemas.openxmlformats.org/officeDocument/2006/relationships/hyperlink" Target="mailto:fontanezivan222@gmail.com" TargetMode="External"/><Relationship Id="rId1067" Type="http://schemas.openxmlformats.org/officeDocument/2006/relationships/hyperlink" Target="mailto:dimmydix78@gmail.com" TargetMode="External"/><Relationship Id="rId437" Type="http://schemas.openxmlformats.org/officeDocument/2006/relationships/hyperlink" Target="mailto:Matosysoo@gmail.com" TargetMode="External"/><Relationship Id="rId644" Type="http://schemas.openxmlformats.org/officeDocument/2006/relationships/hyperlink" Target="mailto:brothervv84@gmail.com" TargetMode="External"/><Relationship Id="rId851" Type="http://schemas.openxmlformats.org/officeDocument/2006/relationships/hyperlink" Target="mailto:jaizeldukes3@gmail.com" TargetMode="External"/><Relationship Id="rId1274" Type="http://schemas.openxmlformats.org/officeDocument/2006/relationships/hyperlink" Target="mailto:nchristenson@umass.edu" TargetMode="External"/><Relationship Id="rId1481" Type="http://schemas.openxmlformats.org/officeDocument/2006/relationships/hyperlink" Target="mailto:quianamcdaniel94@gmail.com" TargetMode="External"/><Relationship Id="rId1579" Type="http://schemas.openxmlformats.org/officeDocument/2006/relationships/hyperlink" Target="mailto:dianap_1981@hotmail.com" TargetMode="External"/><Relationship Id="rId504" Type="http://schemas.openxmlformats.org/officeDocument/2006/relationships/hyperlink" Target="mailto:kingyoungroland@yahoo.com" TargetMode="External"/><Relationship Id="rId711" Type="http://schemas.openxmlformats.org/officeDocument/2006/relationships/hyperlink" Target="mailto:juniorpip@yahoo.com" TargetMode="External"/><Relationship Id="rId949" Type="http://schemas.openxmlformats.org/officeDocument/2006/relationships/hyperlink" Target="mailto:romulojl2017@gmail.com" TargetMode="External"/><Relationship Id="rId1134" Type="http://schemas.openxmlformats.org/officeDocument/2006/relationships/hyperlink" Target="mailto:holiveira2400@gmail.com" TargetMode="External"/><Relationship Id="rId1341" Type="http://schemas.openxmlformats.org/officeDocument/2006/relationships/hyperlink" Target="mailto:fragosok@outlook.com" TargetMode="External"/><Relationship Id="rId1786" Type="http://schemas.openxmlformats.org/officeDocument/2006/relationships/hyperlink" Target="mailto:johnrocharicardo@gmail.com" TargetMode="External"/><Relationship Id="rId78" Type="http://schemas.openxmlformats.org/officeDocument/2006/relationships/hyperlink" Target="mailto:erionaj@gmail.com" TargetMode="External"/><Relationship Id="rId809" Type="http://schemas.openxmlformats.org/officeDocument/2006/relationships/hyperlink" Target="mailto:portergeno@yahoo.com" TargetMode="External"/><Relationship Id="rId1201" Type="http://schemas.openxmlformats.org/officeDocument/2006/relationships/hyperlink" Target="mailto:taniacvaz@icloud.com" TargetMode="External"/><Relationship Id="rId1439" Type="http://schemas.openxmlformats.org/officeDocument/2006/relationships/hyperlink" Target="mailto:akwasiadjeigh@gmail.com" TargetMode="External"/><Relationship Id="rId1646" Type="http://schemas.openxmlformats.org/officeDocument/2006/relationships/hyperlink" Target="mailto:jzr630@gmail.com" TargetMode="External"/><Relationship Id="rId1506" Type="http://schemas.openxmlformats.org/officeDocument/2006/relationships/hyperlink" Target="mailto:Ohenebakduah2@gmail.com" TargetMode="External"/><Relationship Id="rId1713" Type="http://schemas.openxmlformats.org/officeDocument/2006/relationships/hyperlink" Target="mailto:timdufresne73@gmail.com" TargetMode="External"/><Relationship Id="rId294" Type="http://schemas.openxmlformats.org/officeDocument/2006/relationships/hyperlink" Target="mailto:jazlynnflecha@gmail.com" TargetMode="External"/><Relationship Id="rId154" Type="http://schemas.openxmlformats.org/officeDocument/2006/relationships/hyperlink" Target="mailto:johnlacroix913@yahoo.com" TargetMode="External"/><Relationship Id="rId361" Type="http://schemas.openxmlformats.org/officeDocument/2006/relationships/hyperlink" Target="mailto:aleksialeksi705@gmail.com" TargetMode="External"/><Relationship Id="rId599" Type="http://schemas.openxmlformats.org/officeDocument/2006/relationships/hyperlink" Target="mailto:yeboahernestct@gmail.com" TargetMode="External"/><Relationship Id="rId459" Type="http://schemas.openxmlformats.org/officeDocument/2006/relationships/hyperlink" Target="mailto:zacharyrogers278@gmail.com" TargetMode="External"/><Relationship Id="rId666" Type="http://schemas.openxmlformats.org/officeDocument/2006/relationships/hyperlink" Target="mailto:leahninobla30@gmail.com" TargetMode="External"/><Relationship Id="rId873" Type="http://schemas.openxmlformats.org/officeDocument/2006/relationships/hyperlink" Target="mailto:charles.jhonson@yahoo.com" TargetMode="External"/><Relationship Id="rId1089" Type="http://schemas.openxmlformats.org/officeDocument/2006/relationships/hyperlink" Target="mailto:jillianwilliams540@gmail.com" TargetMode="External"/><Relationship Id="rId1296" Type="http://schemas.openxmlformats.org/officeDocument/2006/relationships/hyperlink" Target="mailto:jaelynexcellent@gmail.com" TargetMode="External"/><Relationship Id="rId221" Type="http://schemas.openxmlformats.org/officeDocument/2006/relationships/hyperlink" Target="mailto:charlessunny1@gmail.com" TargetMode="External"/><Relationship Id="rId319" Type="http://schemas.openxmlformats.org/officeDocument/2006/relationships/hyperlink" Target="mailto:santiagoyamilett3@gmail.com" TargetMode="External"/><Relationship Id="rId526" Type="http://schemas.openxmlformats.org/officeDocument/2006/relationships/hyperlink" Target="mailto:michaud.kalyn@gmail.com" TargetMode="External"/><Relationship Id="rId1156" Type="http://schemas.openxmlformats.org/officeDocument/2006/relationships/hyperlink" Target="mailto:Garciafps1@outlook.com" TargetMode="External"/><Relationship Id="rId1363" Type="http://schemas.openxmlformats.org/officeDocument/2006/relationships/hyperlink" Target="mailto:mediazr1@icloud.com" TargetMode="External"/><Relationship Id="rId733" Type="http://schemas.openxmlformats.org/officeDocument/2006/relationships/hyperlink" Target="mailto:venturasons@gmail.com" TargetMode="External"/><Relationship Id="rId940" Type="http://schemas.openxmlformats.org/officeDocument/2006/relationships/hyperlink" Target="mailto:ckempa88@gmail.com" TargetMode="External"/><Relationship Id="rId1016" Type="http://schemas.openxmlformats.org/officeDocument/2006/relationships/hyperlink" Target="mailto:dayshawnjeanlouis@icloud.com" TargetMode="External"/><Relationship Id="rId1570" Type="http://schemas.openxmlformats.org/officeDocument/2006/relationships/hyperlink" Target="mailto:perez.antonyj@gmail.com" TargetMode="External"/><Relationship Id="rId1668" Type="http://schemas.openxmlformats.org/officeDocument/2006/relationships/hyperlink" Target="mailto:Letslopezjulian@proton.me" TargetMode="External"/><Relationship Id="rId800" Type="http://schemas.openxmlformats.org/officeDocument/2006/relationships/hyperlink" Target="mailto:ronaldbenn99@gmail.con" TargetMode="External"/><Relationship Id="rId1223" Type="http://schemas.openxmlformats.org/officeDocument/2006/relationships/hyperlink" Target="mailto:vanessadaniellecouto@gmail.com" TargetMode="External"/><Relationship Id="rId1430" Type="http://schemas.openxmlformats.org/officeDocument/2006/relationships/hyperlink" Target="mailto:seanstealth@icloud.com" TargetMode="External"/><Relationship Id="rId1528" Type="http://schemas.openxmlformats.org/officeDocument/2006/relationships/hyperlink" Target="mailto:jcannon@csimail.org" TargetMode="External"/><Relationship Id="rId1735" Type="http://schemas.openxmlformats.org/officeDocument/2006/relationships/hyperlink" Target="mailto:bsanon512@gmail.com" TargetMode="External"/><Relationship Id="rId27" Type="http://schemas.openxmlformats.org/officeDocument/2006/relationships/hyperlink" Target="mailto:Dineentyler@icloud.com" TargetMode="External"/><Relationship Id="rId1802" Type="http://schemas.openxmlformats.org/officeDocument/2006/relationships/hyperlink" Target="mailto:jannymedrano@yahoo.com" TargetMode="External"/><Relationship Id="rId176" Type="http://schemas.openxmlformats.org/officeDocument/2006/relationships/hyperlink" Target="mailto:quasisuga@gmail.com" TargetMode="External"/><Relationship Id="rId383" Type="http://schemas.openxmlformats.org/officeDocument/2006/relationships/hyperlink" Target="mailto:kamjesh2005@gmail.com" TargetMode="External"/><Relationship Id="rId590" Type="http://schemas.openxmlformats.org/officeDocument/2006/relationships/hyperlink" Target="mailto:godlovekan@yahoo.com" TargetMode="External"/><Relationship Id="rId243" Type="http://schemas.openxmlformats.org/officeDocument/2006/relationships/hyperlink" Target="mailto:kharikindell40@gmail.com" TargetMode="External"/><Relationship Id="rId450" Type="http://schemas.openxmlformats.org/officeDocument/2006/relationships/hyperlink" Target="mailto:Lleger5650@gmail.com" TargetMode="External"/><Relationship Id="rId688" Type="http://schemas.openxmlformats.org/officeDocument/2006/relationships/hyperlink" Target="mailto:lucia.monestime@gmail.com" TargetMode="External"/><Relationship Id="rId895" Type="http://schemas.openxmlformats.org/officeDocument/2006/relationships/hyperlink" Target="mailto:jeffdamico08@gmail.com" TargetMode="External"/><Relationship Id="rId1080" Type="http://schemas.openxmlformats.org/officeDocument/2006/relationships/hyperlink" Target="mailto:costejeffrey123@gmail.com" TargetMode="External"/><Relationship Id="rId103" Type="http://schemas.openxmlformats.org/officeDocument/2006/relationships/hyperlink" Target="mailto:cheahangc@gmail.com" TargetMode="External"/><Relationship Id="rId310" Type="http://schemas.openxmlformats.org/officeDocument/2006/relationships/hyperlink" Target="mailto:colon.edni@yahoo.com" TargetMode="External"/><Relationship Id="rId548" Type="http://schemas.openxmlformats.org/officeDocument/2006/relationships/hyperlink" Target="mailto:m12xgiggles@gmail.com" TargetMode="External"/><Relationship Id="rId755" Type="http://schemas.openxmlformats.org/officeDocument/2006/relationships/hyperlink" Target="mailto:colsonmychelle16@gmail.com" TargetMode="External"/><Relationship Id="rId962" Type="http://schemas.openxmlformats.org/officeDocument/2006/relationships/hyperlink" Target="mailto:nick.stoney021@gmail.com" TargetMode="External"/><Relationship Id="rId1178" Type="http://schemas.openxmlformats.org/officeDocument/2006/relationships/hyperlink" Target="mailto:Mauriceafrancis82@gmail.com" TargetMode="External"/><Relationship Id="rId1385" Type="http://schemas.openxmlformats.org/officeDocument/2006/relationships/hyperlink" Target="mailto:nicholask2003@gmail.com" TargetMode="External"/><Relationship Id="rId1592" Type="http://schemas.openxmlformats.org/officeDocument/2006/relationships/hyperlink" Target="mailto:jlagoy2014@gmail.com" TargetMode="External"/><Relationship Id="rId91" Type="http://schemas.openxmlformats.org/officeDocument/2006/relationships/hyperlink" Target="mailto:dayshon211@gmail.com" TargetMode="External"/><Relationship Id="rId408" Type="http://schemas.openxmlformats.org/officeDocument/2006/relationships/hyperlink" Target="mailto:frankedward703@gmail.com" TargetMode="External"/><Relationship Id="rId615" Type="http://schemas.openxmlformats.org/officeDocument/2006/relationships/hyperlink" Target="mailto:bigmikecoop17@gmail.com" TargetMode="External"/><Relationship Id="rId822" Type="http://schemas.openxmlformats.org/officeDocument/2006/relationships/hyperlink" Target="mailto:jesafife@veteransinc.org" TargetMode="External"/><Relationship Id="rId1038" Type="http://schemas.openxmlformats.org/officeDocument/2006/relationships/hyperlink" Target="mailto:mergillesem@yahoo.com" TargetMode="External"/><Relationship Id="rId1245" Type="http://schemas.openxmlformats.org/officeDocument/2006/relationships/hyperlink" Target="mailto:edlopez282@gmail.com" TargetMode="External"/><Relationship Id="rId1452" Type="http://schemas.openxmlformats.org/officeDocument/2006/relationships/hyperlink" Target="mailto:mosesbrisson@icloud.com" TargetMode="External"/><Relationship Id="rId1105" Type="http://schemas.openxmlformats.org/officeDocument/2006/relationships/hyperlink" Target="mailto:a13cabral@student.bridgew.edu" TargetMode="External"/><Relationship Id="rId1312" Type="http://schemas.openxmlformats.org/officeDocument/2006/relationships/hyperlink" Target="mailto:nathiorellana818@gmail.com" TargetMode="External"/><Relationship Id="rId1757" Type="http://schemas.openxmlformats.org/officeDocument/2006/relationships/hyperlink" Target="mailto:jay.benzzzz1@gmail.com" TargetMode="External"/><Relationship Id="rId49" Type="http://schemas.openxmlformats.org/officeDocument/2006/relationships/hyperlink" Target="mailto:sweetheart554@aol.com" TargetMode="External"/><Relationship Id="rId1617" Type="http://schemas.openxmlformats.org/officeDocument/2006/relationships/hyperlink" Target="mailto:melvincuevas051@gmail.com" TargetMode="External"/><Relationship Id="rId1824" Type="http://schemas.openxmlformats.org/officeDocument/2006/relationships/hyperlink" Target="mailto:zacharyluzier@yahoo.com" TargetMode="External"/><Relationship Id="rId198" Type="http://schemas.openxmlformats.org/officeDocument/2006/relationships/hyperlink" Target="mailto:moralesjo21321@gmail.com" TargetMode="External"/><Relationship Id="rId265" Type="http://schemas.openxmlformats.org/officeDocument/2006/relationships/hyperlink" Target="mailto:rikensonpieerre@gmail.com" TargetMode="External"/><Relationship Id="rId472" Type="http://schemas.openxmlformats.org/officeDocument/2006/relationships/hyperlink" Target="mailto:Mengual1280@yahoo.fr" TargetMode="External"/><Relationship Id="rId125" Type="http://schemas.openxmlformats.org/officeDocument/2006/relationships/hyperlink" Target="mailto:zamorevlad@gmail.com" TargetMode="External"/><Relationship Id="rId332" Type="http://schemas.openxmlformats.org/officeDocument/2006/relationships/hyperlink" Target="mailto:DYANEZ9867@ICLOUD.COM" TargetMode="External"/><Relationship Id="rId777" Type="http://schemas.openxmlformats.org/officeDocument/2006/relationships/hyperlink" Target="mailto:darylafrance93@gmail.com" TargetMode="External"/><Relationship Id="rId984" Type="http://schemas.openxmlformats.org/officeDocument/2006/relationships/hyperlink" Target="mailto:Gedeon.Endeshaw85@gmail.com" TargetMode="External"/><Relationship Id="rId637" Type="http://schemas.openxmlformats.org/officeDocument/2006/relationships/hyperlink" Target="mailto:Carrascojennifer222@gmail.com" TargetMode="External"/><Relationship Id="rId844" Type="http://schemas.openxmlformats.org/officeDocument/2006/relationships/hyperlink" Target="mailto:trevonc44@gmail.com" TargetMode="External"/><Relationship Id="rId1267" Type="http://schemas.openxmlformats.org/officeDocument/2006/relationships/hyperlink" Target="mailto:mtyyoung@gmail.com" TargetMode="External"/><Relationship Id="rId1474" Type="http://schemas.openxmlformats.org/officeDocument/2006/relationships/hyperlink" Target="mailto:woodlinemaignan@gmail.com" TargetMode="External"/><Relationship Id="rId1681" Type="http://schemas.openxmlformats.org/officeDocument/2006/relationships/hyperlink" Target="mailto:EverettGoggans@comcast.net" TargetMode="External"/><Relationship Id="rId704" Type="http://schemas.openxmlformats.org/officeDocument/2006/relationships/hyperlink" Target="mailto:Ralbertelli4@yahoo.com" TargetMode="External"/><Relationship Id="rId911" Type="http://schemas.openxmlformats.org/officeDocument/2006/relationships/hyperlink" Target="mailto:psimister@yahoo.com" TargetMode="External"/><Relationship Id="rId1127" Type="http://schemas.openxmlformats.org/officeDocument/2006/relationships/hyperlink" Target="mailto:nerlande.paul@gmail.com" TargetMode="External"/><Relationship Id="rId1334" Type="http://schemas.openxmlformats.org/officeDocument/2006/relationships/hyperlink" Target="mailto:fathermike2005@gmail.com" TargetMode="External"/><Relationship Id="rId1541" Type="http://schemas.openxmlformats.org/officeDocument/2006/relationships/hyperlink" Target="mailto:kellyantonia.2411@gmail.com" TargetMode="External"/><Relationship Id="rId1779" Type="http://schemas.openxmlformats.org/officeDocument/2006/relationships/hyperlink" Target="mailto:brittneysmith1093@icloud.com" TargetMode="External"/><Relationship Id="rId40" Type="http://schemas.openxmlformats.org/officeDocument/2006/relationships/hyperlink" Target="mailto:browderajaia@gmail.com" TargetMode="External"/><Relationship Id="rId1401" Type="http://schemas.openxmlformats.org/officeDocument/2006/relationships/hyperlink" Target="mailto:%09tdavis8710@gmail.com" TargetMode="External"/><Relationship Id="rId1639" Type="http://schemas.openxmlformats.org/officeDocument/2006/relationships/hyperlink" Target="mailto:abeauzile@miltonps.org" TargetMode="External"/><Relationship Id="rId1706" Type="http://schemas.openxmlformats.org/officeDocument/2006/relationships/hyperlink" Target="mailto:Sam.semedo25@gmail.com" TargetMode="External"/><Relationship Id="rId287" Type="http://schemas.openxmlformats.org/officeDocument/2006/relationships/hyperlink" Target="mailto:joesawchuk1@gmail.com" TargetMode="External"/><Relationship Id="rId494" Type="http://schemas.openxmlformats.org/officeDocument/2006/relationships/hyperlink" Target="mailto:ssedivy1149@westfield.ma.edu" TargetMode="External"/><Relationship Id="rId147" Type="http://schemas.openxmlformats.org/officeDocument/2006/relationships/hyperlink" Target="mailto:damienrodriguez266@gmail.com" TargetMode="External"/><Relationship Id="rId354" Type="http://schemas.openxmlformats.org/officeDocument/2006/relationships/hyperlink" Target="mailto:jpb9786@yahoo.com" TargetMode="External"/><Relationship Id="rId799" Type="http://schemas.openxmlformats.org/officeDocument/2006/relationships/hyperlink" Target="mailto:bernardp531@gmail.com" TargetMode="External"/><Relationship Id="rId1191" Type="http://schemas.openxmlformats.org/officeDocument/2006/relationships/hyperlink" Target="mailto:asulkis@gmail.com" TargetMode="External"/><Relationship Id="rId561" Type="http://schemas.openxmlformats.org/officeDocument/2006/relationships/hyperlink" Target="mailto:taihuynh280697@gmail.com" TargetMode="External"/><Relationship Id="rId659" Type="http://schemas.openxmlformats.org/officeDocument/2006/relationships/hyperlink" Target="mailto:jairsonlopes49@gmail.com" TargetMode="External"/><Relationship Id="rId866" Type="http://schemas.openxmlformats.org/officeDocument/2006/relationships/hyperlink" Target="mailto:jaichris25@gmail.com" TargetMode="External"/><Relationship Id="rId1289" Type="http://schemas.openxmlformats.org/officeDocument/2006/relationships/hyperlink" Target="mailto:tecaterunner@gmail.com" TargetMode="External"/><Relationship Id="rId1496" Type="http://schemas.openxmlformats.org/officeDocument/2006/relationships/hyperlink" Target="mailto:dcforgie@outlook.com" TargetMode="External"/><Relationship Id="rId214" Type="http://schemas.openxmlformats.org/officeDocument/2006/relationships/hyperlink" Target="mailto:mosesmaparyan@gmail.com" TargetMode="External"/><Relationship Id="rId421" Type="http://schemas.openxmlformats.org/officeDocument/2006/relationships/hyperlink" Target="mailto:Richm71197@gmail.com" TargetMode="External"/><Relationship Id="rId519" Type="http://schemas.openxmlformats.org/officeDocument/2006/relationships/hyperlink" Target="mailto:alaaalddin3@gmail.com" TargetMode="External"/><Relationship Id="rId1051" Type="http://schemas.openxmlformats.org/officeDocument/2006/relationships/hyperlink" Target="mailto:estack@students.stonehill.edu" TargetMode="External"/><Relationship Id="rId1149" Type="http://schemas.openxmlformats.org/officeDocument/2006/relationships/hyperlink" Target="mailto:Shicorasaydee@icloud.com" TargetMode="External"/><Relationship Id="rId1356" Type="http://schemas.openxmlformats.org/officeDocument/2006/relationships/hyperlink" Target="mailto:bjansen2022@gmail.com" TargetMode="External"/><Relationship Id="rId726" Type="http://schemas.openxmlformats.org/officeDocument/2006/relationships/hyperlink" Target="mailto:chris.lewis876@outlook.com" TargetMode="External"/><Relationship Id="rId933" Type="http://schemas.openxmlformats.org/officeDocument/2006/relationships/hyperlink" Target="mailto:ppdesir@gmail.com" TargetMode="External"/><Relationship Id="rId1009" Type="http://schemas.openxmlformats.org/officeDocument/2006/relationships/hyperlink" Target="mailto:dylan@sciallis.com" TargetMode="External"/><Relationship Id="rId1563" Type="http://schemas.openxmlformats.org/officeDocument/2006/relationships/hyperlink" Target="mailto:Gonzalezfranklin6052@gmail.com" TargetMode="External"/><Relationship Id="rId1770" Type="http://schemas.openxmlformats.org/officeDocument/2006/relationships/hyperlink" Target="mailto:domingos75cv@gmail.com" TargetMode="External"/><Relationship Id="rId62" Type="http://schemas.openxmlformats.org/officeDocument/2006/relationships/hyperlink" Target="mailto:jvarilus@gmail.com" TargetMode="External"/><Relationship Id="rId1216" Type="http://schemas.openxmlformats.org/officeDocument/2006/relationships/hyperlink" Target="mailto:asouza.1987.as@gmail.com" TargetMode="External"/><Relationship Id="rId1423" Type="http://schemas.openxmlformats.org/officeDocument/2006/relationships/hyperlink" Target="mailto:nelvinrodriguez746@gmail.com" TargetMode="External"/><Relationship Id="rId1630" Type="http://schemas.openxmlformats.org/officeDocument/2006/relationships/hyperlink" Target="mailto:duevaughnh@gmail.com" TargetMode="External"/><Relationship Id="rId1728" Type="http://schemas.openxmlformats.org/officeDocument/2006/relationships/hyperlink" Target="mailto:chel.leigh98@icloud.com" TargetMode="External"/><Relationship Id="rId169" Type="http://schemas.openxmlformats.org/officeDocument/2006/relationships/hyperlink" Target="mailto:scottlmj20002@gmail.com" TargetMode="External"/><Relationship Id="rId376" Type="http://schemas.openxmlformats.org/officeDocument/2006/relationships/hyperlink" Target="mailto:mamitanisha1@icloud.com" TargetMode="External"/><Relationship Id="rId583" Type="http://schemas.openxmlformats.org/officeDocument/2006/relationships/hyperlink" Target="mailto:guimaraesdudu@hotmail.com" TargetMode="External"/><Relationship Id="rId790" Type="http://schemas.openxmlformats.org/officeDocument/2006/relationships/hyperlink" Target="mailto:antwone12@gmail.com" TargetMode="External"/><Relationship Id="rId4" Type="http://schemas.openxmlformats.org/officeDocument/2006/relationships/hyperlink" Target="mailto:besangbedoo@gmail.com" TargetMode="External"/><Relationship Id="rId236" Type="http://schemas.openxmlformats.org/officeDocument/2006/relationships/hyperlink" Target="mailto:syysimmons19994@gmail.com" TargetMode="External"/><Relationship Id="rId443" Type="http://schemas.openxmlformats.org/officeDocument/2006/relationships/hyperlink" Target="mailto:kazeemjimoh85@icloud.com" TargetMode="External"/><Relationship Id="rId650" Type="http://schemas.openxmlformats.org/officeDocument/2006/relationships/hyperlink" Target="mailto:jaydenbiggi4@gmail.com" TargetMode="External"/><Relationship Id="rId888" Type="http://schemas.openxmlformats.org/officeDocument/2006/relationships/hyperlink" Target="mailto:jaylenequezada54@gmail.com" TargetMode="External"/><Relationship Id="rId1073" Type="http://schemas.openxmlformats.org/officeDocument/2006/relationships/hyperlink" Target="mailto:Chouston2001@gmail.com" TargetMode="External"/><Relationship Id="rId1280" Type="http://schemas.openxmlformats.org/officeDocument/2006/relationships/hyperlink" Target="mailto:Tmtito@gmail.com" TargetMode="External"/><Relationship Id="rId303" Type="http://schemas.openxmlformats.org/officeDocument/2006/relationships/hyperlink" Target="mailto:milliscentj@gmail.com" TargetMode="External"/><Relationship Id="rId748" Type="http://schemas.openxmlformats.org/officeDocument/2006/relationships/hyperlink" Target="mailto:Devonbradley96@gmail.com" TargetMode="External"/><Relationship Id="rId955" Type="http://schemas.openxmlformats.org/officeDocument/2006/relationships/hyperlink" Target="mailto:mindypierre@yahoo.com" TargetMode="External"/><Relationship Id="rId1140" Type="http://schemas.openxmlformats.org/officeDocument/2006/relationships/hyperlink" Target="mailto:searchfgold67899@live.com" TargetMode="External"/><Relationship Id="rId1378" Type="http://schemas.openxmlformats.org/officeDocument/2006/relationships/hyperlink" Target="mailto:elprofeta742@gmail.com" TargetMode="External"/><Relationship Id="rId1585" Type="http://schemas.openxmlformats.org/officeDocument/2006/relationships/hyperlink" Target="mailto:abdihassan28@gmail.com" TargetMode="External"/><Relationship Id="rId1792" Type="http://schemas.openxmlformats.org/officeDocument/2006/relationships/hyperlink" Target="mailto:michalcastro2007@gmail.com" TargetMode="External"/><Relationship Id="rId84" Type="http://schemas.openxmlformats.org/officeDocument/2006/relationships/hyperlink" Target="mailto:hamad_wael2000@yahoo.com" TargetMode="External"/><Relationship Id="rId510" Type="http://schemas.openxmlformats.org/officeDocument/2006/relationships/hyperlink" Target="mailto:paasewealexander@gmail.com" TargetMode="External"/><Relationship Id="rId608" Type="http://schemas.openxmlformats.org/officeDocument/2006/relationships/hyperlink" Target="mailto:Kevincasimir331@gmail.com" TargetMode="External"/><Relationship Id="rId815" Type="http://schemas.openxmlformats.org/officeDocument/2006/relationships/hyperlink" Target="mailto:hharrington@gmail.com" TargetMode="External"/><Relationship Id="rId1238" Type="http://schemas.openxmlformats.org/officeDocument/2006/relationships/hyperlink" Target="mailto:Sebastianlariosa@yahoo.com" TargetMode="External"/><Relationship Id="rId1445" Type="http://schemas.openxmlformats.org/officeDocument/2006/relationships/hyperlink" Target="mailto:pickardkyra08@gmail.com" TargetMode="External"/><Relationship Id="rId1652" Type="http://schemas.openxmlformats.org/officeDocument/2006/relationships/hyperlink" Target="mailto:Rositta85@gmail.com" TargetMode="External"/><Relationship Id="rId1000" Type="http://schemas.openxmlformats.org/officeDocument/2006/relationships/hyperlink" Target="mailto:Webert3576@gmail.com" TargetMode="External"/><Relationship Id="rId1305" Type="http://schemas.openxmlformats.org/officeDocument/2006/relationships/hyperlink" Target="mailto:achley67@gmail.com" TargetMode="External"/><Relationship Id="rId1512" Type="http://schemas.openxmlformats.org/officeDocument/2006/relationships/hyperlink" Target="mailto:gnerosil86@gmail.com" TargetMode="External"/><Relationship Id="rId1817" Type="http://schemas.openxmlformats.org/officeDocument/2006/relationships/hyperlink" Target="mailto:riconmadison15@gmail.com" TargetMode="External"/><Relationship Id="rId11" Type="http://schemas.openxmlformats.org/officeDocument/2006/relationships/hyperlink" Target="mailto:ruizk5632@gmail.com" TargetMode="External"/><Relationship Id="rId398" Type="http://schemas.openxmlformats.org/officeDocument/2006/relationships/hyperlink" Target="mailto:leahbuckland9@gmail.com" TargetMode="External"/><Relationship Id="rId160" Type="http://schemas.openxmlformats.org/officeDocument/2006/relationships/hyperlink" Target="mailto:Montinalande@gmail.com" TargetMode="External"/><Relationship Id="rId258" Type="http://schemas.openxmlformats.org/officeDocument/2006/relationships/hyperlink" Target="mailto:Estevaoavelino7@gmail.com" TargetMode="External"/><Relationship Id="rId465" Type="http://schemas.openxmlformats.org/officeDocument/2006/relationships/hyperlink" Target="mailto:ijonbiba@outlook.com" TargetMode="External"/><Relationship Id="rId672" Type="http://schemas.openxmlformats.org/officeDocument/2006/relationships/hyperlink" Target="mailto:nuzzodomanic1026@icloud.com" TargetMode="External"/><Relationship Id="rId1095" Type="http://schemas.openxmlformats.org/officeDocument/2006/relationships/hyperlink" Target="mailto:catalinagp12@gmail.com" TargetMode="External"/><Relationship Id="rId118" Type="http://schemas.openxmlformats.org/officeDocument/2006/relationships/hyperlink" Target="mailto:ohiemhamad@gmail.com" TargetMode="External"/><Relationship Id="rId325" Type="http://schemas.openxmlformats.org/officeDocument/2006/relationships/hyperlink" Target="mailto:patricejoseph20@gmail.com" TargetMode="External"/><Relationship Id="rId532" Type="http://schemas.openxmlformats.org/officeDocument/2006/relationships/hyperlink" Target="mailto:Clintonofosuhene10@gmail.com" TargetMode="External"/><Relationship Id="rId977" Type="http://schemas.openxmlformats.org/officeDocument/2006/relationships/hyperlink" Target="mailto:cabrera519007@gmail.com" TargetMode="External"/><Relationship Id="rId1162" Type="http://schemas.openxmlformats.org/officeDocument/2006/relationships/hyperlink" Target="mailto:tmit12498@gmail.com" TargetMode="External"/><Relationship Id="rId837" Type="http://schemas.openxmlformats.org/officeDocument/2006/relationships/hyperlink" Target="mailto:rob5rb@aol.com" TargetMode="External"/><Relationship Id="rId1022" Type="http://schemas.openxmlformats.org/officeDocument/2006/relationships/hyperlink" Target="mailto:theresaakuffo95@gmail.com" TargetMode="External"/><Relationship Id="rId1467" Type="http://schemas.openxmlformats.org/officeDocument/2006/relationships/hyperlink" Target="mailto:javierc.rtt@gmail.com" TargetMode="External"/><Relationship Id="rId1674" Type="http://schemas.openxmlformats.org/officeDocument/2006/relationships/hyperlink" Target="mailto:mamunbabu@hotmail.com" TargetMode="External"/><Relationship Id="rId269" Type="http://schemas.openxmlformats.org/officeDocument/2006/relationships/hyperlink" Target="mailto:lav.srinivass07@gmail.com" TargetMode="External"/><Relationship Id="rId476" Type="http://schemas.openxmlformats.org/officeDocument/2006/relationships/hyperlink" Target="mailto:Adomako_george@yahoo.com" TargetMode="External"/><Relationship Id="rId683" Type="http://schemas.openxmlformats.org/officeDocument/2006/relationships/hyperlink" Target="mailto:william.luciano.kelley@gmail.com" TargetMode="External"/><Relationship Id="rId890" Type="http://schemas.openxmlformats.org/officeDocument/2006/relationships/hyperlink" Target="mailto:jobalexa.777@gmail.com" TargetMode="External"/><Relationship Id="rId904" Type="http://schemas.openxmlformats.org/officeDocument/2006/relationships/hyperlink" Target="mailto:delvoixwesly@gmail.com" TargetMode="External"/><Relationship Id="rId1327" Type="http://schemas.openxmlformats.org/officeDocument/2006/relationships/hyperlink" Target="mailto:jordanedixon83@gmail.com" TargetMode="External"/><Relationship Id="rId1534" Type="http://schemas.openxmlformats.org/officeDocument/2006/relationships/hyperlink" Target="mailto:jimmyventura8787@yahoo.com" TargetMode="External"/><Relationship Id="rId1741" Type="http://schemas.openxmlformats.org/officeDocument/2006/relationships/hyperlink" Target="mailto:Svicent499@gmail.com" TargetMode="External"/><Relationship Id="rId33" Type="http://schemas.openxmlformats.org/officeDocument/2006/relationships/hyperlink" Target="mailto:prysone@gmail.com" TargetMode="External"/><Relationship Id="rId129" Type="http://schemas.openxmlformats.org/officeDocument/2006/relationships/hyperlink" Target="mailto:eric.mendez6@gmail.com" TargetMode="External"/><Relationship Id="rId336" Type="http://schemas.openxmlformats.org/officeDocument/2006/relationships/hyperlink" Target="mailto:msmith.ja7@gmail.com" TargetMode="External"/><Relationship Id="rId543" Type="http://schemas.openxmlformats.org/officeDocument/2006/relationships/hyperlink" Target="mailto:adam.hakizimana@gmail.com" TargetMode="External"/><Relationship Id="rId988" Type="http://schemas.openxmlformats.org/officeDocument/2006/relationships/hyperlink" Target="mailto:Harpersage44@gmail.com" TargetMode="External"/><Relationship Id="rId1173" Type="http://schemas.openxmlformats.org/officeDocument/2006/relationships/hyperlink" Target="mailto:durandyvesday@gmail.com" TargetMode="External"/><Relationship Id="rId1380" Type="http://schemas.openxmlformats.org/officeDocument/2006/relationships/hyperlink" Target="mailto:christianhaddock4@gmail.com" TargetMode="External"/><Relationship Id="rId1601" Type="http://schemas.openxmlformats.org/officeDocument/2006/relationships/hyperlink" Target="mailto:aqusmc@gmail.com" TargetMode="External"/><Relationship Id="rId182" Type="http://schemas.openxmlformats.org/officeDocument/2006/relationships/hyperlink" Target="mailto:jamfi84@gmail.com" TargetMode="External"/><Relationship Id="rId403" Type="http://schemas.openxmlformats.org/officeDocument/2006/relationships/hyperlink" Target="mailto:Nicholasgohson@gmail.com" TargetMode="External"/><Relationship Id="rId750" Type="http://schemas.openxmlformats.org/officeDocument/2006/relationships/hyperlink" Target="mailto:ricardog3615@gmail.com" TargetMode="External"/><Relationship Id="rId848" Type="http://schemas.openxmlformats.org/officeDocument/2006/relationships/hyperlink" Target="mailto:AbdinaCisse57@gmail.com" TargetMode="External"/><Relationship Id="rId1033" Type="http://schemas.openxmlformats.org/officeDocument/2006/relationships/hyperlink" Target="mailto:Whytecynthia337@gmail.com" TargetMode="External"/><Relationship Id="rId1478" Type="http://schemas.openxmlformats.org/officeDocument/2006/relationships/hyperlink" Target="mailto:deamelberroa@gmail.com" TargetMode="External"/><Relationship Id="rId1685" Type="http://schemas.openxmlformats.org/officeDocument/2006/relationships/hyperlink" Target="mailto:Kgcreative23@gmail.com" TargetMode="External"/><Relationship Id="rId487" Type="http://schemas.openxmlformats.org/officeDocument/2006/relationships/hyperlink" Target="mailto:tylerjones2913@yahoo.com" TargetMode="External"/><Relationship Id="rId610" Type="http://schemas.openxmlformats.org/officeDocument/2006/relationships/hyperlink" Target="mailto:petionricardo6@gmail.com" TargetMode="External"/><Relationship Id="rId694" Type="http://schemas.openxmlformats.org/officeDocument/2006/relationships/hyperlink" Target="mailto:brookebay03@gmail.com" TargetMode="External"/><Relationship Id="rId708" Type="http://schemas.openxmlformats.org/officeDocument/2006/relationships/hyperlink" Target="mailto:patrick.kelley93@icloud.com" TargetMode="External"/><Relationship Id="rId915" Type="http://schemas.openxmlformats.org/officeDocument/2006/relationships/hyperlink" Target="mailto:yuls52012@icloud.com" TargetMode="External"/><Relationship Id="rId1240" Type="http://schemas.openxmlformats.org/officeDocument/2006/relationships/hyperlink" Target="mailto:dalishamarrero1@gmail.com" TargetMode="External"/><Relationship Id="rId1338" Type="http://schemas.openxmlformats.org/officeDocument/2006/relationships/hyperlink" Target="mailto:afranbikele@gmail.com" TargetMode="External"/><Relationship Id="rId1545" Type="http://schemas.openxmlformats.org/officeDocument/2006/relationships/hyperlink" Target="mailto:ajcr.610@gmail.com" TargetMode="External"/><Relationship Id="rId347" Type="http://schemas.openxmlformats.org/officeDocument/2006/relationships/hyperlink" Target="mailto:ansunkz@yahoo.com" TargetMode="External"/><Relationship Id="rId999" Type="http://schemas.openxmlformats.org/officeDocument/2006/relationships/hyperlink" Target="mailto:aborden881@gmail.com" TargetMode="External"/><Relationship Id="rId1100" Type="http://schemas.openxmlformats.org/officeDocument/2006/relationships/hyperlink" Target="mailto:purplepop1685@gmail.com" TargetMode="External"/><Relationship Id="rId1184" Type="http://schemas.openxmlformats.org/officeDocument/2006/relationships/hyperlink" Target="mailto:kogstarghana@gmail.com" TargetMode="External"/><Relationship Id="rId1405" Type="http://schemas.openxmlformats.org/officeDocument/2006/relationships/hyperlink" Target="mailto:%09enairaw@gmail.com" TargetMode="External"/><Relationship Id="rId1752" Type="http://schemas.openxmlformats.org/officeDocument/2006/relationships/hyperlink" Target="mailto:santiagoeliel2006@gmail.com" TargetMode="External"/><Relationship Id="rId44" Type="http://schemas.openxmlformats.org/officeDocument/2006/relationships/hyperlink" Target="mailto:ertel.ark63@g.ail.com" TargetMode="External"/><Relationship Id="rId554" Type="http://schemas.openxmlformats.org/officeDocument/2006/relationships/hyperlink" Target="mailto:kelly.salesbatista@gmail.com" TargetMode="External"/><Relationship Id="rId761" Type="http://schemas.openxmlformats.org/officeDocument/2006/relationships/hyperlink" Target="mailto:jjmcdonnell3@gmail.com" TargetMode="External"/><Relationship Id="rId859" Type="http://schemas.openxmlformats.org/officeDocument/2006/relationships/hyperlink" Target="mailto:yar.ayuel@gmail.com" TargetMode="External"/><Relationship Id="rId1391" Type="http://schemas.openxmlformats.org/officeDocument/2006/relationships/hyperlink" Target="mailto:vmm02366@su.suffolk.edu" TargetMode="External"/><Relationship Id="rId1489" Type="http://schemas.openxmlformats.org/officeDocument/2006/relationships/hyperlink" Target="mailto:rkeogy@gmail.com" TargetMode="External"/><Relationship Id="rId1612" Type="http://schemas.openxmlformats.org/officeDocument/2006/relationships/hyperlink" Target="mailto:exantus.alcimbert@gmail.com" TargetMode="External"/><Relationship Id="rId1696" Type="http://schemas.openxmlformats.org/officeDocument/2006/relationships/hyperlink" Target="mailto:mryan1811@gmail.com" TargetMode="External"/><Relationship Id="rId193" Type="http://schemas.openxmlformats.org/officeDocument/2006/relationships/hyperlink" Target="mailto:ninabillbill@gmail.com" TargetMode="External"/><Relationship Id="rId207" Type="http://schemas.openxmlformats.org/officeDocument/2006/relationships/hyperlink" Target="mailto:TristonChampagnie@gmail.com" TargetMode="External"/><Relationship Id="rId414" Type="http://schemas.openxmlformats.org/officeDocument/2006/relationships/hyperlink" Target="mailto:cassidymelendez413@gmail.com" TargetMode="External"/><Relationship Id="rId498" Type="http://schemas.openxmlformats.org/officeDocument/2006/relationships/hyperlink" Target="mailto:Charlesmarie6@gmail.com" TargetMode="External"/><Relationship Id="rId621" Type="http://schemas.openxmlformats.org/officeDocument/2006/relationships/hyperlink" Target="mailto:leomara59@icloud.com" TargetMode="External"/><Relationship Id="rId1044" Type="http://schemas.openxmlformats.org/officeDocument/2006/relationships/hyperlink" Target="mailto:Mikeylouis101@gmail.com" TargetMode="External"/><Relationship Id="rId1251" Type="http://schemas.openxmlformats.org/officeDocument/2006/relationships/hyperlink" Target="mailto:amakye.kwabenat@gmail.com" TargetMode="External"/><Relationship Id="rId1349" Type="http://schemas.openxmlformats.org/officeDocument/2006/relationships/hyperlink" Target="mailto:Morelluis2023@gmail.com" TargetMode="External"/><Relationship Id="rId260" Type="http://schemas.openxmlformats.org/officeDocument/2006/relationships/hyperlink" Target="mailto:kewingpaul@gmail.com" TargetMode="External"/><Relationship Id="rId719" Type="http://schemas.openxmlformats.org/officeDocument/2006/relationships/hyperlink" Target="mailto:salmon_anjae@yahoo.com" TargetMode="External"/><Relationship Id="rId926" Type="http://schemas.openxmlformats.org/officeDocument/2006/relationships/hyperlink" Target="mailto:tdominguez401@gmail.com" TargetMode="External"/><Relationship Id="rId1111" Type="http://schemas.openxmlformats.org/officeDocument/2006/relationships/hyperlink" Target="mailto:artcm711@gmail.com" TargetMode="External"/><Relationship Id="rId1556" Type="http://schemas.openxmlformats.org/officeDocument/2006/relationships/hyperlink" Target="mailto:bourgeois213@icloud.com" TargetMode="External"/><Relationship Id="rId1763" Type="http://schemas.openxmlformats.org/officeDocument/2006/relationships/hyperlink" Target="mailto:CJAlphonse001@gmail.com" TargetMode="External"/><Relationship Id="rId55" Type="http://schemas.openxmlformats.org/officeDocument/2006/relationships/hyperlink" Target="mailto:rpomaa398@gmail.com" TargetMode="External"/><Relationship Id="rId120" Type="http://schemas.openxmlformats.org/officeDocument/2006/relationships/hyperlink" Target="mailto:yarimar27@icloud.com" TargetMode="External"/><Relationship Id="rId358" Type="http://schemas.openxmlformats.org/officeDocument/2006/relationships/hyperlink" Target="mailto:escott5555@hotmail.com" TargetMode="External"/><Relationship Id="rId565" Type="http://schemas.openxmlformats.org/officeDocument/2006/relationships/hyperlink" Target="mailto:scottmac218@gmail.com" TargetMode="External"/><Relationship Id="rId772" Type="http://schemas.openxmlformats.org/officeDocument/2006/relationships/hyperlink" Target="mailto:scochran2252@gmail.com" TargetMode="External"/><Relationship Id="rId1195" Type="http://schemas.openxmlformats.org/officeDocument/2006/relationships/hyperlink" Target="mailto:Oseibonsu450@yahoo.com" TargetMode="External"/><Relationship Id="rId1209" Type="http://schemas.openxmlformats.org/officeDocument/2006/relationships/hyperlink" Target="mailto:Steev3jobs@gmail.com" TargetMode="External"/><Relationship Id="rId1416" Type="http://schemas.openxmlformats.org/officeDocument/2006/relationships/hyperlink" Target="mailto:amb749985@gmail.com" TargetMode="External"/><Relationship Id="rId1623" Type="http://schemas.openxmlformats.org/officeDocument/2006/relationships/hyperlink" Target="mailto:eddie.hackett@gmail.com" TargetMode="External"/><Relationship Id="rId218" Type="http://schemas.openxmlformats.org/officeDocument/2006/relationships/hyperlink" Target="mailto:hopkins.o.justin@gmail.com" TargetMode="External"/><Relationship Id="rId425" Type="http://schemas.openxmlformats.org/officeDocument/2006/relationships/hyperlink" Target="mailto:v4769815@gmail.com" TargetMode="External"/><Relationship Id="rId632" Type="http://schemas.openxmlformats.org/officeDocument/2006/relationships/hyperlink" Target="mailto:Brayden.Shumate@yahoo.com" TargetMode="External"/><Relationship Id="rId1055" Type="http://schemas.openxmlformats.org/officeDocument/2006/relationships/hyperlink" Target="mailto:chanecostephanie@icloud.com" TargetMode="External"/><Relationship Id="rId1262" Type="http://schemas.openxmlformats.org/officeDocument/2006/relationships/hyperlink" Target="mailto:Josephshumsky@protonmail.com" TargetMode="External"/><Relationship Id="rId271" Type="http://schemas.openxmlformats.org/officeDocument/2006/relationships/hyperlink" Target="mailto:eemarden@gmail.com" TargetMode="External"/><Relationship Id="rId937" Type="http://schemas.openxmlformats.org/officeDocument/2006/relationships/hyperlink" Target="mailto:Ndesarmes.1@gmail.com" TargetMode="External"/><Relationship Id="rId1122" Type="http://schemas.openxmlformats.org/officeDocument/2006/relationships/hyperlink" Target="mailto:nectali_aguilar@yahoo.com" TargetMode="External"/><Relationship Id="rId1567" Type="http://schemas.openxmlformats.org/officeDocument/2006/relationships/hyperlink" Target="mailto:jusmloujeames@yahoo.com" TargetMode="External"/><Relationship Id="rId1774" Type="http://schemas.openxmlformats.org/officeDocument/2006/relationships/hyperlink" Target="mailto:lea@leamaclean.com" TargetMode="External"/><Relationship Id="rId66" Type="http://schemas.openxmlformats.org/officeDocument/2006/relationships/hyperlink" Target="mailto:threadkhalia@gmail.com" TargetMode="External"/><Relationship Id="rId131" Type="http://schemas.openxmlformats.org/officeDocument/2006/relationships/hyperlink" Target="mailto:Shaunsingleton36@gmail.com" TargetMode="External"/><Relationship Id="rId369" Type="http://schemas.openxmlformats.org/officeDocument/2006/relationships/hyperlink" Target="mailto:Lestram1@yahoo.com" TargetMode="External"/><Relationship Id="rId576" Type="http://schemas.openxmlformats.org/officeDocument/2006/relationships/hyperlink" Target="mailto:aaddaza000@gmail.com" TargetMode="External"/><Relationship Id="rId783" Type="http://schemas.openxmlformats.org/officeDocument/2006/relationships/hyperlink" Target="mailto:writingfromspirit@gmail.com" TargetMode="External"/><Relationship Id="rId990" Type="http://schemas.openxmlformats.org/officeDocument/2006/relationships/hyperlink" Target="mailto:emmalynnfaria@gmail.com" TargetMode="External"/><Relationship Id="rId1427" Type="http://schemas.openxmlformats.org/officeDocument/2006/relationships/hyperlink" Target="mailto:nathalyjc@yahoo.com" TargetMode="External"/><Relationship Id="rId1634" Type="http://schemas.openxmlformats.org/officeDocument/2006/relationships/hyperlink" Target="mailto:dennisdagoumas@gmail.com" TargetMode="External"/><Relationship Id="rId229" Type="http://schemas.openxmlformats.org/officeDocument/2006/relationships/hyperlink" Target="mailto:chopsoxwal@gmail.com" TargetMode="External"/><Relationship Id="rId436" Type="http://schemas.openxmlformats.org/officeDocument/2006/relationships/hyperlink" Target="mailto:baystatebuc59@gmail.com" TargetMode="External"/><Relationship Id="rId643" Type="http://schemas.openxmlformats.org/officeDocument/2006/relationships/hyperlink" Target="mailto:ronellwatson1993@icloud.com" TargetMode="External"/><Relationship Id="rId1066" Type="http://schemas.openxmlformats.org/officeDocument/2006/relationships/hyperlink" Target="mailto:madisonp811@gmail.com" TargetMode="External"/><Relationship Id="rId1273" Type="http://schemas.openxmlformats.org/officeDocument/2006/relationships/hyperlink" Target="mailto:akemeugocha@gmail.com" TargetMode="External"/><Relationship Id="rId1480" Type="http://schemas.openxmlformats.org/officeDocument/2006/relationships/hyperlink" Target="mailto:ludwigelvariste@gmail.com" TargetMode="External"/><Relationship Id="rId850" Type="http://schemas.openxmlformats.org/officeDocument/2006/relationships/hyperlink" Target="mailto:robertalopes62@hotmail.com" TargetMode="External"/><Relationship Id="rId948" Type="http://schemas.openxmlformats.org/officeDocument/2006/relationships/hyperlink" Target="mailto:agomes1212@icloud.com" TargetMode="External"/><Relationship Id="rId1133" Type="http://schemas.openxmlformats.org/officeDocument/2006/relationships/hyperlink" Target="mailto:cenat.michou@gmail.com" TargetMode="External"/><Relationship Id="rId1578" Type="http://schemas.openxmlformats.org/officeDocument/2006/relationships/hyperlink" Target="mailto:mensgends@yahoo.com" TargetMode="External"/><Relationship Id="rId1701" Type="http://schemas.openxmlformats.org/officeDocument/2006/relationships/hyperlink" Target="mailto:jlcarter0325@gmail.com" TargetMode="External"/><Relationship Id="rId1785" Type="http://schemas.openxmlformats.org/officeDocument/2006/relationships/hyperlink" Target="mailto:Letslopezjulian@proton.me" TargetMode="External"/><Relationship Id="rId77" Type="http://schemas.openxmlformats.org/officeDocument/2006/relationships/hyperlink" Target="mailto:amironelove2014@gmail.com" TargetMode="External"/><Relationship Id="rId282" Type="http://schemas.openxmlformats.org/officeDocument/2006/relationships/hyperlink" Target="mailto:boatengfilms@gmail.com" TargetMode="External"/><Relationship Id="rId503" Type="http://schemas.openxmlformats.org/officeDocument/2006/relationships/hyperlink" Target="mailto:dforrester45g@gmail.com" TargetMode="External"/><Relationship Id="rId587" Type="http://schemas.openxmlformats.org/officeDocument/2006/relationships/hyperlink" Target="mailto:scovais86@gmail.com" TargetMode="External"/><Relationship Id="rId710" Type="http://schemas.openxmlformats.org/officeDocument/2006/relationships/hyperlink" Target="mailto:christianakyeraa24@yahoo.com" TargetMode="External"/><Relationship Id="rId808" Type="http://schemas.openxmlformats.org/officeDocument/2006/relationships/hyperlink" Target="mailto:lsilva3910@gmail.com" TargetMode="External"/><Relationship Id="rId1340" Type="http://schemas.openxmlformats.org/officeDocument/2006/relationships/hyperlink" Target="mailto:russellthompsonjr@gmail.com" TargetMode="External"/><Relationship Id="rId1438" Type="http://schemas.openxmlformats.org/officeDocument/2006/relationships/hyperlink" Target="mailto:Forwrkemail@gmail.com" TargetMode="External"/><Relationship Id="rId1645" Type="http://schemas.openxmlformats.org/officeDocument/2006/relationships/hyperlink" Target="mailto:erauh1217@gmail.com" TargetMode="External"/><Relationship Id="rId8" Type="http://schemas.openxmlformats.org/officeDocument/2006/relationships/hyperlink" Target="mailto:yarmaimichael7@gmail.com" TargetMode="External"/><Relationship Id="rId142" Type="http://schemas.openxmlformats.org/officeDocument/2006/relationships/hyperlink" Target="mailto:ericam1021@gmail.com" TargetMode="External"/><Relationship Id="rId447" Type="http://schemas.openxmlformats.org/officeDocument/2006/relationships/hyperlink" Target="mailto:ksrollins515@gmail.com" TargetMode="External"/><Relationship Id="rId794" Type="http://schemas.openxmlformats.org/officeDocument/2006/relationships/hyperlink" Target="mailto:bufffff@gmail.com" TargetMode="External"/><Relationship Id="rId1077" Type="http://schemas.openxmlformats.org/officeDocument/2006/relationships/hyperlink" Target="mailto:zakjones232@gmail.com" TargetMode="External"/><Relationship Id="rId1200" Type="http://schemas.openxmlformats.org/officeDocument/2006/relationships/hyperlink" Target="mailto:Patrickstellato89@gmail.com" TargetMode="External"/><Relationship Id="rId654" Type="http://schemas.openxmlformats.org/officeDocument/2006/relationships/hyperlink" Target="mailto:aljanabihussein5@gmail.com" TargetMode="External"/><Relationship Id="rId861" Type="http://schemas.openxmlformats.org/officeDocument/2006/relationships/hyperlink" Target="mailto:ellisrac37@gmail.com" TargetMode="External"/><Relationship Id="rId959" Type="http://schemas.openxmlformats.org/officeDocument/2006/relationships/hyperlink" Target="mailto:jgalipeau3570@yahoo.com" TargetMode="External"/><Relationship Id="rId1284" Type="http://schemas.openxmlformats.org/officeDocument/2006/relationships/hyperlink" Target="mailto:asif.khan.bd677@gmail.com" TargetMode="External"/><Relationship Id="rId1491" Type="http://schemas.openxmlformats.org/officeDocument/2006/relationships/hyperlink" Target="mailto:stephanieperez0613@gmail.com" TargetMode="External"/><Relationship Id="rId1505" Type="http://schemas.openxmlformats.org/officeDocument/2006/relationships/hyperlink" Target="mailto:mike032004@gmail.com" TargetMode="External"/><Relationship Id="rId1589" Type="http://schemas.openxmlformats.org/officeDocument/2006/relationships/hyperlink" Target="mailto:tanikethorpe@gmail.com" TargetMode="External"/><Relationship Id="rId1712" Type="http://schemas.openxmlformats.org/officeDocument/2006/relationships/hyperlink" Target="mailto:Shaniqua.hunt0@gmail.com" TargetMode="External"/><Relationship Id="rId293" Type="http://schemas.openxmlformats.org/officeDocument/2006/relationships/hyperlink" Target="mailto:sixstringsandporchswings@gmail.com" TargetMode="External"/><Relationship Id="rId307" Type="http://schemas.openxmlformats.org/officeDocument/2006/relationships/hyperlink" Target="mailto:mondesirjimmikathson@gmail.com" TargetMode="External"/><Relationship Id="rId514" Type="http://schemas.openxmlformats.org/officeDocument/2006/relationships/hyperlink" Target="mailto:alanaguinagawork@outlook.com" TargetMode="External"/><Relationship Id="rId721" Type="http://schemas.openxmlformats.org/officeDocument/2006/relationships/hyperlink" Target="mailto:Rositta85@gmail.com" TargetMode="External"/><Relationship Id="rId1144" Type="http://schemas.openxmlformats.org/officeDocument/2006/relationships/hyperlink" Target="mailto:mayabraz76@gmail.com" TargetMode="External"/><Relationship Id="rId1351" Type="http://schemas.openxmlformats.org/officeDocument/2006/relationships/hyperlink" Target="mailto:Kennap76@gmail.com" TargetMode="External"/><Relationship Id="rId1449" Type="http://schemas.openxmlformats.org/officeDocument/2006/relationships/hyperlink" Target="mailto:Mratebezi@gmail.com" TargetMode="External"/><Relationship Id="rId1796" Type="http://schemas.openxmlformats.org/officeDocument/2006/relationships/hyperlink" Target="mailto:aaronjleach11@gmail.com" TargetMode="External"/><Relationship Id="rId88" Type="http://schemas.openxmlformats.org/officeDocument/2006/relationships/hyperlink" Target="mailto:Clovis.anokye@gmail.com" TargetMode="External"/><Relationship Id="rId153" Type="http://schemas.openxmlformats.org/officeDocument/2006/relationships/hyperlink" Target="mailto:mvelasquez3599@yahoo.com" TargetMode="External"/><Relationship Id="rId360" Type="http://schemas.openxmlformats.org/officeDocument/2006/relationships/hyperlink" Target="mailto:othni.lindor@gmail.com" TargetMode="External"/><Relationship Id="rId598" Type="http://schemas.openxmlformats.org/officeDocument/2006/relationships/hyperlink" Target="mailto:jacquelinelyle@icloud.com" TargetMode="External"/><Relationship Id="rId819" Type="http://schemas.openxmlformats.org/officeDocument/2006/relationships/hyperlink" Target="mailto:Christopherpierrelouis1996@gmail.com" TargetMode="External"/><Relationship Id="rId1004" Type="http://schemas.openxmlformats.org/officeDocument/2006/relationships/hyperlink" Target="mailto:kenmulry17@gmail.com" TargetMode="External"/><Relationship Id="rId1211" Type="http://schemas.openxmlformats.org/officeDocument/2006/relationships/hyperlink" Target="mailto:rchrdbnhr@gmail.com" TargetMode="External"/><Relationship Id="rId1656" Type="http://schemas.openxmlformats.org/officeDocument/2006/relationships/hyperlink" Target="mailto:jaydenlee41304@icloud.com" TargetMode="External"/><Relationship Id="rId220" Type="http://schemas.openxmlformats.org/officeDocument/2006/relationships/hyperlink" Target="mailto:Christopherphillips440@gmail.com" TargetMode="External"/><Relationship Id="rId458" Type="http://schemas.openxmlformats.org/officeDocument/2006/relationships/hyperlink" Target="mailto:lexik539@gmail.com" TargetMode="External"/><Relationship Id="rId665" Type="http://schemas.openxmlformats.org/officeDocument/2006/relationships/hyperlink" Target="mailto:Missa200004@gmail.com" TargetMode="External"/><Relationship Id="rId872" Type="http://schemas.openxmlformats.org/officeDocument/2006/relationships/hyperlink" Target="mailto:mhayise.posh@gmail.com" TargetMode="External"/><Relationship Id="rId1088" Type="http://schemas.openxmlformats.org/officeDocument/2006/relationships/hyperlink" Target="mailto:sixtogonzalez18@hotmail.com" TargetMode="External"/><Relationship Id="rId1295" Type="http://schemas.openxmlformats.org/officeDocument/2006/relationships/hyperlink" Target="mailto:jdjovin@hotmail.com" TargetMode="External"/><Relationship Id="rId1309" Type="http://schemas.openxmlformats.org/officeDocument/2006/relationships/hyperlink" Target="mailto:bryan.holguin246@gmail.com" TargetMode="External"/><Relationship Id="rId1516" Type="http://schemas.openxmlformats.org/officeDocument/2006/relationships/hyperlink" Target="mailto:ShantelDavis2020@gmail.com" TargetMode="External"/><Relationship Id="rId1723" Type="http://schemas.openxmlformats.org/officeDocument/2006/relationships/hyperlink" Target="mailto:jahairi24@gmail.com" TargetMode="External"/><Relationship Id="rId15" Type="http://schemas.openxmlformats.org/officeDocument/2006/relationships/hyperlink" Target="mailto:aa36105@gmail.com" TargetMode="External"/><Relationship Id="rId318" Type="http://schemas.openxmlformats.org/officeDocument/2006/relationships/hyperlink" Target="mailto:shamikhah73@gmail.com" TargetMode="External"/><Relationship Id="rId525" Type="http://schemas.openxmlformats.org/officeDocument/2006/relationships/hyperlink" Target="mailto:nicholas.dicocco@outlook.com" TargetMode="External"/><Relationship Id="rId732" Type="http://schemas.openxmlformats.org/officeDocument/2006/relationships/hyperlink" Target="mailto:marcvoltus2122@gmail.com" TargetMode="External"/><Relationship Id="rId1155" Type="http://schemas.openxmlformats.org/officeDocument/2006/relationships/hyperlink" Target="mailto:cici050619@gmail.com" TargetMode="External"/><Relationship Id="rId1362" Type="http://schemas.openxmlformats.org/officeDocument/2006/relationships/hyperlink" Target="mailto:snooshi2017181920@gmail.com" TargetMode="External"/><Relationship Id="rId99" Type="http://schemas.openxmlformats.org/officeDocument/2006/relationships/hyperlink" Target="mailto:robersonyouyou55@gmail.com" TargetMode="External"/><Relationship Id="rId164" Type="http://schemas.openxmlformats.org/officeDocument/2006/relationships/hyperlink" Target="mailto:skyla.mae2602@gmail.com" TargetMode="External"/><Relationship Id="rId371" Type="http://schemas.openxmlformats.org/officeDocument/2006/relationships/hyperlink" Target="mailto:gmensah0906@gmail.com" TargetMode="External"/><Relationship Id="rId1015" Type="http://schemas.openxmlformats.org/officeDocument/2006/relationships/hyperlink" Target="mailto:DukensonPierre02@outlook.com" TargetMode="External"/><Relationship Id="rId1222" Type="http://schemas.openxmlformats.org/officeDocument/2006/relationships/hyperlink" Target="mailto:ceannindyous@icloud.com" TargetMode="External"/><Relationship Id="rId1667" Type="http://schemas.openxmlformats.org/officeDocument/2006/relationships/hyperlink" Target="mailto:ericksondimitri@yahoo.com" TargetMode="External"/><Relationship Id="rId469" Type="http://schemas.openxmlformats.org/officeDocument/2006/relationships/hyperlink" Target="mailto:neivalopes4@gmail.com" TargetMode="External"/><Relationship Id="rId676" Type="http://schemas.openxmlformats.org/officeDocument/2006/relationships/hyperlink" Target="mailto:vickileeschofield@gmail.com" TargetMode="External"/><Relationship Id="rId883" Type="http://schemas.openxmlformats.org/officeDocument/2006/relationships/hyperlink" Target="mailto:jesielionis23@aol.com" TargetMode="External"/><Relationship Id="rId1099" Type="http://schemas.openxmlformats.org/officeDocument/2006/relationships/hyperlink" Target="mailto:adrihmi@yahoo.com" TargetMode="External"/><Relationship Id="rId1527" Type="http://schemas.openxmlformats.org/officeDocument/2006/relationships/hyperlink" Target="mailto:bjacquie45@yahoo.com" TargetMode="External"/><Relationship Id="rId1734" Type="http://schemas.openxmlformats.org/officeDocument/2006/relationships/hyperlink" Target="mailto:Alexander.t.parke@gmail.com" TargetMode="External"/><Relationship Id="rId26" Type="http://schemas.openxmlformats.org/officeDocument/2006/relationships/hyperlink" Target="mailto:lovelyiye112@gmail.com" TargetMode="External"/><Relationship Id="rId231" Type="http://schemas.openxmlformats.org/officeDocument/2006/relationships/hyperlink" Target="mailto:marshadenis@gmail.com" TargetMode="External"/><Relationship Id="rId329" Type="http://schemas.openxmlformats.org/officeDocument/2006/relationships/hyperlink" Target="mailto:Eustashaldai@gmail.com" TargetMode="External"/><Relationship Id="rId536" Type="http://schemas.openxmlformats.org/officeDocument/2006/relationships/hyperlink" Target="mailto:alysoran@yahoo.com" TargetMode="External"/><Relationship Id="rId1166" Type="http://schemas.openxmlformats.org/officeDocument/2006/relationships/hyperlink" Target="mailto:tmtito@gmail.com" TargetMode="External"/><Relationship Id="rId1373" Type="http://schemas.openxmlformats.org/officeDocument/2006/relationships/hyperlink" Target="mailto:Calvinking81500@gmail.com" TargetMode="External"/><Relationship Id="rId175" Type="http://schemas.openxmlformats.org/officeDocument/2006/relationships/hyperlink" Target="mailto:brkhrrngtn@gmail.com" TargetMode="External"/><Relationship Id="rId743" Type="http://schemas.openxmlformats.org/officeDocument/2006/relationships/hyperlink" Target="mailto:marinerojeffrey04@yahoo.com" TargetMode="External"/><Relationship Id="rId950" Type="http://schemas.openxmlformats.org/officeDocument/2006/relationships/hyperlink" Target="mailto:telusmaj@gmail.com" TargetMode="External"/><Relationship Id="rId1026" Type="http://schemas.openxmlformats.org/officeDocument/2006/relationships/hyperlink" Target="mailto:woodbury.m.evan@gmail.com" TargetMode="External"/><Relationship Id="rId1580" Type="http://schemas.openxmlformats.org/officeDocument/2006/relationships/hyperlink" Target="mailto:debkayrob@gmail.com" TargetMode="External"/><Relationship Id="rId1678" Type="http://schemas.openxmlformats.org/officeDocument/2006/relationships/hyperlink" Target="mailto:%09mik3_smith88@yahoo.com" TargetMode="External"/><Relationship Id="rId1801" Type="http://schemas.openxmlformats.org/officeDocument/2006/relationships/hyperlink" Target="mailto:romualdcolin01821@gmail.com" TargetMode="External"/><Relationship Id="rId382" Type="http://schemas.openxmlformats.org/officeDocument/2006/relationships/hyperlink" Target="mailto:elijahlavoie24@gmail.com" TargetMode="External"/><Relationship Id="rId603" Type="http://schemas.openxmlformats.org/officeDocument/2006/relationships/hyperlink" Target="mailto:asf.hamoudi@gmail.com" TargetMode="External"/><Relationship Id="rId687" Type="http://schemas.openxmlformats.org/officeDocument/2006/relationships/hyperlink" Target="mailto:loreen761@gmail.com" TargetMode="External"/><Relationship Id="rId810" Type="http://schemas.openxmlformats.org/officeDocument/2006/relationships/hyperlink" Target="mailto:Dominic102894@yahoo.com" TargetMode="External"/><Relationship Id="rId908" Type="http://schemas.openxmlformats.org/officeDocument/2006/relationships/hyperlink" Target="mailto:twigs009@gmail.com" TargetMode="External"/><Relationship Id="rId1233" Type="http://schemas.openxmlformats.org/officeDocument/2006/relationships/hyperlink" Target="mailto:i.armand@aol.com" TargetMode="External"/><Relationship Id="rId1440" Type="http://schemas.openxmlformats.org/officeDocument/2006/relationships/hyperlink" Target="mailto:Okere2013@outlook.com" TargetMode="External"/><Relationship Id="rId1538" Type="http://schemas.openxmlformats.org/officeDocument/2006/relationships/hyperlink" Target="mailto:ciwezekwem@gmail.com" TargetMode="External"/><Relationship Id="rId242" Type="http://schemas.openxmlformats.org/officeDocument/2006/relationships/hyperlink" Target="mailto:mwilliam0594@gmail.com" TargetMode="External"/><Relationship Id="rId894" Type="http://schemas.openxmlformats.org/officeDocument/2006/relationships/hyperlink" Target="mailto:Samyjean1982@gmail.com" TargetMode="External"/><Relationship Id="rId1177" Type="http://schemas.openxmlformats.org/officeDocument/2006/relationships/hyperlink" Target="mailto:Anthony@eturfcare.com" TargetMode="External"/><Relationship Id="rId1300" Type="http://schemas.openxmlformats.org/officeDocument/2006/relationships/hyperlink" Target="mailto:metavinylmorgan@gmail.com" TargetMode="External"/><Relationship Id="rId1745" Type="http://schemas.openxmlformats.org/officeDocument/2006/relationships/hyperlink" Target="mailto:mposey1833@gmail.com" TargetMode="External"/><Relationship Id="rId37" Type="http://schemas.openxmlformats.org/officeDocument/2006/relationships/hyperlink" Target="mailto:Michaeldeva55@gmail.com" TargetMode="External"/><Relationship Id="rId102" Type="http://schemas.openxmlformats.org/officeDocument/2006/relationships/hyperlink" Target="mailto:jjshearee@gmail.com" TargetMode="External"/><Relationship Id="rId547" Type="http://schemas.openxmlformats.org/officeDocument/2006/relationships/hyperlink" Target="mailto:bc1319990@gmail.com" TargetMode="External"/><Relationship Id="rId754" Type="http://schemas.openxmlformats.org/officeDocument/2006/relationships/hyperlink" Target="mailto:Sylasthevirus55@gmail.com" TargetMode="External"/><Relationship Id="rId961" Type="http://schemas.openxmlformats.org/officeDocument/2006/relationships/hyperlink" Target="mailto:marchull16@gmail.com" TargetMode="External"/><Relationship Id="rId1384" Type="http://schemas.openxmlformats.org/officeDocument/2006/relationships/hyperlink" Target="mailto:inglesw84@gmail.com" TargetMode="External"/><Relationship Id="rId1591" Type="http://schemas.openxmlformats.org/officeDocument/2006/relationships/hyperlink" Target="mailto:ej87783@gmail.com" TargetMode="External"/><Relationship Id="rId1605" Type="http://schemas.openxmlformats.org/officeDocument/2006/relationships/hyperlink" Target="mailto:Alexsrieng18@gmail.com" TargetMode="External"/><Relationship Id="rId1689" Type="http://schemas.openxmlformats.org/officeDocument/2006/relationships/hyperlink" Target="mailto:asraqadir@msn.com" TargetMode="External"/><Relationship Id="rId1812" Type="http://schemas.openxmlformats.org/officeDocument/2006/relationships/hyperlink" Target="mailto:meklein118@gmail.com" TargetMode="External"/><Relationship Id="rId90" Type="http://schemas.openxmlformats.org/officeDocument/2006/relationships/hyperlink" Target="mailto:g.martillodiaz@gmail.com" TargetMode="External"/><Relationship Id="rId186" Type="http://schemas.openxmlformats.org/officeDocument/2006/relationships/hyperlink" Target="mailto:briannacosgro5@gmail.com" TargetMode="External"/><Relationship Id="rId393" Type="http://schemas.openxmlformats.org/officeDocument/2006/relationships/hyperlink" Target="mailto:pashem35@iclound.com" TargetMode="External"/><Relationship Id="rId407" Type="http://schemas.openxmlformats.org/officeDocument/2006/relationships/hyperlink" Target="mailto:Abdiel_rivera05@icloud.com" TargetMode="External"/><Relationship Id="rId614" Type="http://schemas.openxmlformats.org/officeDocument/2006/relationships/hyperlink" Target="mailto:benjamin.merk@gmail.com" TargetMode="External"/><Relationship Id="rId821" Type="http://schemas.openxmlformats.org/officeDocument/2006/relationships/hyperlink" Target="mailto:espinal.lpz@gmail.com" TargetMode="External"/><Relationship Id="rId1037" Type="http://schemas.openxmlformats.org/officeDocument/2006/relationships/hyperlink" Target="mailto:jonathanreyes54@gmail.com" TargetMode="External"/><Relationship Id="rId1244" Type="http://schemas.openxmlformats.org/officeDocument/2006/relationships/hyperlink" Target="mailto:Niveahmcintosh@gmail.com" TargetMode="External"/><Relationship Id="rId1451" Type="http://schemas.openxmlformats.org/officeDocument/2006/relationships/hyperlink" Target="mailto:dforrester45g@gmail.com" TargetMode="External"/><Relationship Id="rId253" Type="http://schemas.openxmlformats.org/officeDocument/2006/relationships/hyperlink" Target="mailto:holly.jenice@icloud.com" TargetMode="External"/><Relationship Id="rId460" Type="http://schemas.openxmlformats.org/officeDocument/2006/relationships/hyperlink" Target="mailto:sdurst810@gmail.com" TargetMode="External"/><Relationship Id="rId698" Type="http://schemas.openxmlformats.org/officeDocument/2006/relationships/hyperlink" Target="mailto:batistaslegacy@gmail.com" TargetMode="External"/><Relationship Id="rId919" Type="http://schemas.openxmlformats.org/officeDocument/2006/relationships/hyperlink" Target="mailto:louissaintjureau@gmail.com" TargetMode="External"/><Relationship Id="rId1090" Type="http://schemas.openxmlformats.org/officeDocument/2006/relationships/hyperlink" Target="mailto:alexacperrotti@gmail.com" TargetMode="External"/><Relationship Id="rId1104" Type="http://schemas.openxmlformats.org/officeDocument/2006/relationships/hyperlink" Target="mailto:huntermarcelsicard@gmail.com" TargetMode="External"/><Relationship Id="rId1311" Type="http://schemas.openxmlformats.org/officeDocument/2006/relationships/hyperlink" Target="mailto:estdante25@icloud.com" TargetMode="External"/><Relationship Id="rId1549" Type="http://schemas.openxmlformats.org/officeDocument/2006/relationships/hyperlink" Target="mailto:aileen4cranberrycottages@gmail.com" TargetMode="External"/><Relationship Id="rId1756" Type="http://schemas.openxmlformats.org/officeDocument/2006/relationships/hyperlink" Target="mailto:kaluumae70@gmail.com" TargetMode="External"/><Relationship Id="rId48" Type="http://schemas.openxmlformats.org/officeDocument/2006/relationships/hyperlink" Target="mailto:xcortesjj@gmail.com" TargetMode="External"/><Relationship Id="rId113" Type="http://schemas.openxmlformats.org/officeDocument/2006/relationships/hyperlink" Target="mailto:arubinomcghee@gmail.com" TargetMode="External"/><Relationship Id="rId320" Type="http://schemas.openxmlformats.org/officeDocument/2006/relationships/hyperlink" Target="mailto:calderonnyzalie@gmail.com" TargetMode="External"/><Relationship Id="rId558" Type="http://schemas.openxmlformats.org/officeDocument/2006/relationships/hyperlink" Target="mailto:alcidesgomes63@gmail.com" TargetMode="External"/><Relationship Id="rId765" Type="http://schemas.openxmlformats.org/officeDocument/2006/relationships/hyperlink" Target="mailto:R.L.Rosso-Author@outlook.com" TargetMode="External"/><Relationship Id="rId972" Type="http://schemas.openxmlformats.org/officeDocument/2006/relationships/hyperlink" Target="mailto:jaro4507@gmail.com" TargetMode="External"/><Relationship Id="rId1188" Type="http://schemas.openxmlformats.org/officeDocument/2006/relationships/hyperlink" Target="mailto:juliaoliveiradias00@gmail.com" TargetMode="External"/><Relationship Id="rId1395" Type="http://schemas.openxmlformats.org/officeDocument/2006/relationships/hyperlink" Target="mailto:asaulstraw@gmail.com" TargetMode="External"/><Relationship Id="rId1409" Type="http://schemas.openxmlformats.org/officeDocument/2006/relationships/hyperlink" Target="mailto:spjduq@icloud.com" TargetMode="External"/><Relationship Id="rId1616" Type="http://schemas.openxmlformats.org/officeDocument/2006/relationships/hyperlink" Target="mailto:Hayley.richard@yahoo.com%20" TargetMode="External"/><Relationship Id="rId1823" Type="http://schemas.openxmlformats.org/officeDocument/2006/relationships/hyperlink" Target="mailto:dudamaga2002@gmail.com" TargetMode="External"/><Relationship Id="rId197" Type="http://schemas.openxmlformats.org/officeDocument/2006/relationships/hyperlink" Target="mailto:athomas19807@gmail.com" TargetMode="External"/><Relationship Id="rId418" Type="http://schemas.openxmlformats.org/officeDocument/2006/relationships/hyperlink" Target="mailto:pedrorodriguez060200@gmail.com" TargetMode="External"/><Relationship Id="rId625" Type="http://schemas.openxmlformats.org/officeDocument/2006/relationships/hyperlink" Target="mailto:ndemanuoivolongtse@gmail.com" TargetMode="External"/><Relationship Id="rId832" Type="http://schemas.openxmlformats.org/officeDocument/2006/relationships/hyperlink" Target="mailto:brittanybrouillette@icloud.com" TargetMode="External"/><Relationship Id="rId1048" Type="http://schemas.openxmlformats.org/officeDocument/2006/relationships/hyperlink" Target="mailto:Richie.labritz@gmail.com" TargetMode="External"/><Relationship Id="rId1255" Type="http://schemas.openxmlformats.org/officeDocument/2006/relationships/hyperlink" Target="mailto:lockedin298@gmail.com" TargetMode="External"/><Relationship Id="rId1462" Type="http://schemas.openxmlformats.org/officeDocument/2006/relationships/hyperlink" Target="mailto:joszman88@gmail.com" TargetMode="External"/><Relationship Id="rId264" Type="http://schemas.openxmlformats.org/officeDocument/2006/relationships/hyperlink" Target="mailto:browncher893@gmail.com" TargetMode="External"/><Relationship Id="rId471" Type="http://schemas.openxmlformats.org/officeDocument/2006/relationships/hyperlink" Target="mailto:kayr217@gmail.com" TargetMode="External"/><Relationship Id="rId1115" Type="http://schemas.openxmlformats.org/officeDocument/2006/relationships/hyperlink" Target="mailto:emilymelissa8@gmail.com" TargetMode="External"/><Relationship Id="rId1322" Type="http://schemas.openxmlformats.org/officeDocument/2006/relationships/hyperlink" Target="mailto:parrisheath123@gmail.com" TargetMode="External"/><Relationship Id="rId1767" Type="http://schemas.openxmlformats.org/officeDocument/2006/relationships/hyperlink" Target="mailto:jeanelapointe@gmail.com" TargetMode="External"/><Relationship Id="rId59" Type="http://schemas.openxmlformats.org/officeDocument/2006/relationships/hyperlink" Target="mailto:annsefah120@gmail.com" TargetMode="External"/><Relationship Id="rId124" Type="http://schemas.openxmlformats.org/officeDocument/2006/relationships/hyperlink" Target="mailto:Blitzgodilforno@gmail.com" TargetMode="External"/><Relationship Id="rId569" Type="http://schemas.openxmlformats.org/officeDocument/2006/relationships/hyperlink" Target="mailto:dewaleajib1071@gmail.com" TargetMode="External"/><Relationship Id="rId776" Type="http://schemas.openxmlformats.org/officeDocument/2006/relationships/hyperlink" Target="mailto:Ibrahim_oro@hotmail.com" TargetMode="External"/><Relationship Id="rId983" Type="http://schemas.openxmlformats.org/officeDocument/2006/relationships/hyperlink" Target="mailto:madamson0627@gmail.com" TargetMode="External"/><Relationship Id="rId1199" Type="http://schemas.openxmlformats.org/officeDocument/2006/relationships/hyperlink" Target="mailto:agolder857@gmail.com" TargetMode="External"/><Relationship Id="rId1627" Type="http://schemas.openxmlformats.org/officeDocument/2006/relationships/hyperlink" Target="mailto:daltonbrewer3@hotmail.com" TargetMode="External"/><Relationship Id="rId331" Type="http://schemas.openxmlformats.org/officeDocument/2006/relationships/hyperlink" Target="mailto:Alce507@gmail.com" TargetMode="External"/><Relationship Id="rId429" Type="http://schemas.openxmlformats.org/officeDocument/2006/relationships/hyperlink" Target="mailto:Junasubba60@gmail.com" TargetMode="External"/><Relationship Id="rId636" Type="http://schemas.openxmlformats.org/officeDocument/2006/relationships/hyperlink" Target="mailto:wontac_kpodi@yahoo.com" TargetMode="External"/><Relationship Id="rId1059" Type="http://schemas.openxmlformats.org/officeDocument/2006/relationships/hyperlink" Target="mailto:deborahnellydesouza@icloud.com" TargetMode="External"/><Relationship Id="rId1266" Type="http://schemas.openxmlformats.org/officeDocument/2006/relationships/hyperlink" Target="mailto:edygarraud15@aol.com" TargetMode="External"/><Relationship Id="rId1473" Type="http://schemas.openxmlformats.org/officeDocument/2006/relationships/hyperlink" Target="mailto:marloujguerrero@gmail.com" TargetMode="External"/><Relationship Id="rId843" Type="http://schemas.openxmlformats.org/officeDocument/2006/relationships/hyperlink" Target="mailto:abanoubhabib1998@gmail.com" TargetMode="External"/><Relationship Id="rId1126" Type="http://schemas.openxmlformats.org/officeDocument/2006/relationships/hyperlink" Target="mailto:rohansaggar1@gmail.com" TargetMode="External"/><Relationship Id="rId1680" Type="http://schemas.openxmlformats.org/officeDocument/2006/relationships/hyperlink" Target="mailto:d.diasphc@comcast.net" TargetMode="External"/><Relationship Id="rId1778" Type="http://schemas.openxmlformats.org/officeDocument/2006/relationships/hyperlink" Target="mailto:rivasbismarck45@gmail.com" TargetMode="External"/><Relationship Id="rId275" Type="http://schemas.openxmlformats.org/officeDocument/2006/relationships/hyperlink" Target="mailto:mrsplusamerica2024@gmail.com" TargetMode="External"/><Relationship Id="rId482" Type="http://schemas.openxmlformats.org/officeDocument/2006/relationships/hyperlink" Target="mailto:Jareddavidnault@gmail.com" TargetMode="External"/><Relationship Id="rId703" Type="http://schemas.openxmlformats.org/officeDocument/2006/relationships/hyperlink" Target="mailto:rluiscorrea@gmail.com" TargetMode="External"/><Relationship Id="rId910" Type="http://schemas.openxmlformats.org/officeDocument/2006/relationships/hyperlink" Target="mailto:Nathanmartin377@gmail.com" TargetMode="External"/><Relationship Id="rId1333" Type="http://schemas.openxmlformats.org/officeDocument/2006/relationships/hyperlink" Target="mailto:jeanmedzer92@gmail.com" TargetMode="External"/><Relationship Id="rId1540" Type="http://schemas.openxmlformats.org/officeDocument/2006/relationships/hyperlink" Target="mailto:kayla.mcdevitt@yahoo.com" TargetMode="External"/><Relationship Id="rId1638" Type="http://schemas.openxmlformats.org/officeDocument/2006/relationships/hyperlink" Target="mailto:adjeteysowa.na@gmail.com" TargetMode="External"/><Relationship Id="rId135" Type="http://schemas.openxmlformats.org/officeDocument/2006/relationships/hyperlink" Target="mailto:totoolasamuel@gmail.com" TargetMode="External"/><Relationship Id="rId342" Type="http://schemas.openxmlformats.org/officeDocument/2006/relationships/hyperlink" Target="mailto:wildingdante12@icloud.com" TargetMode="External"/><Relationship Id="rId787" Type="http://schemas.openxmlformats.org/officeDocument/2006/relationships/hyperlink" Target="mailto:reyesjohan755@gmail.com" TargetMode="External"/><Relationship Id="rId994" Type="http://schemas.openxmlformats.org/officeDocument/2006/relationships/hyperlink" Target="mailto:barakismusic@gmail.com" TargetMode="External"/><Relationship Id="rId1400" Type="http://schemas.openxmlformats.org/officeDocument/2006/relationships/hyperlink" Target="mailto:%09cicilovee222@gmail.com" TargetMode="External"/><Relationship Id="rId202" Type="http://schemas.openxmlformats.org/officeDocument/2006/relationships/hyperlink" Target="mailto:rseddiqa@gmail.com" TargetMode="External"/><Relationship Id="rId647" Type="http://schemas.openxmlformats.org/officeDocument/2006/relationships/hyperlink" Target="mailto:Dwayneperson4@gmail.com" TargetMode="External"/><Relationship Id="rId854" Type="http://schemas.openxmlformats.org/officeDocument/2006/relationships/hyperlink" Target="mailto:Roben0023@yahoo.com" TargetMode="External"/><Relationship Id="rId1277" Type="http://schemas.openxmlformats.org/officeDocument/2006/relationships/hyperlink" Target="mailto:molegeertilien@gmail.com" TargetMode="External"/><Relationship Id="rId1484" Type="http://schemas.openxmlformats.org/officeDocument/2006/relationships/hyperlink" Target="mailto:giannaredfern@gmail.com" TargetMode="External"/><Relationship Id="rId1691" Type="http://schemas.openxmlformats.org/officeDocument/2006/relationships/hyperlink" Target="mailto:cjoakes@comcast.net" TargetMode="External"/><Relationship Id="rId1705" Type="http://schemas.openxmlformats.org/officeDocument/2006/relationships/hyperlink" Target="mailto:tanishapage03@gmail.com" TargetMode="External"/><Relationship Id="rId286" Type="http://schemas.openxmlformats.org/officeDocument/2006/relationships/hyperlink" Target="mailto:j.mongeau1289@gmail.com" TargetMode="External"/><Relationship Id="rId493" Type="http://schemas.openxmlformats.org/officeDocument/2006/relationships/hyperlink" Target="mailto:jorjaraneo@gmail.com" TargetMode="External"/><Relationship Id="rId507" Type="http://schemas.openxmlformats.org/officeDocument/2006/relationships/hyperlink" Target="mailto:mdelva56@gmail.com" TargetMode="External"/><Relationship Id="rId714" Type="http://schemas.openxmlformats.org/officeDocument/2006/relationships/hyperlink" Target="mailto:elisangelajackson06@gmail.com" TargetMode="External"/><Relationship Id="rId921" Type="http://schemas.openxmlformats.org/officeDocument/2006/relationships/hyperlink" Target="mailto:joshuab.93@icloud.com" TargetMode="External"/><Relationship Id="rId1137" Type="http://schemas.openxmlformats.org/officeDocument/2006/relationships/hyperlink" Target="mailto:mikeacq@outlook.com" TargetMode="External"/><Relationship Id="rId1344" Type="http://schemas.openxmlformats.org/officeDocument/2006/relationships/hyperlink" Target="mailto:alextincan36@gmail.com" TargetMode="External"/><Relationship Id="rId1551" Type="http://schemas.openxmlformats.org/officeDocument/2006/relationships/hyperlink" Target="mailto:alexsantiago64@gmail.com" TargetMode="External"/><Relationship Id="rId1789" Type="http://schemas.openxmlformats.org/officeDocument/2006/relationships/hyperlink" Target="mailto:santos.lorraine@yahoo.com" TargetMode="External"/><Relationship Id="rId50" Type="http://schemas.openxmlformats.org/officeDocument/2006/relationships/hyperlink" Target="mailto:reidjodiann@icloud.com" TargetMode="External"/><Relationship Id="rId146" Type="http://schemas.openxmlformats.org/officeDocument/2006/relationships/hyperlink" Target="mailto:nickwoods58@gmail.com" TargetMode="External"/><Relationship Id="rId353" Type="http://schemas.openxmlformats.org/officeDocument/2006/relationships/hyperlink" Target="mailto:tishonjfortes@gmail.com" TargetMode="External"/><Relationship Id="rId560" Type="http://schemas.openxmlformats.org/officeDocument/2006/relationships/hyperlink" Target="mailto:genesis4135049012@gmail.com" TargetMode="External"/><Relationship Id="rId798" Type="http://schemas.openxmlformats.org/officeDocument/2006/relationships/hyperlink" Target="mailto:jajuannedd@gmail.com" TargetMode="External"/><Relationship Id="rId1190" Type="http://schemas.openxmlformats.org/officeDocument/2006/relationships/hyperlink" Target="mailto:michaelpafume@gmail.com" TargetMode="External"/><Relationship Id="rId1204" Type="http://schemas.openxmlformats.org/officeDocument/2006/relationships/hyperlink" Target="mailto:goriswork@gmail.com" TargetMode="External"/><Relationship Id="rId1411" Type="http://schemas.openxmlformats.org/officeDocument/2006/relationships/hyperlink" Target="mailto:dyneishacorbett03@gmail.com" TargetMode="External"/><Relationship Id="rId1649" Type="http://schemas.openxmlformats.org/officeDocument/2006/relationships/hyperlink" Target="mailto:slashua@comcast.net" TargetMode="External"/><Relationship Id="rId213" Type="http://schemas.openxmlformats.org/officeDocument/2006/relationships/hyperlink" Target="mailto:tavares70@hotmail.com" TargetMode="External"/><Relationship Id="rId420" Type="http://schemas.openxmlformats.org/officeDocument/2006/relationships/hyperlink" Target="mailto:tatyanalopez20@icloud.com" TargetMode="External"/><Relationship Id="rId658" Type="http://schemas.openxmlformats.org/officeDocument/2006/relationships/hyperlink" Target="mailto:odurodonkor2@gmail.com" TargetMode="External"/><Relationship Id="rId865" Type="http://schemas.openxmlformats.org/officeDocument/2006/relationships/hyperlink" Target="mailto:sheen.been@yahoo.com" TargetMode="External"/><Relationship Id="rId1050" Type="http://schemas.openxmlformats.org/officeDocument/2006/relationships/hyperlink" Target="mailto:mmenconi@students.stonehill.edu" TargetMode="External"/><Relationship Id="rId1288" Type="http://schemas.openxmlformats.org/officeDocument/2006/relationships/hyperlink" Target="mailto:Demary420@gmail.com" TargetMode="External"/><Relationship Id="rId1495" Type="http://schemas.openxmlformats.org/officeDocument/2006/relationships/hyperlink" Target="mailto:sethfinnessey@gmail.com" TargetMode="External"/><Relationship Id="rId1509" Type="http://schemas.openxmlformats.org/officeDocument/2006/relationships/hyperlink" Target="mailto:shaleikamatthews@gmail.com" TargetMode="External"/><Relationship Id="rId1716" Type="http://schemas.openxmlformats.org/officeDocument/2006/relationships/hyperlink" Target="mailto:1pattycamp@gmail.com" TargetMode="External"/><Relationship Id="rId297" Type="http://schemas.openxmlformats.org/officeDocument/2006/relationships/hyperlink" Target="mailto:keyrobinson33@icloud.com" TargetMode="External"/><Relationship Id="rId518" Type="http://schemas.openxmlformats.org/officeDocument/2006/relationships/hyperlink" Target="mailto:sabrynaryan6@gmail.com" TargetMode="External"/><Relationship Id="rId725" Type="http://schemas.openxmlformats.org/officeDocument/2006/relationships/hyperlink" Target="mailto:jayoniamack26@icloud.com" TargetMode="External"/><Relationship Id="rId932" Type="http://schemas.openxmlformats.org/officeDocument/2006/relationships/hyperlink" Target="mailto:adean0175@outlook.com" TargetMode="External"/><Relationship Id="rId1148" Type="http://schemas.openxmlformats.org/officeDocument/2006/relationships/hyperlink" Target="mailto:yuritarver27@gmail.com" TargetMode="External"/><Relationship Id="rId1355" Type="http://schemas.openxmlformats.org/officeDocument/2006/relationships/hyperlink" Target="mailto:Naleighape@gmail.com" TargetMode="External"/><Relationship Id="rId1562" Type="http://schemas.openxmlformats.org/officeDocument/2006/relationships/hyperlink" Target="mailto:danteheyyy@icloud.com" TargetMode="External"/><Relationship Id="rId157" Type="http://schemas.openxmlformats.org/officeDocument/2006/relationships/hyperlink" Target="mailto:jacquelinelyle@icloud.com" TargetMode="External"/><Relationship Id="rId364" Type="http://schemas.openxmlformats.org/officeDocument/2006/relationships/hyperlink" Target="mailto:Nijonwilliams882@gmail.com" TargetMode="External"/><Relationship Id="rId1008" Type="http://schemas.openxmlformats.org/officeDocument/2006/relationships/hyperlink" Target="mailto:Lboot15@gmail.com" TargetMode="External"/><Relationship Id="rId1215" Type="http://schemas.openxmlformats.org/officeDocument/2006/relationships/hyperlink" Target="mailto:alsoncelenice655@gmail.com" TargetMode="External"/><Relationship Id="rId1422" Type="http://schemas.openxmlformats.org/officeDocument/2006/relationships/hyperlink" Target="mailto:fofana.mjl@gmail.com" TargetMode="External"/><Relationship Id="rId61" Type="http://schemas.openxmlformats.org/officeDocument/2006/relationships/hyperlink" Target="mailto:manbefad@gmail.com" TargetMode="External"/><Relationship Id="rId571" Type="http://schemas.openxmlformats.org/officeDocument/2006/relationships/hyperlink" Target="mailto:dustin6morales@yahoo.com" TargetMode="External"/><Relationship Id="rId669" Type="http://schemas.openxmlformats.org/officeDocument/2006/relationships/hyperlink" Target="mailto:sashary70@gmail.com" TargetMode="External"/><Relationship Id="rId876" Type="http://schemas.openxmlformats.org/officeDocument/2006/relationships/hyperlink" Target="mailto:pfalandia@gmail.com" TargetMode="External"/><Relationship Id="rId1299" Type="http://schemas.openxmlformats.org/officeDocument/2006/relationships/hyperlink" Target="mailto:camcassidy06@gmail.com" TargetMode="External"/><Relationship Id="rId1727" Type="http://schemas.openxmlformats.org/officeDocument/2006/relationships/hyperlink" Target="mailto:alexrosati99@gmail.com" TargetMode="External"/><Relationship Id="rId19" Type="http://schemas.openxmlformats.org/officeDocument/2006/relationships/hyperlink" Target="mailto:CameronGeruso@yahoo.com" TargetMode="External"/><Relationship Id="rId224" Type="http://schemas.openxmlformats.org/officeDocument/2006/relationships/hyperlink" Target="mailto:yvonnemartinezx3@yahoo.com" TargetMode="External"/><Relationship Id="rId431" Type="http://schemas.openxmlformats.org/officeDocument/2006/relationships/hyperlink" Target="mailto:Gonzalezm0599@gmail.com" TargetMode="External"/><Relationship Id="rId529" Type="http://schemas.openxmlformats.org/officeDocument/2006/relationships/hyperlink" Target="mailto:fritzijean84@gmail.com" TargetMode="External"/><Relationship Id="rId736" Type="http://schemas.openxmlformats.org/officeDocument/2006/relationships/hyperlink" Target="mailto:pinadeicileny@gmail.com" TargetMode="External"/><Relationship Id="rId1061" Type="http://schemas.openxmlformats.org/officeDocument/2006/relationships/hyperlink" Target="mailto:michaellucia1598@gmail.com" TargetMode="External"/><Relationship Id="rId1159" Type="http://schemas.openxmlformats.org/officeDocument/2006/relationships/hyperlink" Target="mailto:monttnt@aol.com" TargetMode="External"/><Relationship Id="rId1366" Type="http://schemas.openxmlformats.org/officeDocument/2006/relationships/hyperlink" Target="mailto:fresnylouis@gmail.com" TargetMode="External"/><Relationship Id="rId168" Type="http://schemas.openxmlformats.org/officeDocument/2006/relationships/hyperlink" Target="mailto:Lgmthebest@yahoo.fr" TargetMode="External"/><Relationship Id="rId943" Type="http://schemas.openxmlformats.org/officeDocument/2006/relationships/hyperlink" Target="mailto:tonyalmorris@gmail.com" TargetMode="External"/><Relationship Id="rId1019" Type="http://schemas.openxmlformats.org/officeDocument/2006/relationships/hyperlink" Target="mailto:Sonliinda7@gmail.com" TargetMode="External"/><Relationship Id="rId1573" Type="http://schemas.openxmlformats.org/officeDocument/2006/relationships/hyperlink" Target="mailto:Dornezonj@gmail.com" TargetMode="External"/><Relationship Id="rId1780" Type="http://schemas.openxmlformats.org/officeDocument/2006/relationships/hyperlink" Target="mailto:elvinlaparra@icloud.com" TargetMode="External"/><Relationship Id="rId72" Type="http://schemas.openxmlformats.org/officeDocument/2006/relationships/hyperlink" Target="mailto:Molegeertilien@gmail.com" TargetMode="External"/><Relationship Id="rId375" Type="http://schemas.openxmlformats.org/officeDocument/2006/relationships/hyperlink" Target="mailto:k.gousby12@gmail.com" TargetMode="External"/><Relationship Id="rId582" Type="http://schemas.openxmlformats.org/officeDocument/2006/relationships/hyperlink" Target="mailto:micky16jay@gmail.com" TargetMode="External"/><Relationship Id="rId803" Type="http://schemas.openxmlformats.org/officeDocument/2006/relationships/hyperlink" Target="mailto:medina.joerick13@icloud.com" TargetMode="External"/><Relationship Id="rId1226" Type="http://schemas.openxmlformats.org/officeDocument/2006/relationships/hyperlink" Target="mailto:aaronatherton2@gmail.com" TargetMode="External"/><Relationship Id="rId1433" Type="http://schemas.openxmlformats.org/officeDocument/2006/relationships/hyperlink" Target="mailto:jodel89@gmail.com" TargetMode="External"/><Relationship Id="rId1640" Type="http://schemas.openxmlformats.org/officeDocument/2006/relationships/hyperlink" Target="mailto:shaliacluis23@myyahoo.com" TargetMode="External"/><Relationship Id="rId1738" Type="http://schemas.openxmlformats.org/officeDocument/2006/relationships/hyperlink" Target="mailto:alexa.oneill92@gmail.com" TargetMode="External"/><Relationship Id="rId3" Type="http://schemas.openxmlformats.org/officeDocument/2006/relationships/hyperlink" Target="mailto:MsKimOrtiz@gmail.com" TargetMode="External"/><Relationship Id="rId235" Type="http://schemas.openxmlformats.org/officeDocument/2006/relationships/hyperlink" Target="mailto:abrahamnorbi27@icloud.com" TargetMode="External"/><Relationship Id="rId442" Type="http://schemas.openxmlformats.org/officeDocument/2006/relationships/hyperlink" Target="mailto:Dgomes1101@gmail.com" TargetMode="External"/><Relationship Id="rId887" Type="http://schemas.openxmlformats.org/officeDocument/2006/relationships/hyperlink" Target="mailto:emilybadams2@gmail.com" TargetMode="External"/><Relationship Id="rId1072" Type="http://schemas.openxmlformats.org/officeDocument/2006/relationships/hyperlink" Target="mailto:Xaviervinnie6@icloud.com" TargetMode="External"/><Relationship Id="rId1500" Type="http://schemas.openxmlformats.org/officeDocument/2006/relationships/hyperlink" Target="mailto:oluwaseyiojoko@gmail.com" TargetMode="External"/><Relationship Id="rId302" Type="http://schemas.openxmlformats.org/officeDocument/2006/relationships/hyperlink" Target="mailto:claudino.alvarenga@brocktonpolice.com" TargetMode="External"/><Relationship Id="rId747" Type="http://schemas.openxmlformats.org/officeDocument/2006/relationships/hyperlink" Target="mailto:jbrod2010@aol.com" TargetMode="External"/><Relationship Id="rId954" Type="http://schemas.openxmlformats.org/officeDocument/2006/relationships/hyperlink" Target="mailto:holley1554@gmail.com" TargetMode="External"/><Relationship Id="rId1377" Type="http://schemas.openxmlformats.org/officeDocument/2006/relationships/hyperlink" Target="mailto:brandon.pike32118@icloud.com" TargetMode="External"/><Relationship Id="rId1584" Type="http://schemas.openxmlformats.org/officeDocument/2006/relationships/hyperlink" Target="mailto:emmge90@gmail.com" TargetMode="External"/><Relationship Id="rId1791" Type="http://schemas.openxmlformats.org/officeDocument/2006/relationships/hyperlink" Target="mailto:aaronatherton2@gmail.com" TargetMode="External"/><Relationship Id="rId1805" Type="http://schemas.openxmlformats.org/officeDocument/2006/relationships/hyperlink" Target="mailto:bestsm877@gmail.com" TargetMode="External"/><Relationship Id="rId83" Type="http://schemas.openxmlformats.org/officeDocument/2006/relationships/hyperlink" Target="mailto:mrvtouch@gmail.com" TargetMode="External"/><Relationship Id="rId179" Type="http://schemas.openxmlformats.org/officeDocument/2006/relationships/hyperlink" Target="mailto:ayong3510@gmail.com" TargetMode="External"/><Relationship Id="rId386" Type="http://schemas.openxmlformats.org/officeDocument/2006/relationships/hyperlink" Target="mailto:cleanfreak629@gmail.com" TargetMode="External"/><Relationship Id="rId593" Type="http://schemas.openxmlformats.org/officeDocument/2006/relationships/hyperlink" Target="mailto:Francescamarieh96@gmail.com" TargetMode="External"/><Relationship Id="rId607" Type="http://schemas.openxmlformats.org/officeDocument/2006/relationships/hyperlink" Target="mailto:willysanu20@gmail.com" TargetMode="External"/><Relationship Id="rId814" Type="http://schemas.openxmlformats.org/officeDocument/2006/relationships/hyperlink" Target="mailto:KatiePiasecki152@gmail.com" TargetMode="External"/><Relationship Id="rId1237" Type="http://schemas.openxmlformats.org/officeDocument/2006/relationships/hyperlink" Target="mailto:elijahfoley@ymail.com" TargetMode="External"/><Relationship Id="rId1444" Type="http://schemas.openxmlformats.org/officeDocument/2006/relationships/hyperlink" Target="mailto:esther2let@gmail.com" TargetMode="External"/><Relationship Id="rId1651" Type="http://schemas.openxmlformats.org/officeDocument/2006/relationships/hyperlink" Target="mailto:dariuswhite85@yahoo.com" TargetMode="External"/><Relationship Id="rId246" Type="http://schemas.openxmlformats.org/officeDocument/2006/relationships/hyperlink" Target="mailto:jaidansamuels234@gmail.com" TargetMode="External"/><Relationship Id="rId453" Type="http://schemas.openxmlformats.org/officeDocument/2006/relationships/hyperlink" Target="mailto:brace450@gmail.com" TargetMode="External"/><Relationship Id="rId660" Type="http://schemas.openxmlformats.org/officeDocument/2006/relationships/hyperlink" Target="mailto:gunzooo@icloud.com" TargetMode="External"/><Relationship Id="rId898" Type="http://schemas.openxmlformats.org/officeDocument/2006/relationships/hyperlink" Target="mailto:Gilbert_delestre@yahoo.com" TargetMode="External"/><Relationship Id="rId1083" Type="http://schemas.openxmlformats.org/officeDocument/2006/relationships/hyperlink" Target="mailto:abusayed98@yahoo.com" TargetMode="External"/><Relationship Id="rId1290" Type="http://schemas.openxmlformats.org/officeDocument/2006/relationships/hyperlink" Target="mailto:andy36.as@gmail.com" TargetMode="External"/><Relationship Id="rId1304" Type="http://schemas.openxmlformats.org/officeDocument/2006/relationships/hyperlink" Target="mailto:davis.leisa@yahoo.com" TargetMode="External"/><Relationship Id="rId1511" Type="http://schemas.openxmlformats.org/officeDocument/2006/relationships/hyperlink" Target="mailto:a0865303@gmail.com" TargetMode="External"/><Relationship Id="rId1749" Type="http://schemas.openxmlformats.org/officeDocument/2006/relationships/hyperlink" Target="mailto:kareenfrancois@gmail.com" TargetMode="External"/><Relationship Id="rId106" Type="http://schemas.openxmlformats.org/officeDocument/2006/relationships/hyperlink" Target="mailto:demonsrow@icloud.com" TargetMode="External"/><Relationship Id="rId313" Type="http://schemas.openxmlformats.org/officeDocument/2006/relationships/hyperlink" Target="mailto:danielaarsantamaria@gmail.com" TargetMode="External"/><Relationship Id="rId758" Type="http://schemas.openxmlformats.org/officeDocument/2006/relationships/hyperlink" Target="mailto:joserivera980000@gmail.com" TargetMode="External"/><Relationship Id="rId965" Type="http://schemas.openxmlformats.org/officeDocument/2006/relationships/hyperlink" Target="mailto:dallascowboys2018@yahoo.com" TargetMode="External"/><Relationship Id="rId1150" Type="http://schemas.openxmlformats.org/officeDocument/2006/relationships/hyperlink" Target="mailto:krieldriel@gmail.com" TargetMode="External"/><Relationship Id="rId1388" Type="http://schemas.openxmlformats.org/officeDocument/2006/relationships/hyperlink" Target="mailto:Emmanuelkarngar1@gmail.com" TargetMode="External"/><Relationship Id="rId1595" Type="http://schemas.openxmlformats.org/officeDocument/2006/relationships/hyperlink" Target="mailto:mshaw126@terpmail.umd.edu" TargetMode="External"/><Relationship Id="rId1609" Type="http://schemas.openxmlformats.org/officeDocument/2006/relationships/hyperlink" Target="mailto:shykelamcandrew33@gmail.com" TargetMode="External"/><Relationship Id="rId1816" Type="http://schemas.openxmlformats.org/officeDocument/2006/relationships/hyperlink" Target="mailto:josebaptista10273@gmail.com" TargetMode="External"/><Relationship Id="rId10" Type="http://schemas.openxmlformats.org/officeDocument/2006/relationships/hyperlink" Target="mailto:dunbarashana@gmail.com" TargetMode="External"/><Relationship Id="rId94" Type="http://schemas.openxmlformats.org/officeDocument/2006/relationships/hyperlink" Target="mailto:anthonyamponsah42@gmail.com" TargetMode="External"/><Relationship Id="rId397" Type="http://schemas.openxmlformats.org/officeDocument/2006/relationships/hyperlink" Target="mailto:troydmckenzie@myyahoo.com" TargetMode="External"/><Relationship Id="rId520" Type="http://schemas.openxmlformats.org/officeDocument/2006/relationships/hyperlink" Target="mailto:derekderek2525@yahoo.com" TargetMode="External"/><Relationship Id="rId618" Type="http://schemas.openxmlformats.org/officeDocument/2006/relationships/hyperlink" Target="mailto:amp1248@plymouth.edu" TargetMode="External"/><Relationship Id="rId825" Type="http://schemas.openxmlformats.org/officeDocument/2006/relationships/hyperlink" Target="mailto:Gevork@usa.com" TargetMode="External"/><Relationship Id="rId1248" Type="http://schemas.openxmlformats.org/officeDocument/2006/relationships/hyperlink" Target="mailto:jocelynbrooks345@gmail.com" TargetMode="External"/><Relationship Id="rId1455" Type="http://schemas.openxmlformats.org/officeDocument/2006/relationships/hyperlink" Target="mailto:christodd004@gmail.com" TargetMode="External"/><Relationship Id="rId1662" Type="http://schemas.openxmlformats.org/officeDocument/2006/relationships/hyperlink" Target="mailto:Anferadames1305@gmail.com" TargetMode="External"/><Relationship Id="rId257" Type="http://schemas.openxmlformats.org/officeDocument/2006/relationships/hyperlink" Target="mailto:asianboy1134@gmail.com" TargetMode="External"/><Relationship Id="rId464" Type="http://schemas.openxmlformats.org/officeDocument/2006/relationships/hyperlink" Target="mailto:Rasheedwunmi@gmail.com" TargetMode="External"/><Relationship Id="rId1010" Type="http://schemas.openxmlformats.org/officeDocument/2006/relationships/hyperlink" Target="mailto:12felipecruz@gmail.com" TargetMode="External"/><Relationship Id="rId1094" Type="http://schemas.openxmlformats.org/officeDocument/2006/relationships/hyperlink" Target="mailto:jonawashington@gmail.com" TargetMode="External"/><Relationship Id="rId1108" Type="http://schemas.openxmlformats.org/officeDocument/2006/relationships/hyperlink" Target="mailto:jaysonalvarez1515@gmail.com" TargetMode="External"/><Relationship Id="rId1315" Type="http://schemas.openxmlformats.org/officeDocument/2006/relationships/hyperlink" Target="mailto:jornunez423@gmail.com" TargetMode="External"/><Relationship Id="rId117" Type="http://schemas.openxmlformats.org/officeDocument/2006/relationships/hyperlink" Target="mailto:maxwell.careers@icloud.com" TargetMode="External"/><Relationship Id="rId671" Type="http://schemas.openxmlformats.org/officeDocument/2006/relationships/hyperlink" Target="mailto:arthurjleblanc50@icloud.com" TargetMode="External"/><Relationship Id="rId769" Type="http://schemas.openxmlformats.org/officeDocument/2006/relationships/hyperlink" Target="mailto:dianamedina7789@gmail.com" TargetMode="External"/><Relationship Id="rId976" Type="http://schemas.openxmlformats.org/officeDocument/2006/relationships/hyperlink" Target="mailto:damarireddix@yahoo.com" TargetMode="External"/><Relationship Id="rId1399" Type="http://schemas.openxmlformats.org/officeDocument/2006/relationships/hyperlink" Target="mailto:%09erickileykicks@gmail.com" TargetMode="External"/><Relationship Id="rId324" Type="http://schemas.openxmlformats.org/officeDocument/2006/relationships/hyperlink" Target="mailto:cailenedupras5@gmail.com" TargetMode="External"/><Relationship Id="rId531" Type="http://schemas.openxmlformats.org/officeDocument/2006/relationships/hyperlink" Target="mailto:lopezyarian09@icloud.com" TargetMode="External"/><Relationship Id="rId629" Type="http://schemas.openxmlformats.org/officeDocument/2006/relationships/hyperlink" Target="mailto:andrehph@yahoo.com" TargetMode="External"/><Relationship Id="rId1161" Type="http://schemas.openxmlformats.org/officeDocument/2006/relationships/hyperlink" Target="mailto:Judeaf265@gmail.com" TargetMode="External"/><Relationship Id="rId1259" Type="http://schemas.openxmlformats.org/officeDocument/2006/relationships/hyperlink" Target="mailto:jocelynbrooks123@gmail.com" TargetMode="External"/><Relationship Id="rId1466" Type="http://schemas.openxmlformats.org/officeDocument/2006/relationships/hyperlink" Target="mailto:kayvonburks67@gmail.com" TargetMode="External"/><Relationship Id="rId836" Type="http://schemas.openxmlformats.org/officeDocument/2006/relationships/hyperlink" Target="mailto:Ryandpuffer@gmail.com" TargetMode="External"/><Relationship Id="rId1021" Type="http://schemas.openxmlformats.org/officeDocument/2006/relationships/hyperlink" Target="mailto:jeanfontil5@gmai.com" TargetMode="External"/><Relationship Id="rId1119" Type="http://schemas.openxmlformats.org/officeDocument/2006/relationships/hyperlink" Target="mailto:vmallada01@gmail.com" TargetMode="External"/><Relationship Id="rId1673" Type="http://schemas.openxmlformats.org/officeDocument/2006/relationships/hyperlink" Target="mailto:kylehyeh@gmail.com" TargetMode="External"/><Relationship Id="rId903" Type="http://schemas.openxmlformats.org/officeDocument/2006/relationships/hyperlink" Target="mailto:Kevinkubinec008@gmail.com" TargetMode="External"/><Relationship Id="rId1326" Type="http://schemas.openxmlformats.org/officeDocument/2006/relationships/hyperlink" Target="mailto:djindajarvis@yahoo.com" TargetMode="External"/><Relationship Id="rId1533" Type="http://schemas.openxmlformats.org/officeDocument/2006/relationships/hyperlink" Target="mailto:paulafrashley@gmail.com" TargetMode="External"/><Relationship Id="rId1740" Type="http://schemas.openxmlformats.org/officeDocument/2006/relationships/hyperlink" Target="mailto:whitneycadet2623@gmail.com" TargetMode="External"/><Relationship Id="rId32" Type="http://schemas.openxmlformats.org/officeDocument/2006/relationships/hyperlink" Target="mailto:millertaneka3@gmail.com" TargetMode="External"/><Relationship Id="rId1600" Type="http://schemas.openxmlformats.org/officeDocument/2006/relationships/hyperlink" Target="mailto:APL2k14@gmail.com" TargetMode="External"/><Relationship Id="rId181" Type="http://schemas.openxmlformats.org/officeDocument/2006/relationships/hyperlink" Target="mailto:Enownkafu2017@gmail.com" TargetMode="External"/><Relationship Id="rId279" Type="http://schemas.openxmlformats.org/officeDocument/2006/relationships/hyperlink" Target="mailto:gosia.siwik@hotmail.com" TargetMode="External"/><Relationship Id="rId486" Type="http://schemas.openxmlformats.org/officeDocument/2006/relationships/hyperlink" Target="mailto:rivera.joshua1015@gmail.com" TargetMode="External"/><Relationship Id="rId693" Type="http://schemas.openxmlformats.org/officeDocument/2006/relationships/hyperlink" Target="mailto:shakiransentongo91@gmail.com" TargetMode="External"/><Relationship Id="rId139" Type="http://schemas.openxmlformats.org/officeDocument/2006/relationships/hyperlink" Target="mailto:edmundakintunde2012@gmail.com" TargetMode="External"/><Relationship Id="rId346" Type="http://schemas.openxmlformats.org/officeDocument/2006/relationships/hyperlink" Target="mailto:kirwinmikell@yahoo.com" TargetMode="External"/><Relationship Id="rId553" Type="http://schemas.openxmlformats.org/officeDocument/2006/relationships/hyperlink" Target="mailto:mugishaparker2@gmail.com" TargetMode="External"/><Relationship Id="rId760" Type="http://schemas.openxmlformats.org/officeDocument/2006/relationships/hyperlink" Target="mailto:alemosmartin2@gmail.com" TargetMode="External"/><Relationship Id="rId998" Type="http://schemas.openxmlformats.org/officeDocument/2006/relationships/hyperlink" Target="mailto:dominiquenelson1991@gmail.com" TargetMode="External"/><Relationship Id="rId1183" Type="http://schemas.openxmlformats.org/officeDocument/2006/relationships/hyperlink" Target="mailto:morpeau2023@gmail.com" TargetMode="External"/><Relationship Id="rId1390" Type="http://schemas.openxmlformats.org/officeDocument/2006/relationships/hyperlink" Target="mailto:juliogil0221@icloud.com" TargetMode="External"/><Relationship Id="rId206" Type="http://schemas.openxmlformats.org/officeDocument/2006/relationships/hyperlink" Target="mailto:rcamile01@gmail.com" TargetMode="External"/><Relationship Id="rId413" Type="http://schemas.openxmlformats.org/officeDocument/2006/relationships/hyperlink" Target="mailto:salem77estime@yahoo.com" TargetMode="External"/><Relationship Id="rId858" Type="http://schemas.openxmlformats.org/officeDocument/2006/relationships/hyperlink" Target="mailto:johnfornoh237@gmail.com" TargetMode="External"/><Relationship Id="rId1043" Type="http://schemas.openxmlformats.org/officeDocument/2006/relationships/hyperlink" Target="mailto:coachredraider@gmail.com" TargetMode="External"/><Relationship Id="rId1488" Type="http://schemas.openxmlformats.org/officeDocument/2006/relationships/hyperlink" Target="mailto:Daniel.Francis1068@gmail.com" TargetMode="External"/><Relationship Id="rId1695" Type="http://schemas.openxmlformats.org/officeDocument/2006/relationships/hyperlink" Target="mailto:Michaelatkins93@gmail.com" TargetMode="External"/><Relationship Id="rId620" Type="http://schemas.openxmlformats.org/officeDocument/2006/relationships/hyperlink" Target="mailto:mirville10@gmail.com" TargetMode="External"/><Relationship Id="rId718" Type="http://schemas.openxmlformats.org/officeDocument/2006/relationships/hyperlink" Target="mailto:jccordero092@gmail.com" TargetMode="External"/><Relationship Id="rId925" Type="http://schemas.openxmlformats.org/officeDocument/2006/relationships/hyperlink" Target="mailto:ogbnt@yahoo.com" TargetMode="External"/><Relationship Id="rId1250" Type="http://schemas.openxmlformats.org/officeDocument/2006/relationships/hyperlink" Target="mailto:keiyarajohnson02@gmail.com" TargetMode="External"/><Relationship Id="rId1348" Type="http://schemas.openxmlformats.org/officeDocument/2006/relationships/hyperlink" Target="mailto:moisenoel24@gmail.com" TargetMode="External"/><Relationship Id="rId1555" Type="http://schemas.openxmlformats.org/officeDocument/2006/relationships/hyperlink" Target="mailto:aagyem1@gmail.com" TargetMode="External"/><Relationship Id="rId1762" Type="http://schemas.openxmlformats.org/officeDocument/2006/relationships/hyperlink" Target="mailto:lasargardy11@gmail.com" TargetMode="External"/><Relationship Id="rId1110" Type="http://schemas.openxmlformats.org/officeDocument/2006/relationships/hyperlink" Target="mailto:Ginjah340@gmail.com" TargetMode="External"/><Relationship Id="rId1208" Type="http://schemas.openxmlformats.org/officeDocument/2006/relationships/hyperlink" Target="mailto:evangamoakooutreach@yahoo.com" TargetMode="External"/><Relationship Id="rId1415" Type="http://schemas.openxmlformats.org/officeDocument/2006/relationships/hyperlink" Target="mailto:ntejeda01@gmail.com" TargetMode="External"/><Relationship Id="rId54" Type="http://schemas.openxmlformats.org/officeDocument/2006/relationships/hyperlink" Target="mailto:Demetriussylvert29@gmail.com" TargetMode="External"/><Relationship Id="rId1622" Type="http://schemas.openxmlformats.org/officeDocument/2006/relationships/hyperlink" Target="mailto:brysondawn097@gmail.com" TargetMode="External"/><Relationship Id="rId270" Type="http://schemas.openxmlformats.org/officeDocument/2006/relationships/hyperlink" Target="mailto:macotony_1932@hotmail.com" TargetMode="External"/><Relationship Id="rId130" Type="http://schemas.openxmlformats.org/officeDocument/2006/relationships/hyperlink" Target="mailto:itsmecurtis86@gmail.com" TargetMode="External"/><Relationship Id="rId368" Type="http://schemas.openxmlformats.org/officeDocument/2006/relationships/hyperlink" Target="mailto:michael.lyons117@gmail.com" TargetMode="External"/><Relationship Id="rId575" Type="http://schemas.openxmlformats.org/officeDocument/2006/relationships/hyperlink" Target="mailto:jessica4271997@gmail.com" TargetMode="External"/><Relationship Id="rId782" Type="http://schemas.openxmlformats.org/officeDocument/2006/relationships/hyperlink" Target="mailto:bellycesar135@gmail.com" TargetMode="External"/><Relationship Id="rId228" Type="http://schemas.openxmlformats.org/officeDocument/2006/relationships/hyperlink" Target="mailto:josephwhyte1993@gmail.com" TargetMode="External"/><Relationship Id="rId435" Type="http://schemas.openxmlformats.org/officeDocument/2006/relationships/hyperlink" Target="mailto:jania85dye@yahoo.com" TargetMode="External"/><Relationship Id="rId642" Type="http://schemas.openxmlformats.org/officeDocument/2006/relationships/hyperlink" Target="mailto:setienne0961@gmail.com" TargetMode="External"/><Relationship Id="rId1065" Type="http://schemas.openxmlformats.org/officeDocument/2006/relationships/hyperlink" Target="mailto:Johnsonjsph97@gmail.com" TargetMode="External"/><Relationship Id="rId1272" Type="http://schemas.openxmlformats.org/officeDocument/2006/relationships/hyperlink" Target="mailto:itsbawithang@yahoo.com" TargetMode="External"/><Relationship Id="rId502" Type="http://schemas.openxmlformats.org/officeDocument/2006/relationships/hyperlink" Target="mailto:Jainyahct@gmail.com" TargetMode="External"/><Relationship Id="rId947" Type="http://schemas.openxmlformats.org/officeDocument/2006/relationships/hyperlink" Target="mailto:shemeg2000@yahoo.com" TargetMode="External"/><Relationship Id="rId1132" Type="http://schemas.openxmlformats.org/officeDocument/2006/relationships/hyperlink" Target="mailto:nanaapp02@gmail.com" TargetMode="External"/><Relationship Id="rId1577" Type="http://schemas.openxmlformats.org/officeDocument/2006/relationships/hyperlink" Target="mailto:ruthyluna1008@gmail.com" TargetMode="External"/><Relationship Id="rId1784" Type="http://schemas.openxmlformats.org/officeDocument/2006/relationships/hyperlink" Target="mailto:wesley.curry@comcast.net" TargetMode="External"/><Relationship Id="rId76" Type="http://schemas.openxmlformats.org/officeDocument/2006/relationships/hyperlink" Target="mailto:elisecialeid19@gmail.com" TargetMode="External"/><Relationship Id="rId807" Type="http://schemas.openxmlformats.org/officeDocument/2006/relationships/hyperlink" Target="mailto:jamesjenkins0102@gmail.com" TargetMode="External"/><Relationship Id="rId1437" Type="http://schemas.openxmlformats.org/officeDocument/2006/relationships/hyperlink" Target="mailto:aishorjo95@gmail.com" TargetMode="External"/><Relationship Id="rId1644" Type="http://schemas.openxmlformats.org/officeDocument/2006/relationships/hyperlink" Target="mailto:jeff.paul1987@gmail.com" TargetMode="External"/><Relationship Id="rId1504" Type="http://schemas.openxmlformats.org/officeDocument/2006/relationships/hyperlink" Target="mailto:jahern28@icloud.com" TargetMode="External"/><Relationship Id="rId1711" Type="http://schemas.openxmlformats.org/officeDocument/2006/relationships/hyperlink" Target="mailto:ceceangry347@icloud.com" TargetMode="External"/><Relationship Id="rId292" Type="http://schemas.openxmlformats.org/officeDocument/2006/relationships/hyperlink" Target="mailto:brnt556@gmail.com" TargetMode="External"/><Relationship Id="rId1809" Type="http://schemas.openxmlformats.org/officeDocument/2006/relationships/hyperlink" Target="mailto:APL2k14@gmail.com" TargetMode="External"/><Relationship Id="rId597" Type="http://schemas.openxmlformats.org/officeDocument/2006/relationships/hyperlink" Target="mailto:garvin1127@gmail.com" TargetMode="External"/><Relationship Id="rId152" Type="http://schemas.openxmlformats.org/officeDocument/2006/relationships/hyperlink" Target="mailto:neshmarie120493@gmail.com" TargetMode="External"/><Relationship Id="rId457" Type="http://schemas.openxmlformats.org/officeDocument/2006/relationships/hyperlink" Target="mailto:FranklineFonanjei@gmail.com" TargetMode="External"/><Relationship Id="rId1087" Type="http://schemas.openxmlformats.org/officeDocument/2006/relationships/hyperlink" Target="mailto:andrewwilliamsphotographs@gmail.com" TargetMode="External"/><Relationship Id="rId1294" Type="http://schemas.openxmlformats.org/officeDocument/2006/relationships/hyperlink" Target="mailto:Brandonwolf590@gmail.com" TargetMode="External"/><Relationship Id="rId664" Type="http://schemas.openxmlformats.org/officeDocument/2006/relationships/hyperlink" Target="mailto:johnesaumata@gmail.com" TargetMode="External"/><Relationship Id="rId871" Type="http://schemas.openxmlformats.org/officeDocument/2006/relationships/hyperlink" Target="mailto:kaylamagnone@gmail.com" TargetMode="External"/><Relationship Id="rId969" Type="http://schemas.openxmlformats.org/officeDocument/2006/relationships/hyperlink" Target="mailto:nyaveiga58@gmail.com" TargetMode="External"/><Relationship Id="rId1599" Type="http://schemas.openxmlformats.org/officeDocument/2006/relationships/hyperlink" Target="mailto:gutolopes95@gmail.com" TargetMode="External"/><Relationship Id="rId317" Type="http://schemas.openxmlformats.org/officeDocument/2006/relationships/hyperlink" Target="mailto:jeinshy1996@gmail.com" TargetMode="External"/><Relationship Id="rId524" Type="http://schemas.openxmlformats.org/officeDocument/2006/relationships/hyperlink" Target="mailto:shannonelizabethdaly@icloud.com" TargetMode="External"/><Relationship Id="rId731" Type="http://schemas.openxmlformats.org/officeDocument/2006/relationships/hyperlink" Target="mailto:louisburgy617@gmail.com" TargetMode="External"/><Relationship Id="rId1154" Type="http://schemas.openxmlformats.org/officeDocument/2006/relationships/hyperlink" Target="mailto:danielpagan2005@gmail.com" TargetMode="External"/><Relationship Id="rId1361" Type="http://schemas.openxmlformats.org/officeDocument/2006/relationships/hyperlink" Target="mailto:xxsuberxx18@gmail.com" TargetMode="External"/><Relationship Id="rId1459" Type="http://schemas.openxmlformats.org/officeDocument/2006/relationships/hyperlink" Target="mailto:Fiorentino.Jesse@outlook.com" TargetMode="External"/><Relationship Id="rId98" Type="http://schemas.openxmlformats.org/officeDocument/2006/relationships/hyperlink" Target="mailto:carlosdesir140@gmail.com" TargetMode="External"/><Relationship Id="rId829" Type="http://schemas.openxmlformats.org/officeDocument/2006/relationships/hyperlink" Target="mailto:rikdigz@gmail.com" TargetMode="External"/><Relationship Id="rId1014" Type="http://schemas.openxmlformats.org/officeDocument/2006/relationships/hyperlink" Target="mailto:ortizchasidy@gmail.com" TargetMode="External"/><Relationship Id="rId1221" Type="http://schemas.openxmlformats.org/officeDocument/2006/relationships/hyperlink" Target="mailto:bopeter44@yahoo.com" TargetMode="External"/><Relationship Id="rId1666" Type="http://schemas.openxmlformats.org/officeDocument/2006/relationships/hyperlink" Target="mailto:gguardado@worcester.edu" TargetMode="External"/><Relationship Id="rId1319" Type="http://schemas.openxmlformats.org/officeDocument/2006/relationships/hyperlink" Target="mailto:fharlley.paiva@yahoo.com" TargetMode="External"/><Relationship Id="rId1526" Type="http://schemas.openxmlformats.org/officeDocument/2006/relationships/hyperlink" Target="mailto:5039022sam@gmail.com" TargetMode="External"/><Relationship Id="rId1733" Type="http://schemas.openxmlformats.org/officeDocument/2006/relationships/hyperlink" Target="mailto:petitbabo@gmail.com" TargetMode="External"/><Relationship Id="rId25" Type="http://schemas.openxmlformats.org/officeDocument/2006/relationships/hyperlink" Target="mailto:azongelvis50@gmail.com" TargetMode="External"/><Relationship Id="rId1800" Type="http://schemas.openxmlformats.org/officeDocument/2006/relationships/hyperlink" Target="mailto:anthony_mendieta@yahoo.com" TargetMode="External"/><Relationship Id="rId174" Type="http://schemas.openxmlformats.org/officeDocument/2006/relationships/hyperlink" Target="mailto:djafferhassani@gmail.com" TargetMode="External"/><Relationship Id="rId381" Type="http://schemas.openxmlformats.org/officeDocument/2006/relationships/hyperlink" Target="mailto:Mustbedavid1@aol.com" TargetMode="External"/><Relationship Id="rId241" Type="http://schemas.openxmlformats.org/officeDocument/2006/relationships/hyperlink" Target="mailto:yrashard868@gmail.com" TargetMode="External"/><Relationship Id="rId479" Type="http://schemas.openxmlformats.org/officeDocument/2006/relationships/hyperlink" Target="mailto:amber.mellman.depina@icloud.com" TargetMode="External"/><Relationship Id="rId686" Type="http://schemas.openxmlformats.org/officeDocument/2006/relationships/hyperlink" Target="mailto:kapelothello@yahoo.com" TargetMode="External"/><Relationship Id="rId893" Type="http://schemas.openxmlformats.org/officeDocument/2006/relationships/hyperlink" Target="mailto:brunothompson2005@icloud.com" TargetMode="External"/><Relationship Id="rId339" Type="http://schemas.openxmlformats.org/officeDocument/2006/relationships/hyperlink" Target="mailto:rolph.nick@gmail.com" TargetMode="External"/><Relationship Id="rId546" Type="http://schemas.openxmlformats.org/officeDocument/2006/relationships/hyperlink" Target="mailto:Monicia334@yahoo.com" TargetMode="External"/><Relationship Id="rId753" Type="http://schemas.openxmlformats.org/officeDocument/2006/relationships/hyperlink" Target="mailto:brandonbj017@gmail.com" TargetMode="External"/><Relationship Id="rId1176" Type="http://schemas.openxmlformats.org/officeDocument/2006/relationships/hyperlink" Target="mailto:henrymutes8@gmail.com" TargetMode="External"/><Relationship Id="rId1383" Type="http://schemas.openxmlformats.org/officeDocument/2006/relationships/hyperlink" Target="mailto:bryannasilvaa7@gmail.com" TargetMode="External"/><Relationship Id="rId101" Type="http://schemas.openxmlformats.org/officeDocument/2006/relationships/hyperlink" Target="mailto:munene889@gmail.com" TargetMode="External"/><Relationship Id="rId406" Type="http://schemas.openxmlformats.org/officeDocument/2006/relationships/hyperlink" Target="mailto:andres.falero@yahoo.com" TargetMode="External"/><Relationship Id="rId960" Type="http://schemas.openxmlformats.org/officeDocument/2006/relationships/hyperlink" Target="mailto:nuamahkelvin@gmail.com" TargetMode="External"/><Relationship Id="rId1036" Type="http://schemas.openxmlformats.org/officeDocument/2006/relationships/hyperlink" Target="mailto:Devonoliveira555@gmail.com" TargetMode="External"/><Relationship Id="rId1243" Type="http://schemas.openxmlformats.org/officeDocument/2006/relationships/hyperlink" Target="mailto:tj.beckford29@yahoo.com" TargetMode="External"/><Relationship Id="rId1590" Type="http://schemas.openxmlformats.org/officeDocument/2006/relationships/hyperlink" Target="mailto:Gio123787@gmail.com" TargetMode="External"/><Relationship Id="rId1688" Type="http://schemas.openxmlformats.org/officeDocument/2006/relationships/hyperlink" Target="mailto:bharathrajpragada@gmail.com" TargetMode="External"/><Relationship Id="rId613" Type="http://schemas.openxmlformats.org/officeDocument/2006/relationships/hyperlink" Target="mailto:dezmenduarte@yahoo.com" TargetMode="External"/><Relationship Id="rId820" Type="http://schemas.openxmlformats.org/officeDocument/2006/relationships/hyperlink" Target="mailto:trubenefield@gmail.com" TargetMode="External"/><Relationship Id="rId918" Type="http://schemas.openxmlformats.org/officeDocument/2006/relationships/hyperlink" Target="mailto:Mrssheffler@gmail.com" TargetMode="External"/><Relationship Id="rId1450" Type="http://schemas.openxmlformats.org/officeDocument/2006/relationships/hyperlink" Target="mailto:Shaliacluis23@gmail.com" TargetMode="External"/><Relationship Id="rId1548" Type="http://schemas.openxmlformats.org/officeDocument/2006/relationships/hyperlink" Target="mailto:catherinelopes94@gmail.com" TargetMode="External"/><Relationship Id="rId1755" Type="http://schemas.openxmlformats.org/officeDocument/2006/relationships/hyperlink" Target="mailto:Brian.toste@outlook.com" TargetMode="External"/><Relationship Id="rId1103" Type="http://schemas.openxmlformats.org/officeDocument/2006/relationships/hyperlink" Target="mailto:tommyleeruiz@gmail.com" TargetMode="External"/><Relationship Id="rId1310" Type="http://schemas.openxmlformats.org/officeDocument/2006/relationships/hyperlink" Target="mailto:quavobrad22@icloud.com" TargetMode="External"/><Relationship Id="rId1408" Type="http://schemas.openxmlformats.org/officeDocument/2006/relationships/hyperlink" Target="mailto:%09jd.rene30@gmail.com" TargetMode="External"/><Relationship Id="rId47" Type="http://schemas.openxmlformats.org/officeDocument/2006/relationships/hyperlink" Target="mailto:chenderson3326@outlook.com" TargetMode="External"/><Relationship Id="rId1615" Type="http://schemas.openxmlformats.org/officeDocument/2006/relationships/hyperlink" Target="mailto:Tianndasilva@rocketmail.com" TargetMode="External"/><Relationship Id="rId1822" Type="http://schemas.openxmlformats.org/officeDocument/2006/relationships/hyperlink" Target="mailto:dudamaga2002@gmail.com" TargetMode="External"/><Relationship Id="rId196" Type="http://schemas.openxmlformats.org/officeDocument/2006/relationships/hyperlink" Target="mailto:suzykayllana1996@gmail.com" TargetMode="External"/><Relationship Id="rId263" Type="http://schemas.openxmlformats.org/officeDocument/2006/relationships/hyperlink" Target="mailto:drewlinds89@gmail.com" TargetMode="External"/><Relationship Id="rId470" Type="http://schemas.openxmlformats.org/officeDocument/2006/relationships/hyperlink" Target="mailto:sullivanc0204@gmail.com" TargetMode="External"/><Relationship Id="rId123" Type="http://schemas.openxmlformats.org/officeDocument/2006/relationships/hyperlink" Target="mailto:snikap87@icloud.com" TargetMode="External"/><Relationship Id="rId330" Type="http://schemas.openxmlformats.org/officeDocument/2006/relationships/hyperlink" Target="mailto:Solomon.Kujabi7@gmail.com" TargetMode="External"/><Relationship Id="rId568" Type="http://schemas.openxmlformats.org/officeDocument/2006/relationships/hyperlink" Target="mailto:gmoder472@gmail.com" TargetMode="External"/><Relationship Id="rId775" Type="http://schemas.openxmlformats.org/officeDocument/2006/relationships/hyperlink" Target="mailto:vjnocci@live.com" TargetMode="External"/><Relationship Id="rId982" Type="http://schemas.openxmlformats.org/officeDocument/2006/relationships/hyperlink" Target="mailto:gianna.filtranti@nichols.edu" TargetMode="External"/><Relationship Id="rId1198" Type="http://schemas.openxmlformats.org/officeDocument/2006/relationships/hyperlink" Target="mailto:romilda58@icloud.com" TargetMode="External"/><Relationship Id="rId428" Type="http://schemas.openxmlformats.org/officeDocument/2006/relationships/hyperlink" Target="mailto:andrianasilva14@gmail.com" TargetMode="External"/><Relationship Id="rId635" Type="http://schemas.openxmlformats.org/officeDocument/2006/relationships/hyperlink" Target="mailto:JordanAlbert2002@gmail.com" TargetMode="External"/><Relationship Id="rId842" Type="http://schemas.openxmlformats.org/officeDocument/2006/relationships/hyperlink" Target="mailto:kwesianyafo1986@gmail.com" TargetMode="External"/><Relationship Id="rId1058" Type="http://schemas.openxmlformats.org/officeDocument/2006/relationships/hyperlink" Target="mailto:jalisacanuto@gmail.com" TargetMode="External"/><Relationship Id="rId1265" Type="http://schemas.openxmlformats.org/officeDocument/2006/relationships/hyperlink" Target="mailto:jrivbaihern159@gmail.com" TargetMode="External"/><Relationship Id="rId1472" Type="http://schemas.openxmlformats.org/officeDocument/2006/relationships/hyperlink" Target="mailto:amazingmac90@gmail.com" TargetMode="External"/><Relationship Id="rId702" Type="http://schemas.openxmlformats.org/officeDocument/2006/relationships/hyperlink" Target="mailto:Aluhtjlol@gmail.com" TargetMode="External"/><Relationship Id="rId1125" Type="http://schemas.openxmlformats.org/officeDocument/2006/relationships/hyperlink" Target="mailto:JpJ7330@gmail.com" TargetMode="External"/><Relationship Id="rId1332" Type="http://schemas.openxmlformats.org/officeDocument/2006/relationships/hyperlink" Target="mailto:mamadoufantakourouma@gmail.com" TargetMode="External"/><Relationship Id="rId1777" Type="http://schemas.openxmlformats.org/officeDocument/2006/relationships/hyperlink" Target="mailto:Ivana2199@yahoo.com" TargetMode="External"/><Relationship Id="rId69" Type="http://schemas.openxmlformats.org/officeDocument/2006/relationships/hyperlink" Target="mailto:dewaleajib1071@gmail.com" TargetMode="External"/><Relationship Id="rId1637" Type="http://schemas.openxmlformats.org/officeDocument/2006/relationships/hyperlink" Target="mailto:nelvinmedina88@gmail.com" TargetMode="External"/><Relationship Id="rId1704" Type="http://schemas.openxmlformats.org/officeDocument/2006/relationships/hyperlink" Target="mailto:blakem667@gmail.com" TargetMode="External"/><Relationship Id="rId285" Type="http://schemas.openxmlformats.org/officeDocument/2006/relationships/hyperlink" Target="mailto:leblancolivia2@gmail.com" TargetMode="External"/><Relationship Id="rId492" Type="http://schemas.openxmlformats.org/officeDocument/2006/relationships/hyperlink" Target="mailto:bouchernick44@gmail.com" TargetMode="External"/><Relationship Id="rId797" Type="http://schemas.openxmlformats.org/officeDocument/2006/relationships/hyperlink" Target="mailto:cameronstevensjay@gmail.com" TargetMode="External"/><Relationship Id="rId145" Type="http://schemas.openxmlformats.org/officeDocument/2006/relationships/hyperlink" Target="mailto:assatasanor@yahoo.com" TargetMode="External"/><Relationship Id="rId352" Type="http://schemas.openxmlformats.org/officeDocument/2006/relationships/hyperlink" Target="mailto:Phillipcrichlow@gmail.com" TargetMode="External"/><Relationship Id="rId1287" Type="http://schemas.openxmlformats.org/officeDocument/2006/relationships/hyperlink" Target="mailto:nkemgerard@gmail.com" TargetMode="External"/><Relationship Id="rId212" Type="http://schemas.openxmlformats.org/officeDocument/2006/relationships/hyperlink" Target="mailto:kerlinjulmice1207@gmail.com" TargetMode="External"/><Relationship Id="rId657" Type="http://schemas.openxmlformats.org/officeDocument/2006/relationships/hyperlink" Target="mailto:Henryflores97@gmail.com" TargetMode="External"/><Relationship Id="rId864" Type="http://schemas.openxmlformats.org/officeDocument/2006/relationships/hyperlink" Target="mailto:indirafrederico@gmail.com" TargetMode="External"/><Relationship Id="rId1494" Type="http://schemas.openxmlformats.org/officeDocument/2006/relationships/hyperlink" Target="mailto:derrickansah224@gmail.com" TargetMode="External"/><Relationship Id="rId1799" Type="http://schemas.openxmlformats.org/officeDocument/2006/relationships/hyperlink" Target="mailto:eugeniopillkahn@yahoo.com" TargetMode="External"/><Relationship Id="rId517" Type="http://schemas.openxmlformats.org/officeDocument/2006/relationships/hyperlink" Target="mailto:haidernoor9401@icloud.com" TargetMode="External"/><Relationship Id="rId724" Type="http://schemas.openxmlformats.org/officeDocument/2006/relationships/hyperlink" Target="mailto:ericcooksr@icloud.com" TargetMode="External"/><Relationship Id="rId931" Type="http://schemas.openxmlformats.org/officeDocument/2006/relationships/hyperlink" Target="mailto:justinalvarado3@gmail.com" TargetMode="External"/><Relationship Id="rId1147" Type="http://schemas.openxmlformats.org/officeDocument/2006/relationships/hyperlink" Target="mailto:mariia.perederko@jjay.cuny.edu" TargetMode="External"/><Relationship Id="rId1354" Type="http://schemas.openxmlformats.org/officeDocument/2006/relationships/hyperlink" Target="mailto:alexisz11903@gmail.com" TargetMode="External"/><Relationship Id="rId1561" Type="http://schemas.openxmlformats.org/officeDocument/2006/relationships/hyperlink" Target="mailto:petermontenegrino@gmail.com" TargetMode="External"/><Relationship Id="rId60" Type="http://schemas.openxmlformats.org/officeDocument/2006/relationships/hyperlink" Target="mailto:cmoniz884@gmail.com" TargetMode="External"/><Relationship Id="rId1007" Type="http://schemas.openxmlformats.org/officeDocument/2006/relationships/hyperlink" Target="mailto:biancadancy12@gmail.com" TargetMode="External"/><Relationship Id="rId1214" Type="http://schemas.openxmlformats.org/officeDocument/2006/relationships/hyperlink" Target="mailto:christinepeters1224@yahoo.com" TargetMode="External"/><Relationship Id="rId1421" Type="http://schemas.openxmlformats.org/officeDocument/2006/relationships/hyperlink" Target="mailto:jeanclaudemaison06@gmail.com" TargetMode="External"/><Relationship Id="rId1659" Type="http://schemas.openxmlformats.org/officeDocument/2006/relationships/hyperlink" Target="mailto:Elizatripp01@gmail.com" TargetMode="External"/><Relationship Id="rId1519" Type="http://schemas.openxmlformats.org/officeDocument/2006/relationships/hyperlink" Target="mailto:Gfalkorn01@northshore.edu" TargetMode="External"/><Relationship Id="rId1726" Type="http://schemas.openxmlformats.org/officeDocument/2006/relationships/hyperlink" Target="mailto:ronnieformore@yahoo.com" TargetMode="External"/><Relationship Id="rId18" Type="http://schemas.openxmlformats.org/officeDocument/2006/relationships/hyperlink" Target="mailto:bcarreiro5825@gmail.com" TargetMode="External"/><Relationship Id="rId167" Type="http://schemas.openxmlformats.org/officeDocument/2006/relationships/hyperlink" Target="mailto:lhernandez3@bwh.harvard.edu" TargetMode="External"/><Relationship Id="rId374" Type="http://schemas.openxmlformats.org/officeDocument/2006/relationships/hyperlink" Target="mailto:gelielpena937@icloud.com" TargetMode="External"/><Relationship Id="rId581" Type="http://schemas.openxmlformats.org/officeDocument/2006/relationships/hyperlink" Target="mailto:shanedetres12@outlook.com" TargetMode="External"/><Relationship Id="rId234" Type="http://schemas.openxmlformats.org/officeDocument/2006/relationships/hyperlink" Target="mailto:redabazarto@gmail.com" TargetMode="External"/><Relationship Id="rId679" Type="http://schemas.openxmlformats.org/officeDocument/2006/relationships/hyperlink" Target="mailto:karen.mcginnis@vermont.gov" TargetMode="External"/><Relationship Id="rId886" Type="http://schemas.openxmlformats.org/officeDocument/2006/relationships/hyperlink" Target="mailto:tandrade01@comcast.net" TargetMode="External"/><Relationship Id="rId2" Type="http://schemas.openxmlformats.org/officeDocument/2006/relationships/hyperlink" Target="mailto:tylerfoberg@gmail.com" TargetMode="External"/><Relationship Id="rId441" Type="http://schemas.openxmlformats.org/officeDocument/2006/relationships/hyperlink" Target="mailto:Delvinbrown781@yahoo.com" TargetMode="External"/><Relationship Id="rId539" Type="http://schemas.openxmlformats.org/officeDocument/2006/relationships/hyperlink" Target="mailto:Philliptsmith12@gmail.com" TargetMode="External"/><Relationship Id="rId746" Type="http://schemas.openxmlformats.org/officeDocument/2006/relationships/hyperlink" Target="mailto:kodikovincent@gmail.com" TargetMode="External"/><Relationship Id="rId1071" Type="http://schemas.openxmlformats.org/officeDocument/2006/relationships/hyperlink" Target="mailto:lance662@gmail.com" TargetMode="External"/><Relationship Id="rId1169" Type="http://schemas.openxmlformats.org/officeDocument/2006/relationships/hyperlink" Target="mailto:ibaskin1011@gmail.com" TargetMode="External"/><Relationship Id="rId1376" Type="http://schemas.openxmlformats.org/officeDocument/2006/relationships/hyperlink" Target="mailto:woodsjashawn@yahoo.com" TargetMode="External"/><Relationship Id="rId1583" Type="http://schemas.openxmlformats.org/officeDocument/2006/relationships/hyperlink" Target="mailto:tru3lov30983@icloud.com" TargetMode="External"/><Relationship Id="rId301" Type="http://schemas.openxmlformats.org/officeDocument/2006/relationships/hyperlink" Target="mailto:avdamico09@hotmail.com" TargetMode="External"/><Relationship Id="rId953" Type="http://schemas.openxmlformats.org/officeDocument/2006/relationships/hyperlink" Target="mailto:julianx33@icloud.com" TargetMode="External"/><Relationship Id="rId1029" Type="http://schemas.openxmlformats.org/officeDocument/2006/relationships/hyperlink" Target="mailto:zeriahaleea@gmail.com" TargetMode="External"/><Relationship Id="rId1236" Type="http://schemas.openxmlformats.org/officeDocument/2006/relationships/hyperlink" Target="mailto:kyeraachristiana24@gmail.com" TargetMode="External"/><Relationship Id="rId1790" Type="http://schemas.openxmlformats.org/officeDocument/2006/relationships/hyperlink" Target="mailto:Dstrose9721@gmail.com" TargetMode="External"/><Relationship Id="rId82" Type="http://schemas.openxmlformats.org/officeDocument/2006/relationships/hyperlink" Target="mailto:roodyroc1@gmail.com" TargetMode="External"/><Relationship Id="rId606" Type="http://schemas.openxmlformats.org/officeDocument/2006/relationships/hyperlink" Target="mailto:armanic96@outlook.com" TargetMode="External"/><Relationship Id="rId813" Type="http://schemas.openxmlformats.org/officeDocument/2006/relationships/hyperlink" Target="mailto:vassall_kadian@yahoo.com" TargetMode="External"/><Relationship Id="rId1443" Type="http://schemas.openxmlformats.org/officeDocument/2006/relationships/hyperlink" Target="mailto:melenakarol@gmail.com" TargetMode="External"/><Relationship Id="rId1650" Type="http://schemas.openxmlformats.org/officeDocument/2006/relationships/hyperlink" Target="mailto:ruthgolds76@gmail.com" TargetMode="External"/><Relationship Id="rId1748" Type="http://schemas.openxmlformats.org/officeDocument/2006/relationships/hyperlink" Target="mailto:shawnborges1982@gmail.com" TargetMode="External"/><Relationship Id="rId1303" Type="http://schemas.openxmlformats.org/officeDocument/2006/relationships/hyperlink" Target="mailto:yairkoenig@gmail.com" TargetMode="External"/><Relationship Id="rId1510" Type="http://schemas.openxmlformats.org/officeDocument/2006/relationships/hyperlink" Target="mailto:rhairston1130@gmail.com" TargetMode="External"/><Relationship Id="rId1608" Type="http://schemas.openxmlformats.org/officeDocument/2006/relationships/hyperlink" Target="mailto:Wlopes@worcester.edu" TargetMode="External"/><Relationship Id="rId1815" Type="http://schemas.openxmlformats.org/officeDocument/2006/relationships/hyperlink" Target="mailto:oriakhidestiny@gmail.com" TargetMode="External"/><Relationship Id="rId189" Type="http://schemas.openxmlformats.org/officeDocument/2006/relationships/hyperlink" Target="mailto:Emm.trudeau22@gmail.com" TargetMode="External"/><Relationship Id="rId396" Type="http://schemas.openxmlformats.org/officeDocument/2006/relationships/hyperlink" Target="mailto:Tommyjones0001vb@gmail.com" TargetMode="External"/><Relationship Id="rId256" Type="http://schemas.openxmlformats.org/officeDocument/2006/relationships/hyperlink" Target="mailto:aidensullivan0@gmail.com" TargetMode="External"/><Relationship Id="rId463" Type="http://schemas.openxmlformats.org/officeDocument/2006/relationships/hyperlink" Target="mailto:kervensmeritus09@gmail.com" TargetMode="External"/><Relationship Id="rId670" Type="http://schemas.openxmlformats.org/officeDocument/2006/relationships/hyperlink" Target="mailto:jonathanmorales1990@aol.com" TargetMode="External"/><Relationship Id="rId1093" Type="http://schemas.openxmlformats.org/officeDocument/2006/relationships/hyperlink" Target="mailto:charliebwin2023@gmail.com" TargetMode="External"/><Relationship Id="rId116" Type="http://schemas.openxmlformats.org/officeDocument/2006/relationships/hyperlink" Target="mailto:Dayshon211@gmail.com" TargetMode="External"/><Relationship Id="rId323" Type="http://schemas.openxmlformats.org/officeDocument/2006/relationships/hyperlink" Target="mailto:cpriebe2024@students.curry.edu" TargetMode="External"/><Relationship Id="rId530" Type="http://schemas.openxmlformats.org/officeDocument/2006/relationships/hyperlink" Target="mailto:rrosenthal2019@gmail.com" TargetMode="External"/><Relationship Id="rId768" Type="http://schemas.openxmlformats.org/officeDocument/2006/relationships/hyperlink" Target="mailto:AnthonynPalmieri1@gmail.com" TargetMode="External"/><Relationship Id="rId975" Type="http://schemas.openxmlformats.org/officeDocument/2006/relationships/hyperlink" Target="mailto:sofiadominguez1907@gmail.com" TargetMode="External"/><Relationship Id="rId1160" Type="http://schemas.openxmlformats.org/officeDocument/2006/relationships/hyperlink" Target="mailto:Seriousking0511@gmail.com" TargetMode="External"/><Relationship Id="rId1398" Type="http://schemas.openxmlformats.org/officeDocument/2006/relationships/hyperlink" Target="mailto:%09Cmqnnix@gmail.com" TargetMode="External"/><Relationship Id="rId628" Type="http://schemas.openxmlformats.org/officeDocument/2006/relationships/hyperlink" Target="mailto:nadeige1989@gmail.com" TargetMode="External"/><Relationship Id="rId835" Type="http://schemas.openxmlformats.org/officeDocument/2006/relationships/hyperlink" Target="mailto:jaimetaborda38@gmail.com" TargetMode="External"/><Relationship Id="rId1258" Type="http://schemas.openxmlformats.org/officeDocument/2006/relationships/hyperlink" Target="mailto:villodas92@gmail.com" TargetMode="External"/><Relationship Id="rId1465" Type="http://schemas.openxmlformats.org/officeDocument/2006/relationships/hyperlink" Target="mailto:tadajaallenx3@gmail.com" TargetMode="External"/><Relationship Id="rId1672" Type="http://schemas.openxmlformats.org/officeDocument/2006/relationships/hyperlink" Target="mailto:mcneil2137@gmail.com" TargetMode="External"/><Relationship Id="rId1020" Type="http://schemas.openxmlformats.org/officeDocument/2006/relationships/hyperlink" Target="mailto:balthazarvilson18@gmail.com" TargetMode="External"/><Relationship Id="rId1118" Type="http://schemas.openxmlformats.org/officeDocument/2006/relationships/hyperlink" Target="mailto:michaelpineda549@gmail.com" TargetMode="External"/><Relationship Id="rId1325" Type="http://schemas.openxmlformats.org/officeDocument/2006/relationships/hyperlink" Target="mailto:ncjcesar.97@gmail.com" TargetMode="External"/><Relationship Id="rId1532" Type="http://schemas.openxmlformats.org/officeDocument/2006/relationships/hyperlink" Target="mailto:alydia.le19@gmail.com" TargetMode="External"/><Relationship Id="rId902" Type="http://schemas.openxmlformats.org/officeDocument/2006/relationships/hyperlink" Target="mailto:abigail.churchill001@umb.edu" TargetMode="External"/><Relationship Id="rId31" Type="http://schemas.openxmlformats.org/officeDocument/2006/relationships/hyperlink" Target="mailto:yclark1109@gmail.com" TargetMode="External"/><Relationship Id="rId180" Type="http://schemas.openxmlformats.org/officeDocument/2006/relationships/hyperlink" Target="mailto:jadalisssmarieee@gmail.com" TargetMode="External"/><Relationship Id="rId278" Type="http://schemas.openxmlformats.org/officeDocument/2006/relationships/hyperlink" Target="mailto:Sue_shay@comcast.net" TargetMode="External"/><Relationship Id="rId485" Type="http://schemas.openxmlformats.org/officeDocument/2006/relationships/hyperlink" Target="mailto:Neosavarese@gmail.com" TargetMode="External"/><Relationship Id="rId692" Type="http://schemas.openxmlformats.org/officeDocument/2006/relationships/hyperlink" Target="mailto:estellakweti@gmail.com" TargetMode="External"/><Relationship Id="rId138" Type="http://schemas.openxmlformats.org/officeDocument/2006/relationships/hyperlink" Target="mailto:kellyjeancharles@gmail.com" TargetMode="External"/><Relationship Id="rId345" Type="http://schemas.openxmlformats.org/officeDocument/2006/relationships/hyperlink" Target="mailto:Jerinsodariel@gmail.com" TargetMode="External"/><Relationship Id="rId552" Type="http://schemas.openxmlformats.org/officeDocument/2006/relationships/hyperlink" Target="mailto:rodneybameek37@yahoo.com" TargetMode="External"/><Relationship Id="rId997" Type="http://schemas.openxmlformats.org/officeDocument/2006/relationships/hyperlink" Target="mailto:benslawyer1@gmail.com" TargetMode="External"/><Relationship Id="rId1182" Type="http://schemas.openxmlformats.org/officeDocument/2006/relationships/hyperlink" Target="mailto:edwardjames928@icloud.com" TargetMode="External"/><Relationship Id="rId205" Type="http://schemas.openxmlformats.org/officeDocument/2006/relationships/hyperlink" Target="mailto:neigomesteixeira@gmail.com" TargetMode="External"/><Relationship Id="rId412" Type="http://schemas.openxmlformats.org/officeDocument/2006/relationships/hyperlink" Target="mailto:steevesidney2@gmail.com" TargetMode="External"/><Relationship Id="rId857" Type="http://schemas.openxmlformats.org/officeDocument/2006/relationships/hyperlink" Target="mailto:irrc2125@gmail.com" TargetMode="External"/><Relationship Id="rId1042" Type="http://schemas.openxmlformats.org/officeDocument/2006/relationships/hyperlink" Target="mailto:jayvianjavier1604@gmail.com" TargetMode="External"/><Relationship Id="rId1487" Type="http://schemas.openxmlformats.org/officeDocument/2006/relationships/hyperlink" Target="mailto:desalvojoseph6@gmail.com" TargetMode="External"/><Relationship Id="rId1694" Type="http://schemas.openxmlformats.org/officeDocument/2006/relationships/hyperlink" Target="mailto:dilshan1boston@gmail.com" TargetMode="External"/><Relationship Id="rId717" Type="http://schemas.openxmlformats.org/officeDocument/2006/relationships/hyperlink" Target="mailto:jeffbucko@icloud.com" TargetMode="External"/><Relationship Id="rId924" Type="http://schemas.openxmlformats.org/officeDocument/2006/relationships/hyperlink" Target="mailto:ljureau28@gmail.com" TargetMode="External"/><Relationship Id="rId1347" Type="http://schemas.openxmlformats.org/officeDocument/2006/relationships/hyperlink" Target="mailto:ant.christie28@gmail.com" TargetMode="External"/><Relationship Id="rId1554" Type="http://schemas.openxmlformats.org/officeDocument/2006/relationships/hyperlink" Target="mailto:Franchezcav07@gmail.com" TargetMode="External"/><Relationship Id="rId1761" Type="http://schemas.openxmlformats.org/officeDocument/2006/relationships/hyperlink" Target="mailto:russellkyle2002@gmail.com" TargetMode="External"/><Relationship Id="rId53" Type="http://schemas.openxmlformats.org/officeDocument/2006/relationships/hyperlink" Target="mailto:chadplace@icloud.com" TargetMode="External"/><Relationship Id="rId1207" Type="http://schemas.openxmlformats.org/officeDocument/2006/relationships/hyperlink" Target="mailto:yquannygtk@gmail.com" TargetMode="External"/><Relationship Id="rId1414" Type="http://schemas.openxmlformats.org/officeDocument/2006/relationships/hyperlink" Target="mailto:downtownbrownn67@gmail.com" TargetMode="External"/><Relationship Id="rId1621" Type="http://schemas.openxmlformats.org/officeDocument/2006/relationships/hyperlink" Target="mailto:mattitash1986@icloud.com" TargetMode="External"/><Relationship Id="rId1719" Type="http://schemas.openxmlformats.org/officeDocument/2006/relationships/hyperlink" Target="mailto:zvetter715@gmail.com" TargetMode="External"/><Relationship Id="rId367" Type="http://schemas.openxmlformats.org/officeDocument/2006/relationships/hyperlink" Target="mailto:Georgiagriffiths482@gmail.com" TargetMode="External"/><Relationship Id="rId574" Type="http://schemas.openxmlformats.org/officeDocument/2006/relationships/hyperlink" Target="mailto:Gnonkaleandre@gmail.com" TargetMode="External"/><Relationship Id="rId227" Type="http://schemas.openxmlformats.org/officeDocument/2006/relationships/hyperlink" Target="mailto:leavitt0331@gmail.com" TargetMode="External"/><Relationship Id="rId781" Type="http://schemas.openxmlformats.org/officeDocument/2006/relationships/hyperlink" Target="mailto:danielmckay79@yahoo.com" TargetMode="External"/><Relationship Id="rId879" Type="http://schemas.openxmlformats.org/officeDocument/2006/relationships/hyperlink" Target="mailto:jesielionis23@aol.com" TargetMode="External"/><Relationship Id="rId434" Type="http://schemas.openxmlformats.org/officeDocument/2006/relationships/hyperlink" Target="mailto:pricetikia@icloud.com" TargetMode="External"/><Relationship Id="rId641" Type="http://schemas.openxmlformats.org/officeDocument/2006/relationships/hyperlink" Target="mailto:oheneamankwah95@gmail.com" TargetMode="External"/><Relationship Id="rId739" Type="http://schemas.openxmlformats.org/officeDocument/2006/relationships/hyperlink" Target="mailto:shevellvernon@gmail.com" TargetMode="External"/><Relationship Id="rId1064" Type="http://schemas.openxmlformats.org/officeDocument/2006/relationships/hyperlink" Target="mailto:Donishehu12345@hotmail.com" TargetMode="External"/><Relationship Id="rId1271" Type="http://schemas.openxmlformats.org/officeDocument/2006/relationships/hyperlink" Target="mailto:nickolaystewart5@gmail.com" TargetMode="External"/><Relationship Id="rId1369" Type="http://schemas.openxmlformats.org/officeDocument/2006/relationships/hyperlink" Target="mailto:Christlovejosaphat@gmail.com" TargetMode="External"/><Relationship Id="rId1576" Type="http://schemas.openxmlformats.org/officeDocument/2006/relationships/hyperlink" Target="mailto:pouchonh1999@gmail.com" TargetMode="External"/><Relationship Id="rId501" Type="http://schemas.openxmlformats.org/officeDocument/2006/relationships/hyperlink" Target="mailto:ShiannMubarak@gmail.com" TargetMode="External"/><Relationship Id="rId946" Type="http://schemas.openxmlformats.org/officeDocument/2006/relationships/hyperlink" Target="mailto:fitzemt@yahoo.com" TargetMode="External"/><Relationship Id="rId1131" Type="http://schemas.openxmlformats.org/officeDocument/2006/relationships/hyperlink" Target="mailto:Samuelj368@gmail.com" TargetMode="External"/><Relationship Id="rId1229" Type="http://schemas.openxmlformats.org/officeDocument/2006/relationships/hyperlink" Target="mailto:kpadilla@tapestryhealth.org" TargetMode="External"/><Relationship Id="rId1783" Type="http://schemas.openxmlformats.org/officeDocument/2006/relationships/hyperlink" Target="mailto:alainjlouis3@gmail.com" TargetMode="External"/><Relationship Id="rId75" Type="http://schemas.openxmlformats.org/officeDocument/2006/relationships/hyperlink" Target="mailto:desmondmcpherson88@gmail.com" TargetMode="External"/><Relationship Id="rId806" Type="http://schemas.openxmlformats.org/officeDocument/2006/relationships/hyperlink" Target="mailto:ichonringwood111@gmail.com" TargetMode="External"/><Relationship Id="rId1436" Type="http://schemas.openxmlformats.org/officeDocument/2006/relationships/hyperlink" Target="mailto:Enairaw@gmail.com" TargetMode="External"/><Relationship Id="rId1643" Type="http://schemas.openxmlformats.org/officeDocument/2006/relationships/hyperlink" Target="mailto:kven243@gmail.com" TargetMode="External"/><Relationship Id="rId1503" Type="http://schemas.openxmlformats.org/officeDocument/2006/relationships/hyperlink" Target="mailto:miguelitotaveras2930@gmail.com" TargetMode="External"/><Relationship Id="rId1710" Type="http://schemas.openxmlformats.org/officeDocument/2006/relationships/hyperlink" Target="mailto:Sequoia97@gmail.com" TargetMode="External"/><Relationship Id="rId291" Type="http://schemas.openxmlformats.org/officeDocument/2006/relationships/hyperlink" Target="mailto:rlove@townisp.com" TargetMode="External"/><Relationship Id="rId1808" Type="http://schemas.openxmlformats.org/officeDocument/2006/relationships/hyperlink" Target="mailto:rentasciana@gmail.com" TargetMode="External"/><Relationship Id="rId151" Type="http://schemas.openxmlformats.org/officeDocument/2006/relationships/hyperlink" Target="mailto:jbyvens@gmail.com" TargetMode="External"/><Relationship Id="rId389" Type="http://schemas.openxmlformats.org/officeDocument/2006/relationships/hyperlink" Target="mailto:cedricteixeira11@aim.com" TargetMode="External"/><Relationship Id="rId596" Type="http://schemas.openxmlformats.org/officeDocument/2006/relationships/hyperlink" Target="mailto:thomasvan731@gmail.com" TargetMode="External"/><Relationship Id="rId249" Type="http://schemas.openxmlformats.org/officeDocument/2006/relationships/hyperlink" Target="mailto:brianarthur8982@gmail.com" TargetMode="External"/><Relationship Id="rId456" Type="http://schemas.openxmlformats.org/officeDocument/2006/relationships/hyperlink" Target="mailto:ecodinikaeze@gmail.com" TargetMode="External"/><Relationship Id="rId663" Type="http://schemas.openxmlformats.org/officeDocument/2006/relationships/hyperlink" Target="mailto:isaac_gyamera@yahoo.com" TargetMode="External"/><Relationship Id="rId870" Type="http://schemas.openxmlformats.org/officeDocument/2006/relationships/hyperlink" Target="mailto:Benrapoza@gmail.com" TargetMode="External"/><Relationship Id="rId1086" Type="http://schemas.openxmlformats.org/officeDocument/2006/relationships/hyperlink" Target="mailto:Nelsonolinares123@gmail.com" TargetMode="External"/><Relationship Id="rId1293" Type="http://schemas.openxmlformats.org/officeDocument/2006/relationships/hyperlink" Target="mailto:rico.chinito2025@gmail.com" TargetMode="External"/><Relationship Id="rId109" Type="http://schemas.openxmlformats.org/officeDocument/2006/relationships/hyperlink" Target="mailto:jeffreytroh@yahoo.com" TargetMode="External"/><Relationship Id="rId316" Type="http://schemas.openxmlformats.org/officeDocument/2006/relationships/hyperlink" Target="mailto:jeananchellolacroix@gmail.com" TargetMode="External"/><Relationship Id="rId523" Type="http://schemas.openxmlformats.org/officeDocument/2006/relationships/hyperlink" Target="mailto:avapanda190@icloud.com" TargetMode="External"/><Relationship Id="rId968" Type="http://schemas.openxmlformats.org/officeDocument/2006/relationships/hyperlink" Target="mailto:alain.fru2010@gmail.com" TargetMode="External"/><Relationship Id="rId1153" Type="http://schemas.openxmlformats.org/officeDocument/2006/relationships/hyperlink" Target="mailto:arnaldo.floresreyes@icloud.com" TargetMode="External"/><Relationship Id="rId1598" Type="http://schemas.openxmlformats.org/officeDocument/2006/relationships/hyperlink" Target="mailto:Sharissekw@gmail.com" TargetMode="External"/><Relationship Id="rId97" Type="http://schemas.openxmlformats.org/officeDocument/2006/relationships/hyperlink" Target="mailto:soutosandra2@gmail.com" TargetMode="External"/><Relationship Id="rId730" Type="http://schemas.openxmlformats.org/officeDocument/2006/relationships/hyperlink" Target="mailto:figueroaseryna@gmail.com" TargetMode="External"/><Relationship Id="rId828" Type="http://schemas.openxmlformats.org/officeDocument/2006/relationships/hyperlink" Target="mailto:Gastevensbalan@gmail.com" TargetMode="External"/><Relationship Id="rId1013" Type="http://schemas.openxmlformats.org/officeDocument/2006/relationships/hyperlink" Target="mailto:ashheise09@gmil.com" TargetMode="External"/><Relationship Id="rId1360" Type="http://schemas.openxmlformats.org/officeDocument/2006/relationships/hyperlink" Target="mailto:ryanfcummings93@yahoo.com" TargetMode="External"/><Relationship Id="rId1458" Type="http://schemas.openxmlformats.org/officeDocument/2006/relationships/hyperlink" Target="mailto:samantha.dumais1225@gmail.com" TargetMode="External"/><Relationship Id="rId1665" Type="http://schemas.openxmlformats.org/officeDocument/2006/relationships/hyperlink" Target="mailto:mauricio_peralta32@hotmail.com" TargetMode="External"/><Relationship Id="rId1220" Type="http://schemas.openxmlformats.org/officeDocument/2006/relationships/hyperlink" Target="mailto:goldafigaro23@gmail.com" TargetMode="External"/><Relationship Id="rId1318" Type="http://schemas.openxmlformats.org/officeDocument/2006/relationships/hyperlink" Target="mailto:briannalynchrock@icloud.com" TargetMode="External"/><Relationship Id="rId1525" Type="http://schemas.openxmlformats.org/officeDocument/2006/relationships/hyperlink" Target="mailto:Juniorpip@yahoo.com" TargetMode="External"/><Relationship Id="rId1732" Type="http://schemas.openxmlformats.org/officeDocument/2006/relationships/hyperlink" Target="mailto:oisaiah56@gmail.com" TargetMode="External"/><Relationship Id="rId24" Type="http://schemas.openxmlformats.org/officeDocument/2006/relationships/hyperlink" Target="mailto:stein4981@verizon.net" TargetMode="External"/><Relationship Id="rId173" Type="http://schemas.openxmlformats.org/officeDocument/2006/relationships/hyperlink" Target="mailto:matthiasj@gmail.com" TargetMode="External"/><Relationship Id="rId380" Type="http://schemas.openxmlformats.org/officeDocument/2006/relationships/hyperlink" Target="mailto:Jsmithhowell21@gmail.com" TargetMode="External"/><Relationship Id="rId240" Type="http://schemas.openxmlformats.org/officeDocument/2006/relationships/hyperlink" Target="mailto:shawnrussell009@gmail.com" TargetMode="External"/><Relationship Id="rId478" Type="http://schemas.openxmlformats.org/officeDocument/2006/relationships/hyperlink" Target="mailto:ceddycuz@gmail.com" TargetMode="External"/><Relationship Id="rId685" Type="http://schemas.openxmlformats.org/officeDocument/2006/relationships/hyperlink" Target="mailto:Boston5063@gmail.com" TargetMode="External"/><Relationship Id="rId892" Type="http://schemas.openxmlformats.org/officeDocument/2006/relationships/hyperlink" Target="mailto:rjjuuko281@gmail.com" TargetMode="External"/><Relationship Id="rId100" Type="http://schemas.openxmlformats.org/officeDocument/2006/relationships/hyperlink" Target="mailto:wonderlymaggie@gmail.com" TargetMode="External"/><Relationship Id="rId338" Type="http://schemas.openxmlformats.org/officeDocument/2006/relationships/hyperlink" Target="mailto:gregpaiva@gmail.com" TargetMode="External"/><Relationship Id="rId545" Type="http://schemas.openxmlformats.org/officeDocument/2006/relationships/hyperlink" Target="mailto:Maloney.erik@yahoo.com" TargetMode="External"/><Relationship Id="rId752" Type="http://schemas.openxmlformats.org/officeDocument/2006/relationships/hyperlink" Target="mailto:ryanpreis11@gmail.com" TargetMode="External"/><Relationship Id="rId1175" Type="http://schemas.openxmlformats.org/officeDocument/2006/relationships/hyperlink" Target="mailto:vazquezonix8@gmail.com" TargetMode="External"/><Relationship Id="rId1382" Type="http://schemas.openxmlformats.org/officeDocument/2006/relationships/hyperlink" Target="mailto:Seangrover34@gmail.com" TargetMode="External"/><Relationship Id="rId405" Type="http://schemas.openxmlformats.org/officeDocument/2006/relationships/hyperlink" Target="mailto:areegalmajed@gmail.com" TargetMode="External"/><Relationship Id="rId612" Type="http://schemas.openxmlformats.org/officeDocument/2006/relationships/hyperlink" Target="mailto:shollandhj@gmail.com" TargetMode="External"/><Relationship Id="rId1035" Type="http://schemas.openxmlformats.org/officeDocument/2006/relationships/hyperlink" Target="mailto:fehcostah21@gmail.com" TargetMode="External"/><Relationship Id="rId1242" Type="http://schemas.openxmlformats.org/officeDocument/2006/relationships/hyperlink" Target="mailto:karenmms305@gmail.com" TargetMode="External"/><Relationship Id="rId1687" Type="http://schemas.openxmlformats.org/officeDocument/2006/relationships/hyperlink" Target="mailto:khabibulan@yahoo.com" TargetMode="External"/><Relationship Id="rId917" Type="http://schemas.openxmlformats.org/officeDocument/2006/relationships/hyperlink" Target="mailto:nickgardner088@gmail.com" TargetMode="External"/><Relationship Id="rId1102" Type="http://schemas.openxmlformats.org/officeDocument/2006/relationships/hyperlink" Target="mailto:holdbrookmicheal7@gmail.com" TargetMode="External"/><Relationship Id="rId1547" Type="http://schemas.openxmlformats.org/officeDocument/2006/relationships/hyperlink" Target="mailto:mikelinsky3@gmail.com" TargetMode="External"/><Relationship Id="rId1754" Type="http://schemas.openxmlformats.org/officeDocument/2006/relationships/hyperlink" Target="mailto:adimonte91@gmail.com" TargetMode="External"/><Relationship Id="rId46" Type="http://schemas.openxmlformats.org/officeDocument/2006/relationships/hyperlink" Target="mailto:Shicorasaydee@icloud.com" TargetMode="External"/><Relationship Id="rId1407" Type="http://schemas.openxmlformats.org/officeDocument/2006/relationships/hyperlink" Target="mailto:abtechrich@verizon.net" TargetMode="External"/><Relationship Id="rId1614" Type="http://schemas.openxmlformats.org/officeDocument/2006/relationships/hyperlink" Target="mailto:alessacarbo03@gmail.com" TargetMode="External"/><Relationship Id="rId1821" Type="http://schemas.openxmlformats.org/officeDocument/2006/relationships/hyperlink" Target="mailto:joshuailopez14@gmail.com" TargetMode="External"/><Relationship Id="rId195" Type="http://schemas.openxmlformats.org/officeDocument/2006/relationships/hyperlink" Target="mailto:trishalossi@gmail.com" TargetMode="External"/><Relationship Id="rId262" Type="http://schemas.openxmlformats.org/officeDocument/2006/relationships/hyperlink" Target="mailto:alexyarielgarcia@icloud.com" TargetMode="External"/><Relationship Id="rId567" Type="http://schemas.openxmlformats.org/officeDocument/2006/relationships/hyperlink" Target="mailto:kayr217@gmail.com" TargetMode="External"/><Relationship Id="rId1197" Type="http://schemas.openxmlformats.org/officeDocument/2006/relationships/hyperlink" Target="mailto:shyanngore04@gmail.com" TargetMode="External"/><Relationship Id="rId122" Type="http://schemas.openxmlformats.org/officeDocument/2006/relationships/hyperlink" Target="mailto:kenslyjb12@gmail.com" TargetMode="External"/><Relationship Id="rId774" Type="http://schemas.openxmlformats.org/officeDocument/2006/relationships/hyperlink" Target="mailto:rjbrooks23@gmail.com" TargetMode="External"/><Relationship Id="rId981" Type="http://schemas.openxmlformats.org/officeDocument/2006/relationships/hyperlink" Target="mailto:shawannawright257@gmail.com" TargetMode="External"/><Relationship Id="rId1057" Type="http://schemas.openxmlformats.org/officeDocument/2006/relationships/hyperlink" Target="mailto:hullumjanelle@gmail.com" TargetMode="External"/><Relationship Id="rId427" Type="http://schemas.openxmlformats.org/officeDocument/2006/relationships/hyperlink" Target="mailto:fadmabea@yahoo.co.uk" TargetMode="External"/><Relationship Id="rId634" Type="http://schemas.openxmlformats.org/officeDocument/2006/relationships/hyperlink" Target="mailto:21tjwalker@gmail.colm" TargetMode="External"/><Relationship Id="rId841" Type="http://schemas.openxmlformats.org/officeDocument/2006/relationships/hyperlink" Target="mailto:Alessandro.scirocco@yahoo.com" TargetMode="External"/><Relationship Id="rId1264" Type="http://schemas.openxmlformats.org/officeDocument/2006/relationships/hyperlink" Target="mailto:nwokesunny22@gmail.com" TargetMode="External"/><Relationship Id="rId1471" Type="http://schemas.openxmlformats.org/officeDocument/2006/relationships/hyperlink" Target="mailto:dakeriabarnes@gmail.com" TargetMode="External"/><Relationship Id="rId1569" Type="http://schemas.openxmlformats.org/officeDocument/2006/relationships/hyperlink" Target="mailto:ladiielee@gmail.com" TargetMode="External"/><Relationship Id="rId701" Type="http://schemas.openxmlformats.org/officeDocument/2006/relationships/hyperlink" Target="mailto:yishaiw7@gmail.com" TargetMode="External"/><Relationship Id="rId939" Type="http://schemas.openxmlformats.org/officeDocument/2006/relationships/hyperlink" Target="mailto:judith.brown@mass.gov" TargetMode="External"/><Relationship Id="rId1124" Type="http://schemas.openxmlformats.org/officeDocument/2006/relationships/hyperlink" Target="mailto:robidouxalexis.1@gmail.com" TargetMode="External"/><Relationship Id="rId1331" Type="http://schemas.openxmlformats.org/officeDocument/2006/relationships/hyperlink" Target="mailto:noslenpainting@gmail.com" TargetMode="External"/><Relationship Id="rId1776" Type="http://schemas.openxmlformats.org/officeDocument/2006/relationships/hyperlink" Target="mailto:ruthelqueen113@gmail.com" TargetMode="External"/><Relationship Id="rId68" Type="http://schemas.openxmlformats.org/officeDocument/2006/relationships/hyperlink" Target="mailto:cameronmay141141@gmail.com" TargetMode="External"/><Relationship Id="rId1429" Type="http://schemas.openxmlformats.org/officeDocument/2006/relationships/hyperlink" Target="mailto:abelingo2013@gmail.com" TargetMode="External"/><Relationship Id="rId1636" Type="http://schemas.openxmlformats.org/officeDocument/2006/relationships/hyperlink" Target="mailto:Felixfrias111@gmail.com" TargetMode="External"/><Relationship Id="rId1703" Type="http://schemas.openxmlformats.org/officeDocument/2006/relationships/hyperlink" Target="mailto:jacawandaniels123@gmail.com" TargetMode="External"/><Relationship Id="rId284" Type="http://schemas.openxmlformats.org/officeDocument/2006/relationships/hyperlink" Target="mailto:av1493@yahoo.com" TargetMode="External"/><Relationship Id="rId491" Type="http://schemas.openxmlformats.org/officeDocument/2006/relationships/hyperlink" Target="mailto:paulkimani26@gmail.com" TargetMode="External"/><Relationship Id="rId144" Type="http://schemas.openxmlformats.org/officeDocument/2006/relationships/hyperlink" Target="mailto:mattmcdonald610@gmail.com" TargetMode="External"/><Relationship Id="rId589" Type="http://schemas.openxmlformats.org/officeDocument/2006/relationships/hyperlink" Target="mailto:morganlag2003@gmail.com" TargetMode="External"/><Relationship Id="rId796" Type="http://schemas.openxmlformats.org/officeDocument/2006/relationships/hyperlink" Target="mailto:ilonatrembath254@gmail.com" TargetMode="External"/><Relationship Id="rId351" Type="http://schemas.openxmlformats.org/officeDocument/2006/relationships/hyperlink" Target="mailto:Jessy.moon.lopez@gmail.com" TargetMode="External"/><Relationship Id="rId449" Type="http://schemas.openxmlformats.org/officeDocument/2006/relationships/hyperlink" Target="mailto:earslen1977@gmail.com" TargetMode="External"/><Relationship Id="rId656" Type="http://schemas.openxmlformats.org/officeDocument/2006/relationships/hyperlink" Target="mailto:ssegirinyaarnold@gmail.com" TargetMode="External"/><Relationship Id="rId863" Type="http://schemas.openxmlformats.org/officeDocument/2006/relationships/hyperlink" Target="mailto:isaiahtobin2024@gmail.com" TargetMode="External"/><Relationship Id="rId1079" Type="http://schemas.openxmlformats.org/officeDocument/2006/relationships/hyperlink" Target="mailto:Starinak96@gmail.com" TargetMode="External"/><Relationship Id="rId1286" Type="http://schemas.openxmlformats.org/officeDocument/2006/relationships/hyperlink" Target="mailto:Yini200@icloud.com" TargetMode="External"/><Relationship Id="rId1493" Type="http://schemas.openxmlformats.org/officeDocument/2006/relationships/hyperlink" Target="mailto:bruce8926@gmail.com" TargetMode="External"/><Relationship Id="rId211" Type="http://schemas.openxmlformats.org/officeDocument/2006/relationships/hyperlink" Target="mailto:cummingsnicole9718@gmail.com" TargetMode="External"/><Relationship Id="rId309" Type="http://schemas.openxmlformats.org/officeDocument/2006/relationships/hyperlink" Target="mailto:patricklanguzzi@gmail.com" TargetMode="External"/><Relationship Id="rId516" Type="http://schemas.openxmlformats.org/officeDocument/2006/relationships/hyperlink" Target="mailto:frankdsilva03@gmail.com" TargetMode="External"/><Relationship Id="rId1146" Type="http://schemas.openxmlformats.org/officeDocument/2006/relationships/hyperlink" Target="mailto:stevebelmix@gmail.com" TargetMode="External"/><Relationship Id="rId1798" Type="http://schemas.openxmlformats.org/officeDocument/2006/relationships/hyperlink" Target="mailto:nikolliloreno@gmail.com" TargetMode="External"/><Relationship Id="rId723" Type="http://schemas.openxmlformats.org/officeDocument/2006/relationships/hyperlink" Target="mailto:Jennifer_panarelli@yahoo.com" TargetMode="External"/><Relationship Id="rId930" Type="http://schemas.openxmlformats.org/officeDocument/2006/relationships/hyperlink" Target="mailto:hmaltz25@gmail.com" TargetMode="External"/><Relationship Id="rId1006" Type="http://schemas.openxmlformats.org/officeDocument/2006/relationships/hyperlink" Target="mailto:josemontanez7654@gmail.com" TargetMode="External"/><Relationship Id="rId1353" Type="http://schemas.openxmlformats.org/officeDocument/2006/relationships/hyperlink" Target="mailto:Jonyeo24@gmail.com" TargetMode="External"/><Relationship Id="rId1560" Type="http://schemas.openxmlformats.org/officeDocument/2006/relationships/hyperlink" Target="mailto:Alexmcfarlanebsc@gmail.com" TargetMode="External"/><Relationship Id="rId1658" Type="http://schemas.openxmlformats.org/officeDocument/2006/relationships/hyperlink" Target="mailto:Racingtntmx@aol.com" TargetMode="External"/><Relationship Id="rId1213" Type="http://schemas.openxmlformats.org/officeDocument/2006/relationships/hyperlink" Target="mailto:jeffreytroh@yahoo.com" TargetMode="External"/><Relationship Id="rId1420" Type="http://schemas.openxmlformats.org/officeDocument/2006/relationships/hyperlink" Target="mailto:rodbameek13@yahoo.com" TargetMode="External"/><Relationship Id="rId1518" Type="http://schemas.openxmlformats.org/officeDocument/2006/relationships/hyperlink" Target="mailto:mmdiseko@gmail.com" TargetMode="External"/><Relationship Id="rId1725" Type="http://schemas.openxmlformats.org/officeDocument/2006/relationships/hyperlink" Target="mailto:apollon.reggiani@icloud.com" TargetMode="External"/><Relationship Id="rId17" Type="http://schemas.openxmlformats.org/officeDocument/2006/relationships/hyperlink" Target="mailto:dariuslucas75@gmail.com" TargetMode="External"/><Relationship Id="rId166" Type="http://schemas.openxmlformats.org/officeDocument/2006/relationships/hyperlink" Target="mailto:ianpatconnaughton@gmail.com" TargetMode="External"/><Relationship Id="rId373" Type="http://schemas.openxmlformats.org/officeDocument/2006/relationships/hyperlink" Target="mailto:brennan.fortes@yahoo.com" TargetMode="External"/><Relationship Id="rId580" Type="http://schemas.openxmlformats.org/officeDocument/2006/relationships/hyperlink" Target="mailto:Ohenebakduah2@gmail.com" TargetMode="External"/><Relationship Id="rId1" Type="http://schemas.openxmlformats.org/officeDocument/2006/relationships/hyperlink" Target="mailto:josuerodriguezosoria@gmail.com" TargetMode="External"/><Relationship Id="rId233" Type="http://schemas.openxmlformats.org/officeDocument/2006/relationships/hyperlink" Target="mailto:shandraolivier@icloud.com" TargetMode="External"/><Relationship Id="rId440" Type="http://schemas.openxmlformats.org/officeDocument/2006/relationships/hyperlink" Target="mailto:Stefan.duda2017@gmail.com" TargetMode="External"/><Relationship Id="rId678" Type="http://schemas.openxmlformats.org/officeDocument/2006/relationships/hyperlink" Target="mailto:edouard2319@yahoo.fr" TargetMode="External"/><Relationship Id="rId885" Type="http://schemas.openxmlformats.org/officeDocument/2006/relationships/hyperlink" Target="mailto:deroseleo@outlook.com" TargetMode="External"/><Relationship Id="rId1070" Type="http://schemas.openxmlformats.org/officeDocument/2006/relationships/hyperlink" Target="mailto:darcylooney@gmail.com" TargetMode="External"/><Relationship Id="rId300" Type="http://schemas.openxmlformats.org/officeDocument/2006/relationships/hyperlink" Target="mailto:luzdelgado596@gmail.com" TargetMode="External"/><Relationship Id="rId538" Type="http://schemas.openxmlformats.org/officeDocument/2006/relationships/hyperlink" Target="mailto:padronwendy03@gmail.com" TargetMode="External"/><Relationship Id="rId745" Type="http://schemas.openxmlformats.org/officeDocument/2006/relationships/hyperlink" Target="mailto:lucken03@hotmail.com" TargetMode="External"/><Relationship Id="rId952" Type="http://schemas.openxmlformats.org/officeDocument/2006/relationships/hyperlink" Target="mailto:ininahazwefyna@gmail.com" TargetMode="External"/><Relationship Id="rId1168" Type="http://schemas.openxmlformats.org/officeDocument/2006/relationships/hyperlink" Target="mailto:ashleykellyb@icloud.com" TargetMode="External"/><Relationship Id="rId1375" Type="http://schemas.openxmlformats.org/officeDocument/2006/relationships/hyperlink" Target="mailto:logandream29@yahoo.com" TargetMode="External"/><Relationship Id="rId1582" Type="http://schemas.openxmlformats.org/officeDocument/2006/relationships/hyperlink" Target="mailto:nathalytorresveras65@gmail.com" TargetMode="External"/><Relationship Id="rId81" Type="http://schemas.openxmlformats.org/officeDocument/2006/relationships/hyperlink" Target="mailto:fege222@uky.edu" TargetMode="External"/><Relationship Id="rId605" Type="http://schemas.openxmlformats.org/officeDocument/2006/relationships/hyperlink" Target="mailto:xashy160@gmail.com" TargetMode="External"/><Relationship Id="rId812" Type="http://schemas.openxmlformats.org/officeDocument/2006/relationships/hyperlink" Target="mailto:npotts93@hotmail.com" TargetMode="External"/><Relationship Id="rId1028" Type="http://schemas.openxmlformats.org/officeDocument/2006/relationships/hyperlink" Target="mailto:raymondgresham91@gmail.com" TargetMode="External"/><Relationship Id="rId1235" Type="http://schemas.openxmlformats.org/officeDocument/2006/relationships/hyperlink" Target="mailto:mskrystalgrace3@gmail.com" TargetMode="External"/><Relationship Id="rId1442" Type="http://schemas.openxmlformats.org/officeDocument/2006/relationships/hyperlink" Target="mailto:gaymagdala1984@gmail.com" TargetMode="External"/><Relationship Id="rId1302" Type="http://schemas.openxmlformats.org/officeDocument/2006/relationships/hyperlink" Target="mailto:hollingworthpaulhunter@gmail.com" TargetMode="External"/><Relationship Id="rId1747" Type="http://schemas.openxmlformats.org/officeDocument/2006/relationships/hyperlink" Target="mailto:d.doran3000@gmail.com" TargetMode="External"/><Relationship Id="rId39" Type="http://schemas.openxmlformats.org/officeDocument/2006/relationships/hyperlink" Target="mailto:ATATALIAS31@GMAIL.COM" TargetMode="External"/><Relationship Id="rId1607" Type="http://schemas.openxmlformats.org/officeDocument/2006/relationships/hyperlink" Target="mailto:c.margaret17@gmail.com" TargetMode="External"/><Relationship Id="rId1814" Type="http://schemas.openxmlformats.org/officeDocument/2006/relationships/hyperlink" Target="mailto:brian01904@gmail.com" TargetMode="External"/><Relationship Id="rId188" Type="http://schemas.openxmlformats.org/officeDocument/2006/relationships/hyperlink" Target="mailto:Santodavid14@gmail.com" TargetMode="External"/><Relationship Id="rId395" Type="http://schemas.openxmlformats.org/officeDocument/2006/relationships/hyperlink" Target="mailto:kyaralavallee9@gmail.com" TargetMode="External"/><Relationship Id="rId255" Type="http://schemas.openxmlformats.org/officeDocument/2006/relationships/hyperlink" Target="mailto:squibbdavid2017@gmail.com" TargetMode="External"/><Relationship Id="rId462" Type="http://schemas.openxmlformats.org/officeDocument/2006/relationships/hyperlink" Target="mailto:yadriel.dj@gmail.com" TargetMode="External"/><Relationship Id="rId1092" Type="http://schemas.openxmlformats.org/officeDocument/2006/relationships/hyperlink" Target="mailto:geoffreygori87@gmail.com" TargetMode="External"/><Relationship Id="rId1397" Type="http://schemas.openxmlformats.org/officeDocument/2006/relationships/hyperlink" Target="mailto:%09fpinson@recoverysolutions.us" TargetMode="External"/><Relationship Id="rId115" Type="http://schemas.openxmlformats.org/officeDocument/2006/relationships/hyperlink" Target="mailto:odneyamaree7@gmail.com" TargetMode="External"/><Relationship Id="rId322" Type="http://schemas.openxmlformats.org/officeDocument/2006/relationships/hyperlink" Target="mailto:maxagriin@gmail.com" TargetMode="External"/><Relationship Id="rId767" Type="http://schemas.openxmlformats.org/officeDocument/2006/relationships/hyperlink" Target="mailto:minottpretty@gmail.com" TargetMode="External"/><Relationship Id="rId974" Type="http://schemas.openxmlformats.org/officeDocument/2006/relationships/hyperlink" Target="mailto:Jtottaviano@gmail.com" TargetMode="External"/><Relationship Id="rId627" Type="http://schemas.openxmlformats.org/officeDocument/2006/relationships/hyperlink" Target="mailto:samyjean1982@gmail.com" TargetMode="External"/><Relationship Id="rId834" Type="http://schemas.openxmlformats.org/officeDocument/2006/relationships/hyperlink" Target="mailto:bedard2013@gmail.com" TargetMode="External"/><Relationship Id="rId1257" Type="http://schemas.openxmlformats.org/officeDocument/2006/relationships/hyperlink" Target="mailto:ogcarlos282@gmail.com" TargetMode="External"/><Relationship Id="rId1464" Type="http://schemas.openxmlformats.org/officeDocument/2006/relationships/hyperlink" Target="mailto:randyv24@gmail.com" TargetMode="External"/><Relationship Id="rId1671" Type="http://schemas.openxmlformats.org/officeDocument/2006/relationships/hyperlink" Target="mailto:taiouetrey11@gmail.com" TargetMode="External"/><Relationship Id="rId901" Type="http://schemas.openxmlformats.org/officeDocument/2006/relationships/hyperlink" Target="mailto:Monique.ev.jones@gmail.com" TargetMode="External"/><Relationship Id="rId1117" Type="http://schemas.openxmlformats.org/officeDocument/2006/relationships/hyperlink" Target="mailto:Ncormier86@yahoo.com" TargetMode="External"/><Relationship Id="rId1324" Type="http://schemas.openxmlformats.org/officeDocument/2006/relationships/hyperlink" Target="mailto:bonybls6@gmail.com" TargetMode="External"/><Relationship Id="rId1531" Type="http://schemas.openxmlformats.org/officeDocument/2006/relationships/hyperlink" Target="mailto:joshua.figueroa5@ipr.edu" TargetMode="External"/><Relationship Id="rId1769" Type="http://schemas.openxmlformats.org/officeDocument/2006/relationships/hyperlink" Target="mailto:Aviante77@proton.me" TargetMode="External"/><Relationship Id="rId30" Type="http://schemas.openxmlformats.org/officeDocument/2006/relationships/hyperlink" Target="mailto:Wander_2217@outlook.com" TargetMode="External"/><Relationship Id="rId1629" Type="http://schemas.openxmlformats.org/officeDocument/2006/relationships/hyperlink" Target="mailto:yatiragonzalez@gmail.com" TargetMode="External"/><Relationship Id="rId277" Type="http://schemas.openxmlformats.org/officeDocument/2006/relationships/hyperlink" Target="mailto:andino23pr@gmail.com" TargetMode="External"/><Relationship Id="rId484" Type="http://schemas.openxmlformats.org/officeDocument/2006/relationships/hyperlink" Target="mailto:edwardtwumbarimah@yahoo.com" TargetMode="External"/><Relationship Id="rId137" Type="http://schemas.openxmlformats.org/officeDocument/2006/relationships/hyperlink" Target="mailto:ivenssainte00@gmail.com" TargetMode="External"/><Relationship Id="rId344" Type="http://schemas.openxmlformats.org/officeDocument/2006/relationships/hyperlink" Target="mailto:mrcarlosreyes3@gmail.com" TargetMode="External"/><Relationship Id="rId691" Type="http://schemas.openxmlformats.org/officeDocument/2006/relationships/hyperlink" Target="mailto:mambong4199@gmail.com" TargetMode="External"/><Relationship Id="rId789" Type="http://schemas.openxmlformats.org/officeDocument/2006/relationships/hyperlink" Target="mailto:ernestostlouis@gmail.com" TargetMode="External"/><Relationship Id="rId996" Type="http://schemas.openxmlformats.org/officeDocument/2006/relationships/hyperlink" Target="mailto:brysondawn097@gmail.com" TargetMode="External"/><Relationship Id="rId551" Type="http://schemas.openxmlformats.org/officeDocument/2006/relationships/hyperlink" Target="mailto:jatkins0284@gmail.com" TargetMode="External"/><Relationship Id="rId649" Type="http://schemas.openxmlformats.org/officeDocument/2006/relationships/hyperlink" Target="mailto:ymejiaumana@gmail.com" TargetMode="External"/><Relationship Id="rId856" Type="http://schemas.openxmlformats.org/officeDocument/2006/relationships/hyperlink" Target="mailto:trai_menter@icloud.com" TargetMode="External"/><Relationship Id="rId1181" Type="http://schemas.openxmlformats.org/officeDocument/2006/relationships/hyperlink" Target="mailto:mcdaideric@gmail.com" TargetMode="External"/><Relationship Id="rId1279" Type="http://schemas.openxmlformats.org/officeDocument/2006/relationships/hyperlink" Target="mailto:deniseltorresmd@gmail.com" TargetMode="External"/><Relationship Id="rId1486" Type="http://schemas.openxmlformats.org/officeDocument/2006/relationships/hyperlink" Target="mailto:summernicole42017@icloud.com" TargetMode="External"/><Relationship Id="rId204" Type="http://schemas.openxmlformats.org/officeDocument/2006/relationships/hyperlink" Target="mailto:nymiah86@gmail.com" TargetMode="External"/><Relationship Id="rId411" Type="http://schemas.openxmlformats.org/officeDocument/2006/relationships/hyperlink" Target="mailto:alexcarbo349@gmail.com" TargetMode="External"/><Relationship Id="rId509" Type="http://schemas.openxmlformats.org/officeDocument/2006/relationships/hyperlink" Target="mailto:heitorswankgy073310@gmail.com" TargetMode="External"/><Relationship Id="rId1041" Type="http://schemas.openxmlformats.org/officeDocument/2006/relationships/hyperlink" Target="mailto:Milliemmmcpherson@gmail.com" TargetMode="External"/><Relationship Id="rId1139" Type="http://schemas.openxmlformats.org/officeDocument/2006/relationships/hyperlink" Target="mailto:andralisss525@gmail.com" TargetMode="External"/><Relationship Id="rId1346" Type="http://schemas.openxmlformats.org/officeDocument/2006/relationships/hyperlink" Target="mailto:estebancar@gmail.com" TargetMode="External"/><Relationship Id="rId1693" Type="http://schemas.openxmlformats.org/officeDocument/2006/relationships/hyperlink" Target="mailto:BOAKYEFK@GMAIL.COM" TargetMode="External"/><Relationship Id="rId716" Type="http://schemas.openxmlformats.org/officeDocument/2006/relationships/hyperlink" Target="mailto:Ray86nadeau@gmail.com" TargetMode="External"/><Relationship Id="rId923" Type="http://schemas.openxmlformats.org/officeDocument/2006/relationships/hyperlink" Target="mailto:usarmy91@gmail.com" TargetMode="External"/><Relationship Id="rId1553" Type="http://schemas.openxmlformats.org/officeDocument/2006/relationships/hyperlink" Target="mailto:joeservello00@gmail.com" TargetMode="External"/><Relationship Id="rId1760" Type="http://schemas.openxmlformats.org/officeDocument/2006/relationships/hyperlink" Target="mailto:ellisannysilvestre@gmail.com" TargetMode="External"/><Relationship Id="rId52" Type="http://schemas.openxmlformats.org/officeDocument/2006/relationships/hyperlink" Target="mailto:Agz4789@yahoo.com" TargetMode="External"/><Relationship Id="rId1206" Type="http://schemas.openxmlformats.org/officeDocument/2006/relationships/hyperlink" Target="mailto:RICARDOEUGENE322@GMAIL.COM" TargetMode="External"/><Relationship Id="rId1413" Type="http://schemas.openxmlformats.org/officeDocument/2006/relationships/hyperlink" Target="mailto:alainbessard@icloud.com" TargetMode="External"/><Relationship Id="rId1620" Type="http://schemas.openxmlformats.org/officeDocument/2006/relationships/hyperlink" Target="mailto:emmanuelyillah1@gmail.com" TargetMode="External"/><Relationship Id="rId1718" Type="http://schemas.openxmlformats.org/officeDocument/2006/relationships/hyperlink" Target="mailto:acaldeira362007@gmail.com" TargetMode="External"/><Relationship Id="rId299" Type="http://schemas.openxmlformats.org/officeDocument/2006/relationships/hyperlink" Target="mailto:jpineda42@icloud.com" TargetMode="External"/><Relationship Id="rId159" Type="http://schemas.openxmlformats.org/officeDocument/2006/relationships/hyperlink" Target="mailto:chynasena@gmail.com" TargetMode="External"/><Relationship Id="rId366" Type="http://schemas.openxmlformats.org/officeDocument/2006/relationships/hyperlink" Target="mailto:Ltuitt@icloud.com" TargetMode="External"/><Relationship Id="rId573" Type="http://schemas.openxmlformats.org/officeDocument/2006/relationships/hyperlink" Target="mailto:jvickyana@gmail.com" TargetMode="External"/><Relationship Id="rId780" Type="http://schemas.openxmlformats.org/officeDocument/2006/relationships/hyperlink" Target="mailto:zachwojo05@gmail.com" TargetMode="External"/><Relationship Id="rId226" Type="http://schemas.openxmlformats.org/officeDocument/2006/relationships/hyperlink" Target="mailto:brandonwhitehead@hotmail.com" TargetMode="External"/><Relationship Id="rId433" Type="http://schemas.openxmlformats.org/officeDocument/2006/relationships/hyperlink" Target="mailto:cassiethc4201@gmail.com" TargetMode="External"/><Relationship Id="rId878" Type="http://schemas.openxmlformats.org/officeDocument/2006/relationships/hyperlink" Target="mailto:josephgchavez@icloud.com" TargetMode="External"/><Relationship Id="rId1063" Type="http://schemas.openxmlformats.org/officeDocument/2006/relationships/hyperlink" Target="mailto:ericduarte84@gmail.com" TargetMode="External"/><Relationship Id="rId1270" Type="http://schemas.openxmlformats.org/officeDocument/2006/relationships/hyperlink" Target="mailto:liriano126@gmail.com" TargetMode="External"/><Relationship Id="rId640" Type="http://schemas.openxmlformats.org/officeDocument/2006/relationships/hyperlink" Target="mailto:sasare072@gmail.com" TargetMode="External"/><Relationship Id="rId738" Type="http://schemas.openxmlformats.org/officeDocument/2006/relationships/hyperlink" Target="mailto:lewisjermaine853@gmail.com" TargetMode="External"/><Relationship Id="rId945" Type="http://schemas.openxmlformats.org/officeDocument/2006/relationships/hyperlink" Target="mailto:24ibrown66@gmail.com" TargetMode="External"/><Relationship Id="rId1368" Type="http://schemas.openxmlformats.org/officeDocument/2006/relationships/hyperlink" Target="mailto:chaile90@icloud.com" TargetMode="External"/><Relationship Id="rId1575" Type="http://schemas.openxmlformats.org/officeDocument/2006/relationships/hyperlink" Target="mailto:ozeiasandnelly@hotmail.com" TargetMode="External"/><Relationship Id="rId1782" Type="http://schemas.openxmlformats.org/officeDocument/2006/relationships/hyperlink" Target="mailto:roderickharrisiii@gmail.com" TargetMode="External"/><Relationship Id="rId74" Type="http://schemas.openxmlformats.org/officeDocument/2006/relationships/hyperlink" Target="mailto:treannacolbert2950@gmail.com" TargetMode="External"/><Relationship Id="rId500" Type="http://schemas.openxmlformats.org/officeDocument/2006/relationships/hyperlink" Target="mailto:andrew.purington@yahoo.com" TargetMode="External"/><Relationship Id="rId805" Type="http://schemas.openxmlformats.org/officeDocument/2006/relationships/hyperlink" Target="mailto:juniorlopesgomes063@gmail.com" TargetMode="External"/><Relationship Id="rId1130" Type="http://schemas.openxmlformats.org/officeDocument/2006/relationships/hyperlink" Target="mailto:flaviat1985@gmail.com" TargetMode="External"/><Relationship Id="rId1228" Type="http://schemas.openxmlformats.org/officeDocument/2006/relationships/hyperlink" Target="mailto:kelseylynnprovost@gmail.com" TargetMode="External"/><Relationship Id="rId1435" Type="http://schemas.openxmlformats.org/officeDocument/2006/relationships/hyperlink" Target="mailto:Richelismatosbetances@gmail.com" TargetMode="External"/><Relationship Id="rId1642" Type="http://schemas.openxmlformats.org/officeDocument/2006/relationships/hyperlink" Target="mailto:elecce66@gmail.com" TargetMode="External"/><Relationship Id="rId1502" Type="http://schemas.openxmlformats.org/officeDocument/2006/relationships/hyperlink" Target="mailto:nova958@gmail.com" TargetMode="External"/><Relationship Id="rId1807" Type="http://schemas.openxmlformats.org/officeDocument/2006/relationships/hyperlink" Target="mailto:depinaalves_rolanda@icloud.com" TargetMode="External"/><Relationship Id="rId290" Type="http://schemas.openxmlformats.org/officeDocument/2006/relationships/hyperlink" Target="mailto:dupreykamden@gmail.com" TargetMode="External"/><Relationship Id="rId388" Type="http://schemas.openxmlformats.org/officeDocument/2006/relationships/hyperlink" Target="mailto:krsmith13@comcast.net" TargetMode="External"/><Relationship Id="rId150" Type="http://schemas.openxmlformats.org/officeDocument/2006/relationships/hyperlink" Target="mailto:olesankale9@gmail.com" TargetMode="External"/><Relationship Id="rId595" Type="http://schemas.openxmlformats.org/officeDocument/2006/relationships/hyperlink" Target="mailto:malazarte07@gmail.com" TargetMode="External"/><Relationship Id="rId248" Type="http://schemas.openxmlformats.org/officeDocument/2006/relationships/hyperlink" Target="mailto:tamathaschipper8@gmail.com" TargetMode="External"/><Relationship Id="rId455" Type="http://schemas.openxmlformats.org/officeDocument/2006/relationships/hyperlink" Target="mailto:wilgardmonumar35@gmail.com" TargetMode="External"/><Relationship Id="rId662" Type="http://schemas.openxmlformats.org/officeDocument/2006/relationships/hyperlink" Target="mailto:shinron3000@yahoo.com" TargetMode="External"/><Relationship Id="rId1085" Type="http://schemas.openxmlformats.org/officeDocument/2006/relationships/hyperlink" Target="mailto:mikotadros21@gmail.com" TargetMode="External"/><Relationship Id="rId1292" Type="http://schemas.openxmlformats.org/officeDocument/2006/relationships/hyperlink" Target="mailto:moisesviana1975@gmail.com" TargetMode="External"/><Relationship Id="rId108" Type="http://schemas.openxmlformats.org/officeDocument/2006/relationships/hyperlink" Target="mailto:aghaazancho@gmail.com" TargetMode="External"/><Relationship Id="rId315" Type="http://schemas.openxmlformats.org/officeDocument/2006/relationships/hyperlink" Target="mailto:imanuelfernandes17@gmail.com" TargetMode="External"/><Relationship Id="rId522" Type="http://schemas.openxmlformats.org/officeDocument/2006/relationships/hyperlink" Target="mailto:n_burke2@salemstate.edu" TargetMode="External"/><Relationship Id="rId967" Type="http://schemas.openxmlformats.org/officeDocument/2006/relationships/hyperlink" Target="mailto:jmdumark2005@gmail.com" TargetMode="External"/><Relationship Id="rId1152" Type="http://schemas.openxmlformats.org/officeDocument/2006/relationships/hyperlink" Target="mailto:Marcelin.alert@gmail.com" TargetMode="External"/><Relationship Id="rId1597" Type="http://schemas.openxmlformats.org/officeDocument/2006/relationships/hyperlink" Target="mailto:Jolivier458@gmail.com" TargetMode="External"/><Relationship Id="rId96" Type="http://schemas.openxmlformats.org/officeDocument/2006/relationships/hyperlink" Target="mailto:teixeiradomingos2000@gmail.com" TargetMode="External"/><Relationship Id="rId827" Type="http://schemas.openxmlformats.org/officeDocument/2006/relationships/hyperlink" Target="mailto:cinthiasuastegui30@gmail.com" TargetMode="External"/><Relationship Id="rId1012" Type="http://schemas.openxmlformats.org/officeDocument/2006/relationships/hyperlink" Target="mailto:acsloh@gmail.com" TargetMode="External"/><Relationship Id="rId1457" Type="http://schemas.openxmlformats.org/officeDocument/2006/relationships/hyperlink" Target="mailto:jessetompkins01@gmail.com" TargetMode="External"/><Relationship Id="rId1664" Type="http://schemas.openxmlformats.org/officeDocument/2006/relationships/hyperlink" Target="mailto:sarahribeiro7775@gmail.com" TargetMode="External"/><Relationship Id="rId1317" Type="http://schemas.openxmlformats.org/officeDocument/2006/relationships/hyperlink" Target="mailto:venante9@gmail.com" TargetMode="External"/><Relationship Id="rId1524" Type="http://schemas.openxmlformats.org/officeDocument/2006/relationships/hyperlink" Target="mailto:sethianjames02@gmail.com" TargetMode="External"/><Relationship Id="rId1731" Type="http://schemas.openxmlformats.org/officeDocument/2006/relationships/hyperlink" Target="mailto:jamiecourtney1989@gmail.com" TargetMode="External"/><Relationship Id="rId23" Type="http://schemas.openxmlformats.org/officeDocument/2006/relationships/hyperlink" Target="mailto:Calixto77777@gmail.com" TargetMode="External"/><Relationship Id="rId172" Type="http://schemas.openxmlformats.org/officeDocument/2006/relationships/hyperlink" Target="mailto:graceamelia.creative@gmail.com" TargetMode="External"/><Relationship Id="rId477" Type="http://schemas.openxmlformats.org/officeDocument/2006/relationships/hyperlink" Target="mailto:wyman.rich@gmail.com" TargetMode="External"/><Relationship Id="rId684" Type="http://schemas.openxmlformats.org/officeDocument/2006/relationships/hyperlink" Target="mailto:Evansr1917@gmail.com" TargetMode="External"/><Relationship Id="rId337" Type="http://schemas.openxmlformats.org/officeDocument/2006/relationships/hyperlink" Target="mailto:marivictorre1577@gmail.com" TargetMode="External"/><Relationship Id="rId891" Type="http://schemas.openxmlformats.org/officeDocument/2006/relationships/hyperlink" Target="mailto:21cassonedj@gmail.com" TargetMode="External"/><Relationship Id="rId989" Type="http://schemas.openxmlformats.org/officeDocument/2006/relationships/hyperlink" Target="mailto:barboza_matthew@yahoo.com" TargetMode="External"/><Relationship Id="rId544" Type="http://schemas.openxmlformats.org/officeDocument/2006/relationships/hyperlink" Target="mailto:twelliever@gmail.com" TargetMode="External"/><Relationship Id="rId751" Type="http://schemas.openxmlformats.org/officeDocument/2006/relationships/hyperlink" Target="mailto:mpr71529@gmail.com" TargetMode="External"/><Relationship Id="rId849" Type="http://schemas.openxmlformats.org/officeDocument/2006/relationships/hyperlink" Target="mailto:fattybabucarr96@gmail.com" TargetMode="External"/><Relationship Id="rId1174" Type="http://schemas.openxmlformats.org/officeDocument/2006/relationships/hyperlink" Target="mailto:stanleystlouis14@yahoo.com" TargetMode="External"/><Relationship Id="rId1381" Type="http://schemas.openxmlformats.org/officeDocument/2006/relationships/hyperlink" Target="mailto:sammiejo32789@aol.com" TargetMode="External"/><Relationship Id="rId1479" Type="http://schemas.openxmlformats.org/officeDocument/2006/relationships/hyperlink" Target="mailto:oliveira.thay1992@gmail.com" TargetMode="External"/><Relationship Id="rId1686" Type="http://schemas.openxmlformats.org/officeDocument/2006/relationships/hyperlink" Target="mailto:wiskennice@Gmail.com" TargetMode="External"/><Relationship Id="rId404" Type="http://schemas.openxmlformats.org/officeDocument/2006/relationships/hyperlink" Target="mailto:mlafouquet41@gmail.com" TargetMode="External"/><Relationship Id="rId611" Type="http://schemas.openxmlformats.org/officeDocument/2006/relationships/hyperlink" Target="mailto:chrix.m2003@gmail.com" TargetMode="External"/><Relationship Id="rId1034" Type="http://schemas.openxmlformats.org/officeDocument/2006/relationships/hyperlink" Target="mailto:thomasjgorski@hotmail.com" TargetMode="External"/><Relationship Id="rId1241" Type="http://schemas.openxmlformats.org/officeDocument/2006/relationships/hyperlink" Target="mailto:Marinovelasquez87@gmail.com" TargetMode="External"/><Relationship Id="rId1339" Type="http://schemas.openxmlformats.org/officeDocument/2006/relationships/hyperlink" Target="mailto:carolyntorres009@gmail.com" TargetMode="External"/><Relationship Id="rId709" Type="http://schemas.openxmlformats.org/officeDocument/2006/relationships/hyperlink" Target="mailto:joacineastride84@gmail.com" TargetMode="External"/><Relationship Id="rId916" Type="http://schemas.openxmlformats.org/officeDocument/2006/relationships/hyperlink" Target="mailto:kendraluibrand17@gmail.com" TargetMode="External"/><Relationship Id="rId1101" Type="http://schemas.openxmlformats.org/officeDocument/2006/relationships/hyperlink" Target="mailto:malazarte07@gmail.com" TargetMode="External"/><Relationship Id="rId1546" Type="http://schemas.openxmlformats.org/officeDocument/2006/relationships/hyperlink" Target="mailto:moisecadet8523@gmail.com" TargetMode="External"/><Relationship Id="rId1753" Type="http://schemas.openxmlformats.org/officeDocument/2006/relationships/hyperlink" Target="mailto:tasosapostle57@gmail.com" TargetMode="External"/><Relationship Id="rId45" Type="http://schemas.openxmlformats.org/officeDocument/2006/relationships/hyperlink" Target="mailto:Davidhutcherson783@yahoo.com" TargetMode="External"/><Relationship Id="rId1406" Type="http://schemas.openxmlformats.org/officeDocument/2006/relationships/hyperlink" Target="mailto:Pierremary28@gmail.com" TargetMode="External"/><Relationship Id="rId1613" Type="http://schemas.openxmlformats.org/officeDocument/2006/relationships/hyperlink" Target="mailto:arkoabigail91@gmail.com" TargetMode="External"/><Relationship Id="rId1820" Type="http://schemas.openxmlformats.org/officeDocument/2006/relationships/hyperlink" Target="mailto:ramondjvega@gmail.com" TargetMode="External"/><Relationship Id="rId194" Type="http://schemas.openxmlformats.org/officeDocument/2006/relationships/hyperlink" Target="mailto:brittneyrylie13@gmail.com" TargetMode="External"/><Relationship Id="rId261" Type="http://schemas.openxmlformats.org/officeDocument/2006/relationships/hyperlink" Target="mailto:bhighlyfavor40@gmail.com" TargetMode="External"/><Relationship Id="rId499" Type="http://schemas.openxmlformats.org/officeDocument/2006/relationships/hyperlink" Target="mailto:josephaburton0807@yahoo.com" TargetMode="External"/><Relationship Id="rId359" Type="http://schemas.openxmlformats.org/officeDocument/2006/relationships/hyperlink" Target="mailto:daltonjcox26@gmail.com" TargetMode="External"/><Relationship Id="rId566" Type="http://schemas.openxmlformats.org/officeDocument/2006/relationships/hyperlink" Target="mailto:maxagriin@gmail.com" TargetMode="External"/><Relationship Id="rId773" Type="http://schemas.openxmlformats.org/officeDocument/2006/relationships/hyperlink" Target="mailto:Kernikens@gmail.com" TargetMode="External"/><Relationship Id="rId1196" Type="http://schemas.openxmlformats.org/officeDocument/2006/relationships/hyperlink" Target="mailto:Arleylouis90@gmail.com" TargetMode="External"/><Relationship Id="rId121" Type="http://schemas.openxmlformats.org/officeDocument/2006/relationships/hyperlink" Target="mailto:allen21785@yahoo.com" TargetMode="External"/><Relationship Id="rId219" Type="http://schemas.openxmlformats.org/officeDocument/2006/relationships/hyperlink" Target="mailto:Denisjcharles@hotmail.com" TargetMode="External"/><Relationship Id="rId426" Type="http://schemas.openxmlformats.org/officeDocument/2006/relationships/hyperlink" Target="mailto:rosiebelizaire@yahoo.fr" TargetMode="External"/><Relationship Id="rId633" Type="http://schemas.openxmlformats.org/officeDocument/2006/relationships/hyperlink" Target="mailto:caseytsaunders@gmail.com" TargetMode="External"/><Relationship Id="rId980" Type="http://schemas.openxmlformats.org/officeDocument/2006/relationships/hyperlink" Target="mailto:znoyes46@gmail.com" TargetMode="External"/><Relationship Id="rId1056" Type="http://schemas.openxmlformats.org/officeDocument/2006/relationships/hyperlink" Target="mailto:averyandrews0@gmail.com" TargetMode="External"/><Relationship Id="rId1263" Type="http://schemas.openxmlformats.org/officeDocument/2006/relationships/hyperlink" Target="mailto:Jamesebridges3@gmail.com" TargetMode="External"/><Relationship Id="rId840" Type="http://schemas.openxmlformats.org/officeDocument/2006/relationships/hyperlink" Target="mailto:jsena808@gmail.com" TargetMode="External"/><Relationship Id="rId938" Type="http://schemas.openxmlformats.org/officeDocument/2006/relationships/hyperlink" Target="mailto:rgrintchenko1@yahoo.com" TargetMode="External"/><Relationship Id="rId1470" Type="http://schemas.openxmlformats.org/officeDocument/2006/relationships/hyperlink" Target="mailto:alvaro.torres@fdc.myflorida.com" TargetMode="External"/><Relationship Id="rId1568" Type="http://schemas.openxmlformats.org/officeDocument/2006/relationships/hyperlink" Target="mailto:Jaylen.mahan11@yahoo.com" TargetMode="External"/><Relationship Id="rId1775" Type="http://schemas.openxmlformats.org/officeDocument/2006/relationships/hyperlink" Target="mailto:hockeyplayer0810@yahoo.com" TargetMode="External"/><Relationship Id="rId67" Type="http://schemas.openxmlformats.org/officeDocument/2006/relationships/hyperlink" Target="mailto:georgiagh@yahoo.com" TargetMode="External"/><Relationship Id="rId700" Type="http://schemas.openxmlformats.org/officeDocument/2006/relationships/hyperlink" Target="mailto:Congo11901@gmail.com" TargetMode="External"/><Relationship Id="rId1123" Type="http://schemas.openxmlformats.org/officeDocument/2006/relationships/hyperlink" Target="mailto:jab72090@gmail.com" TargetMode="External"/><Relationship Id="rId1330" Type="http://schemas.openxmlformats.org/officeDocument/2006/relationships/hyperlink" Target="mailto:gabby.exclusive@gmail.com" TargetMode="External"/><Relationship Id="rId1428" Type="http://schemas.openxmlformats.org/officeDocument/2006/relationships/hyperlink" Target="mailto:mckasiawilliams@gmail.com" TargetMode="External"/><Relationship Id="rId1635" Type="http://schemas.openxmlformats.org/officeDocument/2006/relationships/hyperlink" Target="mailto:dayter1985@gmail.com" TargetMode="External"/><Relationship Id="rId1702" Type="http://schemas.openxmlformats.org/officeDocument/2006/relationships/hyperlink" Target="mailto:stevefinch1478@gmail.com" TargetMode="External"/><Relationship Id="rId283" Type="http://schemas.openxmlformats.org/officeDocument/2006/relationships/hyperlink" Target="mailto:melissagaellejean@gmail.com" TargetMode="External"/><Relationship Id="rId490" Type="http://schemas.openxmlformats.org/officeDocument/2006/relationships/hyperlink" Target="mailto:jeremylopez2393@gmail.com" TargetMode="External"/><Relationship Id="rId143" Type="http://schemas.openxmlformats.org/officeDocument/2006/relationships/hyperlink" Target="mailto:corcorandb@gmail.com" TargetMode="External"/><Relationship Id="rId350" Type="http://schemas.openxmlformats.org/officeDocument/2006/relationships/hyperlink" Target="mailto:Amycampos_92@yahoo.com" TargetMode="External"/><Relationship Id="rId588" Type="http://schemas.openxmlformats.org/officeDocument/2006/relationships/hyperlink" Target="mailto:garrylaguerre@yahoo.com" TargetMode="External"/><Relationship Id="rId795" Type="http://schemas.openxmlformats.org/officeDocument/2006/relationships/hyperlink" Target="mailto:flanckyb@gmail.com" TargetMode="External"/><Relationship Id="rId9" Type="http://schemas.openxmlformats.org/officeDocument/2006/relationships/hyperlink" Target="mailto:black.michael.45@gmail.com" TargetMode="External"/><Relationship Id="rId210" Type="http://schemas.openxmlformats.org/officeDocument/2006/relationships/hyperlink" Target="mailto:jjada2680@gmail.com" TargetMode="External"/><Relationship Id="rId448" Type="http://schemas.openxmlformats.org/officeDocument/2006/relationships/hyperlink" Target="mailto:Lexik539@gmail.com" TargetMode="External"/><Relationship Id="rId655" Type="http://schemas.openxmlformats.org/officeDocument/2006/relationships/hyperlink" Target="mailto:Tinag311@gmail.com" TargetMode="External"/><Relationship Id="rId862" Type="http://schemas.openxmlformats.org/officeDocument/2006/relationships/hyperlink" Target="mailto:aleah52002@gmail.com" TargetMode="External"/><Relationship Id="rId1078" Type="http://schemas.openxmlformats.org/officeDocument/2006/relationships/hyperlink" Target="mailto:montezjmiller@gmail.com" TargetMode="External"/><Relationship Id="rId1285" Type="http://schemas.openxmlformats.org/officeDocument/2006/relationships/hyperlink" Target="mailto:jordangates70068@gmail.com" TargetMode="External"/><Relationship Id="rId1492" Type="http://schemas.openxmlformats.org/officeDocument/2006/relationships/hyperlink" Target="mailto:jerrysandiman@yahoo.com" TargetMode="External"/><Relationship Id="rId308" Type="http://schemas.openxmlformats.org/officeDocument/2006/relationships/hyperlink" Target="mailto:michelkelida@gmail.com" TargetMode="External"/><Relationship Id="rId515" Type="http://schemas.openxmlformats.org/officeDocument/2006/relationships/hyperlink" Target="mailto:deyanirasivanna@icloud.com" TargetMode="External"/><Relationship Id="rId722" Type="http://schemas.openxmlformats.org/officeDocument/2006/relationships/hyperlink" Target="mailto:aldulaimi565@gmail.com" TargetMode="External"/><Relationship Id="rId1145" Type="http://schemas.openxmlformats.org/officeDocument/2006/relationships/hyperlink" Target="mailto:linkz1993@gmail.com" TargetMode="External"/><Relationship Id="rId1352" Type="http://schemas.openxmlformats.org/officeDocument/2006/relationships/hyperlink" Target="mailto:Stephanieperez0613@gmail.com" TargetMode="External"/><Relationship Id="rId1797" Type="http://schemas.openxmlformats.org/officeDocument/2006/relationships/hyperlink" Target="mailto:stephtejx02@gmail.com" TargetMode="External"/><Relationship Id="rId89" Type="http://schemas.openxmlformats.org/officeDocument/2006/relationships/hyperlink" Target="mailto:Junior.gjb@gmail.com" TargetMode="External"/><Relationship Id="rId1005" Type="http://schemas.openxmlformats.org/officeDocument/2006/relationships/hyperlink" Target="mailto:Kevindepina28@gmail.com" TargetMode="External"/><Relationship Id="rId1212" Type="http://schemas.openxmlformats.org/officeDocument/2006/relationships/hyperlink" Target="mailto:ozzyjrp@yahoo.com" TargetMode="External"/><Relationship Id="rId1657" Type="http://schemas.openxmlformats.org/officeDocument/2006/relationships/hyperlink" Target="mailto:Jxhija14@gmail.com" TargetMode="External"/><Relationship Id="rId1517" Type="http://schemas.openxmlformats.org/officeDocument/2006/relationships/hyperlink" Target="mailto:kayladias@icloud.com" TargetMode="External"/><Relationship Id="rId1724" Type="http://schemas.openxmlformats.org/officeDocument/2006/relationships/hyperlink" Target="mailto:oshanahmonteiro95@gmail.com" TargetMode="External"/><Relationship Id="rId16" Type="http://schemas.openxmlformats.org/officeDocument/2006/relationships/hyperlink" Target="mailto:luisrodt90@gmail.com" TargetMode="External"/><Relationship Id="rId165" Type="http://schemas.openxmlformats.org/officeDocument/2006/relationships/hyperlink" Target="mailto:eliasjflores18@gmail.com" TargetMode="External"/><Relationship Id="rId372" Type="http://schemas.openxmlformats.org/officeDocument/2006/relationships/hyperlink" Target="mailto:wknijia@gmail.com" TargetMode="External"/><Relationship Id="rId677" Type="http://schemas.openxmlformats.org/officeDocument/2006/relationships/hyperlink" Target="mailto:makimeiwaweru@yahoo.com" TargetMode="External"/><Relationship Id="rId232" Type="http://schemas.openxmlformats.org/officeDocument/2006/relationships/hyperlink" Target="mailto:rasheed2390@gmail.com" TargetMode="External"/><Relationship Id="rId884" Type="http://schemas.openxmlformats.org/officeDocument/2006/relationships/hyperlink" Target="mailto:sedatguclu1625@gmail.com" TargetMode="External"/><Relationship Id="rId537" Type="http://schemas.openxmlformats.org/officeDocument/2006/relationships/hyperlink" Target="mailto:davidyantang@gmail.com" TargetMode="External"/><Relationship Id="rId744" Type="http://schemas.openxmlformats.org/officeDocument/2006/relationships/hyperlink" Target="mailto:ericnyg08@yahoo.com" TargetMode="External"/><Relationship Id="rId951" Type="http://schemas.openxmlformats.org/officeDocument/2006/relationships/hyperlink" Target="mailto:Ufema14@gmail.com" TargetMode="External"/><Relationship Id="rId1167" Type="http://schemas.openxmlformats.org/officeDocument/2006/relationships/hyperlink" Target="mailto:melijagurung95@gmail.com" TargetMode="External"/><Relationship Id="rId1374" Type="http://schemas.openxmlformats.org/officeDocument/2006/relationships/hyperlink" Target="mailto:yarib19991999@gmail.com" TargetMode="External"/><Relationship Id="rId1581" Type="http://schemas.openxmlformats.org/officeDocument/2006/relationships/hyperlink" Target="mailto:kyletheriault50@gmail.com" TargetMode="External"/><Relationship Id="rId1679" Type="http://schemas.openxmlformats.org/officeDocument/2006/relationships/hyperlink" Target="mailto:mahira.mukhtarova@outlook.com" TargetMode="External"/><Relationship Id="rId80" Type="http://schemas.openxmlformats.org/officeDocument/2006/relationships/hyperlink" Target="mailto:robertalopes62@hotmail.com" TargetMode="External"/><Relationship Id="rId604" Type="http://schemas.openxmlformats.org/officeDocument/2006/relationships/hyperlink" Target="mailto:gsavoie0312@icloud.com" TargetMode="External"/><Relationship Id="rId811" Type="http://schemas.openxmlformats.org/officeDocument/2006/relationships/hyperlink" Target="mailto:kathygaito36@gmail.com" TargetMode="External"/><Relationship Id="rId1027" Type="http://schemas.openxmlformats.org/officeDocument/2006/relationships/hyperlink" Target="mailto:jamieisaac33@gmail.com" TargetMode="External"/><Relationship Id="rId1234" Type="http://schemas.openxmlformats.org/officeDocument/2006/relationships/hyperlink" Target="mailto:jerulopes21@gmail.com" TargetMode="External"/><Relationship Id="rId1441" Type="http://schemas.openxmlformats.org/officeDocument/2006/relationships/hyperlink" Target="mailto:laguerrejames54@gmail.com" TargetMode="External"/><Relationship Id="rId909" Type="http://schemas.openxmlformats.org/officeDocument/2006/relationships/hyperlink" Target="mailto:philip1024te@icloud.com" TargetMode="External"/><Relationship Id="rId1301" Type="http://schemas.openxmlformats.org/officeDocument/2006/relationships/hyperlink" Target="mailto:mikeyrut36@gmail.com" TargetMode="External"/><Relationship Id="rId1539" Type="http://schemas.openxmlformats.org/officeDocument/2006/relationships/hyperlink" Target="mailto:lienguetakaliote@gmail.com" TargetMode="External"/><Relationship Id="rId1746" Type="http://schemas.openxmlformats.org/officeDocument/2006/relationships/hyperlink" Target="mailto:jakecordeiro88@gmail.com" TargetMode="External"/><Relationship Id="rId38" Type="http://schemas.openxmlformats.org/officeDocument/2006/relationships/hyperlink" Target="mailto:Jcladan@gmail.com" TargetMode="External"/><Relationship Id="rId1606" Type="http://schemas.openxmlformats.org/officeDocument/2006/relationships/hyperlink" Target="mailto:cassandran_32@hotmail.com" TargetMode="External"/><Relationship Id="rId1813" Type="http://schemas.openxmlformats.org/officeDocument/2006/relationships/hyperlink" Target="mailto:edm5225@gmail.com" TargetMode="External"/><Relationship Id="rId187" Type="http://schemas.openxmlformats.org/officeDocument/2006/relationships/hyperlink" Target="mailto:kevinperrin2020@gmail.com" TargetMode="External"/><Relationship Id="rId394" Type="http://schemas.openxmlformats.org/officeDocument/2006/relationships/hyperlink" Target="mailto:sandrellisenovia@yahoo.com" TargetMode="External"/><Relationship Id="rId254" Type="http://schemas.openxmlformats.org/officeDocument/2006/relationships/hyperlink" Target="mailto:moraesemily923@gmail.com" TargetMode="External"/><Relationship Id="rId699" Type="http://schemas.openxmlformats.org/officeDocument/2006/relationships/hyperlink" Target="mailto:Kellymckeon@outlook.com" TargetMode="External"/><Relationship Id="rId1091" Type="http://schemas.openxmlformats.org/officeDocument/2006/relationships/hyperlink" Target="mailto:trevorm382@gmail.com" TargetMode="External"/><Relationship Id="rId114" Type="http://schemas.openxmlformats.org/officeDocument/2006/relationships/hyperlink" Target="mailto:ppdesir@gmail.com" TargetMode="External"/><Relationship Id="rId461" Type="http://schemas.openxmlformats.org/officeDocument/2006/relationships/hyperlink" Target="mailto:Ybultes@gmail.com" TargetMode="External"/><Relationship Id="rId559" Type="http://schemas.openxmlformats.org/officeDocument/2006/relationships/hyperlink" Target="mailto:lhoga392@gmail.com" TargetMode="External"/><Relationship Id="rId766" Type="http://schemas.openxmlformats.org/officeDocument/2006/relationships/hyperlink" Target="mailto:gguardado@worcester.edu" TargetMode="External"/><Relationship Id="rId1189" Type="http://schemas.openxmlformats.org/officeDocument/2006/relationships/hyperlink" Target="mailto:Jordan.warren497@gmail.com" TargetMode="External"/><Relationship Id="rId1396" Type="http://schemas.openxmlformats.org/officeDocument/2006/relationships/hyperlink" Target="mailto:carlosdacosta24@gmail.com" TargetMode="External"/><Relationship Id="rId321" Type="http://schemas.openxmlformats.org/officeDocument/2006/relationships/hyperlink" Target="mailto:djeissomendes@hotmail.com" TargetMode="External"/><Relationship Id="rId419" Type="http://schemas.openxmlformats.org/officeDocument/2006/relationships/hyperlink" Target="mailto:mattymac91@hotmail.com" TargetMode="External"/><Relationship Id="rId626" Type="http://schemas.openxmlformats.org/officeDocument/2006/relationships/hyperlink" Target="mailto:endray19@gmail.com" TargetMode="External"/><Relationship Id="rId973" Type="http://schemas.openxmlformats.org/officeDocument/2006/relationships/hyperlink" Target="mailto:mukiibibernard0@gmail.com" TargetMode="External"/><Relationship Id="rId1049" Type="http://schemas.openxmlformats.org/officeDocument/2006/relationships/hyperlink" Target="mailto:Evanp2529@gmail.com" TargetMode="External"/><Relationship Id="rId1256" Type="http://schemas.openxmlformats.org/officeDocument/2006/relationships/hyperlink" Target="mailto:ariel.williams13@snhu.edu" TargetMode="External"/><Relationship Id="rId833" Type="http://schemas.openxmlformats.org/officeDocument/2006/relationships/hyperlink" Target="mailto:shamikasingleton88@icloud.com" TargetMode="External"/><Relationship Id="rId1116" Type="http://schemas.openxmlformats.org/officeDocument/2006/relationships/hyperlink" Target="mailto:desousar347@gmail.com" TargetMode="External"/><Relationship Id="rId1463" Type="http://schemas.openxmlformats.org/officeDocument/2006/relationships/hyperlink" Target="mailto:connor.vanwie@snhu.edu" TargetMode="External"/><Relationship Id="rId1670" Type="http://schemas.openxmlformats.org/officeDocument/2006/relationships/hyperlink" Target="mailto:aturnerbuisness@aol.com" TargetMode="External"/><Relationship Id="rId1768" Type="http://schemas.openxmlformats.org/officeDocument/2006/relationships/hyperlink" Target="mailto:aguila75joel@gmail.com" TargetMode="External"/><Relationship Id="rId900" Type="http://schemas.openxmlformats.org/officeDocument/2006/relationships/hyperlink" Target="mailto:desmarattechairen@gmail.com" TargetMode="External"/><Relationship Id="rId1323" Type="http://schemas.openxmlformats.org/officeDocument/2006/relationships/hyperlink" Target="mailto:valentinebeluchukwu@yahoo.com" TargetMode="External"/><Relationship Id="rId1530" Type="http://schemas.openxmlformats.org/officeDocument/2006/relationships/hyperlink" Target="mailto:pcolburn25@yahoo.com" TargetMode="External"/><Relationship Id="rId1628" Type="http://schemas.openxmlformats.org/officeDocument/2006/relationships/hyperlink" Target="mailto:luiscanton128@icloud.com" TargetMode="External"/><Relationship Id="rId276" Type="http://schemas.openxmlformats.org/officeDocument/2006/relationships/hyperlink" Target="mailto:ana_sarante@hotmail.com" TargetMode="External"/><Relationship Id="rId483" Type="http://schemas.openxmlformats.org/officeDocument/2006/relationships/hyperlink" Target="mailto:deanamy175@gmail.com" TargetMode="External"/><Relationship Id="rId690" Type="http://schemas.openxmlformats.org/officeDocument/2006/relationships/hyperlink" Target="mailto:garyberrios11@gmail.com" TargetMode="External"/><Relationship Id="rId136" Type="http://schemas.openxmlformats.org/officeDocument/2006/relationships/hyperlink" Target="mailto:jgelin17@gmail.com" TargetMode="External"/><Relationship Id="rId343" Type="http://schemas.openxmlformats.org/officeDocument/2006/relationships/hyperlink" Target="mailto:kenoluna1738@icloud.com" TargetMode="External"/><Relationship Id="rId550" Type="http://schemas.openxmlformats.org/officeDocument/2006/relationships/hyperlink" Target="mailto:kristensheran@gmail.com" TargetMode="External"/><Relationship Id="rId788" Type="http://schemas.openxmlformats.org/officeDocument/2006/relationships/hyperlink" Target="mailto:vincentferrer15@yahoo.com" TargetMode="External"/><Relationship Id="rId995" Type="http://schemas.openxmlformats.org/officeDocument/2006/relationships/hyperlink" Target="mailto:jamesrscarbrough@gmail.com" TargetMode="External"/><Relationship Id="rId1180" Type="http://schemas.openxmlformats.org/officeDocument/2006/relationships/hyperlink" Target="mailto:mrcarlosbarbosa@gmail.com" TargetMode="External"/><Relationship Id="rId203" Type="http://schemas.openxmlformats.org/officeDocument/2006/relationships/hyperlink" Target="mailto:bryancainbresnihan@gmail.com" TargetMode="External"/><Relationship Id="rId648" Type="http://schemas.openxmlformats.org/officeDocument/2006/relationships/hyperlink" Target="mailto:danchan813@gmail.com" TargetMode="External"/><Relationship Id="rId855" Type="http://schemas.openxmlformats.org/officeDocument/2006/relationships/hyperlink" Target="mailto:michaelatabongesemoh@gmail.com" TargetMode="External"/><Relationship Id="rId1040" Type="http://schemas.openxmlformats.org/officeDocument/2006/relationships/hyperlink" Target="mailto:brendanjamesdonahue@gmail.com" TargetMode="External"/><Relationship Id="rId1278" Type="http://schemas.openxmlformats.org/officeDocument/2006/relationships/hyperlink" Target="mailto:jayfgarcia94@gmail.com" TargetMode="External"/><Relationship Id="rId1485" Type="http://schemas.openxmlformats.org/officeDocument/2006/relationships/hyperlink" Target="mailto:robii.sou14@gmail.com" TargetMode="External"/><Relationship Id="rId1692" Type="http://schemas.openxmlformats.org/officeDocument/2006/relationships/hyperlink" Target="mailto:maxytyler10@yahoo.com" TargetMode="External"/><Relationship Id="rId410" Type="http://schemas.openxmlformats.org/officeDocument/2006/relationships/hyperlink" Target="mailto:dr.ahmed.b.h.aqel@gmail.com" TargetMode="External"/><Relationship Id="rId508" Type="http://schemas.openxmlformats.org/officeDocument/2006/relationships/hyperlink" Target="mailto:inlim39@gmail.com" TargetMode="External"/><Relationship Id="rId715" Type="http://schemas.openxmlformats.org/officeDocument/2006/relationships/hyperlink" Target="mailto:Mcuello1126@hotmail.com" TargetMode="External"/><Relationship Id="rId922" Type="http://schemas.openxmlformats.org/officeDocument/2006/relationships/hyperlink" Target="mailto:ceddycuz@gmail.com" TargetMode="External"/><Relationship Id="rId1138" Type="http://schemas.openxmlformats.org/officeDocument/2006/relationships/hyperlink" Target="mailto:Vpamphil@yahoo.com" TargetMode="External"/><Relationship Id="rId1345" Type="http://schemas.openxmlformats.org/officeDocument/2006/relationships/hyperlink" Target="mailto:mrrcarrington@gmail.com" TargetMode="External"/><Relationship Id="rId1552" Type="http://schemas.openxmlformats.org/officeDocument/2006/relationships/hyperlink" Target="mailto:ivyanascott123456@icloud.com" TargetMode="External"/><Relationship Id="rId1205" Type="http://schemas.openxmlformats.org/officeDocument/2006/relationships/hyperlink" Target="mailto:oppong214@yahoo.com" TargetMode="External"/><Relationship Id="rId51" Type="http://schemas.openxmlformats.org/officeDocument/2006/relationships/hyperlink" Target="mailto:destinykl18@gmail.com" TargetMode="External"/><Relationship Id="rId1412" Type="http://schemas.openxmlformats.org/officeDocument/2006/relationships/hyperlink" Target="mailto:fofana.mjl@gmail.com" TargetMode="External"/><Relationship Id="rId1717" Type="http://schemas.openxmlformats.org/officeDocument/2006/relationships/hyperlink" Target="mailto:swjrbears@gmail.com" TargetMode="External"/><Relationship Id="rId298" Type="http://schemas.openxmlformats.org/officeDocument/2006/relationships/hyperlink" Target="mailto:izaacthompson0423@gmail.com" TargetMode="External"/><Relationship Id="rId158" Type="http://schemas.openxmlformats.org/officeDocument/2006/relationships/hyperlink" Target="mailto:kenslyjb12@gmail.com" TargetMode="External"/><Relationship Id="rId365" Type="http://schemas.openxmlformats.org/officeDocument/2006/relationships/hyperlink" Target="mailto:Tjohnleytermitus@gmail.com" TargetMode="External"/><Relationship Id="rId572" Type="http://schemas.openxmlformats.org/officeDocument/2006/relationships/hyperlink" Target="mailto:sam.mujjuzi@gmail.com" TargetMode="External"/><Relationship Id="rId225" Type="http://schemas.openxmlformats.org/officeDocument/2006/relationships/hyperlink" Target="mailto:reginegabelus6@gmail.com" TargetMode="External"/><Relationship Id="rId432" Type="http://schemas.openxmlformats.org/officeDocument/2006/relationships/hyperlink" Target="mailto:Vanessajeanlouis03@gmail.com" TargetMode="External"/><Relationship Id="rId877" Type="http://schemas.openxmlformats.org/officeDocument/2006/relationships/hyperlink" Target="mailto:Desheakusi@yahoo.com" TargetMode="External"/><Relationship Id="rId1062" Type="http://schemas.openxmlformats.org/officeDocument/2006/relationships/hyperlink" Target="mailto:Berthanie.phane@gmail.com" TargetMode="External"/><Relationship Id="rId737" Type="http://schemas.openxmlformats.org/officeDocument/2006/relationships/hyperlink" Target="mailto:frankllely12h@gmail.com" TargetMode="External"/><Relationship Id="rId944" Type="http://schemas.openxmlformats.org/officeDocument/2006/relationships/hyperlink" Target="mailto:peter.james205@yahoo.com" TargetMode="External"/><Relationship Id="rId1367" Type="http://schemas.openxmlformats.org/officeDocument/2006/relationships/hyperlink" Target="mailto:Devantejones135@gmail.com" TargetMode="External"/><Relationship Id="rId1574" Type="http://schemas.openxmlformats.org/officeDocument/2006/relationships/hyperlink" Target="mailto:sacvjohn@gmail.com" TargetMode="External"/><Relationship Id="rId1781" Type="http://schemas.openxmlformats.org/officeDocument/2006/relationships/hyperlink" Target="mailto:iprince23@icloud.com" TargetMode="External"/><Relationship Id="rId73" Type="http://schemas.openxmlformats.org/officeDocument/2006/relationships/hyperlink" Target="mailto:kevinmull125@gmail.com" TargetMode="External"/><Relationship Id="rId804" Type="http://schemas.openxmlformats.org/officeDocument/2006/relationships/hyperlink" Target="mailto:tristanbarrett12@gmail.com" TargetMode="External"/><Relationship Id="rId1227" Type="http://schemas.openxmlformats.org/officeDocument/2006/relationships/hyperlink" Target="mailto:oppong214@yahoo.com" TargetMode="External"/><Relationship Id="rId1434" Type="http://schemas.openxmlformats.org/officeDocument/2006/relationships/hyperlink" Target="mailto:osychristy@gmail.com" TargetMode="External"/><Relationship Id="rId1641" Type="http://schemas.openxmlformats.org/officeDocument/2006/relationships/hyperlink" Target="mailto:yeseagulls@outlook.com" TargetMode="External"/><Relationship Id="rId1501" Type="http://schemas.openxmlformats.org/officeDocument/2006/relationships/hyperlink" Target="mailto:landonm0821@gmail.com" TargetMode="External"/><Relationship Id="rId1739" Type="http://schemas.openxmlformats.org/officeDocument/2006/relationships/hyperlink" Target="mailto:joeycolon444@gmail.com" TargetMode="External"/><Relationship Id="rId1806" Type="http://schemas.openxmlformats.org/officeDocument/2006/relationships/hyperlink" Target="mailto:lenchiefelix@gmail.com" TargetMode="External"/><Relationship Id="rId387" Type="http://schemas.openxmlformats.org/officeDocument/2006/relationships/hyperlink" Target="mailto:Pdesir1994@gmail.com" TargetMode="External"/><Relationship Id="rId594" Type="http://schemas.openxmlformats.org/officeDocument/2006/relationships/hyperlink" Target="mailto:k.therrien@aol.com" TargetMode="External"/><Relationship Id="rId247" Type="http://schemas.openxmlformats.org/officeDocument/2006/relationships/hyperlink" Target="mailto:ryanmajor193@gmail.com" TargetMode="External"/><Relationship Id="rId899" Type="http://schemas.openxmlformats.org/officeDocument/2006/relationships/hyperlink" Target="mailto:jaydog7714@gmail.com" TargetMode="External"/><Relationship Id="rId1084" Type="http://schemas.openxmlformats.org/officeDocument/2006/relationships/hyperlink" Target="mailto:jamesthreejz@gmail.com" TargetMode="External"/><Relationship Id="rId107" Type="http://schemas.openxmlformats.org/officeDocument/2006/relationships/hyperlink" Target="mailto:Angelo6686@gmail.com" TargetMode="External"/><Relationship Id="rId454" Type="http://schemas.openxmlformats.org/officeDocument/2006/relationships/hyperlink" Target="mailto:Tprvn28@gmail.com" TargetMode="External"/><Relationship Id="rId661" Type="http://schemas.openxmlformats.org/officeDocument/2006/relationships/hyperlink" Target="mailto:rickaedlouis92@yahoo.com" TargetMode="External"/><Relationship Id="rId759" Type="http://schemas.openxmlformats.org/officeDocument/2006/relationships/hyperlink" Target="mailto:michael.brehon3@gmail.com" TargetMode="External"/><Relationship Id="rId966" Type="http://schemas.openxmlformats.org/officeDocument/2006/relationships/hyperlink" Target="mailto:Joeldesilier2@gmail.com" TargetMode="External"/><Relationship Id="rId1291" Type="http://schemas.openxmlformats.org/officeDocument/2006/relationships/hyperlink" Target="mailto:colonkamaris@yahoo.com" TargetMode="External"/><Relationship Id="rId1389" Type="http://schemas.openxmlformats.org/officeDocument/2006/relationships/hyperlink" Target="mailto:DesmondMcPherson88@Gmail.com" TargetMode="External"/><Relationship Id="rId1596" Type="http://schemas.openxmlformats.org/officeDocument/2006/relationships/hyperlink" Target="mailto:rivelinokarl@gmail.com" TargetMode="External"/><Relationship Id="rId314" Type="http://schemas.openxmlformats.org/officeDocument/2006/relationships/hyperlink" Target="mailto:iddrical@yahoo.com" TargetMode="External"/><Relationship Id="rId521" Type="http://schemas.openxmlformats.org/officeDocument/2006/relationships/hyperlink" Target="mailto:Pedrobusiness1031@gmail.com" TargetMode="External"/><Relationship Id="rId619" Type="http://schemas.openxmlformats.org/officeDocument/2006/relationships/hyperlink" Target="mailto:greatdan95@gmail.com" TargetMode="External"/><Relationship Id="rId1151" Type="http://schemas.openxmlformats.org/officeDocument/2006/relationships/hyperlink" Target="mailto:Emarsh24@yahoo.com" TargetMode="External"/><Relationship Id="rId1249" Type="http://schemas.openxmlformats.org/officeDocument/2006/relationships/hyperlink" Target="mailto:Kennyjulien03@gmail.com" TargetMode="External"/><Relationship Id="rId95" Type="http://schemas.openxmlformats.org/officeDocument/2006/relationships/hyperlink" Target="mailto:Justice.Ellies@gmail.com" TargetMode="External"/><Relationship Id="rId826" Type="http://schemas.openxmlformats.org/officeDocument/2006/relationships/hyperlink" Target="mailto:skylerjblackinton@gmail.com" TargetMode="External"/><Relationship Id="rId1011" Type="http://schemas.openxmlformats.org/officeDocument/2006/relationships/hyperlink" Target="mailto:bradleighpedraza@gmail.com" TargetMode="External"/><Relationship Id="rId1109" Type="http://schemas.openxmlformats.org/officeDocument/2006/relationships/hyperlink" Target="mailto:brennenryan12@yahoo.com" TargetMode="External"/><Relationship Id="rId1456" Type="http://schemas.openxmlformats.org/officeDocument/2006/relationships/hyperlink" Target="mailto:andralisss525@gmail.com" TargetMode="External"/><Relationship Id="rId1663" Type="http://schemas.openxmlformats.org/officeDocument/2006/relationships/hyperlink" Target="mailto:smithjacey20@gmail.com" TargetMode="External"/><Relationship Id="rId1316" Type="http://schemas.openxmlformats.org/officeDocument/2006/relationships/hyperlink" Target="mailto:mikailapina@gmail.com" TargetMode="External"/><Relationship Id="rId1523" Type="http://schemas.openxmlformats.org/officeDocument/2006/relationships/hyperlink" Target="mailto:briannajoycex0@gmail.com" TargetMode="External"/><Relationship Id="rId1730" Type="http://schemas.openxmlformats.org/officeDocument/2006/relationships/hyperlink" Target="mailto:lockesmeas@gmail.com" TargetMode="External"/><Relationship Id="rId22" Type="http://schemas.openxmlformats.org/officeDocument/2006/relationships/hyperlink" Target="mailto:phileagles1977@yahoo.com" TargetMode="External"/><Relationship Id="rId171" Type="http://schemas.openxmlformats.org/officeDocument/2006/relationships/hyperlink" Target="mailto:krisdog2002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acaldeira362007@gmail.com" TargetMode="External"/><Relationship Id="rId1" Type="http://schemas.openxmlformats.org/officeDocument/2006/relationships/hyperlink" Target="mailto:junemlemieux@gmail.com" TargetMode="External"/><Relationship Id="rId4" Type="http://schemas.microsoft.com/office/2019/04/relationships/namedSheetView" Target="../namedSheetViews/namedSheetView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table" Target="../tables/table3.xml"/><Relationship Id="rId1" Type="http://schemas.openxmlformats.org/officeDocument/2006/relationships/hyperlink" Target="mailto:rentascian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5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D2F3-D051-4997-9380-91ED58E5869D}">
  <sheetPr>
    <pageSetUpPr fitToPage="1"/>
  </sheetPr>
  <dimension ref="A1:L1957"/>
  <sheetViews>
    <sheetView topLeftCell="A1657" zoomScale="80" zoomScaleNormal="130" workbookViewId="0">
      <selection activeCell="J199" sqref="J199"/>
    </sheetView>
  </sheetViews>
  <sheetFormatPr defaultRowHeight="15"/>
  <cols>
    <col min="1" max="1" width="12.140625" bestFit="1" customWidth="1"/>
    <col min="2" max="2" width="18.7109375" style="47" bestFit="1" customWidth="1"/>
    <col min="3" max="3" width="23" style="36" bestFit="1" customWidth="1"/>
    <col min="4" max="4" width="22.42578125" style="36" bestFit="1" customWidth="1"/>
    <col min="5" max="5" width="38.7109375" style="36" bestFit="1" customWidth="1"/>
    <col min="6" max="6" width="18" style="4" bestFit="1" customWidth="1"/>
    <col min="7" max="7" width="19.7109375" style="36" bestFit="1" customWidth="1"/>
    <col min="8" max="8" width="8" bestFit="1" customWidth="1"/>
    <col min="9" max="9" width="36.28515625" style="5" bestFit="1" customWidth="1"/>
    <col min="10" max="10" width="20.7109375" style="99" bestFit="1" customWidth="1"/>
    <col min="11" max="11" width="35" style="5" bestFit="1" customWidth="1"/>
    <col min="12" max="12" width="18.42578125" hidden="1" customWidth="1"/>
  </cols>
  <sheetData>
    <row r="1" spans="1:12">
      <c r="A1" t="s">
        <v>0</v>
      </c>
      <c r="B1" s="47" t="s">
        <v>1</v>
      </c>
      <c r="C1" s="36" t="s">
        <v>2</v>
      </c>
      <c r="D1" s="36" t="s">
        <v>3</v>
      </c>
      <c r="E1" s="36" t="s">
        <v>4</v>
      </c>
      <c r="F1" s="4" t="s">
        <v>5</v>
      </c>
      <c r="G1" s="36" t="s">
        <v>6</v>
      </c>
      <c r="H1" t="s">
        <v>7</v>
      </c>
      <c r="I1" s="5" t="s">
        <v>8</v>
      </c>
      <c r="J1" s="99" t="s">
        <v>9</v>
      </c>
      <c r="K1" s="5" t="s">
        <v>10</v>
      </c>
      <c r="L1" t="s">
        <v>11</v>
      </c>
    </row>
    <row r="2" spans="1:12">
      <c r="A2" t="str" cm="1">
        <f t="array" ref="A2">_xlfn.LET(_xlpm.e,L2,
IF(_xlpm.e="","",
"DOC-"&amp;TEXT(ROW()-ROW(tblMaster[#Headers]),"00000")
))</f>
        <v/>
      </c>
      <c r="B2" s="37"/>
      <c r="C2" s="37"/>
      <c r="D2" s="37"/>
      <c r="E2" s="37"/>
      <c r="F2" s="16"/>
      <c r="G2" s="37"/>
      <c r="H2" s="16"/>
      <c r="I2" s="16"/>
      <c r="K2" s="5" t="s">
        <v>652</v>
      </c>
      <c r="L2" t="str">
        <f t="shared" ref="L2" si="0">_xlfn.LET(_xlpm.x,E2,
_xlpm.y,TRIM(CLEAN(SUBSTITUTE(_xlpm.x,CHAR(160)," "))),
LOWER(_xlpm.y))</f>
        <v/>
      </c>
    </row>
    <row r="3" spans="1:12">
      <c r="A3" t="str" cm="1">
        <f t="array" ref="A3">_xlfn.LET(_xlpm.e,L3,
IF(_xlpm.e="","",
"DOC-"&amp;TEXT(ROW()-ROW(tblMaster[#Headers]),"00000")
))</f>
        <v/>
      </c>
      <c r="B3" s="48"/>
      <c r="C3" s="42"/>
      <c r="D3" s="42"/>
      <c r="E3" s="38"/>
      <c r="F3" s="17"/>
      <c r="G3" s="42"/>
      <c r="H3" s="17"/>
      <c r="I3" s="17"/>
      <c r="L3" t="str">
        <f>_xlfn.LET(_xlpm.x,E3,
_xlpm.y,TRIM(CLEAN(SUBSTITUTE(_xlpm.x,CHAR(160)," "))),
LOWER(_xlpm.y))</f>
        <v/>
      </c>
    </row>
    <row r="4" spans="1:12">
      <c r="A4" t="str" cm="1">
        <f t="array" ref="A4">_xlfn.LET(_xlpm.e,L4,
IF(_xlpm.e="","",
"DOC-"&amp;TEXT(ROW()-ROW(tblMaster[#Headers]),"00000")
))</f>
        <v>DOC-00003</v>
      </c>
      <c r="B4" s="49">
        <v>45931.643055555556</v>
      </c>
      <c r="C4" s="42" t="s">
        <v>12</v>
      </c>
      <c r="D4" s="42" t="s">
        <v>13</v>
      </c>
      <c r="E4" s="38" t="s">
        <v>14</v>
      </c>
      <c r="F4" s="17" t="s">
        <v>15</v>
      </c>
      <c r="G4" s="42" t="s">
        <v>16</v>
      </c>
      <c r="H4" s="17" t="s">
        <v>17</v>
      </c>
      <c r="I4" s="17" t="s">
        <v>18</v>
      </c>
      <c r="K4" s="5" t="s">
        <v>652</v>
      </c>
      <c r="L4" t="str">
        <f>_xlfn.LET(_xlpm.x,E4,
_xlpm.y,TRIM(CLEAN(SUBSTITUTE(_xlpm.x,CHAR(160)," "))),
LOWER(_xlpm.y))</f>
        <v>josuerodriguezosoria@gmail.com</v>
      </c>
    </row>
    <row r="5" spans="1:12">
      <c r="A5" t="str" cm="1">
        <f t="array" ref="A5">_xlfn.LET(_xlpm.e,L5,
IF(_xlpm.e="","",
"DOC-"&amp;TEXT(ROW()-ROW(tblMaster[#Headers]),"00000")
))</f>
        <v>DOC-00004</v>
      </c>
      <c r="B5" s="49">
        <v>45931.654861111114</v>
      </c>
      <c r="C5" s="42" t="s">
        <v>19</v>
      </c>
      <c r="D5" s="42" t="s">
        <v>20</v>
      </c>
      <c r="E5" s="38" t="s">
        <v>21</v>
      </c>
      <c r="F5" s="17" t="s">
        <v>22</v>
      </c>
      <c r="G5" s="42" t="s">
        <v>16</v>
      </c>
      <c r="H5" s="17" t="s">
        <v>17</v>
      </c>
      <c r="I5" s="17" t="s">
        <v>18</v>
      </c>
      <c r="J5" s="99" t="s">
        <v>23</v>
      </c>
      <c r="K5" s="5" t="s">
        <v>652</v>
      </c>
      <c r="L5" t="str">
        <f>_xlfn.LET(_xlpm.x,E5,
_xlpm.y,TRIM(CLEAN(SUBSTITUTE(_xlpm.x,CHAR(160)," "))),
LOWER(_xlpm.y))</f>
        <v>tylerfoberg@gmail.com</v>
      </c>
    </row>
    <row r="6" spans="1:12">
      <c r="A6" t="str" cm="1">
        <f t="array" ref="A6">_xlfn.LET(_xlpm.e,L6,
IF(_xlpm.e="","",
"DOC-"&amp;TEXT(ROW()-ROW(tblMaster[#Headers]),"00000")
))</f>
        <v>DOC-00005</v>
      </c>
      <c r="B6" s="49">
        <v>45931.703472222223</v>
      </c>
      <c r="C6" s="42" t="s">
        <v>24</v>
      </c>
      <c r="D6" s="42" t="s">
        <v>25</v>
      </c>
      <c r="E6" s="38" t="s">
        <v>26</v>
      </c>
      <c r="F6" s="17" t="s">
        <v>27</v>
      </c>
      <c r="G6" s="42" t="s">
        <v>28</v>
      </c>
      <c r="H6" s="17" t="s">
        <v>17</v>
      </c>
      <c r="I6" s="17" t="s">
        <v>18</v>
      </c>
      <c r="K6" s="5" t="s">
        <v>652</v>
      </c>
      <c r="L6" t="str">
        <f t="shared" ref="L6:L69" si="1">_xlfn.LET(_xlpm.x,E6,
_xlpm.y,TRIM(CLEAN(SUBSTITUTE(_xlpm.x,CHAR(160)," "))),
LOWER(_xlpm.y))</f>
        <v>mskimortiz@gmail.com</v>
      </c>
    </row>
    <row r="7" spans="1:12">
      <c r="A7" t="str" cm="1">
        <f t="array" ref="A7">_xlfn.LET(_xlpm.e,L7,
IF(_xlpm.e="","",
"DOC-"&amp;TEXT(ROW()-ROW(tblMaster[#Headers]),"00000")
))</f>
        <v>DOC-00006</v>
      </c>
      <c r="B7" s="49">
        <v>45937.661805555559</v>
      </c>
      <c r="C7" s="42" t="s">
        <v>29</v>
      </c>
      <c r="D7" s="42" t="s">
        <v>30</v>
      </c>
      <c r="E7" s="38" t="s">
        <v>31</v>
      </c>
      <c r="F7" s="17" t="s">
        <v>32</v>
      </c>
      <c r="G7" s="42" t="s">
        <v>33</v>
      </c>
      <c r="H7" s="17" t="s">
        <v>17</v>
      </c>
      <c r="I7" s="17" t="s">
        <v>18</v>
      </c>
      <c r="K7" s="5" t="s">
        <v>652</v>
      </c>
      <c r="L7" t="str">
        <f t="shared" si="1"/>
        <v>besangbedoo@gmail.com</v>
      </c>
    </row>
    <row r="8" spans="1:12">
      <c r="A8" t="str" cm="1">
        <f t="array" ref="A8">_xlfn.LET(_xlpm.e,L8,
IF(_xlpm.e="","",
"DOC-"&amp;TEXT(ROW()-ROW(tblMaster[#Headers]),"00000")
))</f>
        <v>DOC-00007</v>
      </c>
      <c r="B8" s="49">
        <v>45937.690972222219</v>
      </c>
      <c r="C8" s="42" t="s">
        <v>34</v>
      </c>
      <c r="D8" s="42" t="s">
        <v>35</v>
      </c>
      <c r="E8" s="38" t="s">
        <v>36</v>
      </c>
      <c r="F8" s="17" t="s">
        <v>37</v>
      </c>
      <c r="G8" s="42" t="s">
        <v>33</v>
      </c>
      <c r="H8" s="17" t="s">
        <v>17</v>
      </c>
      <c r="I8" s="17" t="s">
        <v>18</v>
      </c>
      <c r="K8" s="5" t="s">
        <v>652</v>
      </c>
      <c r="L8" t="str">
        <f t="shared" si="1"/>
        <v>sgibson1@massasoit.edu</v>
      </c>
    </row>
    <row r="9" spans="1:12">
      <c r="A9" t="str" cm="1">
        <f t="array" ref="A9">_xlfn.LET(_xlpm.e,L9,
IF(_xlpm.e="","",
"DOC-"&amp;TEXT(ROW()-ROW(tblMaster[#Headers]),"00000")
))</f>
        <v>DOC-00008</v>
      </c>
      <c r="B9" s="49">
        <v>45947.638888888891</v>
      </c>
      <c r="C9" s="42" t="s">
        <v>38</v>
      </c>
      <c r="D9" s="42" t="s">
        <v>39</v>
      </c>
      <c r="E9" s="38" t="s">
        <v>40</v>
      </c>
      <c r="F9" s="17" t="s">
        <v>41</v>
      </c>
      <c r="G9" s="42" t="s">
        <v>42</v>
      </c>
      <c r="H9" s="17" t="s">
        <v>17</v>
      </c>
      <c r="I9" s="17" t="s">
        <v>18</v>
      </c>
      <c r="K9" s="5" t="s">
        <v>652</v>
      </c>
      <c r="L9" t="str">
        <f t="shared" si="1"/>
        <v>powelllaney8@gmail.com</v>
      </c>
    </row>
    <row r="10" spans="1:12">
      <c r="A10" t="str" cm="1">
        <f t="array" ref="A10">_xlfn.LET(_xlpm.e,L10,
IF(_xlpm.e="","",
"DOC-"&amp;TEXT(ROW()-ROW(tblMaster[#Headers]),"00000")
))</f>
        <v>DOC-00009</v>
      </c>
      <c r="B10" s="49">
        <v>45953.550694444442</v>
      </c>
      <c r="C10" s="42" t="s">
        <v>43</v>
      </c>
      <c r="D10" s="42" t="s">
        <v>44</v>
      </c>
      <c r="E10" s="38" t="s">
        <v>45</v>
      </c>
      <c r="F10" s="17" t="s">
        <v>46</v>
      </c>
      <c r="G10" s="42" t="s">
        <v>47</v>
      </c>
      <c r="H10" s="17" t="s">
        <v>17</v>
      </c>
      <c r="I10" s="17" t="s">
        <v>18</v>
      </c>
      <c r="K10" s="5" t="s">
        <v>652</v>
      </c>
      <c r="L10" t="str">
        <f t="shared" si="1"/>
        <v>fernandezrandy879@gmail.com</v>
      </c>
    </row>
    <row r="11" spans="1:12">
      <c r="A11" t="str" cm="1">
        <f t="array" ref="A11">_xlfn.LET(_xlpm.e,L11,
IF(_xlpm.e="","",
"DOC-"&amp;TEXT(ROW()-ROW(tblMaster[#Headers]),"00000")
))</f>
        <v>DOC-00010</v>
      </c>
      <c r="B11" s="49">
        <v>45953</v>
      </c>
      <c r="C11" s="42" t="s">
        <v>48</v>
      </c>
      <c r="D11" s="41" t="s">
        <v>49</v>
      </c>
      <c r="E11" s="39" t="s">
        <v>50</v>
      </c>
      <c r="F11" s="18" t="s">
        <v>51</v>
      </c>
      <c r="G11" s="41" t="s">
        <v>52</v>
      </c>
      <c r="H11" s="18" t="s">
        <v>53</v>
      </c>
      <c r="I11" s="18" t="s">
        <v>54</v>
      </c>
      <c r="K11" s="5" t="s">
        <v>652</v>
      </c>
      <c r="L11" t="str">
        <f t="shared" si="1"/>
        <v>mkhorvensky@gmail.com</v>
      </c>
    </row>
    <row r="12" spans="1:12">
      <c r="A12" t="str" cm="1">
        <f t="array" ref="A12">_xlfn.LET(_xlpm.e,L12,
IF(_xlpm.e="","",
"DOC-"&amp;TEXT(ROW()-ROW(tblMaster[#Headers]),"00000")
))</f>
        <v>DOC-00011</v>
      </c>
      <c r="B12" s="49">
        <v>45953</v>
      </c>
      <c r="C12" s="42" t="s">
        <v>55</v>
      </c>
      <c r="D12" s="41" t="s">
        <v>56</v>
      </c>
      <c r="E12" s="38" t="s">
        <v>57</v>
      </c>
      <c r="F12" s="18" t="s">
        <v>58</v>
      </c>
      <c r="G12" s="41" t="s">
        <v>59</v>
      </c>
      <c r="H12" s="18" t="s">
        <v>60</v>
      </c>
      <c r="I12" s="18" t="s">
        <v>54</v>
      </c>
      <c r="J12" s="99" t="s">
        <v>23</v>
      </c>
      <c r="K12" s="5" t="s">
        <v>652</v>
      </c>
      <c r="L12" t="str">
        <f t="shared" si="1"/>
        <v>yarmaimichael7@gmail.com</v>
      </c>
    </row>
    <row r="13" spans="1:12">
      <c r="A13" t="str" cm="1">
        <f t="array" ref="A13">_xlfn.LET(_xlpm.e,L13,
IF(_xlpm.e="","",
"DOC-"&amp;TEXT(ROW()-ROW(tblMaster[#Headers]),"00000")
))</f>
        <v>DOC-00012</v>
      </c>
      <c r="B13" s="49">
        <v>45953</v>
      </c>
      <c r="C13" s="42" t="s">
        <v>61</v>
      </c>
      <c r="D13" s="41" t="s">
        <v>62</v>
      </c>
      <c r="E13" s="39" t="s">
        <v>63</v>
      </c>
      <c r="F13" s="18" t="s">
        <v>64</v>
      </c>
      <c r="G13" s="41" t="s">
        <v>65</v>
      </c>
      <c r="H13" s="18" t="s">
        <v>17</v>
      </c>
      <c r="I13" s="18" t="s">
        <v>54</v>
      </c>
      <c r="J13" s="99" t="s">
        <v>66</v>
      </c>
      <c r="K13" s="5" t="s">
        <v>652</v>
      </c>
      <c r="L13" t="str">
        <f t="shared" si="1"/>
        <v>alexandremarcenaa@gmail.com</v>
      </c>
    </row>
    <row r="14" spans="1:12">
      <c r="A14" t="str" cm="1">
        <f t="array" ref="A14">_xlfn.LET(_xlpm.e,L14,
IF(_xlpm.e="","",
"DOC-"&amp;TEXT(ROW()-ROW(tblMaster[#Headers]),"00000")
))</f>
        <v>DOC-00013</v>
      </c>
      <c r="B14" s="49">
        <v>45953</v>
      </c>
      <c r="C14" s="42" t="s">
        <v>55</v>
      </c>
      <c r="D14" s="41" t="s">
        <v>67</v>
      </c>
      <c r="E14" s="38" t="s">
        <v>68</v>
      </c>
      <c r="F14" s="18" t="s">
        <v>69</v>
      </c>
      <c r="G14" s="41" t="s">
        <v>52</v>
      </c>
      <c r="H14" s="18" t="s">
        <v>17</v>
      </c>
      <c r="I14" s="18" t="s">
        <v>54</v>
      </c>
      <c r="K14" s="5" t="s">
        <v>652</v>
      </c>
      <c r="L14" t="str">
        <f t="shared" si="1"/>
        <v>black.michael.45@gmail.com</v>
      </c>
    </row>
    <row r="15" spans="1:12">
      <c r="A15" t="str" cm="1">
        <f t="array" ref="A15">_xlfn.LET(_xlpm.e,L15,
IF(_xlpm.e="","",
"DOC-"&amp;TEXT(ROW()-ROW(tblMaster[#Headers]),"00000")
))</f>
        <v>DOC-00014</v>
      </c>
      <c r="B15" s="49">
        <v>45953</v>
      </c>
      <c r="C15" s="42" t="s">
        <v>70</v>
      </c>
      <c r="D15" s="41" t="s">
        <v>71</v>
      </c>
      <c r="E15" s="38" t="s">
        <v>72</v>
      </c>
      <c r="F15" s="18" t="s">
        <v>73</v>
      </c>
      <c r="G15" s="41" t="s">
        <v>74</v>
      </c>
      <c r="H15" s="18" t="s">
        <v>17</v>
      </c>
      <c r="I15" s="18" t="s">
        <v>54</v>
      </c>
      <c r="K15" s="5" t="s">
        <v>652</v>
      </c>
      <c r="L15" t="str">
        <f t="shared" si="1"/>
        <v>dunbarashana@gmail.com</v>
      </c>
    </row>
    <row r="16" spans="1:12">
      <c r="A16" t="str" cm="1">
        <f t="array" ref="A16">_xlfn.LET(_xlpm.e,L16,
IF(_xlpm.e="","",
"DOC-"&amp;TEXT(ROW()-ROW(tblMaster[#Headers]),"00000")
))</f>
        <v>DOC-00015</v>
      </c>
      <c r="B16" s="49">
        <v>45953</v>
      </c>
      <c r="C16" s="42" t="s">
        <v>75</v>
      </c>
      <c r="D16" s="41" t="s">
        <v>76</v>
      </c>
      <c r="E16" s="40" t="s">
        <v>77</v>
      </c>
      <c r="F16" s="18" t="s">
        <v>78</v>
      </c>
      <c r="G16" s="41" t="s">
        <v>79</v>
      </c>
      <c r="H16" s="18" t="s">
        <v>17</v>
      </c>
      <c r="I16" s="18" t="s">
        <v>54</v>
      </c>
      <c r="K16" s="5" t="s">
        <v>652</v>
      </c>
      <c r="L16" t="str">
        <f t="shared" si="1"/>
        <v>joshuaurato1015@gmail.com</v>
      </c>
    </row>
    <row r="17" spans="1:12">
      <c r="A17" t="str" cm="1">
        <f t="array" ref="A17">_xlfn.LET(_xlpm.e,L17,
IF(_xlpm.e="","",
"DOC-"&amp;TEXT(ROW()-ROW(tblMaster[#Headers]),"00000")
))</f>
        <v>DOC-00016</v>
      </c>
      <c r="B17" s="49">
        <v>45953</v>
      </c>
      <c r="C17" s="42" t="s">
        <v>80</v>
      </c>
      <c r="D17" s="41" t="s">
        <v>81</v>
      </c>
      <c r="E17" s="38" t="s">
        <v>82</v>
      </c>
      <c r="F17" s="18" t="s">
        <v>83</v>
      </c>
      <c r="G17" s="41" t="s">
        <v>74</v>
      </c>
      <c r="H17" s="18" t="s">
        <v>17</v>
      </c>
      <c r="I17" s="18" t="s">
        <v>54</v>
      </c>
      <c r="K17" s="5" t="s">
        <v>652</v>
      </c>
      <c r="L17" t="str">
        <f t="shared" si="1"/>
        <v>ruizk5632@gmail.com</v>
      </c>
    </row>
    <row r="18" spans="1:12">
      <c r="A18" t="str" cm="1">
        <f t="array" ref="A18">_xlfn.LET(_xlpm.e,L18,
IF(_xlpm.e="","",
"DOC-"&amp;TEXT(ROW()-ROW(tblMaster[#Headers]),"00000")
))</f>
        <v>DOC-00017</v>
      </c>
      <c r="B18" s="49">
        <v>45953</v>
      </c>
      <c r="C18" s="42" t="s">
        <v>84</v>
      </c>
      <c r="D18" s="41" t="s">
        <v>85</v>
      </c>
      <c r="E18" s="38" t="s">
        <v>86</v>
      </c>
      <c r="F18" s="18" t="s">
        <v>87</v>
      </c>
      <c r="G18" s="41" t="s">
        <v>88</v>
      </c>
      <c r="H18" s="18" t="s">
        <v>17</v>
      </c>
      <c r="I18" s="18" t="s">
        <v>54</v>
      </c>
      <c r="J18" s="99" t="s">
        <v>23</v>
      </c>
      <c r="K18" s="5" t="s">
        <v>652</v>
      </c>
      <c r="L18" t="str">
        <f t="shared" si="1"/>
        <v>jcupertinojr@gmail.com</v>
      </c>
    </row>
    <row r="19" spans="1:12">
      <c r="A19" t="str" cm="1">
        <f t="array" ref="A19">_xlfn.LET(_xlpm.e,L19,
IF(_xlpm.e="","",
"DOC-"&amp;TEXT(ROW()-ROW(tblMaster[#Headers]),"00000")
))</f>
        <v>DOC-00018</v>
      </c>
      <c r="B19" s="49">
        <v>45953</v>
      </c>
      <c r="C19" s="42" t="s">
        <v>89</v>
      </c>
      <c r="D19" s="41" t="s">
        <v>90</v>
      </c>
      <c r="E19" s="38" t="s">
        <v>91</v>
      </c>
      <c r="F19" s="18" t="s">
        <v>92</v>
      </c>
      <c r="G19" s="41" t="s">
        <v>79</v>
      </c>
      <c r="H19" s="18" t="s">
        <v>17</v>
      </c>
      <c r="I19" s="18" t="s">
        <v>54</v>
      </c>
      <c r="K19" s="5" t="s">
        <v>652</v>
      </c>
      <c r="L19" t="str">
        <f t="shared" si="1"/>
        <v>est93mommyshitt@icloud.com</v>
      </c>
    </row>
    <row r="20" spans="1:12">
      <c r="A20" t="str" cm="1">
        <f t="array" ref="A20">_xlfn.LET(_xlpm.e,L20,
IF(_xlpm.e="","",
"DOC-"&amp;TEXT(ROW()-ROW(tblMaster[#Headers]),"00000")
))</f>
        <v>DOC-00019</v>
      </c>
      <c r="B20" s="49">
        <v>45953</v>
      </c>
      <c r="C20" s="42" t="s">
        <v>93</v>
      </c>
      <c r="D20" s="41" t="s">
        <v>94</v>
      </c>
      <c r="E20" s="38" t="s">
        <v>95</v>
      </c>
      <c r="F20" s="18" t="s">
        <v>96</v>
      </c>
      <c r="G20" s="41" t="s">
        <v>79</v>
      </c>
      <c r="H20" s="18" t="s">
        <v>17</v>
      </c>
      <c r="I20" s="18" t="s">
        <v>54</v>
      </c>
      <c r="K20" s="5" t="s">
        <v>652</v>
      </c>
      <c r="L20" t="str">
        <f t="shared" si="1"/>
        <v>jessicalafleur42082@gmail.com</v>
      </c>
    </row>
    <row r="21" spans="1:12">
      <c r="A21" t="str" cm="1">
        <f t="array" ref="A21">_xlfn.LET(_xlpm.e,L21,
IF(_xlpm.e="","",
"DOC-"&amp;TEXT(ROW()-ROW(tblMaster[#Headers]),"00000")
))</f>
        <v>DOC-00020</v>
      </c>
      <c r="B21" s="49">
        <v>45953</v>
      </c>
      <c r="C21" s="42" t="s">
        <v>97</v>
      </c>
      <c r="D21" s="41" t="s">
        <v>98</v>
      </c>
      <c r="E21" s="38" t="s">
        <v>99</v>
      </c>
      <c r="F21" s="18" t="s">
        <v>100</v>
      </c>
      <c r="G21" s="41" t="s">
        <v>79</v>
      </c>
      <c r="H21" s="18" t="s">
        <v>17</v>
      </c>
      <c r="I21" s="18" t="s">
        <v>101</v>
      </c>
      <c r="K21" s="5" t="s">
        <v>652</v>
      </c>
      <c r="L21" t="str">
        <f t="shared" si="1"/>
        <v>aa36105@gmail.com</v>
      </c>
    </row>
    <row r="22" spans="1:12">
      <c r="A22" t="str" cm="1">
        <f t="array" ref="A22">_xlfn.LET(_xlpm.e,L22,
IF(_xlpm.e="","",
"DOC-"&amp;TEXT(ROW()-ROW(tblMaster[#Headers]),"00000")
))</f>
        <v>DOC-00021</v>
      </c>
      <c r="B22" s="49">
        <v>45953</v>
      </c>
      <c r="C22" s="42" t="s">
        <v>102</v>
      </c>
      <c r="D22" s="41" t="s">
        <v>103</v>
      </c>
      <c r="E22" s="38" t="s">
        <v>104</v>
      </c>
      <c r="F22" s="18" t="s">
        <v>105</v>
      </c>
      <c r="G22" s="41" t="s">
        <v>106</v>
      </c>
      <c r="H22" s="18" t="s">
        <v>17</v>
      </c>
      <c r="I22" s="18" t="s">
        <v>101</v>
      </c>
      <c r="J22" s="99" t="s">
        <v>66</v>
      </c>
      <c r="K22" s="5" t="s">
        <v>652</v>
      </c>
      <c r="L22" t="str">
        <f t="shared" si="1"/>
        <v>luisrodt90@gmail.com</v>
      </c>
    </row>
    <row r="23" spans="1:12">
      <c r="A23" t="str" cm="1">
        <f t="array" ref="A23">_xlfn.LET(_xlpm.e,L23,
IF(_xlpm.e="","",
"DOC-"&amp;TEXT(ROW()-ROW(tblMaster[#Headers]),"00000")
))</f>
        <v>DOC-00022</v>
      </c>
      <c r="B23" s="49">
        <v>45953</v>
      </c>
      <c r="C23" s="42" t="s">
        <v>107</v>
      </c>
      <c r="D23" s="41" t="s">
        <v>108</v>
      </c>
      <c r="E23" s="38" t="s">
        <v>109</v>
      </c>
      <c r="F23" s="18" t="s">
        <v>110</v>
      </c>
      <c r="G23" s="41" t="s">
        <v>111</v>
      </c>
      <c r="H23" s="18" t="s">
        <v>17</v>
      </c>
      <c r="I23" s="18" t="s">
        <v>112</v>
      </c>
      <c r="J23" s="99" t="s">
        <v>66</v>
      </c>
      <c r="K23" s="5" t="s">
        <v>652</v>
      </c>
      <c r="L23" t="str">
        <f t="shared" si="1"/>
        <v>dariuslucas75@gmail.com</v>
      </c>
    </row>
    <row r="24" spans="1:12">
      <c r="A24" t="str" cm="1">
        <f t="array" ref="A24">_xlfn.LET(_xlpm.e,L24,
IF(_xlpm.e="","",
"DOC-"&amp;TEXT(ROW()-ROW(tblMaster[#Headers]),"00000")
))</f>
        <v>DOC-00023</v>
      </c>
      <c r="B24" s="49">
        <v>45953</v>
      </c>
      <c r="C24" s="42" t="s">
        <v>113</v>
      </c>
      <c r="D24" s="41" t="s">
        <v>114</v>
      </c>
      <c r="E24" s="77" t="s">
        <v>115</v>
      </c>
      <c r="F24" s="18" t="s">
        <v>116</v>
      </c>
      <c r="G24" s="41" t="s">
        <v>117</v>
      </c>
      <c r="H24" s="18" t="s">
        <v>17</v>
      </c>
      <c r="I24" s="18" t="s">
        <v>112</v>
      </c>
      <c r="J24" s="99" t="s">
        <v>118</v>
      </c>
      <c r="K24" s="5" t="s">
        <v>652</v>
      </c>
      <c r="L24" t="str">
        <f t="shared" si="1"/>
        <v>bcarreiro5825@gmail.com</v>
      </c>
    </row>
    <row r="25" spans="1:12">
      <c r="A25" t="str" cm="1">
        <f t="array" ref="A25">_xlfn.LET(_xlpm.e,L25,
IF(_xlpm.e="","",
"DOC-"&amp;TEXT(ROW()-ROW(tblMaster[#Headers]),"00000")
))</f>
        <v>DOC-00024</v>
      </c>
      <c r="B25" s="49">
        <v>45953</v>
      </c>
      <c r="C25" s="42" t="s">
        <v>119</v>
      </c>
      <c r="D25" s="41" t="s">
        <v>120</v>
      </c>
      <c r="E25" s="38" t="s">
        <v>121</v>
      </c>
      <c r="F25" s="18" t="s">
        <v>122</v>
      </c>
      <c r="G25" s="41" t="s">
        <v>123</v>
      </c>
      <c r="H25" s="18" t="s">
        <v>17</v>
      </c>
      <c r="I25" s="18" t="s">
        <v>112</v>
      </c>
      <c r="K25" s="5" t="s">
        <v>652</v>
      </c>
      <c r="L25" t="str">
        <f t="shared" si="1"/>
        <v>camerongeruso@yahoo.com</v>
      </c>
    </row>
    <row r="26" spans="1:12">
      <c r="A26" t="str" cm="1">
        <f t="array" ref="A26">_xlfn.LET(_xlpm.e,L26,
IF(_xlpm.e="","",
"DOC-"&amp;TEXT(ROW()-ROW(tblMaster[#Headers]),"00000")
))</f>
        <v>DOC-00025</v>
      </c>
      <c r="B26" s="49">
        <v>45953</v>
      </c>
      <c r="C26" s="42" t="s">
        <v>124</v>
      </c>
      <c r="D26" s="41" t="s">
        <v>125</v>
      </c>
      <c r="E26" s="38" t="s">
        <v>126</v>
      </c>
      <c r="F26" s="18" t="s">
        <v>127</v>
      </c>
      <c r="G26" s="41" t="s">
        <v>128</v>
      </c>
      <c r="H26" s="18" t="s">
        <v>17</v>
      </c>
      <c r="I26" s="18" t="s">
        <v>112</v>
      </c>
      <c r="K26" s="5" t="s">
        <v>652</v>
      </c>
      <c r="L26" t="str">
        <f t="shared" si="1"/>
        <v>nysonpacombe@gmail.com</v>
      </c>
    </row>
    <row r="27" spans="1:12">
      <c r="A27" t="str" cm="1">
        <f t="array" ref="A27">_xlfn.LET(_xlpm.e,L27,
IF(_xlpm.e="","",
"DOC-"&amp;TEXT(ROW()-ROW(tblMaster[#Headers]),"00000")
))</f>
        <v>DOC-00026</v>
      </c>
      <c r="B27" s="49">
        <v>45953</v>
      </c>
      <c r="C27" s="42" t="s">
        <v>129</v>
      </c>
      <c r="D27" s="41" t="s">
        <v>130</v>
      </c>
      <c r="E27" s="39" t="s">
        <v>131</v>
      </c>
      <c r="F27" s="18" t="s">
        <v>132</v>
      </c>
      <c r="G27" s="41" t="s">
        <v>133</v>
      </c>
      <c r="H27" s="18" t="s">
        <v>17</v>
      </c>
      <c r="I27" s="18" t="s">
        <v>112</v>
      </c>
      <c r="K27" s="5" t="s">
        <v>652</v>
      </c>
      <c r="L27" t="str">
        <f t="shared" si="1"/>
        <v>wilnettememeus@gmail.com</v>
      </c>
    </row>
    <row r="28" spans="1:12">
      <c r="A28" t="str" cm="1">
        <f t="array" ref="A28">_xlfn.LET(_xlpm.e,L28,
IF(_xlpm.e="","",
"DOC-"&amp;TEXT(ROW()-ROW(tblMaster[#Headers]),"00000")
))</f>
        <v>DOC-00027</v>
      </c>
      <c r="B28" s="49">
        <v>45953</v>
      </c>
      <c r="C28" s="42" t="s">
        <v>134</v>
      </c>
      <c r="D28" s="41" t="s">
        <v>135</v>
      </c>
      <c r="E28" s="38" t="s">
        <v>136</v>
      </c>
      <c r="F28" s="18" t="s">
        <v>137</v>
      </c>
      <c r="G28" s="41" t="s">
        <v>138</v>
      </c>
      <c r="H28" s="18" t="s">
        <v>17</v>
      </c>
      <c r="I28" s="18" t="s">
        <v>112</v>
      </c>
      <c r="J28" s="99" t="s">
        <v>66</v>
      </c>
      <c r="K28" s="5" t="s">
        <v>652</v>
      </c>
      <c r="L28" t="str">
        <f t="shared" si="1"/>
        <v>nabdeloughab61@gmail.com</v>
      </c>
    </row>
    <row r="29" spans="1:12">
      <c r="A29" t="str" cm="1">
        <f t="array" ref="A29">_xlfn.LET(_xlpm.e,L29,
IF(_xlpm.e="","",
"DOC-"&amp;TEXT(ROW()-ROW(tblMaster[#Headers]),"00000")
))</f>
        <v>DOC-00028</v>
      </c>
      <c r="B29" s="49">
        <v>45953</v>
      </c>
      <c r="C29" s="42" t="s">
        <v>55</v>
      </c>
      <c r="D29" s="41" t="s">
        <v>139</v>
      </c>
      <c r="E29" s="38" t="s">
        <v>140</v>
      </c>
      <c r="F29" s="18" t="s">
        <v>141</v>
      </c>
      <c r="G29" s="41" t="s">
        <v>142</v>
      </c>
      <c r="H29" s="18" t="s">
        <v>17</v>
      </c>
      <c r="I29" s="18" t="s">
        <v>54</v>
      </c>
      <c r="K29" s="5" t="s">
        <v>652</v>
      </c>
      <c r="L29" t="str">
        <f t="shared" si="1"/>
        <v>phileagles1977@yahoo.com</v>
      </c>
    </row>
    <row r="30" spans="1:12">
      <c r="A30" t="str" cm="1">
        <f t="array" ref="A30">_xlfn.LET(_xlpm.e,L30,
IF(_xlpm.e="","",
"DOC-"&amp;TEXT(ROW()-ROW(tblMaster[#Headers]),"00000")
))</f>
        <v>DOC-00029</v>
      </c>
      <c r="B30" s="49">
        <v>45953</v>
      </c>
      <c r="C30" s="42" t="s">
        <v>143</v>
      </c>
      <c r="D30" s="41" t="s">
        <v>144</v>
      </c>
      <c r="E30" s="38" t="s">
        <v>145</v>
      </c>
      <c r="F30" s="18" t="s">
        <v>146</v>
      </c>
      <c r="G30" s="41" t="s">
        <v>147</v>
      </c>
      <c r="H30" s="18" t="s">
        <v>17</v>
      </c>
      <c r="I30" s="18" t="s">
        <v>54</v>
      </c>
      <c r="J30" s="99" t="s">
        <v>23</v>
      </c>
      <c r="K30" s="5" t="s">
        <v>652</v>
      </c>
      <c r="L30" t="str">
        <f t="shared" si="1"/>
        <v>calixto77777@gmail.com</v>
      </c>
    </row>
    <row r="31" spans="1:12">
      <c r="A31" t="str" cm="1">
        <f t="array" ref="A31">_xlfn.LET(_xlpm.e,L31,
IF(_xlpm.e="","",
"DOC-"&amp;TEXT(ROW()-ROW(tblMaster[#Headers]),"00000")
))</f>
        <v>DOC-00030</v>
      </c>
      <c r="B31" s="49">
        <v>45953</v>
      </c>
      <c r="C31" s="42" t="s">
        <v>148</v>
      </c>
      <c r="D31" s="41" t="s">
        <v>149</v>
      </c>
      <c r="E31" s="38" t="s">
        <v>150</v>
      </c>
      <c r="F31" s="18" t="s">
        <v>151</v>
      </c>
      <c r="G31" s="41" t="s">
        <v>152</v>
      </c>
      <c r="H31" s="18" t="s">
        <v>153</v>
      </c>
      <c r="I31" s="18" t="s">
        <v>112</v>
      </c>
      <c r="K31" s="5" t="s">
        <v>652</v>
      </c>
      <c r="L31" t="str">
        <f t="shared" si="1"/>
        <v>stein4981@verizon.net</v>
      </c>
    </row>
    <row r="32" spans="1:12">
      <c r="A32" t="str" cm="1">
        <f t="array" ref="A32">_xlfn.LET(_xlpm.e,L32,
IF(_xlpm.e="","",
"DOC-"&amp;TEXT(ROW()-ROW(tblMaster[#Headers]),"00000")
))</f>
        <v>DOC-00031</v>
      </c>
      <c r="B32" s="49">
        <v>45953</v>
      </c>
      <c r="C32" s="42" t="s">
        <v>154</v>
      </c>
      <c r="D32" s="41" t="s">
        <v>155</v>
      </c>
      <c r="E32" s="38" t="s">
        <v>156</v>
      </c>
      <c r="F32" s="18" t="s">
        <v>157</v>
      </c>
      <c r="G32" s="41" t="s">
        <v>158</v>
      </c>
      <c r="H32" s="18" t="s">
        <v>17</v>
      </c>
      <c r="I32" s="18" t="s">
        <v>112</v>
      </c>
      <c r="J32" s="99" t="s">
        <v>66</v>
      </c>
      <c r="K32" s="5" t="s">
        <v>652</v>
      </c>
      <c r="L32" t="str">
        <f t="shared" si="1"/>
        <v>azongelvis50@gmail.com</v>
      </c>
    </row>
    <row r="33" spans="1:12">
      <c r="A33" t="str" cm="1">
        <f t="array" ref="A33">_xlfn.LET(_xlpm.e,L33,
IF(_xlpm.e="","",
"DOC-"&amp;TEXT(ROW()-ROW(tblMaster[#Headers]),"00000")
))</f>
        <v>DOC-00032</v>
      </c>
      <c r="B33" s="49">
        <v>45953</v>
      </c>
      <c r="C33" s="42" t="s">
        <v>159</v>
      </c>
      <c r="D33" s="41" t="s">
        <v>160</v>
      </c>
      <c r="E33" s="38" t="s">
        <v>161</v>
      </c>
      <c r="F33" s="18" t="s">
        <v>162</v>
      </c>
      <c r="G33" s="41" t="s">
        <v>163</v>
      </c>
      <c r="H33" s="18" t="s">
        <v>17</v>
      </c>
      <c r="I33" s="18" t="s">
        <v>112</v>
      </c>
      <c r="K33" s="5" t="s">
        <v>652</v>
      </c>
      <c r="L33" t="str">
        <f t="shared" si="1"/>
        <v>lovelyiye112@gmail.com</v>
      </c>
    </row>
    <row r="34" spans="1:12">
      <c r="A34" t="str" cm="1">
        <f t="array" ref="A34">_xlfn.LET(_xlpm.e,L34,
IF(_xlpm.e="","",
"DOC-"&amp;TEXT(ROW()-ROW(tblMaster[#Headers]),"00000")
))</f>
        <v>DOC-00033</v>
      </c>
      <c r="B34" s="49">
        <v>45953</v>
      </c>
      <c r="C34" s="42" t="s">
        <v>164</v>
      </c>
      <c r="D34" s="41" t="s">
        <v>165</v>
      </c>
      <c r="E34" s="38" t="s">
        <v>166</v>
      </c>
      <c r="F34" s="18" t="s">
        <v>167</v>
      </c>
      <c r="G34" s="41" t="s">
        <v>168</v>
      </c>
      <c r="H34" s="18" t="s">
        <v>17</v>
      </c>
      <c r="I34" s="18" t="s">
        <v>112</v>
      </c>
      <c r="K34" s="5" t="s">
        <v>652</v>
      </c>
      <c r="L34" t="str">
        <f t="shared" si="1"/>
        <v>dineentyler@icloud.com</v>
      </c>
    </row>
    <row r="35" spans="1:12">
      <c r="A35" t="str" cm="1">
        <f t="array" ref="A35">_xlfn.LET(_xlpm.e,L35,
IF(_xlpm.e="","",
"DOC-"&amp;TEXT(ROW()-ROW(tblMaster[#Headers]),"00000")
))</f>
        <v>DOC-00034</v>
      </c>
      <c r="B35" s="49">
        <v>45953</v>
      </c>
      <c r="C35" s="42" t="s">
        <v>169</v>
      </c>
      <c r="D35" s="41" t="s">
        <v>170</v>
      </c>
      <c r="E35" s="38" t="s">
        <v>171</v>
      </c>
      <c r="F35" s="18" t="s">
        <v>172</v>
      </c>
      <c r="G35" s="41" t="s">
        <v>173</v>
      </c>
      <c r="H35" s="18" t="s">
        <v>17</v>
      </c>
      <c r="I35" s="18" t="s">
        <v>54</v>
      </c>
      <c r="K35" s="5" t="s">
        <v>652</v>
      </c>
      <c r="L35" t="str">
        <f t="shared" si="1"/>
        <v>shawnanderson_259@msn.com</v>
      </c>
    </row>
    <row r="36" spans="1:12">
      <c r="A36" t="str" cm="1">
        <f t="array" ref="A36">_xlfn.LET(_xlpm.e,L36,
IF(_xlpm.e="","",
"DOC-"&amp;TEXT(ROW()-ROW(tblMaster[#Headers]),"00000")
))</f>
        <v>DOC-00035</v>
      </c>
      <c r="B36" s="49">
        <v>45953</v>
      </c>
      <c r="C36" s="42" t="s">
        <v>174</v>
      </c>
      <c r="D36" s="41" t="s">
        <v>175</v>
      </c>
      <c r="E36" s="38" t="s">
        <v>176</v>
      </c>
      <c r="F36" s="18" t="s">
        <v>177</v>
      </c>
      <c r="G36" s="41" t="s">
        <v>106</v>
      </c>
      <c r="H36" s="18" t="s">
        <v>17</v>
      </c>
      <c r="I36" s="18" t="s">
        <v>112</v>
      </c>
      <c r="J36" s="99" t="s">
        <v>23</v>
      </c>
      <c r="K36" s="5" t="s">
        <v>652</v>
      </c>
      <c r="L36" t="str">
        <f t="shared" si="1"/>
        <v>giannanicholas22@gmail.com</v>
      </c>
    </row>
    <row r="37" spans="1:12">
      <c r="A37" t="str" cm="1">
        <f t="array" ref="A37">_xlfn.LET(_xlpm.e,L37,
IF(_xlpm.e="","",
"DOC-"&amp;TEXT(ROW()-ROW(tblMaster[#Headers]),"00000")
))</f>
        <v>DOC-00036</v>
      </c>
      <c r="B37" s="49">
        <v>45953</v>
      </c>
      <c r="C37" s="42" t="s">
        <v>178</v>
      </c>
      <c r="D37" s="41" t="s">
        <v>179</v>
      </c>
      <c r="E37" s="38" t="s">
        <v>180</v>
      </c>
      <c r="F37" s="18" t="s">
        <v>181</v>
      </c>
      <c r="G37" s="41" t="s">
        <v>182</v>
      </c>
      <c r="H37" s="18" t="s">
        <v>17</v>
      </c>
      <c r="I37" s="18" t="s">
        <v>112</v>
      </c>
      <c r="K37" s="5" t="s">
        <v>652</v>
      </c>
      <c r="L37" t="str">
        <f t="shared" si="1"/>
        <v>wander_2217@outlook.com</v>
      </c>
    </row>
    <row r="38" spans="1:12">
      <c r="A38" t="str" cm="1">
        <f t="array" ref="A38">_xlfn.LET(_xlpm.e,L38,
IF(_xlpm.e="","",
"DOC-"&amp;TEXT(ROW()-ROW(tblMaster[#Headers]),"00000")
))</f>
        <v>DOC-00037</v>
      </c>
      <c r="B38" s="49">
        <v>45953</v>
      </c>
      <c r="C38" s="42" t="s">
        <v>183</v>
      </c>
      <c r="D38" s="41" t="s">
        <v>184</v>
      </c>
      <c r="E38" s="38" t="s">
        <v>185</v>
      </c>
      <c r="F38" s="18" t="s">
        <v>186</v>
      </c>
      <c r="G38" s="41" t="s">
        <v>187</v>
      </c>
      <c r="H38" s="18" t="s">
        <v>17</v>
      </c>
      <c r="I38" s="18" t="s">
        <v>101</v>
      </c>
      <c r="J38" s="99" t="s">
        <v>66</v>
      </c>
      <c r="K38" s="5" t="s">
        <v>652</v>
      </c>
      <c r="L38" t="str">
        <f t="shared" si="1"/>
        <v>yclark1109@gmail.com</v>
      </c>
    </row>
    <row r="39" spans="1:12">
      <c r="A39" t="str" cm="1">
        <f t="array" ref="A39">_xlfn.LET(_xlpm.e,L39,
IF(_xlpm.e="","",
"DOC-"&amp;TEXT(ROW()-ROW(tblMaster[#Headers]),"00000")
))</f>
        <v>DOC-00038</v>
      </c>
      <c r="B39" s="49">
        <v>45953</v>
      </c>
      <c r="C39" s="42" t="s">
        <v>188</v>
      </c>
      <c r="D39" s="41" t="s">
        <v>189</v>
      </c>
      <c r="E39" s="38" t="s">
        <v>190</v>
      </c>
      <c r="F39" s="18" t="s">
        <v>191</v>
      </c>
      <c r="G39" s="41" t="s">
        <v>192</v>
      </c>
      <c r="H39" s="18" t="s">
        <v>17</v>
      </c>
      <c r="I39" s="18" t="s">
        <v>193</v>
      </c>
      <c r="J39" s="99" t="s">
        <v>194</v>
      </c>
      <c r="K39" s="5" t="s">
        <v>652</v>
      </c>
      <c r="L39" t="str">
        <f t="shared" si="1"/>
        <v>millertaneka3@gmail.com</v>
      </c>
    </row>
    <row r="40" spans="1:12">
      <c r="A40" t="str" cm="1">
        <f t="array" ref="A40">_xlfn.LET(_xlpm.e,L40,
IF(_xlpm.e="","",
"DOC-"&amp;TEXT(ROW()-ROW(tblMaster[#Headers]),"00000")
))</f>
        <v>DOC-00039</v>
      </c>
      <c r="B40" s="49">
        <v>45953</v>
      </c>
      <c r="C40" s="42" t="s">
        <v>195</v>
      </c>
      <c r="D40" s="41" t="s">
        <v>196</v>
      </c>
      <c r="E40" s="38" t="s">
        <v>197</v>
      </c>
      <c r="F40" s="18" t="s">
        <v>198</v>
      </c>
      <c r="G40" s="41" t="s">
        <v>199</v>
      </c>
      <c r="H40" s="18" t="s">
        <v>17</v>
      </c>
      <c r="I40" s="18" t="s">
        <v>54</v>
      </c>
      <c r="K40" s="5" t="s">
        <v>652</v>
      </c>
      <c r="L40" t="str">
        <f t="shared" si="1"/>
        <v>prysone@gmail.com</v>
      </c>
    </row>
    <row r="41" spans="1:12">
      <c r="A41" t="str" cm="1">
        <f t="array" ref="A41">_xlfn.LET(_xlpm.e,L41,
IF(_xlpm.e="","",
"DOC-"&amp;TEXT(ROW()-ROW(tblMaster[#Headers]),"00000")
))</f>
        <v>DOC-00040</v>
      </c>
      <c r="B41" s="49">
        <v>45953</v>
      </c>
      <c r="C41" s="42" t="s">
        <v>75</v>
      </c>
      <c r="D41" s="41" t="s">
        <v>200</v>
      </c>
      <c r="E41" s="38" t="s">
        <v>201</v>
      </c>
      <c r="F41" s="18" t="s">
        <v>202</v>
      </c>
      <c r="G41" s="41" t="s">
        <v>163</v>
      </c>
      <c r="H41" s="18" t="s">
        <v>17</v>
      </c>
      <c r="I41" s="18" t="s">
        <v>54</v>
      </c>
      <c r="K41" s="5" t="s">
        <v>652</v>
      </c>
      <c r="L41" t="str">
        <f t="shared" si="1"/>
        <v>joshuamforever@gmail.com</v>
      </c>
    </row>
    <row r="42" spans="1:12">
      <c r="A42" t="str" cm="1">
        <f t="array" ref="A42">_xlfn.LET(_xlpm.e,L42,
IF(_xlpm.e="","",
"DOC-"&amp;TEXT(ROW()-ROW(tblMaster[#Headers]),"00000")
))</f>
        <v>DOC-00041</v>
      </c>
      <c r="B42" s="49">
        <v>45953</v>
      </c>
      <c r="C42" s="42" t="s">
        <v>203</v>
      </c>
      <c r="D42" s="41" t="s">
        <v>204</v>
      </c>
      <c r="E42" s="38" t="s">
        <v>205</v>
      </c>
      <c r="F42" s="18" t="s">
        <v>206</v>
      </c>
      <c r="G42" s="41" t="s">
        <v>207</v>
      </c>
      <c r="H42" s="18" t="s">
        <v>60</v>
      </c>
      <c r="I42" s="18" t="s">
        <v>101</v>
      </c>
      <c r="J42" s="99" t="s">
        <v>23</v>
      </c>
      <c r="K42" s="5" t="s">
        <v>652</v>
      </c>
      <c r="L42" t="str">
        <f t="shared" si="1"/>
        <v>joeldiazpr87@gmail.com</v>
      </c>
    </row>
    <row r="43" spans="1:12">
      <c r="A43" t="str" cm="1">
        <f t="array" ref="A43">_xlfn.LET(_xlpm.e,L43,
IF(_xlpm.e="","",
"DOC-"&amp;TEXT(ROW()-ROW(tblMaster[#Headers]),"00000")
))</f>
        <v>DOC-00042</v>
      </c>
      <c r="B43" s="49">
        <v>45953</v>
      </c>
      <c r="C43" s="42" t="s">
        <v>208</v>
      </c>
      <c r="D43" s="41" t="s">
        <v>209</v>
      </c>
      <c r="E43" s="38" t="s">
        <v>210</v>
      </c>
      <c r="F43" s="18" t="s">
        <v>211</v>
      </c>
      <c r="G43" s="41" t="s">
        <v>212</v>
      </c>
      <c r="H43" s="18" t="s">
        <v>17</v>
      </c>
      <c r="I43" s="18" t="s">
        <v>112</v>
      </c>
      <c r="K43" s="5" t="s">
        <v>652</v>
      </c>
      <c r="L43" t="str">
        <f t="shared" si="1"/>
        <v>giannson@gmail.com</v>
      </c>
    </row>
    <row r="44" spans="1:12">
      <c r="A44" t="str" cm="1">
        <f t="array" ref="A44">_xlfn.LET(_xlpm.e,L44,
IF(_xlpm.e="","",
"DOC-"&amp;TEXT(ROW()-ROW(tblMaster[#Headers]),"00000")
))</f>
        <v>DOC-00043</v>
      </c>
      <c r="B44" s="49">
        <v>45953</v>
      </c>
      <c r="C44" s="42" t="s">
        <v>55</v>
      </c>
      <c r="D44" s="41" t="s">
        <v>213</v>
      </c>
      <c r="E44" s="38" t="s">
        <v>214</v>
      </c>
      <c r="F44" s="18" t="s">
        <v>215</v>
      </c>
      <c r="G44" s="41" t="s">
        <v>52</v>
      </c>
      <c r="H44" s="18" t="s">
        <v>17</v>
      </c>
      <c r="I44" s="18" t="s">
        <v>112</v>
      </c>
      <c r="K44" s="5" t="s">
        <v>652</v>
      </c>
      <c r="L44" t="str">
        <f t="shared" si="1"/>
        <v>michaeldeva55@gmail.com</v>
      </c>
    </row>
    <row r="45" spans="1:12">
      <c r="A45" t="str" cm="1">
        <f t="array" ref="A45">_xlfn.LET(_xlpm.e,L45,
IF(_xlpm.e="","",
"DOC-"&amp;TEXT(ROW()-ROW(tblMaster[#Headers]),"00000")
))</f>
        <v>DOC-00044</v>
      </c>
      <c r="B45" s="49">
        <v>45953</v>
      </c>
      <c r="C45" s="42" t="s">
        <v>216</v>
      </c>
      <c r="D45" s="41" t="s">
        <v>217</v>
      </c>
      <c r="E45" s="38" t="s">
        <v>218</v>
      </c>
      <c r="F45" s="18" t="s">
        <v>219</v>
      </c>
      <c r="G45" s="41" t="s">
        <v>220</v>
      </c>
      <c r="H45" s="18" t="s">
        <v>17</v>
      </c>
      <c r="I45" s="18" t="s">
        <v>54</v>
      </c>
      <c r="K45" s="5" t="s">
        <v>652</v>
      </c>
      <c r="L45" t="str">
        <f t="shared" si="1"/>
        <v>jcladan@gmail.com</v>
      </c>
    </row>
    <row r="46" spans="1:12">
      <c r="A46" t="str" cm="1">
        <f t="array" ref="A46">_xlfn.LET(_xlpm.e,L46,
IF(_xlpm.e="","",
"DOC-"&amp;TEXT(ROW()-ROW(tblMaster[#Headers]),"00000")
))</f>
        <v>DOC-00045</v>
      </c>
      <c r="B46" s="49">
        <v>45953</v>
      </c>
      <c r="C46" s="42" t="s">
        <v>221</v>
      </c>
      <c r="D46" s="41" t="s">
        <v>222</v>
      </c>
      <c r="E46" s="38" t="s">
        <v>223</v>
      </c>
      <c r="F46" s="18" t="s">
        <v>224</v>
      </c>
      <c r="G46" s="41" t="s">
        <v>225</v>
      </c>
      <c r="H46" s="18" t="s">
        <v>17</v>
      </c>
      <c r="I46" s="18" t="s">
        <v>54</v>
      </c>
      <c r="K46" s="5" t="s">
        <v>226</v>
      </c>
      <c r="L46" t="str">
        <f t="shared" si="1"/>
        <v>atatalias31@gmail.com</v>
      </c>
    </row>
    <row r="47" spans="1:12">
      <c r="A47" t="str" cm="1">
        <f t="array" ref="A47">_xlfn.LET(_xlpm.e,L47,
IF(_xlpm.e="","",
"DOC-"&amp;TEXT(ROW()-ROW(tblMaster[#Headers]),"00000")
))</f>
        <v>DOC-00046</v>
      </c>
      <c r="B47" s="49">
        <v>45953</v>
      </c>
      <c r="C47" s="42" t="s">
        <v>227</v>
      </c>
      <c r="D47" s="41" t="s">
        <v>228</v>
      </c>
      <c r="E47" s="38" t="s">
        <v>229</v>
      </c>
      <c r="F47" s="18" t="s">
        <v>230</v>
      </c>
      <c r="G47" s="41" t="s">
        <v>231</v>
      </c>
      <c r="H47" s="18" t="s">
        <v>17</v>
      </c>
      <c r="I47" s="18" t="s">
        <v>54</v>
      </c>
      <c r="K47" s="5" t="s">
        <v>652</v>
      </c>
      <c r="L47" t="str">
        <f t="shared" si="1"/>
        <v>browderajaia@gmail.com</v>
      </c>
    </row>
    <row r="48" spans="1:12">
      <c r="A48" t="str" cm="1">
        <f t="array" ref="A48">_xlfn.LET(_xlpm.e,L48,
IF(_xlpm.e="","",
"DOC-"&amp;TEXT(ROW()-ROW(tblMaster[#Headers]),"00000")
))</f>
        <v>DOC-00047</v>
      </c>
      <c r="B48" s="49">
        <v>45953</v>
      </c>
      <c r="C48" s="42" t="s">
        <v>232</v>
      </c>
      <c r="D48" s="41" t="s">
        <v>233</v>
      </c>
      <c r="E48" s="38" t="s">
        <v>234</v>
      </c>
      <c r="F48" s="18" t="s">
        <v>235</v>
      </c>
      <c r="G48" s="41" t="s">
        <v>236</v>
      </c>
      <c r="H48" s="18" t="s">
        <v>237</v>
      </c>
      <c r="I48" s="18" t="s">
        <v>54</v>
      </c>
      <c r="J48" s="99" t="s">
        <v>23</v>
      </c>
      <c r="K48" s="5" t="s">
        <v>652</v>
      </c>
      <c r="L48" t="str">
        <f t="shared" si="1"/>
        <v>derekmomo@gmail.com</v>
      </c>
    </row>
    <row r="49" spans="1:12">
      <c r="A49" t="str" cm="1">
        <f t="array" ref="A49">_xlfn.LET(_xlpm.e,L49,
IF(_xlpm.e="","",
"DOC-"&amp;TEXT(ROW()-ROW(tblMaster[#Headers]),"00000")
))</f>
        <v>DOC-00048</v>
      </c>
      <c r="B49" s="49">
        <v>45953</v>
      </c>
      <c r="C49" s="42" t="s">
        <v>238</v>
      </c>
      <c r="D49" s="41" t="s">
        <v>239</v>
      </c>
      <c r="E49" s="38" t="s">
        <v>240</v>
      </c>
      <c r="F49" s="18" t="s">
        <v>241</v>
      </c>
      <c r="G49" s="41" t="s">
        <v>242</v>
      </c>
      <c r="H49" s="18" t="s">
        <v>53</v>
      </c>
      <c r="I49" s="18" t="s">
        <v>54</v>
      </c>
      <c r="K49" s="5" t="s">
        <v>652</v>
      </c>
      <c r="L49" t="str">
        <f t="shared" si="1"/>
        <v>chery.serge1969@gmail.com</v>
      </c>
    </row>
    <row r="50" spans="1:12">
      <c r="A50" t="str" cm="1">
        <f t="array" ref="A50">_xlfn.LET(_xlpm.e,L50,
IF(_xlpm.e="","",
"DOC-"&amp;TEXT(ROW()-ROW(tblMaster[#Headers]),"00000")
))</f>
        <v>DOC-00049</v>
      </c>
      <c r="B50" s="49">
        <v>45953</v>
      </c>
      <c r="C50" s="42" t="s">
        <v>243</v>
      </c>
      <c r="D50" s="41" t="s">
        <v>244</v>
      </c>
      <c r="E50" s="38" t="s">
        <v>245</v>
      </c>
      <c r="F50" s="18" t="s">
        <v>246</v>
      </c>
      <c r="G50" s="41" t="s">
        <v>247</v>
      </c>
      <c r="H50" s="18" t="s">
        <v>53</v>
      </c>
      <c r="I50" s="18" t="s">
        <v>112</v>
      </c>
      <c r="K50" s="5" t="s">
        <v>652</v>
      </c>
      <c r="L50" t="str">
        <f t="shared" si="1"/>
        <v>kinss1987@yahoo.com</v>
      </c>
    </row>
    <row r="51" spans="1:12">
      <c r="A51" t="str" cm="1">
        <f t="array" ref="A51">_xlfn.LET(_xlpm.e,L51,
IF(_xlpm.e="","",
"DOC-"&amp;TEXT(ROW()-ROW(tblMaster[#Headers]),"00000")
))</f>
        <v>DOC-00050</v>
      </c>
      <c r="B51" s="49">
        <v>45953</v>
      </c>
      <c r="C51" s="42" t="s">
        <v>248</v>
      </c>
      <c r="D51" s="41" t="s">
        <v>249</v>
      </c>
      <c r="E51" s="38" t="s">
        <v>250</v>
      </c>
      <c r="F51" s="18" t="s">
        <v>251</v>
      </c>
      <c r="G51" s="41" t="s">
        <v>252</v>
      </c>
      <c r="H51" s="18" t="s">
        <v>53</v>
      </c>
      <c r="I51" s="18" t="s">
        <v>112</v>
      </c>
      <c r="K51" s="5" t="s">
        <v>652</v>
      </c>
      <c r="L51" t="str">
        <f t="shared" si="1"/>
        <v>ertel.ark63@g.ail.com</v>
      </c>
    </row>
    <row r="52" spans="1:12">
      <c r="A52" t="str" cm="1">
        <f t="array" ref="A52">_xlfn.LET(_xlpm.e,L52,
IF(_xlpm.e="","",
"DOC-"&amp;TEXT(ROW()-ROW(tblMaster[#Headers]),"00000")
))</f>
        <v>DOC-00051</v>
      </c>
      <c r="B52" s="49">
        <v>45953</v>
      </c>
      <c r="C52" s="42" t="s">
        <v>253</v>
      </c>
      <c r="D52" s="41" t="s">
        <v>254</v>
      </c>
      <c r="E52" s="38" t="s">
        <v>255</v>
      </c>
      <c r="F52" s="18" t="s">
        <v>256</v>
      </c>
      <c r="G52" s="41" t="s">
        <v>257</v>
      </c>
      <c r="H52" s="18" t="s">
        <v>53</v>
      </c>
      <c r="I52" s="18" t="s">
        <v>112</v>
      </c>
      <c r="K52" s="5" t="s">
        <v>652</v>
      </c>
      <c r="L52" t="str">
        <f t="shared" si="1"/>
        <v>davidhutcherson783@yahoo.com</v>
      </c>
    </row>
    <row r="53" spans="1:12">
      <c r="A53" t="str" cm="1">
        <f t="array" ref="A53">_xlfn.LET(_xlpm.e,L53,
IF(_xlpm.e="","",
"DOC-"&amp;TEXT(ROW()-ROW(tblMaster[#Headers]),"00000")
))</f>
        <v>DOC-00052</v>
      </c>
      <c r="B53" s="49">
        <v>45953</v>
      </c>
      <c r="C53" s="42" t="s">
        <v>258</v>
      </c>
      <c r="D53" s="41" t="s">
        <v>259</v>
      </c>
      <c r="E53" s="38" t="s">
        <v>260</v>
      </c>
      <c r="F53" s="18" t="s">
        <v>261</v>
      </c>
      <c r="G53" s="41" t="s">
        <v>74</v>
      </c>
      <c r="H53" s="18" t="s">
        <v>53</v>
      </c>
      <c r="I53" s="18" t="s">
        <v>112</v>
      </c>
      <c r="K53" s="5" t="s">
        <v>652</v>
      </c>
      <c r="L53" t="str">
        <f t="shared" si="1"/>
        <v>shicorasaydee@icloud.com</v>
      </c>
    </row>
    <row r="54" spans="1:12">
      <c r="A54" t="str" cm="1">
        <f t="array" ref="A54">_xlfn.LET(_xlpm.e,L54,
IF(_xlpm.e="","",
"DOC-"&amp;TEXT(ROW()-ROW(tblMaster[#Headers]),"00000")
))</f>
        <v>DOC-00053</v>
      </c>
      <c r="B54" s="49">
        <v>45953</v>
      </c>
      <c r="C54" s="42" t="s">
        <v>262</v>
      </c>
      <c r="D54" s="41" t="s">
        <v>263</v>
      </c>
      <c r="E54" s="38" t="s">
        <v>264</v>
      </c>
      <c r="F54" s="18" t="s">
        <v>265</v>
      </c>
      <c r="G54" s="41" t="s">
        <v>266</v>
      </c>
      <c r="H54" s="18" t="s">
        <v>267</v>
      </c>
      <c r="I54" s="18" t="s">
        <v>101</v>
      </c>
      <c r="K54" s="5" t="s">
        <v>652</v>
      </c>
      <c r="L54" t="str">
        <f t="shared" si="1"/>
        <v>chenderson3326@outlook.com</v>
      </c>
    </row>
    <row r="55" spans="1:12">
      <c r="A55" t="str" cm="1">
        <f t="array" ref="A55">_xlfn.LET(_xlpm.e,L55,
IF(_xlpm.e="","",
"DOC-"&amp;TEXT(ROW()-ROW(tblMaster[#Headers]),"00000")
))</f>
        <v>DOC-00054</v>
      </c>
      <c r="B55" s="49">
        <v>45953</v>
      </c>
      <c r="C55" s="42" t="s">
        <v>268</v>
      </c>
      <c r="D55" s="41" t="s">
        <v>269</v>
      </c>
      <c r="E55" s="38" t="s">
        <v>270</v>
      </c>
      <c r="F55" s="18" t="s">
        <v>271</v>
      </c>
      <c r="G55" s="41" t="s">
        <v>74</v>
      </c>
      <c r="H55" s="18" t="s">
        <v>53</v>
      </c>
      <c r="I55" s="18" t="s">
        <v>101</v>
      </c>
      <c r="J55" s="99" t="s">
        <v>23</v>
      </c>
      <c r="K55" s="5" t="s">
        <v>652</v>
      </c>
      <c r="L55" t="str">
        <f t="shared" si="1"/>
        <v>xcortesjj@gmail.com</v>
      </c>
    </row>
    <row r="56" spans="1:12">
      <c r="A56" t="str" cm="1">
        <f t="array" ref="A56">_xlfn.LET(_xlpm.e,L56,
IF(_xlpm.e="","",
"DOC-"&amp;TEXT(ROW()-ROW(tblMaster[#Headers]),"00000")
))</f>
        <v>DOC-00055</v>
      </c>
      <c r="B56" s="49">
        <v>45953</v>
      </c>
      <c r="C56" s="42" t="s">
        <v>272</v>
      </c>
      <c r="D56" s="41" t="s">
        <v>273</v>
      </c>
      <c r="E56" s="38" t="s">
        <v>274</v>
      </c>
      <c r="F56" s="18" t="s">
        <v>275</v>
      </c>
      <c r="G56" s="41" t="s">
        <v>276</v>
      </c>
      <c r="H56" s="18" t="s">
        <v>53</v>
      </c>
      <c r="I56" s="18" t="s">
        <v>101</v>
      </c>
      <c r="J56" s="99" t="s">
        <v>23</v>
      </c>
      <c r="K56" s="5" t="s">
        <v>652</v>
      </c>
      <c r="L56" t="str">
        <f t="shared" si="1"/>
        <v>sweetheart554@aol.com</v>
      </c>
    </row>
    <row r="57" spans="1:12">
      <c r="A57" t="str" cm="1">
        <f t="array" ref="A57">_xlfn.LET(_xlpm.e,L57,
IF(_xlpm.e="","",
"DOC-"&amp;TEXT(ROW()-ROW(tblMaster[#Headers]),"00000")
))</f>
        <v>DOC-00056</v>
      </c>
      <c r="B57" s="49">
        <v>45953</v>
      </c>
      <c r="C57" s="42" t="s">
        <v>277</v>
      </c>
      <c r="D57" s="41" t="s">
        <v>278</v>
      </c>
      <c r="E57" s="38" t="s">
        <v>279</v>
      </c>
      <c r="F57" s="18" t="s">
        <v>280</v>
      </c>
      <c r="G57" s="41" t="s">
        <v>281</v>
      </c>
      <c r="H57" s="18" t="s">
        <v>53</v>
      </c>
      <c r="I57" s="18" t="s">
        <v>54</v>
      </c>
      <c r="K57" s="5" t="s">
        <v>652</v>
      </c>
      <c r="L57" t="str">
        <f t="shared" si="1"/>
        <v>reidjodiann@icloud.com</v>
      </c>
    </row>
    <row r="58" spans="1:12">
      <c r="A58" t="str" cm="1">
        <f t="array" ref="A58">_xlfn.LET(_xlpm.e,L58,
IF(_xlpm.e="","",
"DOC-"&amp;TEXT(ROW()-ROW(tblMaster[#Headers]),"00000")
))</f>
        <v>DOC-00057</v>
      </c>
      <c r="B58" s="49">
        <v>45953</v>
      </c>
      <c r="C58" s="42" t="s">
        <v>282</v>
      </c>
      <c r="D58" s="41" t="s">
        <v>283</v>
      </c>
      <c r="E58" s="38" t="s">
        <v>284</v>
      </c>
      <c r="F58" s="18" t="s">
        <v>285</v>
      </c>
      <c r="G58" s="41" t="s">
        <v>276</v>
      </c>
      <c r="H58" s="18" t="s">
        <v>53</v>
      </c>
      <c r="I58" s="18" t="s">
        <v>112</v>
      </c>
      <c r="J58" s="99" t="s">
        <v>66</v>
      </c>
      <c r="K58" s="5" t="s">
        <v>652</v>
      </c>
      <c r="L58" t="str">
        <f t="shared" si="1"/>
        <v>destinykl18@gmail.com</v>
      </c>
    </row>
    <row r="59" spans="1:12">
      <c r="A59" t="str" cm="1">
        <f t="array" ref="A59">_xlfn.LET(_xlpm.e,L59,
IF(_xlpm.e="","",
"DOC-"&amp;TEXT(ROW()-ROW(tblMaster[#Headers]),"00000")
))</f>
        <v>DOC-00058</v>
      </c>
      <c r="B59" s="49">
        <v>45953</v>
      </c>
      <c r="C59" s="42" t="s">
        <v>286</v>
      </c>
      <c r="D59" s="41" t="s">
        <v>287</v>
      </c>
      <c r="E59" s="38" t="s">
        <v>288</v>
      </c>
      <c r="F59" s="18" t="s">
        <v>289</v>
      </c>
      <c r="G59" s="41" t="s">
        <v>290</v>
      </c>
      <c r="H59" s="18" t="s">
        <v>53</v>
      </c>
      <c r="I59" s="18" t="s">
        <v>112</v>
      </c>
      <c r="K59" s="5" t="s">
        <v>652</v>
      </c>
      <c r="L59" t="str">
        <f t="shared" si="1"/>
        <v>agz4789@yahoo.com</v>
      </c>
    </row>
    <row r="60" spans="1:12">
      <c r="A60" t="str" cm="1">
        <f t="array" ref="A60">_xlfn.LET(_xlpm.e,L60,
IF(_xlpm.e="","",
"DOC-"&amp;TEXT(ROW()-ROW(tblMaster[#Headers]),"00000")
))</f>
        <v>DOC-00059</v>
      </c>
      <c r="B60" s="49">
        <v>45953</v>
      </c>
      <c r="C60" s="42" t="s">
        <v>291</v>
      </c>
      <c r="D60" s="41" t="s">
        <v>292</v>
      </c>
      <c r="E60" s="38" t="s">
        <v>293</v>
      </c>
      <c r="F60" s="18" t="s">
        <v>294</v>
      </c>
      <c r="G60" s="41" t="s">
        <v>295</v>
      </c>
      <c r="H60" s="18" t="s">
        <v>53</v>
      </c>
      <c r="I60" s="18" t="s">
        <v>54</v>
      </c>
      <c r="J60" s="99" t="s">
        <v>66</v>
      </c>
      <c r="K60" s="5" t="s">
        <v>652</v>
      </c>
      <c r="L60" t="str">
        <f t="shared" si="1"/>
        <v>chadplace@icloud.com</v>
      </c>
    </row>
    <row r="61" spans="1:12">
      <c r="A61" t="str" cm="1">
        <f t="array" ref="A61">_xlfn.LET(_xlpm.e,L61,
IF(_xlpm.e="","",
"DOC-"&amp;TEXT(ROW()-ROW(tblMaster[#Headers]),"00000")
))</f>
        <v>DOC-00060</v>
      </c>
      <c r="B61" s="49">
        <v>45953</v>
      </c>
      <c r="C61" s="42" t="s">
        <v>296</v>
      </c>
      <c r="D61" s="41" t="s">
        <v>297</v>
      </c>
      <c r="E61" s="38" t="s">
        <v>298</v>
      </c>
      <c r="F61" s="18" t="s">
        <v>299</v>
      </c>
      <c r="G61" s="41" t="s">
        <v>300</v>
      </c>
      <c r="H61" s="18" t="s">
        <v>53</v>
      </c>
      <c r="I61" s="18" t="s">
        <v>54</v>
      </c>
      <c r="K61" s="5" t="s">
        <v>652</v>
      </c>
      <c r="L61" t="str">
        <f t="shared" si="1"/>
        <v>demetriussylvert29@gmail.com</v>
      </c>
    </row>
    <row r="62" spans="1:12">
      <c r="A62" t="str" cm="1">
        <f t="array" ref="A62">_xlfn.LET(_xlpm.e,L62,
IF(_xlpm.e="","",
"DOC-"&amp;TEXT(ROW()-ROW(tblMaster[#Headers]),"00000")
))</f>
        <v>DOC-00061</v>
      </c>
      <c r="B62" s="49">
        <v>45953</v>
      </c>
      <c r="C62" s="42" t="s">
        <v>301</v>
      </c>
      <c r="D62" s="41" t="s">
        <v>302</v>
      </c>
      <c r="E62" s="38" t="s">
        <v>303</v>
      </c>
      <c r="F62" s="18" t="s">
        <v>304</v>
      </c>
      <c r="G62" s="41" t="s">
        <v>74</v>
      </c>
      <c r="H62" s="18" t="s">
        <v>53</v>
      </c>
      <c r="I62" s="18" t="s">
        <v>54</v>
      </c>
      <c r="J62" s="99" t="s">
        <v>23</v>
      </c>
      <c r="K62" s="5" t="s">
        <v>652</v>
      </c>
      <c r="L62" t="str">
        <f t="shared" si="1"/>
        <v>rpomaa398@gmail.com</v>
      </c>
    </row>
    <row r="63" spans="1:12">
      <c r="A63" t="str" cm="1">
        <f t="array" ref="A63">_xlfn.LET(_xlpm.e,L63,
IF(_xlpm.e="","",
"DOC-"&amp;TEXT(ROW()-ROW(tblMaster[#Headers]),"00000")
))</f>
        <v>DOC-00062</v>
      </c>
      <c r="B63" s="49">
        <v>45953</v>
      </c>
      <c r="C63" s="42" t="s">
        <v>305</v>
      </c>
      <c r="D63" s="41" t="s">
        <v>306</v>
      </c>
      <c r="E63" s="38" t="s">
        <v>307</v>
      </c>
      <c r="F63" s="18" t="s">
        <v>308</v>
      </c>
      <c r="G63" s="41" t="s">
        <v>257</v>
      </c>
      <c r="H63" s="18" t="s">
        <v>53</v>
      </c>
      <c r="I63" s="18" t="s">
        <v>54</v>
      </c>
      <c r="K63" s="5" t="s">
        <v>652</v>
      </c>
      <c r="L63" t="str">
        <f t="shared" si="1"/>
        <v>augustave19@gmail.com</v>
      </c>
    </row>
    <row r="64" spans="1:12">
      <c r="A64" t="str" cm="1">
        <f t="array" ref="A64">_xlfn.LET(_xlpm.e,L64,
IF(_xlpm.e="","",
"DOC-"&amp;TEXT(ROW()-ROW(tblMaster[#Headers]),"00000")
))</f>
        <v>DOC-00063</v>
      </c>
      <c r="B64" s="49">
        <v>45953</v>
      </c>
      <c r="C64" s="42" t="s">
        <v>309</v>
      </c>
      <c r="D64" s="41" t="s">
        <v>310</v>
      </c>
      <c r="E64" s="38" t="s">
        <v>311</v>
      </c>
      <c r="F64" s="18" t="s">
        <v>312</v>
      </c>
      <c r="G64" s="41" t="s">
        <v>52</v>
      </c>
      <c r="H64" s="18" t="s">
        <v>53</v>
      </c>
      <c r="I64" s="18" t="s">
        <v>54</v>
      </c>
      <c r="K64" s="5" t="s">
        <v>652</v>
      </c>
      <c r="L64" t="str">
        <f t="shared" si="1"/>
        <v>peterlylynch509@gmail.com</v>
      </c>
    </row>
    <row r="65" spans="1:12">
      <c r="A65" t="str" cm="1">
        <f t="array" ref="A65">_xlfn.LET(_xlpm.e,L65,
IF(_xlpm.e="","",
"DOC-"&amp;TEXT(ROW()-ROW(tblMaster[#Headers]),"00000")
))</f>
        <v>DOC-00064</v>
      </c>
      <c r="B65" s="49">
        <v>45953</v>
      </c>
      <c r="C65" s="42" t="s">
        <v>313</v>
      </c>
      <c r="D65" s="41" t="s">
        <v>314</v>
      </c>
      <c r="E65" s="38" t="s">
        <v>315</v>
      </c>
      <c r="F65" s="18" t="s">
        <v>316</v>
      </c>
      <c r="G65" s="41" t="s">
        <v>317</v>
      </c>
      <c r="H65" s="18" t="s">
        <v>53</v>
      </c>
      <c r="I65" s="18" t="s">
        <v>54</v>
      </c>
      <c r="K65" s="5" t="s">
        <v>652</v>
      </c>
      <c r="L65" t="str">
        <f t="shared" si="1"/>
        <v>shawngrover11629@gmail.com</v>
      </c>
    </row>
    <row r="66" spans="1:12">
      <c r="A66" t="str" cm="1">
        <f t="array" ref="A66">_xlfn.LET(_xlpm.e,L66,
IF(_xlpm.e="","",
"DOC-"&amp;TEXT(ROW()-ROW(tblMaster[#Headers]),"00000")
))</f>
        <v>DOC-00065</v>
      </c>
      <c r="B66" s="49">
        <v>45953</v>
      </c>
      <c r="C66" s="42" t="s">
        <v>318</v>
      </c>
      <c r="D66" s="41" t="s">
        <v>319</v>
      </c>
      <c r="E66" s="38" t="s">
        <v>320</v>
      </c>
      <c r="F66" s="18" t="s">
        <v>321</v>
      </c>
      <c r="G66" s="41" t="s">
        <v>322</v>
      </c>
      <c r="H66" s="18" t="s">
        <v>267</v>
      </c>
      <c r="I66" s="18" t="s">
        <v>101</v>
      </c>
      <c r="K66" s="5" t="s">
        <v>652</v>
      </c>
      <c r="L66" t="str">
        <f t="shared" si="1"/>
        <v>annsefah120@gmail.com</v>
      </c>
    </row>
    <row r="67" spans="1:12">
      <c r="A67" t="str" cm="1">
        <f t="array" ref="A67">_xlfn.LET(_xlpm.e,L67,
IF(_xlpm.e="","",
"DOC-"&amp;TEXT(ROW()-ROW(tblMaster[#Headers]),"00000")
))</f>
        <v>DOC-00066</v>
      </c>
      <c r="B67" s="49">
        <v>45953</v>
      </c>
      <c r="C67" s="42" t="s">
        <v>323</v>
      </c>
      <c r="D67" s="41" t="s">
        <v>324</v>
      </c>
      <c r="E67" s="38" t="s">
        <v>325</v>
      </c>
      <c r="F67" s="18" t="s">
        <v>326</v>
      </c>
      <c r="G67" s="41" t="s">
        <v>327</v>
      </c>
      <c r="H67" s="18" t="s">
        <v>328</v>
      </c>
      <c r="I67" s="18" t="s">
        <v>112</v>
      </c>
      <c r="J67" s="99" t="s">
        <v>66</v>
      </c>
      <c r="K67" s="5" t="s">
        <v>652</v>
      </c>
      <c r="L67" t="str">
        <f t="shared" si="1"/>
        <v>cmoniz884@gmail.com</v>
      </c>
    </row>
    <row r="68" spans="1:12">
      <c r="A68" t="str" cm="1">
        <f t="array" ref="A68">_xlfn.LET(_xlpm.e,L68,
IF(_xlpm.e="","",
"DOC-"&amp;TEXT(ROW()-ROW(tblMaster[#Headers]),"00000")
))</f>
        <v>DOC-00067</v>
      </c>
      <c r="B68" s="49">
        <v>45953</v>
      </c>
      <c r="C68" s="42" t="s">
        <v>329</v>
      </c>
      <c r="D68" s="41" t="s">
        <v>330</v>
      </c>
      <c r="E68" s="38" t="s">
        <v>331</v>
      </c>
      <c r="F68" s="18" t="s">
        <v>332</v>
      </c>
      <c r="G68" s="41" t="s">
        <v>333</v>
      </c>
      <c r="H68" s="18" t="s">
        <v>334</v>
      </c>
      <c r="I68" s="18" t="s">
        <v>54</v>
      </c>
      <c r="K68" s="5" t="s">
        <v>652</v>
      </c>
      <c r="L68" t="str">
        <f t="shared" si="1"/>
        <v>manbefad@gmail.com</v>
      </c>
    </row>
    <row r="69" spans="1:12">
      <c r="A69" t="str" cm="1">
        <f t="array" ref="A69">_xlfn.LET(_xlpm.e,L69,
IF(_xlpm.e="","",
"DOC-"&amp;TEXT(ROW()-ROW(tblMaster[#Headers]),"00000")
))</f>
        <v>DOC-00068</v>
      </c>
      <c r="B69" s="49">
        <v>45953</v>
      </c>
      <c r="C69" s="42" t="s">
        <v>203</v>
      </c>
      <c r="D69" s="41" t="s">
        <v>335</v>
      </c>
      <c r="E69" s="38" t="s">
        <v>336</v>
      </c>
      <c r="F69" s="18" t="s">
        <v>337</v>
      </c>
      <c r="G69" s="41" t="s">
        <v>338</v>
      </c>
      <c r="H69" s="18" t="s">
        <v>53</v>
      </c>
      <c r="I69" s="18" t="s">
        <v>339</v>
      </c>
      <c r="J69" s="99" t="s">
        <v>23</v>
      </c>
      <c r="K69" s="5" t="s">
        <v>652</v>
      </c>
      <c r="L69" t="str">
        <f t="shared" si="1"/>
        <v>jvarilus@gmail.com</v>
      </c>
    </row>
    <row r="70" spans="1:12">
      <c r="A70" t="str" cm="1">
        <f t="array" ref="A70">_xlfn.LET(_xlpm.e,L70,
IF(_xlpm.e="","",
"DOC-"&amp;TEXT(ROW()-ROW(tblMaster[#Headers]),"00000")
))</f>
        <v>DOC-00069</v>
      </c>
      <c r="B70" s="49">
        <v>45953</v>
      </c>
      <c r="C70" s="42" t="s">
        <v>340</v>
      </c>
      <c r="D70" s="41" t="s">
        <v>341</v>
      </c>
      <c r="E70" s="38" t="s">
        <v>342</v>
      </c>
      <c r="F70" s="18" t="s">
        <v>343</v>
      </c>
      <c r="G70" s="41" t="s">
        <v>344</v>
      </c>
      <c r="H70" s="18" t="s">
        <v>53</v>
      </c>
      <c r="I70" s="18" t="s">
        <v>339</v>
      </c>
      <c r="K70" s="5" t="s">
        <v>652</v>
      </c>
      <c r="L70" t="str">
        <f t="shared" ref="L70:L133" si="2">_xlfn.LET(_xlpm.x,E70,
_xlpm.y,TRIM(CLEAN(SUBSTITUTE(_xlpm.x,CHAR(160)," "))),
LOWER(_xlpm.y))</f>
        <v>devinfrancis16@gmail.com</v>
      </c>
    </row>
    <row r="71" spans="1:12">
      <c r="A71" t="str" cm="1">
        <f t="array" ref="A71">_xlfn.LET(_xlpm.e,L71,
IF(_xlpm.e="","",
"DOC-"&amp;TEXT(ROW()-ROW(tblMaster[#Headers]),"00000")
))</f>
        <v>DOC-00070</v>
      </c>
      <c r="B71" s="49">
        <v>45953</v>
      </c>
      <c r="C71" s="42" t="s">
        <v>345</v>
      </c>
      <c r="D71" s="41" t="s">
        <v>346</v>
      </c>
      <c r="E71" s="38" t="s">
        <v>347</v>
      </c>
      <c r="F71" s="18" t="s">
        <v>348</v>
      </c>
      <c r="G71" s="41" t="s">
        <v>349</v>
      </c>
      <c r="H71" s="18" t="s">
        <v>53</v>
      </c>
      <c r="I71" s="18" t="s">
        <v>54</v>
      </c>
      <c r="J71" s="99" t="s">
        <v>194</v>
      </c>
      <c r="K71" s="5" t="s">
        <v>652</v>
      </c>
      <c r="L71" t="str">
        <f t="shared" si="2"/>
        <v>leonmarsh34@gmail.com</v>
      </c>
    </row>
    <row r="72" spans="1:12">
      <c r="A72" t="str" cm="1">
        <f t="array" ref="A72">_xlfn.LET(_xlpm.e,L72,
IF(_xlpm.e="","",
"DOC-"&amp;TEXT(ROW()-ROW(tblMaster[#Headers]),"00000")
))</f>
        <v>DOC-00071</v>
      </c>
      <c r="B72" s="49">
        <v>45953</v>
      </c>
      <c r="C72" s="42" t="s">
        <v>350</v>
      </c>
      <c r="D72" s="41" t="s">
        <v>351</v>
      </c>
      <c r="E72" s="38" t="s">
        <v>352</v>
      </c>
      <c r="F72" s="18" t="s">
        <v>353</v>
      </c>
      <c r="G72" s="41" t="s">
        <v>354</v>
      </c>
      <c r="H72" s="18" t="s">
        <v>355</v>
      </c>
      <c r="I72" s="18" t="s">
        <v>54</v>
      </c>
      <c r="K72" s="5" t="s">
        <v>652</v>
      </c>
      <c r="L72" t="str">
        <f t="shared" si="2"/>
        <v>rcpickle88@gmail.com</v>
      </c>
    </row>
    <row r="73" spans="1:12">
      <c r="A73" t="str" cm="1">
        <f t="array" ref="A73">_xlfn.LET(_xlpm.e,L73,
IF(_xlpm.e="","",
"DOC-"&amp;TEXT(ROW()-ROW(tblMaster[#Headers]),"00000")
))</f>
        <v>DOC-00072</v>
      </c>
      <c r="B73" s="49">
        <v>45953</v>
      </c>
      <c r="C73" s="42" t="s">
        <v>356</v>
      </c>
      <c r="D73" s="41" t="s">
        <v>357</v>
      </c>
      <c r="E73" s="38" t="s">
        <v>358</v>
      </c>
      <c r="F73" s="18" t="s">
        <v>359</v>
      </c>
      <c r="G73" s="41" t="s">
        <v>360</v>
      </c>
      <c r="H73" s="18" t="s">
        <v>361</v>
      </c>
      <c r="I73" s="18" t="s">
        <v>54</v>
      </c>
      <c r="K73" s="5" t="s">
        <v>652</v>
      </c>
      <c r="L73" t="str">
        <f t="shared" si="2"/>
        <v>threadkhalia@gmail.com</v>
      </c>
    </row>
    <row r="74" spans="1:12">
      <c r="A74" t="str" cm="1">
        <f t="array" ref="A74">_xlfn.LET(_xlpm.e,L74,
IF(_xlpm.e="","",
"DOC-"&amp;TEXT(ROW()-ROW(tblMaster[#Headers]),"00000")
))</f>
        <v>DOC-00073</v>
      </c>
      <c r="B74" s="49">
        <v>45953</v>
      </c>
      <c r="C74" s="42" t="s">
        <v>362</v>
      </c>
      <c r="D74" s="41" t="s">
        <v>363</v>
      </c>
      <c r="E74" s="38" t="s">
        <v>364</v>
      </c>
      <c r="F74" s="18" t="s">
        <v>365</v>
      </c>
      <c r="G74" s="41" t="s">
        <v>79</v>
      </c>
      <c r="H74" s="18" t="s">
        <v>53</v>
      </c>
      <c r="I74" s="18" t="s">
        <v>101</v>
      </c>
      <c r="K74" s="5" t="s">
        <v>652</v>
      </c>
      <c r="L74" t="str">
        <f t="shared" si="2"/>
        <v>georgiagh@yahoo.com</v>
      </c>
    </row>
    <row r="75" spans="1:12">
      <c r="A75" t="str" cm="1">
        <f t="array" ref="A75">_xlfn.LET(_xlpm.e,L75,
IF(_xlpm.e="","",
"DOC-"&amp;TEXT(ROW()-ROW(tblMaster[#Headers]),"00000")
))</f>
        <v>DOC-00074</v>
      </c>
      <c r="B75" s="49">
        <v>45953</v>
      </c>
      <c r="C75" s="42" t="s">
        <v>119</v>
      </c>
      <c r="D75" s="41" t="s">
        <v>366</v>
      </c>
      <c r="E75" s="38" t="s">
        <v>367</v>
      </c>
      <c r="F75" s="18" t="s">
        <v>368</v>
      </c>
      <c r="G75" s="41" t="s">
        <v>369</v>
      </c>
      <c r="H75" s="18" t="s">
        <v>370</v>
      </c>
      <c r="I75" s="18" t="s">
        <v>54</v>
      </c>
      <c r="J75" s="99" t="s">
        <v>23</v>
      </c>
      <c r="K75" s="5" t="s">
        <v>652</v>
      </c>
      <c r="L75" t="str">
        <f t="shared" si="2"/>
        <v>cameronmay141141@gmail.com</v>
      </c>
    </row>
    <row r="76" spans="1:12">
      <c r="A76" t="str" cm="1">
        <f t="array" ref="A76">_xlfn.LET(_xlpm.e,L76,
IF(_xlpm.e="","",
"DOC-"&amp;TEXT(ROW()-ROW(tblMaster[#Headers]),"00000")
))</f>
        <v>DOC-00075</v>
      </c>
      <c r="B76" s="49">
        <v>45953</v>
      </c>
      <c r="C76" s="42" t="s">
        <v>371</v>
      </c>
      <c r="D76" s="41" t="s">
        <v>372</v>
      </c>
      <c r="E76" s="38" t="s">
        <v>373</v>
      </c>
      <c r="F76" s="18" t="s">
        <v>374</v>
      </c>
      <c r="G76" s="41" t="s">
        <v>375</v>
      </c>
      <c r="H76" s="18" t="s">
        <v>237</v>
      </c>
      <c r="I76" s="18" t="s">
        <v>54</v>
      </c>
      <c r="K76" s="5" t="s">
        <v>652</v>
      </c>
      <c r="L76" t="str">
        <f t="shared" si="2"/>
        <v>dewaleajib1071@gmail.com</v>
      </c>
    </row>
    <row r="77" spans="1:12">
      <c r="A77" t="str" cm="1">
        <f t="array" ref="A77">_xlfn.LET(_xlpm.e,L77,
IF(_xlpm.e="","",
"DOC-"&amp;TEXT(ROW()-ROW(tblMaster[#Headers]),"00000")
))</f>
        <v>DOC-00076</v>
      </c>
      <c r="B77" s="49">
        <v>45953</v>
      </c>
      <c r="C77" s="42" t="s">
        <v>376</v>
      </c>
      <c r="D77" s="41" t="s">
        <v>377</v>
      </c>
      <c r="E77" s="38" t="s">
        <v>378</v>
      </c>
      <c r="F77" s="18" t="s">
        <v>379</v>
      </c>
      <c r="G77" s="41" t="s">
        <v>79</v>
      </c>
      <c r="H77" s="18" t="s">
        <v>17</v>
      </c>
      <c r="I77" s="18" t="s">
        <v>54</v>
      </c>
      <c r="J77" s="99" t="s">
        <v>66</v>
      </c>
      <c r="K77" s="5" t="s">
        <v>652</v>
      </c>
      <c r="L77" t="str">
        <f t="shared" si="2"/>
        <v>saintjacquesharold@gmail.com</v>
      </c>
    </row>
    <row r="78" spans="1:12">
      <c r="A78" t="str" cm="1">
        <f t="array" ref="A78">_xlfn.LET(_xlpm.e,L78,
IF(_xlpm.e="","",
"DOC-"&amp;TEXT(ROW()-ROW(tblMaster[#Headers]),"00000")
))</f>
        <v>DOC-00077</v>
      </c>
      <c r="B78" s="49">
        <v>45953</v>
      </c>
      <c r="C78" s="42" t="s">
        <v>243</v>
      </c>
      <c r="D78" s="41" t="s">
        <v>380</v>
      </c>
      <c r="E78" s="38" t="s">
        <v>381</v>
      </c>
      <c r="F78" s="18" t="s">
        <v>382</v>
      </c>
      <c r="G78" s="41" t="s">
        <v>383</v>
      </c>
      <c r="H78" s="18" t="s">
        <v>17</v>
      </c>
      <c r="I78" s="18" t="s">
        <v>54</v>
      </c>
      <c r="J78" s="99" t="s">
        <v>66</v>
      </c>
      <c r="K78" s="5" t="s">
        <v>652</v>
      </c>
      <c r="L78" t="str">
        <f t="shared" si="2"/>
        <v>bill.pomeroy@gmail.com</v>
      </c>
    </row>
    <row r="79" spans="1:12">
      <c r="A79" t="str" cm="1">
        <f t="array" ref="A79">_xlfn.LET(_xlpm.e,L79,
IF(_xlpm.e="","",
"DOC-"&amp;TEXT(ROW()-ROW(tblMaster[#Headers]),"00000")
))</f>
        <v>DOC-00078</v>
      </c>
      <c r="B79" s="49">
        <v>45953</v>
      </c>
      <c r="C79" s="42" t="s">
        <v>384</v>
      </c>
      <c r="D79" s="41" t="s">
        <v>385</v>
      </c>
      <c r="E79" s="38" t="s">
        <v>386</v>
      </c>
      <c r="F79" s="18" t="s">
        <v>387</v>
      </c>
      <c r="G79" s="41" t="s">
        <v>388</v>
      </c>
      <c r="H79" s="18" t="s">
        <v>17</v>
      </c>
      <c r="I79" s="18" t="s">
        <v>112</v>
      </c>
      <c r="J79" s="99" t="s">
        <v>66</v>
      </c>
      <c r="K79" s="5" t="s">
        <v>652</v>
      </c>
      <c r="L79" t="str">
        <f t="shared" si="2"/>
        <v>molegeertilien@gmail.com</v>
      </c>
    </row>
    <row r="80" spans="1:12">
      <c r="A80" t="str" cm="1">
        <f t="array" ref="A80">_xlfn.LET(_xlpm.e,L80,
IF(_xlpm.e="","",
"DOC-"&amp;TEXT(ROW()-ROW(tblMaster[#Headers]),"00000")
))</f>
        <v>DOC-00079</v>
      </c>
      <c r="B80" s="49">
        <v>45953</v>
      </c>
      <c r="C80" s="42" t="s">
        <v>389</v>
      </c>
      <c r="D80" s="41" t="s">
        <v>390</v>
      </c>
      <c r="E80" s="38" t="s">
        <v>391</v>
      </c>
      <c r="F80" s="18" t="s">
        <v>392</v>
      </c>
      <c r="G80" s="41" t="s">
        <v>393</v>
      </c>
      <c r="H80" s="18" t="s">
        <v>17</v>
      </c>
      <c r="I80" s="18" t="s">
        <v>101</v>
      </c>
      <c r="K80" s="5" t="s">
        <v>652</v>
      </c>
      <c r="L80" t="str">
        <f t="shared" si="2"/>
        <v>kevinmull125@gmail.com</v>
      </c>
    </row>
    <row r="81" spans="1:12">
      <c r="A81" t="str" cm="1">
        <f t="array" ref="A81">_xlfn.LET(_xlpm.e,L81,
IF(_xlpm.e="","",
"DOC-"&amp;TEXT(ROW()-ROW(tblMaster[#Headers]),"00000")
))</f>
        <v>DOC-00080</v>
      </c>
      <c r="B81" s="49">
        <v>45953</v>
      </c>
      <c r="C81" s="42" t="s">
        <v>394</v>
      </c>
      <c r="D81" s="41" t="s">
        <v>395</v>
      </c>
      <c r="E81" s="38" t="s">
        <v>396</v>
      </c>
      <c r="F81" s="18" t="s">
        <v>397</v>
      </c>
      <c r="G81" s="41" t="s">
        <v>398</v>
      </c>
      <c r="H81" s="18" t="s">
        <v>17</v>
      </c>
      <c r="I81" s="18"/>
      <c r="J81" s="99" t="s">
        <v>23</v>
      </c>
      <c r="K81" s="5" t="s">
        <v>652</v>
      </c>
      <c r="L81" t="str">
        <f t="shared" si="2"/>
        <v>treannacolbert2950@gmail.com</v>
      </c>
    </row>
    <row r="82" spans="1:12">
      <c r="A82" t="str" cm="1">
        <f t="array" ref="A82">_xlfn.LET(_xlpm.e,L82,
IF(_xlpm.e="","",
"DOC-"&amp;TEXT(ROW()-ROW(tblMaster[#Headers]),"00000")
))</f>
        <v>DOC-00081</v>
      </c>
      <c r="B82" s="49">
        <v>45953</v>
      </c>
      <c r="C82" s="42" t="s">
        <v>277</v>
      </c>
      <c r="D82" s="41" t="s">
        <v>399</v>
      </c>
      <c r="E82" s="39" t="s">
        <v>400</v>
      </c>
      <c r="F82" s="18" t="s">
        <v>401</v>
      </c>
      <c r="G82" s="41" t="s">
        <v>257</v>
      </c>
      <c r="H82" s="18" t="s">
        <v>17</v>
      </c>
      <c r="I82" s="18" t="s">
        <v>54</v>
      </c>
      <c r="K82" s="5" t="s">
        <v>226</v>
      </c>
      <c r="L82" t="str">
        <f t="shared" si="2"/>
        <v>jodiannburnett@gmail.com</v>
      </c>
    </row>
    <row r="83" spans="1:12">
      <c r="A83" t="str" cm="1">
        <f t="array" ref="A83">_xlfn.LET(_xlpm.e,L83,
IF(_xlpm.e="","",
"DOC-"&amp;TEXT(ROW()-ROW(tblMaster[#Headers]),"00000")
))</f>
        <v>DOC-00082</v>
      </c>
      <c r="B83" s="49">
        <v>45953</v>
      </c>
      <c r="C83" s="42" t="s">
        <v>402</v>
      </c>
      <c r="D83" s="41" t="s">
        <v>403</v>
      </c>
      <c r="E83" s="38" t="s">
        <v>404</v>
      </c>
      <c r="F83" s="18" t="s">
        <v>405</v>
      </c>
      <c r="G83" s="41" t="s">
        <v>52</v>
      </c>
      <c r="H83" s="18" t="s">
        <v>17</v>
      </c>
      <c r="I83" s="18" t="s">
        <v>54</v>
      </c>
      <c r="J83" s="99" t="s">
        <v>66</v>
      </c>
      <c r="K83" s="5" t="s">
        <v>652</v>
      </c>
      <c r="L83" t="str">
        <f t="shared" si="2"/>
        <v>desmondmcpherson88@gmail.com</v>
      </c>
    </row>
    <row r="84" spans="1:12">
      <c r="A84" t="str" cm="1">
        <f t="array" ref="A84">_xlfn.LET(_xlpm.e,L84,
IF(_xlpm.e="","",
"DOC-"&amp;TEXT(ROW()-ROW(tblMaster[#Headers]),"00000")
))</f>
        <v>DOC-00083</v>
      </c>
      <c r="B84" s="49">
        <v>45953</v>
      </c>
      <c r="C84" s="42" t="s">
        <v>406</v>
      </c>
      <c r="D84" s="41" t="s">
        <v>407</v>
      </c>
      <c r="E84" s="38" t="s">
        <v>408</v>
      </c>
      <c r="F84" s="18" t="s">
        <v>409</v>
      </c>
      <c r="G84" s="41" t="s">
        <v>410</v>
      </c>
      <c r="H84" s="18" t="s">
        <v>17</v>
      </c>
      <c r="I84" s="18" t="s">
        <v>112</v>
      </c>
      <c r="K84" s="5" t="s">
        <v>652</v>
      </c>
      <c r="L84" t="str">
        <f t="shared" si="2"/>
        <v>elisecialeid19@gmail.com</v>
      </c>
    </row>
    <row r="85" spans="1:12">
      <c r="A85" t="str" cm="1">
        <f t="array" ref="A85">_xlfn.LET(_xlpm.e,L85,
IF(_xlpm.e="","",
"DOC-"&amp;TEXT(ROW()-ROW(tblMaster[#Headers]),"00000")
))</f>
        <v>DOC-00084</v>
      </c>
      <c r="B85" s="49">
        <v>45953</v>
      </c>
      <c r="C85" s="42" t="s">
        <v>411</v>
      </c>
      <c r="D85" s="41" t="s">
        <v>412</v>
      </c>
      <c r="E85" s="38" t="s">
        <v>413</v>
      </c>
      <c r="F85" s="18" t="s">
        <v>414</v>
      </c>
      <c r="G85" s="41" t="s">
        <v>33</v>
      </c>
      <c r="H85" s="18" t="s">
        <v>17</v>
      </c>
      <c r="I85" s="18" t="s">
        <v>101</v>
      </c>
      <c r="K85" s="5" t="s">
        <v>652</v>
      </c>
      <c r="L85" t="str">
        <f t="shared" si="2"/>
        <v>amironelove2014@gmail.com</v>
      </c>
    </row>
    <row r="86" spans="1:12">
      <c r="A86" t="str" cm="1">
        <f t="array" ref="A86">_xlfn.LET(_xlpm.e,L86,
IF(_xlpm.e="","",
"DOC-"&amp;TEXT(ROW()-ROW(tblMaster[#Headers]),"00000")
))</f>
        <v>DOC-00085</v>
      </c>
      <c r="B86" s="49">
        <v>45953</v>
      </c>
      <c r="C86" s="42" t="s">
        <v>415</v>
      </c>
      <c r="D86" s="41" t="s">
        <v>416</v>
      </c>
      <c r="E86" s="38" t="s">
        <v>417</v>
      </c>
      <c r="F86" s="18" t="s">
        <v>418</v>
      </c>
      <c r="G86" s="41" t="s">
        <v>419</v>
      </c>
      <c r="H86" s="18" t="s">
        <v>17</v>
      </c>
      <c r="I86" s="18" t="s">
        <v>101</v>
      </c>
      <c r="K86" s="5" t="s">
        <v>226</v>
      </c>
      <c r="L86" t="str">
        <f t="shared" si="2"/>
        <v>erionaj@gmail.com</v>
      </c>
    </row>
    <row r="87" spans="1:12">
      <c r="A87" t="str" cm="1">
        <f t="array" ref="A87">_xlfn.LET(_xlpm.e,L87,
IF(_xlpm.e="","",
"DOC-"&amp;TEXT(ROW()-ROW(tblMaster[#Headers]),"00000")
))</f>
        <v>DOC-00086</v>
      </c>
      <c r="B87" s="49">
        <v>45953</v>
      </c>
      <c r="C87" s="42" t="s">
        <v>420</v>
      </c>
      <c r="D87" s="41" t="s">
        <v>421</v>
      </c>
      <c r="E87" s="38" t="s">
        <v>422</v>
      </c>
      <c r="F87" s="18" t="s">
        <v>423</v>
      </c>
      <c r="G87" s="41" t="s">
        <v>257</v>
      </c>
      <c r="H87" s="18" t="s">
        <v>17</v>
      </c>
      <c r="I87" s="18" t="s">
        <v>54</v>
      </c>
      <c r="J87" s="99" t="s">
        <v>23</v>
      </c>
      <c r="K87" s="5" t="s">
        <v>652</v>
      </c>
      <c r="L87" t="str">
        <f t="shared" si="2"/>
        <v>skylarmills1013@gmail.com</v>
      </c>
    </row>
    <row r="88" spans="1:12">
      <c r="A88" t="str" cm="1">
        <f t="array" ref="A88">_xlfn.LET(_xlpm.e,L88,
IF(_xlpm.e="","",
"DOC-"&amp;TEXT(ROW()-ROW(tblMaster[#Headers]),"00000")
))</f>
        <v>DOC-00087</v>
      </c>
      <c r="B88" s="49">
        <v>45953</v>
      </c>
      <c r="C88" s="42" t="s">
        <v>424</v>
      </c>
      <c r="D88" s="41" t="s">
        <v>425</v>
      </c>
      <c r="E88" s="38" t="s">
        <v>426</v>
      </c>
      <c r="F88" s="18" t="s">
        <v>427</v>
      </c>
      <c r="G88" s="41" t="s">
        <v>428</v>
      </c>
      <c r="H88" s="18" t="s">
        <v>17</v>
      </c>
      <c r="I88" s="18" t="s">
        <v>54</v>
      </c>
      <c r="K88" s="5" t="s">
        <v>226</v>
      </c>
      <c r="L88" t="str">
        <f t="shared" si="2"/>
        <v>robertalopes62@hotmail.com</v>
      </c>
    </row>
    <row r="89" spans="1:12">
      <c r="A89" t="str" cm="1">
        <f t="array" ref="A89">_xlfn.LET(_xlpm.e,L89,
IF(_xlpm.e="","",
"DOC-"&amp;TEXT(ROW()-ROW(tblMaster[#Headers]),"00000")
))</f>
        <v>DOC-00088</v>
      </c>
      <c r="B89" s="49">
        <v>45953</v>
      </c>
      <c r="C89" s="42" t="s">
        <v>429</v>
      </c>
      <c r="D89" s="41" t="s">
        <v>430</v>
      </c>
      <c r="E89" s="38" t="s">
        <v>431</v>
      </c>
      <c r="F89" s="18" t="s">
        <v>432</v>
      </c>
      <c r="G89" s="41" t="s">
        <v>433</v>
      </c>
      <c r="H89" s="18" t="s">
        <v>17</v>
      </c>
      <c r="I89" s="18" t="s">
        <v>112</v>
      </c>
      <c r="K89" s="5" t="s">
        <v>652</v>
      </c>
      <c r="L89" t="str">
        <f t="shared" si="2"/>
        <v>fege222@uky.edu</v>
      </c>
    </row>
    <row r="90" spans="1:12">
      <c r="A90" t="str" cm="1">
        <f t="array" ref="A90">_xlfn.LET(_xlpm.e,L90,
IF(_xlpm.e="","",
"DOC-"&amp;TEXT(ROW()-ROW(tblMaster[#Headers]),"00000")
))</f>
        <v>DOC-00089</v>
      </c>
      <c r="B90" s="49">
        <v>45953</v>
      </c>
      <c r="C90" s="42" t="s">
        <v>434</v>
      </c>
      <c r="D90" s="41" t="s">
        <v>435</v>
      </c>
      <c r="E90" s="38" t="s">
        <v>436</v>
      </c>
      <c r="F90" s="18" t="s">
        <v>437</v>
      </c>
      <c r="G90" s="41" t="s">
        <v>438</v>
      </c>
      <c r="H90" s="18" t="s">
        <v>17</v>
      </c>
      <c r="I90" s="18" t="s">
        <v>54</v>
      </c>
      <c r="J90" s="99" t="s">
        <v>66</v>
      </c>
      <c r="K90" s="5" t="s">
        <v>652</v>
      </c>
      <c r="L90" t="str">
        <f t="shared" si="2"/>
        <v>roodyroc1@gmail.com</v>
      </c>
    </row>
    <row r="91" spans="1:12">
      <c r="A91" t="str" cm="1">
        <f t="array" ref="A91">_xlfn.LET(_xlpm.e,L91,
IF(_xlpm.e="","",
"DOC-"&amp;TEXT(ROW()-ROW(tblMaster[#Headers]),"00000")
))</f>
        <v>DOC-00090</v>
      </c>
      <c r="B91" s="49">
        <v>45953</v>
      </c>
      <c r="C91" s="42" t="s">
        <v>439</v>
      </c>
      <c r="D91" s="41" t="s">
        <v>440</v>
      </c>
      <c r="E91" s="38" t="s">
        <v>441</v>
      </c>
      <c r="F91" s="18" t="s">
        <v>442</v>
      </c>
      <c r="G91" s="41" t="s">
        <v>443</v>
      </c>
      <c r="H91" s="18" t="s">
        <v>60</v>
      </c>
      <c r="I91" s="18" t="s">
        <v>112</v>
      </c>
      <c r="K91" s="5" t="s">
        <v>652</v>
      </c>
      <c r="L91" t="str">
        <f t="shared" si="2"/>
        <v>mrvtouch@gmail.com</v>
      </c>
    </row>
    <row r="92" spans="1:12">
      <c r="A92" t="str" cm="1">
        <f t="array" ref="A92">_xlfn.LET(_xlpm.e,L92,
IF(_xlpm.e="","",
"DOC-"&amp;TEXT(ROW()-ROW(tblMaster[#Headers]),"00000")
))</f>
        <v>DOC-00091</v>
      </c>
      <c r="B92" s="49">
        <v>45953</v>
      </c>
      <c r="C92" s="42" t="s">
        <v>444</v>
      </c>
      <c r="D92" s="41" t="s">
        <v>445</v>
      </c>
      <c r="E92" s="38" t="s">
        <v>446</v>
      </c>
      <c r="F92" s="18" t="s">
        <v>447</v>
      </c>
      <c r="G92" s="41" t="s">
        <v>448</v>
      </c>
      <c r="H92" s="18" t="s">
        <v>17</v>
      </c>
      <c r="I92" s="18" t="s">
        <v>54</v>
      </c>
      <c r="J92" s="99" t="s">
        <v>66</v>
      </c>
      <c r="K92" s="5" t="s">
        <v>652</v>
      </c>
      <c r="L92" t="str">
        <f t="shared" si="2"/>
        <v>hamad_wael2000@yahoo.com</v>
      </c>
    </row>
    <row r="93" spans="1:12">
      <c r="A93" t="str" cm="1">
        <f t="array" ref="A93">_xlfn.LET(_xlpm.e,L93,
IF(_xlpm.e="","",
"DOC-"&amp;TEXT(ROW()-ROW(tblMaster[#Headers]),"00000")
))</f>
        <v>DOC-00092</v>
      </c>
      <c r="B93" s="49">
        <v>45953</v>
      </c>
      <c r="C93" s="42" t="s">
        <v>449</v>
      </c>
      <c r="D93" s="41" t="s">
        <v>450</v>
      </c>
      <c r="E93" s="38" t="s">
        <v>451</v>
      </c>
      <c r="F93" s="18" t="s">
        <v>452</v>
      </c>
      <c r="G93" s="41" t="s">
        <v>52</v>
      </c>
      <c r="H93" s="18" t="s">
        <v>17</v>
      </c>
      <c r="I93" s="18" t="s">
        <v>54</v>
      </c>
      <c r="J93" s="99" t="s">
        <v>66</v>
      </c>
      <c r="K93" s="5" t="s">
        <v>652</v>
      </c>
      <c r="L93" t="str">
        <f t="shared" si="2"/>
        <v>medjynadesilus@gmail.com</v>
      </c>
    </row>
    <row r="94" spans="1:12">
      <c r="A94" t="str" cm="1">
        <f t="array" ref="A94">_xlfn.LET(_xlpm.e,L94,
IF(_xlpm.e="","",
"DOC-"&amp;TEXT(ROW()-ROW(tblMaster[#Headers]),"00000")
))</f>
        <v>DOC-00093</v>
      </c>
      <c r="B94" s="49">
        <v>45953</v>
      </c>
      <c r="C94" s="42" t="s">
        <v>453</v>
      </c>
      <c r="D94" s="41" t="s">
        <v>454</v>
      </c>
      <c r="E94" s="38" t="s">
        <v>455</v>
      </c>
      <c r="F94" s="18" t="s">
        <v>456</v>
      </c>
      <c r="G94" s="41"/>
      <c r="H94" s="18"/>
      <c r="I94" s="18" t="s">
        <v>54</v>
      </c>
      <c r="K94" s="5" t="s">
        <v>652</v>
      </c>
      <c r="L94" t="str">
        <f t="shared" si="2"/>
        <v>deiahlopes0519@gmail.com</v>
      </c>
    </row>
    <row r="95" spans="1:12">
      <c r="A95" t="str" cm="1">
        <f t="array" ref="A95">_xlfn.LET(_xlpm.e,L95,
IF(_xlpm.e="","",
"DOC-"&amp;TEXT(ROW()-ROW(tblMaster[#Headers]),"00000")
))</f>
        <v>DOC-00094</v>
      </c>
      <c r="B95" s="49">
        <v>45953</v>
      </c>
      <c r="C95" s="42" t="s">
        <v>457</v>
      </c>
      <c r="D95" s="41" t="s">
        <v>458</v>
      </c>
      <c r="E95" s="38" t="s">
        <v>459</v>
      </c>
      <c r="F95" s="18" t="s">
        <v>460</v>
      </c>
      <c r="G95" s="41" t="s">
        <v>212</v>
      </c>
      <c r="H95" s="18" t="s">
        <v>17</v>
      </c>
      <c r="I95" s="18" t="s">
        <v>112</v>
      </c>
      <c r="K95" s="5" t="s">
        <v>652</v>
      </c>
      <c r="L95" t="str">
        <f t="shared" si="2"/>
        <v>douglasab1@yahoo.com</v>
      </c>
    </row>
    <row r="96" spans="1:12">
      <c r="A96" t="str" cm="1">
        <f t="array" ref="A96">_xlfn.LET(_xlpm.e,L96,
IF(_xlpm.e="","",
"DOC-"&amp;TEXT(ROW()-ROW(tblMaster[#Headers]),"00000")
))</f>
        <v>DOC-00095</v>
      </c>
      <c r="B96" s="49">
        <v>45953</v>
      </c>
      <c r="C96" s="42" t="s">
        <v>461</v>
      </c>
      <c r="D96" s="41" t="s">
        <v>462</v>
      </c>
      <c r="E96" s="38" t="s">
        <v>463</v>
      </c>
      <c r="F96" s="18" t="s">
        <v>464</v>
      </c>
      <c r="G96" s="41" t="s">
        <v>128</v>
      </c>
      <c r="H96" s="18" t="s">
        <v>17</v>
      </c>
      <c r="I96" s="18" t="s">
        <v>54</v>
      </c>
      <c r="J96" s="99" t="s">
        <v>66</v>
      </c>
      <c r="K96" s="5" t="s">
        <v>652</v>
      </c>
      <c r="L96" t="str">
        <f t="shared" si="2"/>
        <v>clovis.anokye@gmail.com</v>
      </c>
    </row>
    <row r="97" spans="1:12">
      <c r="A97" t="str" cm="1">
        <f t="array" ref="A97">_xlfn.LET(_xlpm.e,L97,
IF(_xlpm.e="","",
"DOC-"&amp;TEXT(ROW()-ROW(tblMaster[#Headers]),"00000")
))</f>
        <v>DOC-00096</v>
      </c>
      <c r="B97" s="49">
        <v>45953</v>
      </c>
      <c r="C97" s="42" t="s">
        <v>465</v>
      </c>
      <c r="D97" s="41" t="s">
        <v>466</v>
      </c>
      <c r="E97" s="38" t="s">
        <v>467</v>
      </c>
      <c r="F97" s="18" t="s">
        <v>468</v>
      </c>
      <c r="G97" s="41" t="s">
        <v>52</v>
      </c>
      <c r="H97" s="18" t="s">
        <v>17</v>
      </c>
      <c r="I97" s="18" t="s">
        <v>54</v>
      </c>
      <c r="J97" s="99" t="s">
        <v>66</v>
      </c>
      <c r="K97" s="5" t="s">
        <v>652</v>
      </c>
      <c r="L97" t="str">
        <f t="shared" si="2"/>
        <v>junior.gjb@gmail.com</v>
      </c>
    </row>
    <row r="98" spans="1:12">
      <c r="A98" t="str" cm="1">
        <f t="array" ref="A98">_xlfn.LET(_xlpm.e,L98,
IF(_xlpm.e="","",
"DOC-"&amp;TEXT(ROW()-ROW(tblMaster[#Headers]),"00000")
))</f>
        <v>DOC-00097</v>
      </c>
      <c r="B98" s="49">
        <v>45953</v>
      </c>
      <c r="C98" s="42" t="s">
        <v>469</v>
      </c>
      <c r="D98" s="41" t="s">
        <v>470</v>
      </c>
      <c r="E98" s="38" t="s">
        <v>471</v>
      </c>
      <c r="F98" s="18" t="s">
        <v>472</v>
      </c>
      <c r="G98" s="41" t="s">
        <v>473</v>
      </c>
      <c r="H98" s="18" t="s">
        <v>474</v>
      </c>
      <c r="I98" s="18" t="s">
        <v>112</v>
      </c>
      <c r="J98" s="99" t="s">
        <v>66</v>
      </c>
      <c r="K98" s="5" t="s">
        <v>652</v>
      </c>
      <c r="L98" t="str">
        <f t="shared" si="2"/>
        <v>g.martillodiaz@gmail.com</v>
      </c>
    </row>
    <row r="99" spans="1:12">
      <c r="A99" t="str" cm="1">
        <f t="array" ref="A99">_xlfn.LET(_xlpm.e,L99,
IF(_xlpm.e="","",
"DOC-"&amp;TEXT(ROW()-ROW(tblMaster[#Headers]),"00000")
))</f>
        <v>DOC-00098</v>
      </c>
      <c r="B99" s="49">
        <v>45953</v>
      </c>
      <c r="C99" s="42" t="s">
        <v>475</v>
      </c>
      <c r="D99" s="41" t="s">
        <v>476</v>
      </c>
      <c r="E99" s="38" t="s">
        <v>477</v>
      </c>
      <c r="F99" s="18" t="s">
        <v>478</v>
      </c>
      <c r="G99" s="41" t="s">
        <v>479</v>
      </c>
      <c r="H99" s="18" t="s">
        <v>17</v>
      </c>
      <c r="I99" s="18" t="s">
        <v>101</v>
      </c>
      <c r="J99" s="99" t="s">
        <v>23</v>
      </c>
      <c r="K99" s="5" t="s">
        <v>652</v>
      </c>
      <c r="L99" t="str">
        <f t="shared" si="2"/>
        <v>dayshon211@gmail.com</v>
      </c>
    </row>
    <row r="100" spans="1:12">
      <c r="A100" t="str" cm="1">
        <f t="array" ref="A100">_xlfn.LET(_xlpm.e,L100,
IF(_xlpm.e="","",
"DOC-"&amp;TEXT(ROW()-ROW(tblMaster[#Headers]),"00000")
))</f>
        <v>DOC-00099</v>
      </c>
      <c r="B100" s="49">
        <v>45953</v>
      </c>
      <c r="C100" s="42" t="s">
        <v>480</v>
      </c>
      <c r="D100" s="41" t="s">
        <v>481</v>
      </c>
      <c r="E100" s="38" t="s">
        <v>482</v>
      </c>
      <c r="F100" s="18" t="s">
        <v>483</v>
      </c>
      <c r="G100" s="41" t="s">
        <v>484</v>
      </c>
      <c r="H100" s="18" t="s">
        <v>267</v>
      </c>
      <c r="I100" s="18" t="s">
        <v>54</v>
      </c>
      <c r="K100" s="5" t="s">
        <v>652</v>
      </c>
      <c r="L100" t="str">
        <f t="shared" si="2"/>
        <v>akwasiadjeigh@gmail.com</v>
      </c>
    </row>
    <row r="101" spans="1:12">
      <c r="A101" t="str" cm="1">
        <f t="array" ref="A101">_xlfn.LET(_xlpm.e,L101,
IF(_xlpm.e="","",
"DOC-"&amp;TEXT(ROW()-ROW(tblMaster[#Headers]),"00000")
))</f>
        <v>DOC-00100</v>
      </c>
      <c r="B101" s="49">
        <v>45953</v>
      </c>
      <c r="C101" s="42" t="s">
        <v>485</v>
      </c>
      <c r="D101" s="41" t="s">
        <v>486</v>
      </c>
      <c r="E101" s="38" t="s">
        <v>487</v>
      </c>
      <c r="F101" s="18" t="s">
        <v>488</v>
      </c>
      <c r="G101" s="41" t="s">
        <v>489</v>
      </c>
      <c r="H101" s="18" t="s">
        <v>490</v>
      </c>
      <c r="I101" s="18" t="s">
        <v>54</v>
      </c>
      <c r="K101" s="5" t="s">
        <v>652</v>
      </c>
      <c r="L101" t="str">
        <f t="shared" si="2"/>
        <v>fredrickosei021@gmail.com</v>
      </c>
    </row>
    <row r="102" spans="1:12">
      <c r="A102" t="str" cm="1">
        <f t="array" ref="A102">_xlfn.LET(_xlpm.e,L102,
IF(_xlpm.e="","",
"DOC-"&amp;TEXT(ROW()-ROW(tblMaster[#Headers]),"00000")
))</f>
        <v>DOC-00101</v>
      </c>
      <c r="B102" s="49">
        <v>45953</v>
      </c>
      <c r="C102" s="42" t="s">
        <v>491</v>
      </c>
      <c r="D102" s="41" t="s">
        <v>492</v>
      </c>
      <c r="E102" s="38" t="s">
        <v>493</v>
      </c>
      <c r="F102" s="18" t="s">
        <v>494</v>
      </c>
      <c r="G102" s="41" t="s">
        <v>495</v>
      </c>
      <c r="H102" s="18" t="s">
        <v>496</v>
      </c>
      <c r="I102" s="18" t="s">
        <v>112</v>
      </c>
      <c r="J102" s="99" t="s">
        <v>497</v>
      </c>
      <c r="K102" s="5" t="s">
        <v>652</v>
      </c>
      <c r="L102" t="str">
        <f t="shared" si="2"/>
        <v>anthonyamponsah42@gmail.com</v>
      </c>
    </row>
    <row r="103" spans="1:12">
      <c r="A103" t="str" cm="1">
        <f t="array" ref="A103">_xlfn.LET(_xlpm.e,L103,
IF(_xlpm.e="","",
"DOC-"&amp;TEXT(ROW()-ROW(tblMaster[#Headers]),"00000")
))</f>
        <v>DOC-00102</v>
      </c>
      <c r="B103" s="49">
        <v>45953</v>
      </c>
      <c r="C103" s="42" t="s">
        <v>498</v>
      </c>
      <c r="D103" s="41" t="s">
        <v>499</v>
      </c>
      <c r="E103" s="38" t="s">
        <v>500</v>
      </c>
      <c r="F103" s="18" t="s">
        <v>501</v>
      </c>
      <c r="G103" s="41" t="s">
        <v>502</v>
      </c>
      <c r="H103" s="18" t="s">
        <v>17</v>
      </c>
      <c r="I103" s="18" t="s">
        <v>54</v>
      </c>
      <c r="K103" s="5" t="s">
        <v>652</v>
      </c>
      <c r="L103" t="str">
        <f t="shared" si="2"/>
        <v>justice.ellies@gmail.com</v>
      </c>
    </row>
    <row r="104" spans="1:12">
      <c r="A104" t="str" cm="1">
        <f t="array" ref="A104">_xlfn.LET(_xlpm.e,L104,
IF(_xlpm.e="","",
"DOC-"&amp;TEXT(ROW()-ROW(tblMaster[#Headers]),"00000")
))</f>
        <v>DOC-00103</v>
      </c>
      <c r="B104" s="49">
        <v>45953</v>
      </c>
      <c r="C104" s="42" t="s">
        <v>503</v>
      </c>
      <c r="D104" s="41" t="s">
        <v>504</v>
      </c>
      <c r="E104" s="38" t="s">
        <v>505</v>
      </c>
      <c r="F104" s="18" t="s">
        <v>506</v>
      </c>
      <c r="G104" s="41" t="s">
        <v>507</v>
      </c>
      <c r="H104" s="18" t="s">
        <v>17</v>
      </c>
      <c r="I104" s="18" t="s">
        <v>101</v>
      </c>
      <c r="K104" s="5" t="s">
        <v>652</v>
      </c>
      <c r="L104" t="str">
        <f t="shared" si="2"/>
        <v>teixeiradomingos2000@gmail.com</v>
      </c>
    </row>
    <row r="105" spans="1:12">
      <c r="A105" t="str" cm="1">
        <f t="array" ref="A105">_xlfn.LET(_xlpm.e,L105,
IF(_xlpm.e="","",
"DOC-"&amp;TEXT(ROW()-ROW(tblMaster[#Headers]),"00000")
))</f>
        <v>DOC-00104</v>
      </c>
      <c r="B105" s="49">
        <v>45953</v>
      </c>
      <c r="C105" s="42" t="s">
        <v>508</v>
      </c>
      <c r="D105" s="41" t="s">
        <v>509</v>
      </c>
      <c r="E105" s="38" t="s">
        <v>510</v>
      </c>
      <c r="F105" s="18" t="s">
        <v>511</v>
      </c>
      <c r="G105" s="41" t="s">
        <v>512</v>
      </c>
      <c r="H105" s="18" t="s">
        <v>17</v>
      </c>
      <c r="I105" s="18" t="s">
        <v>101</v>
      </c>
      <c r="J105" s="99" t="s">
        <v>23</v>
      </c>
      <c r="K105" s="5" t="s">
        <v>652</v>
      </c>
      <c r="L105" t="str">
        <f t="shared" si="2"/>
        <v>soutosandra2@gmail.com</v>
      </c>
    </row>
    <row r="106" spans="1:12">
      <c r="A106" t="str" cm="1">
        <f t="array" ref="A106">_xlfn.LET(_xlpm.e,L106,
IF(_xlpm.e="","",
"DOC-"&amp;TEXT(ROW()-ROW(tblMaster[#Headers]),"00000")
))</f>
        <v>DOC-00105</v>
      </c>
      <c r="B106" s="49">
        <v>45953</v>
      </c>
      <c r="C106" s="42" t="s">
        <v>513</v>
      </c>
      <c r="D106" s="41" t="s">
        <v>514</v>
      </c>
      <c r="E106" s="38" t="s">
        <v>515</v>
      </c>
      <c r="F106" s="18" t="s">
        <v>516</v>
      </c>
      <c r="G106" s="41" t="s">
        <v>517</v>
      </c>
      <c r="H106" s="18" t="s">
        <v>17</v>
      </c>
      <c r="I106" s="18" t="s">
        <v>112</v>
      </c>
      <c r="K106" s="5" t="s">
        <v>652</v>
      </c>
      <c r="L106" t="str">
        <f t="shared" si="2"/>
        <v>carlosdesir140@gmail.com</v>
      </c>
    </row>
    <row r="107" spans="1:12">
      <c r="A107" t="str" cm="1">
        <f t="array" ref="A107">_xlfn.LET(_xlpm.e,L107,
IF(_xlpm.e="","",
"DOC-"&amp;TEXT(ROW()-ROW(tblMaster[#Headers]),"00000")
))</f>
        <v>DOC-00106</v>
      </c>
      <c r="B107" s="49">
        <v>45953</v>
      </c>
      <c r="C107" s="42" t="s">
        <v>518</v>
      </c>
      <c r="D107" s="41" t="s">
        <v>519</v>
      </c>
      <c r="E107" s="38" t="s">
        <v>520</v>
      </c>
      <c r="F107" s="18" t="s">
        <v>521</v>
      </c>
      <c r="G107" s="41" t="s">
        <v>502</v>
      </c>
      <c r="H107" s="18" t="s">
        <v>17</v>
      </c>
      <c r="I107" s="18" t="s">
        <v>112</v>
      </c>
      <c r="J107" s="99" t="s">
        <v>66</v>
      </c>
      <c r="K107" s="5" t="s">
        <v>652</v>
      </c>
      <c r="L107" t="str">
        <f t="shared" si="2"/>
        <v>robersonyouyou55@gmail.com</v>
      </c>
    </row>
    <row r="108" spans="1:12">
      <c r="A108" t="str" cm="1">
        <f t="array" ref="A108">_xlfn.LET(_xlpm.e,L108,
IF(_xlpm.e="","",
"DOC-"&amp;TEXT(ROW()-ROW(tblMaster[#Headers]),"00000")
))</f>
        <v>DOC-00107</v>
      </c>
      <c r="B108" s="49">
        <v>45953</v>
      </c>
      <c r="C108" s="42" t="s">
        <v>522</v>
      </c>
      <c r="D108" s="41" t="s">
        <v>523</v>
      </c>
      <c r="E108" s="38" t="s">
        <v>524</v>
      </c>
      <c r="F108" s="18" t="s">
        <v>525</v>
      </c>
      <c r="G108" s="41" t="s">
        <v>526</v>
      </c>
      <c r="H108" s="18" t="s">
        <v>17</v>
      </c>
      <c r="I108" s="18" t="s">
        <v>112</v>
      </c>
      <c r="K108" s="5" t="s">
        <v>652</v>
      </c>
      <c r="L108" t="str">
        <f t="shared" si="2"/>
        <v>wonderlymaggie@gmail.com</v>
      </c>
    </row>
    <row r="109" spans="1:12">
      <c r="A109" t="str" cm="1">
        <f t="array" ref="A109">_xlfn.LET(_xlpm.e,L109,
IF(_xlpm.e="","",
"DOC-"&amp;TEXT(ROW()-ROW(tblMaster[#Headers]),"00000")
))</f>
        <v>DOC-00108</v>
      </c>
      <c r="B109" s="49">
        <v>45953</v>
      </c>
      <c r="C109" s="42" t="s">
        <v>527</v>
      </c>
      <c r="D109" s="41" t="s">
        <v>528</v>
      </c>
      <c r="E109" s="38" t="s">
        <v>529</v>
      </c>
      <c r="F109" s="18" t="s">
        <v>530</v>
      </c>
      <c r="G109" s="41" t="s">
        <v>410</v>
      </c>
      <c r="H109" s="18" t="s">
        <v>17</v>
      </c>
      <c r="I109" s="18" t="s">
        <v>101</v>
      </c>
      <c r="K109" s="5" t="s">
        <v>652</v>
      </c>
      <c r="L109" t="str">
        <f t="shared" si="2"/>
        <v>munene889@gmail.com</v>
      </c>
    </row>
    <row r="110" spans="1:12">
      <c r="A110" t="str" cm="1">
        <f t="array" ref="A110">_xlfn.LET(_xlpm.e,L110,
IF(_xlpm.e="","",
"DOC-"&amp;TEXT(ROW()-ROW(tblMaster[#Headers]),"00000")
))</f>
        <v>DOC-00109</v>
      </c>
      <c r="B110" s="49">
        <v>45953</v>
      </c>
      <c r="C110" s="42" t="s">
        <v>531</v>
      </c>
      <c r="D110" s="41" t="s">
        <v>532</v>
      </c>
      <c r="E110" s="38" t="s">
        <v>533</v>
      </c>
      <c r="F110" s="18" t="s">
        <v>534</v>
      </c>
      <c r="G110" s="41" t="s">
        <v>257</v>
      </c>
      <c r="H110" s="18" t="s">
        <v>17</v>
      </c>
      <c r="I110" s="18" t="s">
        <v>101</v>
      </c>
      <c r="K110" s="5" t="s">
        <v>652</v>
      </c>
      <c r="L110" t="str">
        <f t="shared" si="2"/>
        <v>jjshearee@gmail.com</v>
      </c>
    </row>
    <row r="111" spans="1:12">
      <c r="A111" t="str" cm="1">
        <f t="array" ref="A111">_xlfn.LET(_xlpm.e,L111,
IF(_xlpm.e="","",
"DOC-"&amp;TEXT(ROW()-ROW(tblMaster[#Headers]),"00000")
))</f>
        <v>DOC-00110</v>
      </c>
      <c r="B111" s="49">
        <v>45953</v>
      </c>
      <c r="C111" s="42" t="s">
        <v>535</v>
      </c>
      <c r="D111" s="41" t="s">
        <v>536</v>
      </c>
      <c r="E111" s="38" t="s">
        <v>537</v>
      </c>
      <c r="F111" s="18" t="s">
        <v>538</v>
      </c>
      <c r="G111" s="41" t="s">
        <v>539</v>
      </c>
      <c r="H111" s="18" t="s">
        <v>17</v>
      </c>
      <c r="I111" s="18" t="s">
        <v>54</v>
      </c>
      <c r="J111" s="99" t="s">
        <v>23</v>
      </c>
      <c r="K111" s="5" t="s">
        <v>652</v>
      </c>
      <c r="L111" t="str">
        <f t="shared" si="2"/>
        <v>cheahangc@gmail.com</v>
      </c>
    </row>
    <row r="112" spans="1:12">
      <c r="A112" t="str" cm="1">
        <f t="array" ref="A112">_xlfn.LET(_xlpm.e,L112,
IF(_xlpm.e="","",
"DOC-"&amp;TEXT(ROW()-ROW(tblMaster[#Headers]),"00000")
))</f>
        <v>DOC-00111</v>
      </c>
      <c r="B112" s="49">
        <v>45953</v>
      </c>
      <c r="C112" s="42" t="s">
        <v>540</v>
      </c>
      <c r="D112" s="41" t="s">
        <v>541</v>
      </c>
      <c r="E112" s="38" t="s">
        <v>542</v>
      </c>
      <c r="F112" s="18" t="s">
        <v>543</v>
      </c>
      <c r="G112" s="41" t="s">
        <v>544</v>
      </c>
      <c r="H112" s="18" t="s">
        <v>17</v>
      </c>
      <c r="I112" s="18" t="s">
        <v>54</v>
      </c>
      <c r="K112" s="5" t="s">
        <v>652</v>
      </c>
      <c r="L112" t="str">
        <f t="shared" si="2"/>
        <v>coachvega413@gmail.com</v>
      </c>
    </row>
    <row r="113" spans="1:12">
      <c r="A113" t="str" cm="1">
        <f t="array" ref="A113">_xlfn.LET(_xlpm.e,L113,
IF(_xlpm.e="","",
"DOC-"&amp;TEXT(ROW()-ROW(tblMaster[#Headers]),"00000")
))</f>
        <v>DOC-00112</v>
      </c>
      <c r="B113" s="49">
        <v>45953</v>
      </c>
      <c r="C113" s="42" t="s">
        <v>545</v>
      </c>
      <c r="D113" s="41" t="s">
        <v>546</v>
      </c>
      <c r="E113" s="38" t="s">
        <v>547</v>
      </c>
      <c r="F113" s="18" t="s">
        <v>548</v>
      </c>
      <c r="G113" s="41" t="s">
        <v>549</v>
      </c>
      <c r="H113" s="18" t="s">
        <v>17</v>
      </c>
      <c r="I113" s="18" t="s">
        <v>101</v>
      </c>
      <c r="K113" s="5" t="s">
        <v>652</v>
      </c>
      <c r="L113" t="str">
        <f t="shared" si="2"/>
        <v>jdemos722@gmail.com</v>
      </c>
    </row>
    <row r="114" spans="1:12">
      <c r="A114" t="str" cm="1">
        <f t="array" ref="A114">_xlfn.LET(_xlpm.e,L114,
IF(_xlpm.e="","",
"DOC-"&amp;TEXT(ROW()-ROW(tblMaster[#Headers]),"00000")
))</f>
        <v>DOC-00113</v>
      </c>
      <c r="B114" s="49">
        <v>45953</v>
      </c>
      <c r="C114" s="42" t="s">
        <v>550</v>
      </c>
      <c r="D114" s="41" t="s">
        <v>551</v>
      </c>
      <c r="E114" s="38" t="s">
        <v>552</v>
      </c>
      <c r="F114" s="18" t="s">
        <v>553</v>
      </c>
      <c r="G114" s="41" t="s">
        <v>554</v>
      </c>
      <c r="H114" s="18" t="s">
        <v>267</v>
      </c>
      <c r="I114" s="18" t="s">
        <v>112</v>
      </c>
      <c r="K114" s="5" t="s">
        <v>652</v>
      </c>
      <c r="L114" t="str">
        <f t="shared" si="2"/>
        <v>demonsrow@icloud.com</v>
      </c>
    </row>
    <row r="115" spans="1:12">
      <c r="A115" t="str" cm="1">
        <f t="array" ref="A115">_xlfn.LET(_xlpm.e,L115,
IF(_xlpm.e="","",
"DOC-"&amp;TEXT(ROW()-ROW(tblMaster[#Headers]),"00000")
))</f>
        <v>DOC-00114</v>
      </c>
      <c r="B115" s="49">
        <v>45953</v>
      </c>
      <c r="C115" s="17" t="s">
        <v>555</v>
      </c>
      <c r="D115" s="18" t="s">
        <v>556</v>
      </c>
      <c r="E115" s="123" t="s">
        <v>557</v>
      </c>
      <c r="F115" s="18" t="s">
        <v>558</v>
      </c>
      <c r="G115" s="18" t="s">
        <v>559</v>
      </c>
      <c r="H115" s="18" t="s">
        <v>17</v>
      </c>
      <c r="I115" s="18" t="s">
        <v>54</v>
      </c>
      <c r="J115" s="99" t="s">
        <v>560</v>
      </c>
      <c r="K115" s="5" t="s">
        <v>652</v>
      </c>
      <c r="L115" t="str">
        <f t="shared" si="2"/>
        <v>angelo6686@gmail.com</v>
      </c>
    </row>
    <row r="116" spans="1:12">
      <c r="A116" t="str" cm="1">
        <f t="array" ref="A116">_xlfn.LET(_xlpm.e,L116,
IF(_xlpm.e="","",
"DOC-"&amp;TEXT(ROW()-ROW(tblMaster[#Headers]),"00000")
))</f>
        <v>DOC-00115</v>
      </c>
      <c r="B116" s="49">
        <v>45953</v>
      </c>
      <c r="C116" s="42" t="s">
        <v>561</v>
      </c>
      <c r="D116" s="41" t="s">
        <v>562</v>
      </c>
      <c r="E116" s="38" t="s">
        <v>563</v>
      </c>
      <c r="F116" s="18" t="s">
        <v>564</v>
      </c>
      <c r="G116" s="41" t="s">
        <v>565</v>
      </c>
      <c r="H116" s="18" t="s">
        <v>566</v>
      </c>
      <c r="I116" s="18" t="s">
        <v>54</v>
      </c>
      <c r="K116" s="5" t="s">
        <v>652</v>
      </c>
      <c r="L116" t="str">
        <f t="shared" si="2"/>
        <v>aghaazancho@gmail.com</v>
      </c>
    </row>
    <row r="117" spans="1:12">
      <c r="A117" t="str" cm="1">
        <f t="array" ref="A117">_xlfn.LET(_xlpm.e,L117,
IF(_xlpm.e="","",
"DOC-"&amp;TEXT(ROW()-ROW(tblMaster[#Headers]),"00000")
))</f>
        <v>DOC-00116</v>
      </c>
      <c r="B117" s="49">
        <v>45953</v>
      </c>
      <c r="C117" s="42" t="s">
        <v>567</v>
      </c>
      <c r="D117" s="41" t="s">
        <v>568</v>
      </c>
      <c r="E117" s="38" t="s">
        <v>569</v>
      </c>
      <c r="F117" s="18" t="s">
        <v>570</v>
      </c>
      <c r="G117" s="41" t="s">
        <v>571</v>
      </c>
      <c r="H117" s="18" t="s">
        <v>60</v>
      </c>
      <c r="I117" s="18" t="s">
        <v>54</v>
      </c>
      <c r="J117" s="99" t="s">
        <v>23</v>
      </c>
      <c r="K117" s="5" t="s">
        <v>652</v>
      </c>
      <c r="L117" t="str">
        <f t="shared" si="2"/>
        <v>jeffreytroh@yahoo.com</v>
      </c>
    </row>
    <row r="118" spans="1:12">
      <c r="A118" t="str" cm="1">
        <f t="array" ref="A118">_xlfn.LET(_xlpm.e,L118,
IF(_xlpm.e="","",
"DOC-"&amp;TEXT(ROW()-ROW(tblMaster[#Headers]),"00000")
))</f>
        <v>DOC-00117</v>
      </c>
      <c r="B118" s="49">
        <v>45953</v>
      </c>
      <c r="C118" s="42" t="s">
        <v>572</v>
      </c>
      <c r="D118" s="41" t="s">
        <v>573</v>
      </c>
      <c r="E118" s="39" t="s">
        <v>574</v>
      </c>
      <c r="F118" s="18" t="s">
        <v>575</v>
      </c>
      <c r="G118" s="41" t="s">
        <v>576</v>
      </c>
      <c r="H118" s="18" t="s">
        <v>17</v>
      </c>
      <c r="I118" s="18" t="s">
        <v>54</v>
      </c>
      <c r="K118" s="5" t="s">
        <v>652</v>
      </c>
      <c r="L118" t="str">
        <f t="shared" si="2"/>
        <v>echockey2@gmail.com</v>
      </c>
    </row>
    <row r="119" spans="1:12">
      <c r="A119" t="str" cm="1">
        <f t="array" ref="A119">_xlfn.LET(_xlpm.e,L119,
IF(_xlpm.e="","",
"DOC-"&amp;TEXT(ROW()-ROW(tblMaster[#Headers]),"00000")
))</f>
        <v>DOC-00118</v>
      </c>
      <c r="B119" s="49">
        <v>45953</v>
      </c>
      <c r="C119" s="42" t="s">
        <v>577</v>
      </c>
      <c r="D119" s="41" t="s">
        <v>578</v>
      </c>
      <c r="E119" s="38" t="s">
        <v>579</v>
      </c>
      <c r="F119" s="18" t="s">
        <v>580</v>
      </c>
      <c r="G119" s="41" t="s">
        <v>581</v>
      </c>
      <c r="H119" s="18" t="s">
        <v>17</v>
      </c>
      <c r="I119" s="18" t="s">
        <v>54</v>
      </c>
      <c r="K119" s="5" t="s">
        <v>652</v>
      </c>
      <c r="L119" t="str">
        <f t="shared" si="2"/>
        <v>jamesly0109@gmail.com</v>
      </c>
    </row>
    <row r="120" spans="1:12">
      <c r="A120" t="str" cm="1">
        <f t="array" ref="A120">_xlfn.LET(_xlpm.e,L120,
IF(_xlpm.e="","",
"DOC-"&amp;TEXT(ROW()-ROW(tblMaster[#Headers]),"00000")
))</f>
        <v>DOC-00119</v>
      </c>
      <c r="B120" s="49">
        <v>45953</v>
      </c>
      <c r="C120" s="17" t="s">
        <v>582</v>
      </c>
      <c r="D120" s="18" t="s">
        <v>583</v>
      </c>
      <c r="E120" s="112" t="s">
        <v>584</v>
      </c>
      <c r="F120" s="18" t="s">
        <v>585</v>
      </c>
      <c r="G120" s="18" t="s">
        <v>586</v>
      </c>
      <c r="H120" s="18" t="s">
        <v>17</v>
      </c>
      <c r="I120" s="18" t="s">
        <v>112</v>
      </c>
      <c r="J120" s="99" t="s">
        <v>560</v>
      </c>
      <c r="K120" s="5" t="s">
        <v>652</v>
      </c>
      <c r="L120" t="str">
        <f t="shared" si="2"/>
        <v>brows14@gmail.com</v>
      </c>
    </row>
    <row r="121" spans="1:12">
      <c r="A121" t="str" cm="1">
        <f t="array" ref="A121">_xlfn.LET(_xlpm.e,L121,
IF(_xlpm.e="","",
"DOC-"&amp;TEXT(ROW()-ROW(tblMaster[#Headers]),"00000")
))</f>
        <v>DOC-00120</v>
      </c>
      <c r="B121" s="49">
        <v>45953</v>
      </c>
      <c r="C121" s="42" t="s">
        <v>587</v>
      </c>
      <c r="D121" s="41" t="s">
        <v>588</v>
      </c>
      <c r="E121" s="38" t="s">
        <v>589</v>
      </c>
      <c r="F121" s="18" t="s">
        <v>590</v>
      </c>
      <c r="G121" s="41" t="s">
        <v>591</v>
      </c>
      <c r="H121" s="18" t="s">
        <v>17</v>
      </c>
      <c r="I121" s="18" t="s">
        <v>54</v>
      </c>
      <c r="K121" s="5" t="s">
        <v>652</v>
      </c>
      <c r="L121" t="str">
        <f t="shared" si="2"/>
        <v>gened4888@gmail.com</v>
      </c>
    </row>
    <row r="122" spans="1:12">
      <c r="A122" t="str" cm="1">
        <f t="array" ref="A122">_xlfn.LET(_xlpm.e,L122,
IF(_xlpm.e="","",
"DOC-"&amp;TEXT(ROW()-ROW(tblMaster[#Headers]),"00000")
))</f>
        <v>DOC-00121</v>
      </c>
      <c r="B122" s="49">
        <v>45953</v>
      </c>
      <c r="C122" s="42" t="s">
        <v>592</v>
      </c>
      <c r="D122" s="41" t="s">
        <v>593</v>
      </c>
      <c r="E122" s="38" t="s">
        <v>594</v>
      </c>
      <c r="F122" s="18" t="s">
        <v>595</v>
      </c>
      <c r="G122" s="41" t="s">
        <v>596</v>
      </c>
      <c r="H122" s="18" t="s">
        <v>17</v>
      </c>
      <c r="I122" s="18" t="s">
        <v>54</v>
      </c>
      <c r="K122" s="5" t="s">
        <v>652</v>
      </c>
      <c r="L122" t="str">
        <f t="shared" si="2"/>
        <v>shoulders508@gmail.com</v>
      </c>
    </row>
    <row r="123" spans="1:12">
      <c r="A123" t="str" cm="1">
        <f t="array" ref="A123">_xlfn.LET(_xlpm.e,L123,
IF(_xlpm.e="","",
"DOC-"&amp;TEXT(ROW()-ROW(tblMaster[#Headers]),"00000")
))</f>
        <v>DOC-00122</v>
      </c>
      <c r="B123" s="49">
        <v>45953</v>
      </c>
      <c r="C123" s="42" t="s">
        <v>597</v>
      </c>
      <c r="D123" s="41" t="s">
        <v>598</v>
      </c>
      <c r="E123" s="38" t="s">
        <v>599</v>
      </c>
      <c r="F123" s="18" t="s">
        <v>600</v>
      </c>
      <c r="G123" s="41" t="s">
        <v>601</v>
      </c>
      <c r="H123" s="18" t="s">
        <v>17</v>
      </c>
      <c r="I123" s="18" t="s">
        <v>54</v>
      </c>
      <c r="J123" s="99" t="s">
        <v>23</v>
      </c>
      <c r="K123" s="5" t="s">
        <v>652</v>
      </c>
      <c r="L123" t="str">
        <f t="shared" si="2"/>
        <v>arubinomcghee@gmail.com</v>
      </c>
    </row>
    <row r="124" spans="1:12">
      <c r="A124" t="str" cm="1">
        <f t="array" ref="A124">_xlfn.LET(_xlpm.e,L124,
IF(_xlpm.e="","",
"DOC-"&amp;TEXT(ROW()-ROW(tblMaster[#Headers]),"00000")
))</f>
        <v>DOC-00123</v>
      </c>
      <c r="B124" s="49">
        <v>45953</v>
      </c>
      <c r="C124" s="42" t="s">
        <v>602</v>
      </c>
      <c r="D124" s="41" t="s">
        <v>603</v>
      </c>
      <c r="E124" s="38" t="s">
        <v>604</v>
      </c>
      <c r="F124" s="18" t="s">
        <v>605</v>
      </c>
      <c r="G124" s="41" t="s">
        <v>606</v>
      </c>
      <c r="H124" s="18" t="s">
        <v>60</v>
      </c>
      <c r="I124" s="18" t="s">
        <v>101</v>
      </c>
      <c r="K124" s="5" t="s">
        <v>652</v>
      </c>
      <c r="L124" t="str">
        <f t="shared" si="2"/>
        <v>ppdesir@gmail.com</v>
      </c>
    </row>
    <row r="125" spans="1:12">
      <c r="A125" t="str" cm="1">
        <f t="array" ref="A125">_xlfn.LET(_xlpm.e,L125,
IF(_xlpm.e="","",
"DOC-"&amp;TEXT(ROW()-ROW(tblMaster[#Headers]),"00000")
))</f>
        <v>DOC-00124</v>
      </c>
      <c r="B125" s="49">
        <v>45953</v>
      </c>
      <c r="C125" s="42" t="s">
        <v>607</v>
      </c>
      <c r="D125" s="41" t="s">
        <v>608</v>
      </c>
      <c r="E125" s="38" t="s">
        <v>609</v>
      </c>
      <c r="F125" s="18" t="s">
        <v>610</v>
      </c>
      <c r="G125" s="41" t="s">
        <v>611</v>
      </c>
      <c r="H125" s="18" t="s">
        <v>17</v>
      </c>
      <c r="I125" s="18" t="s">
        <v>112</v>
      </c>
      <c r="K125" s="5" t="s">
        <v>652</v>
      </c>
      <c r="L125" t="str">
        <f t="shared" si="2"/>
        <v>odneyamaree7@gmail.com</v>
      </c>
    </row>
    <row r="126" spans="1:12">
      <c r="A126" t="str" cm="1">
        <f t="array" ref="A126">_xlfn.LET(_xlpm.e,L126,
IF(_xlpm.e="","",
"DOC-"&amp;TEXT(ROW()-ROW(tblMaster[#Headers]),"00000")
))</f>
        <v>DOC-00125</v>
      </c>
      <c r="B126" s="49">
        <v>45953</v>
      </c>
      <c r="C126" s="42" t="s">
        <v>475</v>
      </c>
      <c r="D126" s="41" t="s">
        <v>612</v>
      </c>
      <c r="E126" s="38" t="s">
        <v>613</v>
      </c>
      <c r="F126" s="18" t="s">
        <v>614</v>
      </c>
      <c r="G126" s="41" t="s">
        <v>479</v>
      </c>
      <c r="H126" s="18" t="s">
        <v>17</v>
      </c>
      <c r="I126" s="18" t="s">
        <v>101</v>
      </c>
      <c r="K126" s="5" t="s">
        <v>652</v>
      </c>
      <c r="L126" t="str">
        <f t="shared" si="2"/>
        <v>dayshon211@gmail.com</v>
      </c>
    </row>
    <row r="127" spans="1:12">
      <c r="A127" t="str" cm="1">
        <f t="array" ref="A127">_xlfn.LET(_xlpm.e,L127,
IF(_xlpm.e="","",
"DOC-"&amp;TEXT(ROW()-ROW(tblMaster[#Headers]),"00000")
))</f>
        <v>DOC-00126</v>
      </c>
      <c r="B127" s="49">
        <v>45953</v>
      </c>
      <c r="C127" s="42" t="s">
        <v>615</v>
      </c>
      <c r="D127" s="41" t="s">
        <v>616</v>
      </c>
      <c r="E127" s="38" t="s">
        <v>617</v>
      </c>
      <c r="F127" s="18" t="s">
        <v>618</v>
      </c>
      <c r="G127" s="41" t="s">
        <v>619</v>
      </c>
      <c r="H127" s="18" t="s">
        <v>620</v>
      </c>
      <c r="I127" s="18" t="s">
        <v>112</v>
      </c>
      <c r="K127" s="5" t="s">
        <v>652</v>
      </c>
      <c r="L127" t="str">
        <f t="shared" si="2"/>
        <v>maxwell.careers@icloud.com</v>
      </c>
    </row>
    <row r="128" spans="1:12">
      <c r="A128" t="str" cm="1">
        <f t="array" ref="A128">_xlfn.LET(_xlpm.e,L128,
IF(_xlpm.e="","",
"DOC-"&amp;TEXT(ROW()-ROW(tblMaster[#Headers]),"00000")
))</f>
        <v>DOC-00127</v>
      </c>
      <c r="B128" s="49">
        <v>45953</v>
      </c>
      <c r="C128" s="42" t="s">
        <v>621</v>
      </c>
      <c r="D128" s="41" t="s">
        <v>622</v>
      </c>
      <c r="E128" s="38" t="s">
        <v>623</v>
      </c>
      <c r="F128" s="18" t="s">
        <v>447</v>
      </c>
      <c r="G128" s="41" t="s">
        <v>624</v>
      </c>
      <c r="H128" s="18" t="s">
        <v>17</v>
      </c>
      <c r="I128" s="18" t="s">
        <v>112</v>
      </c>
      <c r="K128" s="5" t="s">
        <v>652</v>
      </c>
      <c r="L128" t="str">
        <f t="shared" si="2"/>
        <v>ohiemhamad@gmail.com</v>
      </c>
    </row>
    <row r="129" spans="1:12">
      <c r="A129" t="str" cm="1">
        <f t="array" ref="A129">_xlfn.LET(_xlpm.e,L129,
IF(_xlpm.e="","",
"DOC-"&amp;TEXT(ROW()-ROW(tblMaster[#Headers]),"00000")
))</f>
        <v>DOC-00128</v>
      </c>
      <c r="B129" s="49">
        <v>45953</v>
      </c>
      <c r="C129" s="42" t="s">
        <v>625</v>
      </c>
      <c r="D129" s="41" t="s">
        <v>626</v>
      </c>
      <c r="E129" s="38" t="s">
        <v>627</v>
      </c>
      <c r="F129" s="18" t="s">
        <v>628</v>
      </c>
      <c r="G129" s="41" t="s">
        <v>629</v>
      </c>
      <c r="H129" s="18" t="s">
        <v>17</v>
      </c>
      <c r="I129" s="18" t="s">
        <v>101</v>
      </c>
      <c r="J129" s="99" t="s">
        <v>23</v>
      </c>
      <c r="K129" s="5" t="s">
        <v>652</v>
      </c>
      <c r="L129" t="str">
        <f t="shared" si="2"/>
        <v>edixjunior@hotmail.com</v>
      </c>
    </row>
    <row r="130" spans="1:12">
      <c r="A130" t="str" cm="1">
        <f t="array" ref="A130">_xlfn.LET(_xlpm.e,L130,
IF(_xlpm.e="","",
"DOC-"&amp;TEXT(ROW()-ROW(tblMaster[#Headers]),"00000")
))</f>
        <v>DOC-00129</v>
      </c>
      <c r="B130" s="49">
        <v>45953</v>
      </c>
      <c r="C130" s="42" t="s">
        <v>630</v>
      </c>
      <c r="D130" s="41" t="s">
        <v>631</v>
      </c>
      <c r="E130" s="38" t="s">
        <v>632</v>
      </c>
      <c r="F130" s="18" t="s">
        <v>633</v>
      </c>
      <c r="G130" s="41" t="s">
        <v>634</v>
      </c>
      <c r="H130" s="18" t="s">
        <v>17</v>
      </c>
      <c r="I130" s="18" t="s">
        <v>54</v>
      </c>
      <c r="K130" s="5" t="s">
        <v>652</v>
      </c>
      <c r="L130" t="str">
        <f t="shared" si="2"/>
        <v>yarimar27@icloud.com</v>
      </c>
    </row>
    <row r="131" spans="1:12">
      <c r="A131" t="str" cm="1">
        <f t="array" ref="A131">_xlfn.LET(_xlpm.e,L131,
IF(_xlpm.e="","",
"DOC-"&amp;TEXT(ROW()-ROW(tblMaster[#Headers]),"00000")
))</f>
        <v>DOC-00130</v>
      </c>
      <c r="B131" s="49">
        <v>45953</v>
      </c>
      <c r="C131" s="42" t="s">
        <v>635</v>
      </c>
      <c r="D131" s="41" t="s">
        <v>636</v>
      </c>
      <c r="E131" s="38" t="s">
        <v>637</v>
      </c>
      <c r="F131" s="18" t="s">
        <v>638</v>
      </c>
      <c r="G131" s="40" t="s">
        <v>257</v>
      </c>
      <c r="H131" s="18" t="s">
        <v>17</v>
      </c>
      <c r="I131" s="18" t="s">
        <v>54</v>
      </c>
      <c r="J131" s="99" t="s">
        <v>66</v>
      </c>
      <c r="K131" s="5" t="s">
        <v>226</v>
      </c>
      <c r="L131" t="str">
        <f t="shared" si="2"/>
        <v>allen21785@yahoo.com</v>
      </c>
    </row>
    <row r="132" spans="1:12">
      <c r="A132" t="str" cm="1">
        <f t="array" ref="A132">_xlfn.LET(_xlpm.e,L132,
IF(_xlpm.e="","",
"DOC-"&amp;TEXT(ROW()-ROW(tblMaster[#Headers]),"00000")
))</f>
        <v>DOC-00131</v>
      </c>
      <c r="B132" s="49">
        <v>45953</v>
      </c>
      <c r="C132" s="42" t="s">
        <v>639</v>
      </c>
      <c r="D132" s="41" t="s">
        <v>640</v>
      </c>
      <c r="E132" s="38" t="s">
        <v>641</v>
      </c>
      <c r="F132" s="18" t="s">
        <v>642</v>
      </c>
      <c r="G132" s="39" t="s">
        <v>517</v>
      </c>
      <c r="H132" s="18" t="s">
        <v>17</v>
      </c>
      <c r="I132" s="18" t="s">
        <v>54</v>
      </c>
      <c r="J132" s="36" t="s">
        <v>194</v>
      </c>
      <c r="K132" s="5" t="s">
        <v>226</v>
      </c>
      <c r="L132" t="str">
        <f t="shared" si="2"/>
        <v>kenslyjb12@gmail.com</v>
      </c>
    </row>
    <row r="133" spans="1:12">
      <c r="A133" t="str" cm="1">
        <f t="array" ref="A133">_xlfn.LET(_xlpm.e,L133,
IF(_xlpm.e="","",
"DOC-"&amp;TEXT(ROW()-ROW(tblMaster[#Headers]),"00000")
))</f>
        <v>DOC-00132</v>
      </c>
      <c r="B133" s="49">
        <v>45953</v>
      </c>
      <c r="C133" s="42" t="s">
        <v>643</v>
      </c>
      <c r="D133" s="41" t="s">
        <v>644</v>
      </c>
      <c r="E133" s="38" t="s">
        <v>645</v>
      </c>
      <c r="F133" s="18" t="s">
        <v>646</v>
      </c>
      <c r="G133" s="41" t="s">
        <v>647</v>
      </c>
      <c r="H133" s="18" t="s">
        <v>17</v>
      </c>
      <c r="I133" s="18" t="s">
        <v>112</v>
      </c>
      <c r="J133" s="36" t="s">
        <v>497</v>
      </c>
      <c r="K133" s="5" t="s">
        <v>226</v>
      </c>
      <c r="L133" t="str">
        <f t="shared" si="2"/>
        <v>snikap87@icloud.com</v>
      </c>
    </row>
    <row r="134" spans="1:12">
      <c r="A134" t="str" cm="1">
        <f t="array" ref="A134">_xlfn.LET(_xlpm.e,L134,
IF(_xlpm.e="","",
"DOC-"&amp;TEXT(ROW()-ROW(tblMaster[#Headers]),"00000")
))</f>
        <v>DOC-00133</v>
      </c>
      <c r="B134" s="49">
        <v>45953</v>
      </c>
      <c r="C134" s="42" t="s">
        <v>113</v>
      </c>
      <c r="D134" s="41" t="s">
        <v>648</v>
      </c>
      <c r="E134" s="38" t="s">
        <v>649</v>
      </c>
      <c r="F134" s="18" t="s">
        <v>650</v>
      </c>
      <c r="G134" s="39" t="s">
        <v>651</v>
      </c>
      <c r="H134" s="18" t="s">
        <v>17</v>
      </c>
      <c r="I134" s="18" t="s">
        <v>112</v>
      </c>
      <c r="J134" s="36" t="s">
        <v>66</v>
      </c>
      <c r="K134" s="5" t="s">
        <v>652</v>
      </c>
      <c r="L134" t="str">
        <f t="shared" ref="L134:L197" si="3">_xlfn.LET(_xlpm.x,E134,
_xlpm.y,TRIM(CLEAN(SUBSTITUTE(_xlpm.x,CHAR(160)," "))),
LOWER(_xlpm.y))</f>
        <v>blitzgodilforno@gmail.com</v>
      </c>
    </row>
    <row r="135" spans="1:12">
      <c r="A135" t="str" cm="1">
        <f t="array" ref="A135">_xlfn.LET(_xlpm.e,L135,
IF(_xlpm.e="","",
"DOC-"&amp;TEXT(ROW()-ROW(tblMaster[#Headers]),"00000")
))</f>
        <v>DOC-00134</v>
      </c>
      <c r="B135" s="49">
        <v>45953</v>
      </c>
      <c r="C135" s="42" t="s">
        <v>653</v>
      </c>
      <c r="D135" s="41" t="s">
        <v>654</v>
      </c>
      <c r="E135" s="38" t="s">
        <v>655</v>
      </c>
      <c r="F135" s="18" t="s">
        <v>656</v>
      </c>
      <c r="G135" s="40" t="s">
        <v>257</v>
      </c>
      <c r="H135" s="18" t="s">
        <v>17</v>
      </c>
      <c r="I135" s="18" t="s">
        <v>54</v>
      </c>
      <c r="J135" s="36" t="s">
        <v>194</v>
      </c>
      <c r="K135" s="5" t="s">
        <v>226</v>
      </c>
      <c r="L135" t="str">
        <f t="shared" si="3"/>
        <v>zamorevlad@gmail.com</v>
      </c>
    </row>
    <row r="136" spans="1:12">
      <c r="A136" t="str" cm="1">
        <f t="array" ref="A136">_xlfn.LET(_xlpm.e,L136,
IF(_xlpm.e="","",
"DOC-"&amp;TEXT(ROW()-ROW(tblMaster[#Headers]),"00000")
))</f>
        <v>DOC-00135</v>
      </c>
      <c r="B136" s="49">
        <v>45953</v>
      </c>
      <c r="C136" s="42" t="s">
        <v>657</v>
      </c>
      <c r="D136" s="41" t="s">
        <v>658</v>
      </c>
      <c r="E136" s="38" t="s">
        <v>659</v>
      </c>
      <c r="F136" s="18" t="s">
        <v>660</v>
      </c>
      <c r="G136" s="39" t="s">
        <v>661</v>
      </c>
      <c r="H136" s="18" t="s">
        <v>17</v>
      </c>
      <c r="I136" s="18" t="s">
        <v>54</v>
      </c>
      <c r="J136" s="36" t="s">
        <v>497</v>
      </c>
      <c r="K136" s="5" t="s">
        <v>226</v>
      </c>
      <c r="L136" t="str">
        <f t="shared" si="3"/>
        <v>jlo764ver@gmail.com</v>
      </c>
    </row>
    <row r="137" spans="1:12">
      <c r="A137" t="str" cm="1">
        <f t="array" ref="A137">_xlfn.LET(_xlpm.e,L137,
IF(_xlpm.e="","",
"DOC-"&amp;TEXT(ROW()-ROW(tblMaster[#Headers]),"00000")
))</f>
        <v>DOC-00136</v>
      </c>
      <c r="B137" s="49">
        <v>45953</v>
      </c>
      <c r="C137" s="42" t="s">
        <v>662</v>
      </c>
      <c r="D137" s="41" t="s">
        <v>663</v>
      </c>
      <c r="E137" s="38" t="s">
        <v>664</v>
      </c>
      <c r="F137" s="18" t="s">
        <v>665</v>
      </c>
      <c r="G137" s="40" t="s">
        <v>666</v>
      </c>
      <c r="H137" s="18" t="s">
        <v>17</v>
      </c>
      <c r="I137" s="18" t="s">
        <v>54</v>
      </c>
      <c r="J137" s="36" t="s">
        <v>66</v>
      </c>
      <c r="K137" s="5" t="s">
        <v>652</v>
      </c>
      <c r="L137" t="str">
        <f t="shared" si="3"/>
        <v>gavinwright875@gmail.com</v>
      </c>
    </row>
    <row r="138" spans="1:12">
      <c r="A138" t="str" cm="1">
        <f t="array" ref="A138">_xlfn.LET(_xlpm.e,L138,
IF(_xlpm.e="","",
"DOC-"&amp;TEXT(ROW()-ROW(tblMaster[#Headers]),"00000")
))</f>
        <v>DOC-00137</v>
      </c>
      <c r="B138" s="49">
        <v>45953</v>
      </c>
      <c r="C138" s="42" t="s">
        <v>667</v>
      </c>
      <c r="D138" s="41" t="s">
        <v>668</v>
      </c>
      <c r="E138" s="38" t="s">
        <v>669</v>
      </c>
      <c r="F138" s="18" t="s">
        <v>670</v>
      </c>
      <c r="G138" s="39" t="s">
        <v>33</v>
      </c>
      <c r="H138" s="18" t="s">
        <v>17</v>
      </c>
      <c r="I138" s="18" t="s">
        <v>54</v>
      </c>
      <c r="J138" s="36" t="s">
        <v>194</v>
      </c>
      <c r="K138" s="5" t="s">
        <v>226</v>
      </c>
      <c r="L138" t="str">
        <f t="shared" si="3"/>
        <v>fritzner670@gmail.com</v>
      </c>
    </row>
    <row r="139" spans="1:12">
      <c r="A139" t="str" cm="1">
        <f t="array" ref="A139">_xlfn.LET(_xlpm.e,L139,
IF(_xlpm.e="","",
"DOC-"&amp;TEXT(ROW()-ROW(tblMaster[#Headers]),"00000")
))</f>
        <v>DOC-00138</v>
      </c>
      <c r="B139" s="49">
        <v>45953</v>
      </c>
      <c r="C139" s="42" t="s">
        <v>671</v>
      </c>
      <c r="D139" s="41" t="s">
        <v>672</v>
      </c>
      <c r="E139" s="38" t="s">
        <v>673</v>
      </c>
      <c r="F139" s="18" t="s">
        <v>674</v>
      </c>
      <c r="G139" s="40" t="s">
        <v>675</v>
      </c>
      <c r="H139" s="18" t="s">
        <v>17</v>
      </c>
      <c r="I139" s="18" t="s">
        <v>54</v>
      </c>
      <c r="J139" s="36" t="s">
        <v>497</v>
      </c>
      <c r="K139" s="5" t="s">
        <v>226</v>
      </c>
      <c r="L139" t="str">
        <f t="shared" si="3"/>
        <v>eric.mendez6@gmail.com</v>
      </c>
    </row>
    <row r="140" spans="1:12">
      <c r="A140" t="str" cm="1">
        <f t="array" ref="A140">_xlfn.LET(_xlpm.e,L140,
IF(_xlpm.e="","",
"DOC-"&amp;TEXT(ROW()-ROW(tblMaster[#Headers]),"00000")
))</f>
        <v>DOC-00139</v>
      </c>
      <c r="B140" s="49">
        <v>45953</v>
      </c>
      <c r="C140" s="42" t="s">
        <v>676</v>
      </c>
      <c r="D140" s="41" t="s">
        <v>677</v>
      </c>
      <c r="E140" s="38" t="s">
        <v>678</v>
      </c>
      <c r="F140" s="18" t="s">
        <v>679</v>
      </c>
      <c r="G140" s="39" t="s">
        <v>257</v>
      </c>
      <c r="H140" s="18" t="s">
        <v>17</v>
      </c>
      <c r="I140" s="18" t="s">
        <v>54</v>
      </c>
      <c r="J140" s="36" t="s">
        <v>66</v>
      </c>
      <c r="K140" s="5" t="s">
        <v>226</v>
      </c>
      <c r="L140" t="str">
        <f t="shared" si="3"/>
        <v>itsmecurtis86@gmail.com</v>
      </c>
    </row>
    <row r="141" spans="1:12">
      <c r="A141" t="str" cm="1">
        <f t="array" ref="A141">_xlfn.LET(_xlpm.e,L141,
IF(_xlpm.e="","",
"DOC-"&amp;TEXT(ROW()-ROW(tblMaster[#Headers]),"00000")
))</f>
        <v>DOC-00140</v>
      </c>
      <c r="B141" s="49">
        <v>45953</v>
      </c>
      <c r="C141" s="42" t="s">
        <v>680</v>
      </c>
      <c r="D141" s="41" t="s">
        <v>681</v>
      </c>
      <c r="E141" s="38" t="s">
        <v>682</v>
      </c>
      <c r="F141" s="18" t="s">
        <v>683</v>
      </c>
      <c r="G141" s="40" t="s">
        <v>257</v>
      </c>
      <c r="H141" s="18" t="s">
        <v>17</v>
      </c>
      <c r="I141" s="18" t="s">
        <v>54</v>
      </c>
      <c r="J141" s="36" t="s">
        <v>194</v>
      </c>
      <c r="K141" s="5" t="s">
        <v>226</v>
      </c>
      <c r="L141" t="str">
        <f t="shared" si="3"/>
        <v>shaunsingleton36@gmail.com</v>
      </c>
    </row>
    <row r="142" spans="1:12">
      <c r="A142" t="str" cm="1">
        <f t="array" ref="A142">_xlfn.LET(_xlpm.e,L142,
IF(_xlpm.e="","",
"DOC-"&amp;TEXT(ROW()-ROW(tblMaster[#Headers]),"00000")
))</f>
        <v>DOC-00141</v>
      </c>
      <c r="B142" s="49">
        <v>45953</v>
      </c>
      <c r="C142" s="42" t="s">
        <v>684</v>
      </c>
      <c r="D142" s="41" t="s">
        <v>685</v>
      </c>
      <c r="E142" s="38" t="s">
        <v>686</v>
      </c>
      <c r="F142" s="18" t="s">
        <v>687</v>
      </c>
      <c r="G142" s="39" t="s">
        <v>410</v>
      </c>
      <c r="H142" s="18" t="s">
        <v>17</v>
      </c>
      <c r="I142" s="18" t="s">
        <v>112</v>
      </c>
      <c r="J142" s="36" t="s">
        <v>497</v>
      </c>
      <c r="K142" s="5" t="s">
        <v>226</v>
      </c>
      <c r="L142" t="str">
        <f t="shared" si="3"/>
        <v>shanedetres12@outlook.com</v>
      </c>
    </row>
    <row r="143" spans="1:12">
      <c r="A143" t="str" cm="1">
        <f t="array" ref="A143">_xlfn.LET(_xlpm.e,L143,
IF(_xlpm.e="","",
"DOC-"&amp;TEXT(ROW()-ROW(tblMaster[#Headers]),"00000")
))</f>
        <v>DOC-00142</v>
      </c>
      <c r="B143" s="49">
        <v>45953</v>
      </c>
      <c r="C143" s="42" t="s">
        <v>688</v>
      </c>
      <c r="D143" s="41" t="s">
        <v>689</v>
      </c>
      <c r="E143" s="38" t="s">
        <v>690</v>
      </c>
      <c r="F143" s="18" t="s">
        <v>691</v>
      </c>
      <c r="G143" s="40" t="s">
        <v>257</v>
      </c>
      <c r="H143" s="18" t="s">
        <v>17</v>
      </c>
      <c r="I143" s="18" t="s">
        <v>54</v>
      </c>
      <c r="J143" s="36" t="s">
        <v>66</v>
      </c>
      <c r="K143" s="5" t="s">
        <v>652</v>
      </c>
      <c r="L143" t="str">
        <f t="shared" si="3"/>
        <v>cpratt86@yahoo.com</v>
      </c>
    </row>
    <row r="144" spans="1:12">
      <c r="A144" t="str" cm="1">
        <f t="array" ref="A144">_xlfn.LET(_xlpm.e,L144,
IF(_xlpm.e="","",
"DOC-"&amp;TEXT(ROW()-ROW(tblMaster[#Headers]),"00000")
))</f>
        <v/>
      </c>
      <c r="B144" s="49"/>
      <c r="C144" s="42"/>
      <c r="D144" s="41"/>
      <c r="E144" s="38"/>
      <c r="F144" s="18"/>
      <c r="G144" s="39"/>
      <c r="H144" s="18"/>
      <c r="I144" s="18"/>
      <c r="J144" s="36"/>
      <c r="L144" t="str">
        <f t="shared" si="3"/>
        <v/>
      </c>
    </row>
    <row r="145" spans="1:12">
      <c r="A145" t="str" cm="1">
        <f t="array" ref="A145">_xlfn.LET(_xlpm.e,L145,
IF(_xlpm.e="","",
"DOC-"&amp;TEXT(ROW()-ROW(tblMaster[#Headers]),"00000")
))</f>
        <v>DOC-00144</v>
      </c>
      <c r="B145" s="49">
        <v>45953</v>
      </c>
      <c r="C145" s="42" t="s">
        <v>692</v>
      </c>
      <c r="D145" s="41" t="s">
        <v>693</v>
      </c>
      <c r="E145" s="38" t="s">
        <v>694</v>
      </c>
      <c r="F145" s="18" t="s">
        <v>695</v>
      </c>
      <c r="G145" s="40" t="s">
        <v>479</v>
      </c>
      <c r="H145" s="18" t="s">
        <v>17</v>
      </c>
      <c r="I145" s="18" t="s">
        <v>54</v>
      </c>
      <c r="J145" s="36" t="s">
        <v>497</v>
      </c>
      <c r="K145" s="5" t="s">
        <v>226</v>
      </c>
      <c r="L145" t="str">
        <f t="shared" si="3"/>
        <v>yulissavittini@hotmail.com</v>
      </c>
    </row>
    <row r="146" spans="1:12">
      <c r="A146" t="str" cm="1">
        <f t="array" ref="A146">_xlfn.LET(_xlpm.e,L146,
IF(_xlpm.e="","",
"DOC-"&amp;TEXT(ROW()-ROW(tblMaster[#Headers]),"00000")
))</f>
        <v>DOC-00145</v>
      </c>
      <c r="B146" s="49">
        <v>45953</v>
      </c>
      <c r="C146" s="42" t="s">
        <v>696</v>
      </c>
      <c r="D146" s="41" t="s">
        <v>697</v>
      </c>
      <c r="E146" s="38" t="s">
        <v>698</v>
      </c>
      <c r="F146" s="18" t="s">
        <v>699</v>
      </c>
      <c r="G146" s="39" t="s">
        <v>257</v>
      </c>
      <c r="H146" s="18" t="s">
        <v>17</v>
      </c>
      <c r="I146" s="18" t="s">
        <v>54</v>
      </c>
      <c r="J146" s="36" t="s">
        <v>66</v>
      </c>
      <c r="K146" s="5" t="s">
        <v>226</v>
      </c>
      <c r="L146" t="str">
        <f t="shared" si="3"/>
        <v>totoolasamuel@gmail.com</v>
      </c>
    </row>
    <row r="147" spans="1:12">
      <c r="A147" t="str" cm="1">
        <f t="array" ref="A147">_xlfn.LET(_xlpm.e,L147,
IF(_xlpm.e="","",
"DOC-"&amp;TEXT(ROW()-ROW(tblMaster[#Headers]),"00000")
))</f>
        <v>DOC-00146</v>
      </c>
      <c r="B147" s="49">
        <v>45953</v>
      </c>
      <c r="C147" s="42" t="s">
        <v>700</v>
      </c>
      <c r="D147" s="41" t="s">
        <v>701</v>
      </c>
      <c r="E147" s="38" t="s">
        <v>702</v>
      </c>
      <c r="F147" s="18" t="s">
        <v>703</v>
      </c>
      <c r="G147" s="40" t="s">
        <v>704</v>
      </c>
      <c r="H147" s="18" t="s">
        <v>17</v>
      </c>
      <c r="I147" s="18" t="s">
        <v>54</v>
      </c>
      <c r="J147" s="36" t="s">
        <v>194</v>
      </c>
      <c r="K147" s="5" t="s">
        <v>226</v>
      </c>
      <c r="L147" t="str">
        <f t="shared" si="3"/>
        <v>jgelin17@gmail.com</v>
      </c>
    </row>
    <row r="148" spans="1:12">
      <c r="A148" t="str" cm="1">
        <f t="array" ref="A148">_xlfn.LET(_xlpm.e,L148,
IF(_xlpm.e="","",
"DOC-"&amp;TEXT(ROW()-ROW(tblMaster[#Headers]),"00000")
))</f>
        <v>DOC-00147</v>
      </c>
      <c r="B148" s="49">
        <v>45953</v>
      </c>
      <c r="C148" s="42" t="s">
        <v>705</v>
      </c>
      <c r="D148" s="41" t="s">
        <v>706</v>
      </c>
      <c r="E148" s="38" t="s">
        <v>707</v>
      </c>
      <c r="F148" s="18" t="s">
        <v>708</v>
      </c>
      <c r="G148" s="39" t="s">
        <v>52</v>
      </c>
      <c r="H148" s="18" t="s">
        <v>17</v>
      </c>
      <c r="I148" s="18" t="s">
        <v>54</v>
      </c>
      <c r="J148" s="36" t="s">
        <v>497</v>
      </c>
      <c r="K148" s="5" t="s">
        <v>226</v>
      </c>
      <c r="L148" t="str">
        <f t="shared" si="3"/>
        <v>ivenssainte00@gmail.com</v>
      </c>
    </row>
    <row r="149" spans="1:12">
      <c r="A149" t="str" cm="1">
        <f t="array" ref="A149">_xlfn.LET(_xlpm.e,L149,
IF(_xlpm.e="","",
"DOC-"&amp;TEXT(ROW()-ROW(tblMaster[#Headers]),"00000")
))</f>
        <v>DOC-00148</v>
      </c>
      <c r="B149" s="49">
        <v>45953</v>
      </c>
      <c r="C149" s="42" t="s">
        <v>709</v>
      </c>
      <c r="D149" s="41" t="s">
        <v>710</v>
      </c>
      <c r="E149" s="38" t="s">
        <v>711</v>
      </c>
      <c r="F149" s="18" t="s">
        <v>712</v>
      </c>
      <c r="G149" s="40" t="s">
        <v>713</v>
      </c>
      <c r="H149" s="18" t="s">
        <v>17</v>
      </c>
      <c r="I149" s="18" t="s">
        <v>54</v>
      </c>
      <c r="J149" s="36" t="s">
        <v>66</v>
      </c>
      <c r="K149" s="5" t="s">
        <v>226</v>
      </c>
      <c r="L149" t="str">
        <f t="shared" si="3"/>
        <v>kellyjeancharles@gmail.com</v>
      </c>
    </row>
    <row r="150" spans="1:12">
      <c r="A150" t="str" cm="1">
        <f t="array" ref="A150">_xlfn.LET(_xlpm.e,L150,
IF(_xlpm.e="","",
"DOC-"&amp;TEXT(ROW()-ROW(tblMaster[#Headers]),"00000")
))</f>
        <v>DOC-00149</v>
      </c>
      <c r="B150" s="49">
        <v>45953</v>
      </c>
      <c r="C150" s="42" t="s">
        <v>714</v>
      </c>
      <c r="D150" s="41" t="s">
        <v>715</v>
      </c>
      <c r="E150" s="38" t="s">
        <v>716</v>
      </c>
      <c r="F150" s="18" t="s">
        <v>717</v>
      </c>
      <c r="G150" s="39" t="s">
        <v>718</v>
      </c>
      <c r="H150" s="18" t="s">
        <v>153</v>
      </c>
      <c r="I150" s="18" t="s">
        <v>54</v>
      </c>
      <c r="J150" s="36" t="s">
        <v>194</v>
      </c>
      <c r="K150" s="5" t="s">
        <v>226</v>
      </c>
      <c r="L150" t="str">
        <f t="shared" si="3"/>
        <v>edmundakintunde2012@gmail.com</v>
      </c>
    </row>
    <row r="151" spans="1:12">
      <c r="A151" t="str" cm="1">
        <f t="array" ref="A151">_xlfn.LET(_xlpm.e,L151,
IF(_xlpm.e="","",
"DOC-"&amp;TEXT(ROW()-ROW(tblMaster[#Headers]),"00000")
))</f>
        <v>DOC-00150</v>
      </c>
      <c r="B151" s="49">
        <v>45953</v>
      </c>
      <c r="C151" s="42" t="s">
        <v>719</v>
      </c>
      <c r="D151" s="41" t="s">
        <v>720</v>
      </c>
      <c r="E151" s="38" t="s">
        <v>721</v>
      </c>
      <c r="F151" s="18" t="s">
        <v>722</v>
      </c>
      <c r="G151" s="40" t="s">
        <v>723</v>
      </c>
      <c r="H151" s="18" t="s">
        <v>17</v>
      </c>
      <c r="I151" s="18" t="s">
        <v>54</v>
      </c>
      <c r="J151" s="36" t="s">
        <v>497</v>
      </c>
      <c r="K151" s="5" t="s">
        <v>226</v>
      </c>
      <c r="L151" t="str">
        <f t="shared" si="3"/>
        <v>vanessat22@yahoo.com</v>
      </c>
    </row>
    <row r="152" spans="1:12">
      <c r="A152" t="str" cm="1">
        <f t="array" ref="A152">_xlfn.LET(_xlpm.e,L152,
IF(_xlpm.e="","",
"DOC-"&amp;TEXT(ROW()-ROW(tblMaster[#Headers]),"00000")
))</f>
        <v>DOC-00151</v>
      </c>
      <c r="B152" s="49">
        <v>45953</v>
      </c>
      <c r="C152" s="42" t="s">
        <v>724</v>
      </c>
      <c r="D152" s="41" t="s">
        <v>725</v>
      </c>
      <c r="E152" s="38" t="s">
        <v>726</v>
      </c>
      <c r="F152" s="18" t="s">
        <v>727</v>
      </c>
      <c r="G152" s="39" t="s">
        <v>728</v>
      </c>
      <c r="H152" s="18" t="s">
        <v>17</v>
      </c>
      <c r="I152" s="18" t="s">
        <v>54</v>
      </c>
      <c r="J152" s="36" t="s">
        <v>497</v>
      </c>
      <c r="K152" s="5" t="s">
        <v>226</v>
      </c>
      <c r="L152" t="str">
        <f t="shared" si="3"/>
        <v>josephbotelho121576@icloud.com</v>
      </c>
    </row>
    <row r="153" spans="1:12">
      <c r="A153" t="str" cm="1">
        <f t="array" ref="A153">_xlfn.LET(_xlpm.e,L153,
IF(_xlpm.e="","",
"DOC-"&amp;TEXT(ROW()-ROW(tblMaster[#Headers]),"00000")
))</f>
        <v>DOC-00152</v>
      </c>
      <c r="B153" s="49">
        <v>45953</v>
      </c>
      <c r="C153" s="42" t="s">
        <v>729</v>
      </c>
      <c r="D153" s="41" t="s">
        <v>730</v>
      </c>
      <c r="E153" s="38" t="s">
        <v>731</v>
      </c>
      <c r="F153" s="18" t="s">
        <v>732</v>
      </c>
      <c r="G153" s="40" t="s">
        <v>33</v>
      </c>
      <c r="H153" s="18" t="s">
        <v>17</v>
      </c>
      <c r="I153" s="18" t="s">
        <v>54</v>
      </c>
      <c r="J153" s="36" t="s">
        <v>66</v>
      </c>
      <c r="K153" s="5" t="s">
        <v>226</v>
      </c>
      <c r="L153" t="str">
        <f t="shared" si="3"/>
        <v>ericam1021@gmail.com</v>
      </c>
    </row>
    <row r="154" spans="1:12">
      <c r="A154" t="str" cm="1">
        <f t="array" ref="A154">_xlfn.LET(_xlpm.e,L154,
IF(_xlpm.e="","",
"DOC-"&amp;TEXT(ROW()-ROW(tblMaster[#Headers]),"00000")
))</f>
        <v>DOC-00153</v>
      </c>
      <c r="B154" s="49">
        <v>45953</v>
      </c>
      <c r="C154" s="42" t="s">
        <v>733</v>
      </c>
      <c r="D154" s="41" t="s">
        <v>734</v>
      </c>
      <c r="E154" s="38" t="s">
        <v>735</v>
      </c>
      <c r="F154" s="18" t="s">
        <v>736</v>
      </c>
      <c r="G154" s="39" t="s">
        <v>737</v>
      </c>
      <c r="H154" s="18" t="s">
        <v>17</v>
      </c>
      <c r="I154" s="18" t="s">
        <v>54</v>
      </c>
      <c r="J154" s="36" t="s">
        <v>194</v>
      </c>
      <c r="K154" s="5" t="s">
        <v>226</v>
      </c>
      <c r="L154" t="str">
        <f t="shared" si="3"/>
        <v>corcorandb@gmail.com</v>
      </c>
    </row>
    <row r="155" spans="1:12">
      <c r="A155" t="str" cm="1">
        <f t="array" ref="A155">_xlfn.LET(_xlpm.e,L155,
IF(_xlpm.e="","",
"DOC-"&amp;TEXT(ROW()-ROW(tblMaster[#Headers]),"00000")
))</f>
        <v>DOC-00154</v>
      </c>
      <c r="B155" s="49">
        <v>45953</v>
      </c>
      <c r="C155" s="42" t="s">
        <v>738</v>
      </c>
      <c r="D155" s="41" t="s">
        <v>739</v>
      </c>
      <c r="E155" s="38" t="s">
        <v>740</v>
      </c>
      <c r="F155" s="18" t="s">
        <v>741</v>
      </c>
      <c r="G155" s="40" t="s">
        <v>742</v>
      </c>
      <c r="H155" s="18" t="s">
        <v>17</v>
      </c>
      <c r="I155" s="18" t="s">
        <v>54</v>
      </c>
      <c r="J155" s="36" t="s">
        <v>497</v>
      </c>
      <c r="K155" s="5" t="s">
        <v>226</v>
      </c>
      <c r="L155" t="str">
        <f t="shared" si="3"/>
        <v>mattmcdonald610@gmail.com</v>
      </c>
    </row>
    <row r="156" spans="1:12">
      <c r="A156" t="str" cm="1">
        <f t="array" ref="A156">_xlfn.LET(_xlpm.e,L156,
IF(_xlpm.e="","",
"DOC-"&amp;TEXT(ROW()-ROW(tblMaster[#Headers]),"00000")
))</f>
        <v>DOC-00155</v>
      </c>
      <c r="B156" s="49">
        <v>45953</v>
      </c>
      <c r="C156" s="42" t="s">
        <v>743</v>
      </c>
      <c r="D156" s="41" t="s">
        <v>744</v>
      </c>
      <c r="E156" s="38" t="s">
        <v>745</v>
      </c>
      <c r="F156" s="18" t="s">
        <v>746</v>
      </c>
      <c r="G156" s="40" t="s">
        <v>33</v>
      </c>
      <c r="H156" s="18" t="s">
        <v>17</v>
      </c>
      <c r="I156" s="18" t="s">
        <v>54</v>
      </c>
      <c r="J156" s="36" t="s">
        <v>66</v>
      </c>
      <c r="K156" s="5" t="s">
        <v>226</v>
      </c>
      <c r="L156" t="str">
        <f t="shared" si="3"/>
        <v>assatasanor@yahoo.com</v>
      </c>
    </row>
    <row r="157" spans="1:12">
      <c r="A157" t="str" cm="1">
        <f t="array" ref="A157">_xlfn.LET(_xlpm.e,L157,
IF(_xlpm.e="","",
"DOC-"&amp;TEXT(ROW()-ROW(tblMaster[#Headers]),"00000")
))</f>
        <v>DOC-00156</v>
      </c>
      <c r="B157" s="49">
        <v>45953</v>
      </c>
      <c r="C157" s="42" t="s">
        <v>175</v>
      </c>
      <c r="D157" s="41" t="s">
        <v>747</v>
      </c>
      <c r="E157" s="38" t="s">
        <v>748</v>
      </c>
      <c r="F157" s="18" t="s">
        <v>749</v>
      </c>
      <c r="G157" s="39" t="s">
        <v>750</v>
      </c>
      <c r="H157" s="18" t="s">
        <v>17</v>
      </c>
      <c r="I157" s="18" t="s">
        <v>54</v>
      </c>
      <c r="J157" s="36" t="s">
        <v>194</v>
      </c>
      <c r="K157" s="5" t="s">
        <v>226</v>
      </c>
      <c r="L157" t="str">
        <f t="shared" si="3"/>
        <v>nickwoods58@gmail.com</v>
      </c>
    </row>
    <row r="158" spans="1:12">
      <c r="A158" t="str" cm="1">
        <f t="array" ref="A158">_xlfn.LET(_xlpm.e,L158,
IF(_xlpm.e="","",
"DOC-"&amp;TEXT(ROW()-ROW(tblMaster[#Headers]),"00000")
))</f>
        <v>DOC-00157</v>
      </c>
      <c r="B158" s="49">
        <v>45953</v>
      </c>
      <c r="C158" s="42" t="s">
        <v>751</v>
      </c>
      <c r="D158" s="41" t="s">
        <v>752</v>
      </c>
      <c r="E158" s="38" t="s">
        <v>753</v>
      </c>
      <c r="F158" s="18" t="s">
        <v>754</v>
      </c>
      <c r="G158" s="40" t="s">
        <v>257</v>
      </c>
      <c r="H158" s="18" t="s">
        <v>17</v>
      </c>
      <c r="I158" s="18" t="s">
        <v>54</v>
      </c>
      <c r="J158" s="36" t="s">
        <v>497</v>
      </c>
      <c r="K158" s="5" t="s">
        <v>226</v>
      </c>
      <c r="L158" t="str">
        <f t="shared" si="3"/>
        <v>damienrodriguez266@gmail.com</v>
      </c>
    </row>
    <row r="159" spans="1:12">
      <c r="A159" t="str" cm="1">
        <f t="array" ref="A159">_xlfn.LET(_xlpm.e,L159,
IF(_xlpm.e="","",
"DOC-"&amp;TEXT(ROW()-ROW(tblMaster[#Headers]),"00000")
))</f>
        <v>DOC-00158</v>
      </c>
      <c r="B159" s="49">
        <v>45953</v>
      </c>
      <c r="C159" s="42" t="s">
        <v>755</v>
      </c>
      <c r="D159" s="41" t="s">
        <v>756</v>
      </c>
      <c r="E159" s="38" t="s">
        <v>757</v>
      </c>
      <c r="F159" s="18" t="s">
        <v>758</v>
      </c>
      <c r="G159" s="39" t="s">
        <v>59</v>
      </c>
      <c r="H159" s="18" t="s">
        <v>60</v>
      </c>
      <c r="I159" s="18" t="s">
        <v>54</v>
      </c>
      <c r="J159" s="36" t="s">
        <v>497</v>
      </c>
      <c r="K159" s="5" t="s">
        <v>652</v>
      </c>
      <c r="L159" t="str">
        <f t="shared" si="3"/>
        <v>josiedesjardinsx96@gmail.com</v>
      </c>
    </row>
    <row r="160" spans="1:12">
      <c r="A160" t="str" cm="1">
        <f t="array" ref="A160">_xlfn.LET(_xlpm.e,L160,
IF(_xlpm.e="","",
"DOC-"&amp;TEXT(ROW()-ROW(tblMaster[#Headers]),"00000")
))</f>
        <v>DOC-00159</v>
      </c>
      <c r="B160" s="49">
        <v>45953</v>
      </c>
      <c r="C160" s="42" t="s">
        <v>759</v>
      </c>
      <c r="D160" s="41" t="s">
        <v>760</v>
      </c>
      <c r="E160" s="38" t="s">
        <v>761</v>
      </c>
      <c r="F160" s="18" t="s">
        <v>762</v>
      </c>
      <c r="G160" s="40" t="s">
        <v>59</v>
      </c>
      <c r="H160" s="18" t="s">
        <v>60</v>
      </c>
      <c r="I160" s="18" t="s">
        <v>54</v>
      </c>
      <c r="J160" s="36" t="s">
        <v>66</v>
      </c>
      <c r="K160" s="5" t="s">
        <v>226</v>
      </c>
      <c r="L160" t="str">
        <f t="shared" si="3"/>
        <v>joserobertoportilloa@gmail.com</v>
      </c>
    </row>
    <row r="161" spans="1:12">
      <c r="A161" t="str" cm="1">
        <f t="array" ref="A161">_xlfn.LET(_xlpm.e,L161,
IF(_xlpm.e="","",
"DOC-"&amp;TEXT(ROW()-ROW(tblMaster[#Headers]),"00000")
))</f>
        <v>DOC-00160</v>
      </c>
      <c r="B161" s="49">
        <v>45953</v>
      </c>
      <c r="C161" s="42" t="s">
        <v>763</v>
      </c>
      <c r="D161" s="41" t="s">
        <v>764</v>
      </c>
      <c r="E161" s="38" t="s">
        <v>765</v>
      </c>
      <c r="F161" s="18" t="s">
        <v>766</v>
      </c>
      <c r="G161" s="39" t="s">
        <v>767</v>
      </c>
      <c r="H161" s="18" t="s">
        <v>768</v>
      </c>
      <c r="I161" s="18" t="s">
        <v>54</v>
      </c>
      <c r="J161" s="36" t="s">
        <v>194</v>
      </c>
      <c r="K161" s="5" t="s">
        <v>226</v>
      </c>
      <c r="L161" t="str">
        <f t="shared" si="3"/>
        <v>olesankale9@gmail.com</v>
      </c>
    </row>
    <row r="162" spans="1:12">
      <c r="A162" t="str" cm="1">
        <f t="array" ref="A162">_xlfn.LET(_xlpm.e,L162,
IF(_xlpm.e="","",
"DOC-"&amp;TEXT(ROW()-ROW(tblMaster[#Headers]),"00000")
))</f>
        <v>DOC-00161</v>
      </c>
      <c r="B162" s="49">
        <v>45953</v>
      </c>
      <c r="C162" s="42" t="s">
        <v>769</v>
      </c>
      <c r="D162" s="41" t="s">
        <v>770</v>
      </c>
      <c r="E162" s="38" t="s">
        <v>771</v>
      </c>
      <c r="F162" s="18" t="s">
        <v>772</v>
      </c>
      <c r="G162" s="40" t="s">
        <v>419</v>
      </c>
      <c r="H162" s="18" t="s">
        <v>768</v>
      </c>
      <c r="I162" s="18" t="s">
        <v>54</v>
      </c>
      <c r="J162" s="36" t="s">
        <v>66</v>
      </c>
      <c r="K162" s="5" t="s">
        <v>226</v>
      </c>
      <c r="L162" t="str">
        <f t="shared" si="3"/>
        <v>jbyvens@gmail.com</v>
      </c>
    </row>
    <row r="163" spans="1:12">
      <c r="A163" t="str" cm="1">
        <f t="array" ref="A163">_xlfn.LET(_xlpm.e,L163,
IF(_xlpm.e="","",
"DOC-"&amp;TEXT(ROW()-ROW(tblMaster[#Headers]),"00000")
))</f>
        <v>DOC-00162</v>
      </c>
      <c r="B163" s="49">
        <v>45953</v>
      </c>
      <c r="C163" s="42" t="s">
        <v>773</v>
      </c>
      <c r="D163" s="41" t="s">
        <v>774</v>
      </c>
      <c r="E163" s="38" t="s">
        <v>775</v>
      </c>
      <c r="F163" s="18" t="s">
        <v>776</v>
      </c>
      <c r="G163" s="39" t="s">
        <v>777</v>
      </c>
      <c r="H163" s="18" t="s">
        <v>17</v>
      </c>
      <c r="I163" s="18" t="s">
        <v>54</v>
      </c>
      <c r="J163" s="36" t="s">
        <v>194</v>
      </c>
      <c r="K163" s="5" t="s">
        <v>226</v>
      </c>
      <c r="L163" t="str">
        <f t="shared" si="3"/>
        <v>neshmarie120493@gmail.com</v>
      </c>
    </row>
    <row r="164" spans="1:12">
      <c r="A164" t="str" cm="1">
        <f t="array" ref="A164">_xlfn.LET(_xlpm.e,L164,
IF(_xlpm.e="","",
"DOC-"&amp;TEXT(ROW()-ROW(tblMaster[#Headers]),"00000")
))</f>
        <v>DOC-00163</v>
      </c>
      <c r="B164" s="49">
        <v>45953</v>
      </c>
      <c r="C164" s="42" t="s">
        <v>778</v>
      </c>
      <c r="D164" s="41" t="s">
        <v>779</v>
      </c>
      <c r="E164" s="38" t="s">
        <v>780</v>
      </c>
      <c r="F164" s="18" t="s">
        <v>781</v>
      </c>
      <c r="G164" s="40" t="s">
        <v>782</v>
      </c>
      <c r="H164" s="18" t="s">
        <v>17</v>
      </c>
      <c r="I164" s="18" t="s">
        <v>54</v>
      </c>
      <c r="J164" s="36" t="s">
        <v>497</v>
      </c>
      <c r="K164" s="5" t="s">
        <v>226</v>
      </c>
      <c r="L164" t="str">
        <f t="shared" si="3"/>
        <v>mvelasquez3599@yahoo.com</v>
      </c>
    </row>
    <row r="165" spans="1:12">
      <c r="A165" t="str" cm="1">
        <f t="array" ref="A165">_xlfn.LET(_xlpm.e,L165,
IF(_xlpm.e="","",
"DOC-"&amp;TEXT(ROW()-ROW(tblMaster[#Headers]),"00000")
))</f>
        <v>DOC-00164</v>
      </c>
      <c r="B165" s="49">
        <v>45953</v>
      </c>
      <c r="C165" s="42" t="s">
        <v>783</v>
      </c>
      <c r="D165" s="41" t="s">
        <v>784</v>
      </c>
      <c r="E165" s="38" t="s">
        <v>785</v>
      </c>
      <c r="F165" s="18" t="s">
        <v>786</v>
      </c>
      <c r="G165" s="41" t="s">
        <v>479</v>
      </c>
      <c r="H165" s="18" t="s">
        <v>17</v>
      </c>
      <c r="I165" s="18" t="s">
        <v>112</v>
      </c>
      <c r="J165" s="36" t="s">
        <v>66</v>
      </c>
      <c r="K165" s="5" t="s">
        <v>226</v>
      </c>
      <c r="L165" t="str">
        <f t="shared" si="3"/>
        <v>johnlacroix913@yahoo.com</v>
      </c>
    </row>
    <row r="166" spans="1:12">
      <c r="A166" t="str" cm="1">
        <f t="array" ref="A166">_xlfn.LET(_xlpm.e,L166,
IF(_xlpm.e="","",
"DOC-"&amp;TEXT(ROW()-ROW(tblMaster[#Headers]),"00000")
))</f>
        <v>DOC-00165</v>
      </c>
      <c r="B166" s="49">
        <v>45953</v>
      </c>
      <c r="C166" s="42" t="s">
        <v>787</v>
      </c>
      <c r="D166" s="41" t="s">
        <v>788</v>
      </c>
      <c r="E166" s="38" t="s">
        <v>789</v>
      </c>
      <c r="F166" s="18" t="s">
        <v>790</v>
      </c>
      <c r="G166" s="41" t="s">
        <v>544</v>
      </c>
      <c r="H166" s="18" t="s">
        <v>17</v>
      </c>
      <c r="I166" s="18" t="s">
        <v>112</v>
      </c>
      <c r="J166" s="36" t="s">
        <v>194</v>
      </c>
      <c r="K166" s="5" t="s">
        <v>226</v>
      </c>
      <c r="L166" t="str">
        <f t="shared" si="3"/>
        <v>baki.darwish@outlook.com</v>
      </c>
    </row>
    <row r="167" spans="1:12">
      <c r="A167" t="str" cm="1">
        <f t="array" ref="A167">_xlfn.LET(_xlpm.e,L167,
IF(_xlpm.e="","",
"DOC-"&amp;TEXT(ROW()-ROW(tblMaster[#Headers]),"00000")
))</f>
        <v>DOC-00166</v>
      </c>
      <c r="B167" s="49">
        <v>45953</v>
      </c>
      <c r="C167" s="42" t="s">
        <v>791</v>
      </c>
      <c r="D167" s="41" t="s">
        <v>792</v>
      </c>
      <c r="E167" s="38" t="s">
        <v>793</v>
      </c>
      <c r="F167" s="18" t="s">
        <v>794</v>
      </c>
      <c r="G167" s="41" t="s">
        <v>795</v>
      </c>
      <c r="H167" s="18" t="s">
        <v>17</v>
      </c>
      <c r="I167" s="18"/>
      <c r="J167" s="36" t="s">
        <v>497</v>
      </c>
      <c r="K167" s="5" t="s">
        <v>226</v>
      </c>
      <c r="L167" t="str">
        <f t="shared" si="3"/>
        <v>fabrimendez31@gmail.com</v>
      </c>
    </row>
    <row r="168" spans="1:12">
      <c r="A168" t="str" cm="1">
        <f t="array" ref="A168">_xlfn.LET(_xlpm.e,L168,
IF(_xlpm.e="","",
"DOC-"&amp;TEXT(ROW()-ROW(tblMaster[#Headers]),"00000")
))</f>
        <v>DOC-00167</v>
      </c>
      <c r="B168" s="49">
        <v>45953</v>
      </c>
      <c r="C168" s="42" t="s">
        <v>796</v>
      </c>
      <c r="D168" s="41" t="s">
        <v>797</v>
      </c>
      <c r="E168" s="38" t="s">
        <v>798</v>
      </c>
      <c r="F168" s="18" t="s">
        <v>799</v>
      </c>
      <c r="G168" s="41" t="s">
        <v>438</v>
      </c>
      <c r="H168" s="18" t="s">
        <v>17</v>
      </c>
      <c r="I168" s="18" t="s">
        <v>54</v>
      </c>
      <c r="J168" s="36" t="s">
        <v>66</v>
      </c>
      <c r="K168" s="5" t="s">
        <v>226</v>
      </c>
      <c r="L168" t="str">
        <f t="shared" si="3"/>
        <v>jacquelinelyle@icloud.com</v>
      </c>
    </row>
    <row r="169" spans="1:12">
      <c r="A169" t="str" cm="1">
        <f t="array" ref="A169">_xlfn.LET(_xlpm.e,L169,
IF(_xlpm.e="","",
"DOC-"&amp;TEXT(ROW()-ROW(tblMaster[#Headers]),"00000")
))</f>
        <v>DOC-00168</v>
      </c>
      <c r="B169" s="49">
        <v>45953</v>
      </c>
      <c r="C169" s="42" t="s">
        <v>800</v>
      </c>
      <c r="D169" s="41" t="s">
        <v>770</v>
      </c>
      <c r="E169" s="38" t="s">
        <v>801</v>
      </c>
      <c r="F169" s="18" t="s">
        <v>802</v>
      </c>
      <c r="G169" s="41" t="s">
        <v>517</v>
      </c>
      <c r="H169" s="18" t="s">
        <v>17</v>
      </c>
      <c r="I169" s="18" t="s">
        <v>54</v>
      </c>
      <c r="J169" s="36" t="s">
        <v>194</v>
      </c>
      <c r="K169" s="5" t="s">
        <v>226</v>
      </c>
      <c r="L169" t="str">
        <f t="shared" si="3"/>
        <v>kenslyjb12@gmail.com</v>
      </c>
    </row>
    <row r="170" spans="1:12">
      <c r="A170" t="str" cm="1">
        <f t="array" ref="A170">_xlfn.LET(_xlpm.e,L170,
IF(_xlpm.e="","",
"DOC-"&amp;TEXT(ROW()-ROW(tblMaster[#Headers]),"00000")
))</f>
        <v>DOC-00169</v>
      </c>
      <c r="B170" s="49">
        <v>45953</v>
      </c>
      <c r="C170" s="42" t="s">
        <v>803</v>
      </c>
      <c r="D170" s="41" t="s">
        <v>804</v>
      </c>
      <c r="E170" s="38" t="s">
        <v>805</v>
      </c>
      <c r="F170" s="18" t="s">
        <v>806</v>
      </c>
      <c r="G170" s="41" t="s">
        <v>257</v>
      </c>
      <c r="H170" s="18" t="s">
        <v>17</v>
      </c>
      <c r="I170" s="18" t="s">
        <v>112</v>
      </c>
      <c r="J170" s="36" t="s">
        <v>497</v>
      </c>
      <c r="K170" s="5" t="s">
        <v>226</v>
      </c>
      <c r="L170" t="str">
        <f t="shared" si="3"/>
        <v>chynasena@gmail.com</v>
      </c>
    </row>
    <row r="171" spans="1:12">
      <c r="A171" t="str" cm="1">
        <f t="array" ref="A171">_xlfn.LET(_xlpm.e,L171,
IF(_xlpm.e="","",
"DOC-"&amp;TEXT(ROW()-ROW(tblMaster[#Headers]),"00000")
))</f>
        <v>DOC-00170</v>
      </c>
      <c r="B171" s="49">
        <v>45953</v>
      </c>
      <c r="C171" s="42" t="s">
        <v>807</v>
      </c>
      <c r="D171" s="41" t="s">
        <v>808</v>
      </c>
      <c r="E171" s="38" t="s">
        <v>809</v>
      </c>
      <c r="F171" s="18" t="s">
        <v>810</v>
      </c>
      <c r="G171" s="41" t="s">
        <v>811</v>
      </c>
      <c r="H171" s="18" t="s">
        <v>17</v>
      </c>
      <c r="I171" s="18" t="s">
        <v>101</v>
      </c>
      <c r="J171" s="36" t="s">
        <v>66</v>
      </c>
      <c r="K171" s="5" t="s">
        <v>226</v>
      </c>
      <c r="L171" t="str">
        <f t="shared" si="3"/>
        <v>montinalande@gmail.com</v>
      </c>
    </row>
    <row r="172" spans="1:12">
      <c r="A172" t="str" cm="1">
        <f t="array" ref="A172">_xlfn.LET(_xlpm.e,L172,
IF(_xlpm.e="","",
"DOC-"&amp;TEXT(ROW()-ROW(tblMaster[#Headers]),"00000")
))</f>
        <v>DOC-00171</v>
      </c>
      <c r="B172" s="49">
        <v>45953</v>
      </c>
      <c r="C172" s="42" t="s">
        <v>812</v>
      </c>
      <c r="D172" s="41" t="s">
        <v>813</v>
      </c>
      <c r="E172" s="38" t="s">
        <v>814</v>
      </c>
      <c r="F172" s="18" t="s">
        <v>815</v>
      </c>
      <c r="G172" s="41" t="s">
        <v>816</v>
      </c>
      <c r="H172" s="18" t="s">
        <v>17</v>
      </c>
      <c r="I172" s="18" t="s">
        <v>101</v>
      </c>
      <c r="J172" s="36" t="s">
        <v>194</v>
      </c>
      <c r="K172" s="5" t="s">
        <v>226</v>
      </c>
      <c r="L172" t="str">
        <f t="shared" si="3"/>
        <v>fowoodg@gmail.com</v>
      </c>
    </row>
    <row r="173" spans="1:12">
      <c r="A173" t="str" cm="1">
        <f t="array" ref="A173">_xlfn.LET(_xlpm.e,L173,
IF(_xlpm.e="","",
"DOC-"&amp;TEXT(ROW()-ROW(tblMaster[#Headers]),"00000")
))</f>
        <v>DOC-00172</v>
      </c>
      <c r="B173" s="49">
        <v>45953</v>
      </c>
      <c r="C173" s="42" t="s">
        <v>778</v>
      </c>
      <c r="D173" s="41" t="s">
        <v>817</v>
      </c>
      <c r="E173" s="38" t="s">
        <v>818</v>
      </c>
      <c r="F173" s="18" t="s">
        <v>819</v>
      </c>
      <c r="G173" s="41" t="s">
        <v>820</v>
      </c>
      <c r="H173" s="18" t="s">
        <v>17</v>
      </c>
      <c r="I173" s="18" t="s">
        <v>101</v>
      </c>
      <c r="J173" s="36" t="s">
        <v>194</v>
      </c>
      <c r="K173" s="5" t="s">
        <v>226</v>
      </c>
      <c r="L173" t="str">
        <f t="shared" si="3"/>
        <v>thibaultm2184@yahoo.com</v>
      </c>
    </row>
    <row r="174" spans="1:12">
      <c r="A174" t="str" cm="1">
        <f t="array" ref="A174">_xlfn.LET(_xlpm.e,L174,
IF(_xlpm.e="","",
"DOC-"&amp;TEXT(ROW()-ROW(tblMaster[#Headers]),"00000")
))</f>
        <v>DOC-00173</v>
      </c>
      <c r="B174" s="49">
        <v>45953</v>
      </c>
      <c r="C174" s="42" t="s">
        <v>821</v>
      </c>
      <c r="D174" s="41" t="s">
        <v>822</v>
      </c>
      <c r="E174" s="38" t="s">
        <v>823</v>
      </c>
      <c r="F174" s="18" t="s">
        <v>824</v>
      </c>
      <c r="G174" s="41" t="s">
        <v>47</v>
      </c>
      <c r="H174" s="18" t="s">
        <v>17</v>
      </c>
      <c r="I174" s="18" t="s">
        <v>54</v>
      </c>
      <c r="J174" s="36" t="s">
        <v>497</v>
      </c>
      <c r="K174" s="5" t="s">
        <v>226</v>
      </c>
      <c r="L174" t="str">
        <f t="shared" si="3"/>
        <v>awol5669@gmail.com</v>
      </c>
    </row>
    <row r="175" spans="1:12">
      <c r="A175" t="str" cm="1">
        <f t="array" ref="A175">_xlfn.LET(_xlpm.e,L175,
IF(_xlpm.e="","",
"DOC-"&amp;TEXT(ROW()-ROW(tblMaster[#Headers]),"00000")
))</f>
        <v>DOC-00174</v>
      </c>
      <c r="B175" s="49">
        <v>45953</v>
      </c>
      <c r="C175" s="42" t="s">
        <v>825</v>
      </c>
      <c r="D175" s="41" t="s">
        <v>826</v>
      </c>
      <c r="E175" s="38" t="s">
        <v>827</v>
      </c>
      <c r="F175" s="18" t="s">
        <v>828</v>
      </c>
      <c r="G175" s="41" t="s">
        <v>257</v>
      </c>
      <c r="H175" s="18" t="s">
        <v>17</v>
      </c>
      <c r="I175" s="18" t="s">
        <v>112</v>
      </c>
      <c r="J175" s="36" t="s">
        <v>66</v>
      </c>
      <c r="K175" s="5" t="s">
        <v>226</v>
      </c>
      <c r="L175" t="str">
        <f t="shared" si="3"/>
        <v>skyla.mae2602@gmail.com</v>
      </c>
    </row>
    <row r="176" spans="1:12">
      <c r="A176" t="str" cm="1">
        <f t="array" ref="A176">_xlfn.LET(_xlpm.e,L176,
IF(_xlpm.e="","",
"DOC-"&amp;TEXT(ROW()-ROW(tblMaster[#Headers]),"00000")
))</f>
        <v>DOC-00175</v>
      </c>
      <c r="B176" s="49">
        <v>45953</v>
      </c>
      <c r="C176" s="42" t="s">
        <v>829</v>
      </c>
      <c r="D176" s="41" t="s">
        <v>830</v>
      </c>
      <c r="E176" s="38" t="s">
        <v>831</v>
      </c>
      <c r="F176" s="18" t="s">
        <v>832</v>
      </c>
      <c r="G176" s="41" t="s">
        <v>606</v>
      </c>
      <c r="H176" s="18" t="s">
        <v>60</v>
      </c>
      <c r="I176" s="18" t="s">
        <v>54</v>
      </c>
      <c r="J176" s="36" t="s">
        <v>194</v>
      </c>
      <c r="K176" s="5" t="s">
        <v>226</v>
      </c>
      <c r="L176" t="str">
        <f t="shared" si="3"/>
        <v>eliasjflores18@gmail.com</v>
      </c>
    </row>
    <row r="177" spans="1:12">
      <c r="A177" t="str" cm="1">
        <f t="array" ref="A177">_xlfn.LET(_xlpm.e,L177,
IF(_xlpm.e="","",
"DOC-"&amp;TEXT(ROW()-ROW(tblMaster[#Headers]),"00000")
))</f>
        <v>DOC-00176</v>
      </c>
      <c r="B177" s="49">
        <v>45953</v>
      </c>
      <c r="C177" s="42" t="s">
        <v>833</v>
      </c>
      <c r="D177" s="41" t="s">
        <v>834</v>
      </c>
      <c r="E177" s="38" t="s">
        <v>835</v>
      </c>
      <c r="F177" s="18" t="s">
        <v>836</v>
      </c>
      <c r="G177" s="41" t="s">
        <v>837</v>
      </c>
      <c r="H177" s="18" t="s">
        <v>17</v>
      </c>
      <c r="I177" s="18" t="s">
        <v>101</v>
      </c>
      <c r="J177" s="36" t="s">
        <v>497</v>
      </c>
      <c r="K177" s="5" t="s">
        <v>226</v>
      </c>
      <c r="L177" t="str">
        <f t="shared" si="3"/>
        <v>ianpatconnaughton@gmail.com</v>
      </c>
    </row>
    <row r="178" spans="1:12">
      <c r="A178" t="str" cm="1">
        <f t="array" ref="A178">_xlfn.LET(_xlpm.e,L178,
IF(_xlpm.e="","",
"DOC-"&amp;TEXT(ROW()-ROW(tblMaster[#Headers]),"00000")
))</f>
        <v>DOC-00177</v>
      </c>
      <c r="B178" s="49">
        <v>45953</v>
      </c>
      <c r="C178" s="42" t="s">
        <v>838</v>
      </c>
      <c r="D178" s="41" t="s">
        <v>839</v>
      </c>
      <c r="E178" s="38" t="s">
        <v>840</v>
      </c>
      <c r="F178" s="18" t="s">
        <v>841</v>
      </c>
      <c r="G178" s="41" t="s">
        <v>842</v>
      </c>
      <c r="H178" s="18" t="s">
        <v>17</v>
      </c>
      <c r="I178" s="18" t="s">
        <v>54</v>
      </c>
      <c r="J178" s="36" t="s">
        <v>66</v>
      </c>
      <c r="K178" s="5" t="s">
        <v>226</v>
      </c>
      <c r="L178" t="str">
        <f t="shared" si="3"/>
        <v>lhernandez3@bwh.harvard.edu</v>
      </c>
    </row>
    <row r="179" spans="1:12">
      <c r="A179" t="str" cm="1">
        <f t="array" ref="A179">_xlfn.LET(_xlpm.e,L179,
IF(_xlpm.e="","",
"DOC-"&amp;TEXT(ROW()-ROW(tblMaster[#Headers]),"00000")
))</f>
        <v>DOC-00178</v>
      </c>
      <c r="B179" s="49">
        <v>45953</v>
      </c>
      <c r="C179" s="42" t="s">
        <v>843</v>
      </c>
      <c r="D179" s="41" t="s">
        <v>844</v>
      </c>
      <c r="E179" s="38" t="s">
        <v>845</v>
      </c>
      <c r="F179" s="18" t="s">
        <v>846</v>
      </c>
      <c r="G179" s="41" t="s">
        <v>410</v>
      </c>
      <c r="H179" s="18" t="s">
        <v>17</v>
      </c>
      <c r="I179" s="18" t="s">
        <v>112</v>
      </c>
      <c r="J179" s="36" t="s">
        <v>194</v>
      </c>
      <c r="K179" s="5" t="s">
        <v>226</v>
      </c>
      <c r="L179" t="str">
        <f t="shared" si="3"/>
        <v>ron</v>
      </c>
    </row>
    <row r="180" spans="1:12">
      <c r="A180" t="str" cm="1">
        <f t="array" ref="A180">_xlfn.LET(_xlpm.e,L180,
IF(_xlpm.e="","",
"DOC-"&amp;TEXT(ROW()-ROW(tblMaster[#Headers]),"00000")
))</f>
        <v>DOC-00179</v>
      </c>
      <c r="B180" s="49">
        <v>45953</v>
      </c>
      <c r="C180" s="42" t="s">
        <v>847</v>
      </c>
      <c r="D180" s="41" t="s">
        <v>848</v>
      </c>
      <c r="E180" s="38" t="s">
        <v>849</v>
      </c>
      <c r="F180" s="18" t="s">
        <v>850</v>
      </c>
      <c r="G180" s="41" t="s">
        <v>290</v>
      </c>
      <c r="H180" s="18" t="s">
        <v>17</v>
      </c>
      <c r="I180" s="18" t="s">
        <v>101</v>
      </c>
      <c r="J180" s="36" t="s">
        <v>497</v>
      </c>
      <c r="K180" s="5" t="s">
        <v>226</v>
      </c>
      <c r="L180" t="str">
        <f t="shared" si="3"/>
        <v>scottlmj20002@gmail.com</v>
      </c>
    </row>
    <row r="181" spans="1:12">
      <c r="A181" t="str" cm="1">
        <f t="array" ref="A181">_xlfn.LET(_xlpm.e,L181,
IF(_xlpm.e="","",
"DOC-"&amp;TEXT(ROW()-ROW(tblMaster[#Headers]),"00000")
))</f>
        <v>DOC-00180</v>
      </c>
      <c r="B181" s="49">
        <v>45953</v>
      </c>
      <c r="C181" s="42" t="s">
        <v>778</v>
      </c>
      <c r="D181" s="41" t="s">
        <v>851</v>
      </c>
      <c r="E181" s="38" t="s">
        <v>852</v>
      </c>
      <c r="F181" s="18" t="s">
        <v>853</v>
      </c>
      <c r="G181" s="41" t="s">
        <v>854</v>
      </c>
      <c r="H181" s="18" t="s">
        <v>17</v>
      </c>
      <c r="I181" s="18" t="s">
        <v>54</v>
      </c>
      <c r="J181" s="36" t="s">
        <v>66</v>
      </c>
      <c r="K181" s="5" t="s">
        <v>226</v>
      </c>
      <c r="L181" t="str">
        <f t="shared" si="3"/>
        <v>michaeljoyce42@yahoo.com</v>
      </c>
    </row>
    <row r="182" spans="1:12">
      <c r="A182" t="str" cm="1">
        <f t="array" ref="A182">_xlfn.LET(_xlpm.e,L182,
IF(_xlpm.e="","",
"DOC-"&amp;TEXT(ROW()-ROW(tblMaster[#Headers]),"00000")
))</f>
        <v>DOC-00181</v>
      </c>
      <c r="B182" s="49">
        <v>45953</v>
      </c>
      <c r="C182" s="42" t="s">
        <v>855</v>
      </c>
      <c r="D182" s="41" t="s">
        <v>856</v>
      </c>
      <c r="E182" s="38" t="s">
        <v>857</v>
      </c>
      <c r="F182" s="18" t="s">
        <v>858</v>
      </c>
      <c r="G182" s="41" t="s">
        <v>859</v>
      </c>
      <c r="H182" s="18" t="s">
        <v>17</v>
      </c>
      <c r="I182" s="18" t="s">
        <v>54</v>
      </c>
      <c r="J182" s="36" t="s">
        <v>194</v>
      </c>
      <c r="K182" s="5" t="s">
        <v>226</v>
      </c>
      <c r="L182" t="str">
        <f t="shared" si="3"/>
        <v>krisdog2002@yahoo.com</v>
      </c>
    </row>
    <row r="183" spans="1:12">
      <c r="A183" t="str" cm="1">
        <f t="array" ref="A183">_xlfn.LET(_xlpm.e,L183,
IF(_xlpm.e="","",
"DOC-"&amp;TEXT(ROW()-ROW(tblMaster[#Headers]),"00000")
))</f>
        <v>DOC-00182</v>
      </c>
      <c r="B183" s="49">
        <v>45953</v>
      </c>
      <c r="C183" s="42" t="s">
        <v>860</v>
      </c>
      <c r="D183" s="41" t="s">
        <v>861</v>
      </c>
      <c r="E183" s="38" t="s">
        <v>862</v>
      </c>
      <c r="F183" s="18" t="s">
        <v>863</v>
      </c>
      <c r="G183" s="41" t="s">
        <v>74</v>
      </c>
      <c r="H183" s="18" t="s">
        <v>17</v>
      </c>
      <c r="I183" s="18" t="s">
        <v>54</v>
      </c>
      <c r="J183" s="36" t="s">
        <v>497</v>
      </c>
      <c r="K183" s="5" t="s">
        <v>226</v>
      </c>
      <c r="L183" t="str">
        <f t="shared" si="3"/>
        <v>graceamelia.creative@gmail.com</v>
      </c>
    </row>
    <row r="184" spans="1:12">
      <c r="A184" t="str" cm="1">
        <f t="array" ref="A184">_xlfn.LET(_xlpm.e,L184,
IF(_xlpm.e="","",
"DOC-"&amp;TEXT(ROW()-ROW(tblMaster[#Headers]),"00000")
))</f>
        <v>DOC-00183</v>
      </c>
      <c r="B184" s="49">
        <v>45953</v>
      </c>
      <c r="C184" s="42" t="s">
        <v>864</v>
      </c>
      <c r="D184" s="41" t="s">
        <v>865</v>
      </c>
      <c r="E184" s="38" t="s">
        <v>866</v>
      </c>
      <c r="F184" s="18" t="s">
        <v>867</v>
      </c>
      <c r="G184" s="41" t="s">
        <v>79</v>
      </c>
      <c r="H184" s="18" t="s">
        <v>17</v>
      </c>
      <c r="I184" s="18" t="s">
        <v>54</v>
      </c>
      <c r="J184" s="36" t="s">
        <v>66</v>
      </c>
      <c r="K184" s="5" t="s">
        <v>226</v>
      </c>
      <c r="L184" t="str">
        <f t="shared" si="3"/>
        <v>matthiasj@gmail.com</v>
      </c>
    </row>
    <row r="185" spans="1:12">
      <c r="A185" t="str" cm="1">
        <f t="array" ref="A185">_xlfn.LET(_xlpm.e,L185,
IF(_xlpm.e="","",
"DOC-"&amp;TEXT(ROW()-ROW(tblMaster[#Headers]),"00000")
))</f>
        <v>DOC-00184</v>
      </c>
      <c r="B185" s="49">
        <v>45953</v>
      </c>
      <c r="C185" s="42" t="s">
        <v>868</v>
      </c>
      <c r="D185" s="41" t="s">
        <v>869</v>
      </c>
      <c r="E185" s="38" t="s">
        <v>870</v>
      </c>
      <c r="F185" s="18" t="s">
        <v>871</v>
      </c>
      <c r="G185" s="41" t="s">
        <v>872</v>
      </c>
      <c r="H185" s="18" t="s">
        <v>17</v>
      </c>
      <c r="I185" s="18" t="s">
        <v>54</v>
      </c>
      <c r="J185" s="36" t="s">
        <v>194</v>
      </c>
      <c r="K185" s="5" t="s">
        <v>226</v>
      </c>
      <c r="L185" t="str">
        <f t="shared" si="3"/>
        <v>djafferhassani@gmail.com</v>
      </c>
    </row>
    <row r="186" spans="1:12">
      <c r="A186" t="str" cm="1">
        <f t="array" ref="A186">_xlfn.LET(_xlpm.e,L186,
IF(_xlpm.e="","",
"DOC-"&amp;TEXT(ROW()-ROW(tblMaster[#Headers]),"00000")
))</f>
        <v>DOC-00185</v>
      </c>
      <c r="B186" s="49">
        <v>45953</v>
      </c>
      <c r="C186" s="42" t="s">
        <v>873</v>
      </c>
      <c r="D186" s="41" t="s">
        <v>874</v>
      </c>
      <c r="E186" s="38" t="s">
        <v>875</v>
      </c>
      <c r="F186" s="18" t="s">
        <v>876</v>
      </c>
      <c r="G186" s="41" t="s">
        <v>877</v>
      </c>
      <c r="H186" s="18" t="s">
        <v>17</v>
      </c>
      <c r="I186" s="18" t="s">
        <v>112</v>
      </c>
      <c r="J186" s="36" t="s">
        <v>497</v>
      </c>
      <c r="K186" s="5" t="s">
        <v>226</v>
      </c>
      <c r="L186" t="str">
        <f t="shared" si="3"/>
        <v>brkhrrngtn@gmail.com</v>
      </c>
    </row>
    <row r="187" spans="1:12">
      <c r="A187" t="str" cm="1">
        <f t="array" ref="A187">_xlfn.LET(_xlpm.e,L187,
IF(_xlpm.e="","",
"DOC-"&amp;TEXT(ROW()-ROW(tblMaster[#Headers]),"00000")
))</f>
        <v>DOC-00186</v>
      </c>
      <c r="B187" s="49">
        <v>45953</v>
      </c>
      <c r="C187" s="42" t="s">
        <v>878</v>
      </c>
      <c r="D187" s="41" t="s">
        <v>879</v>
      </c>
      <c r="E187" s="38" t="s">
        <v>880</v>
      </c>
      <c r="F187" s="18" t="s">
        <v>881</v>
      </c>
      <c r="G187" s="41" t="s">
        <v>882</v>
      </c>
      <c r="H187" s="18" t="s">
        <v>153</v>
      </c>
      <c r="I187" s="18" t="s">
        <v>54</v>
      </c>
      <c r="J187" s="36" t="s">
        <v>66</v>
      </c>
      <c r="K187" s="5" t="s">
        <v>226</v>
      </c>
      <c r="L187" t="str">
        <f t="shared" si="3"/>
        <v>quasisuga@gmail.com</v>
      </c>
    </row>
    <row r="188" spans="1:12">
      <c r="A188" t="str" cm="1">
        <f t="array" ref="A188">_xlfn.LET(_xlpm.e,L188,
IF(_xlpm.e="","",
"DOC-"&amp;TEXT(ROW()-ROW(tblMaster[#Headers]),"00000")
))</f>
        <v>DOC-00187</v>
      </c>
      <c r="B188" s="49">
        <v>45953</v>
      </c>
      <c r="C188" s="42" t="s">
        <v>883</v>
      </c>
      <c r="D188" s="41" t="s">
        <v>884</v>
      </c>
      <c r="E188" s="38" t="s">
        <v>885</v>
      </c>
      <c r="F188" s="18" t="s">
        <v>886</v>
      </c>
      <c r="G188" s="41" t="s">
        <v>887</v>
      </c>
      <c r="H188" s="18" t="s">
        <v>888</v>
      </c>
      <c r="I188" s="18" t="s">
        <v>112</v>
      </c>
      <c r="J188" s="36" t="s">
        <v>194</v>
      </c>
      <c r="K188" s="5" t="s">
        <v>226</v>
      </c>
      <c r="L188" t="str">
        <f t="shared" si="3"/>
        <v>cluniechanelle@gmail.com</v>
      </c>
    </row>
    <row r="189" spans="1:12">
      <c r="A189" t="str" cm="1">
        <f t="array" ref="A189">_xlfn.LET(_xlpm.e,L189,
IF(_xlpm.e="","",
"DOC-"&amp;TEXT(ROW()-ROW(tblMaster[#Headers]),"00000")
))</f>
        <v>DOC-00188</v>
      </c>
      <c r="B189" s="49">
        <v>45953</v>
      </c>
      <c r="C189" s="42" t="s">
        <v>889</v>
      </c>
      <c r="D189" s="41" t="s">
        <v>890</v>
      </c>
      <c r="E189" s="38" t="s">
        <v>891</v>
      </c>
      <c r="F189" s="18" t="s">
        <v>892</v>
      </c>
      <c r="G189" s="41" t="s">
        <v>281</v>
      </c>
      <c r="H189" s="18" t="s">
        <v>17</v>
      </c>
      <c r="I189" s="18" t="s">
        <v>101</v>
      </c>
      <c r="J189" s="36" t="s">
        <v>497</v>
      </c>
      <c r="K189" s="5" t="s">
        <v>226</v>
      </c>
      <c r="L189" t="str">
        <f t="shared" si="3"/>
        <v>kendell.pemberton@gmail.com</v>
      </c>
    </row>
    <row r="190" spans="1:12">
      <c r="A190" t="str" cm="1">
        <f t="array" ref="A190">_xlfn.LET(_xlpm.e,L190,
IF(_xlpm.e="","",
"DOC-"&amp;TEXT(ROW()-ROW(tblMaster[#Headers]),"00000")
))</f>
        <v>DOC-00189</v>
      </c>
      <c r="B190" s="49">
        <v>45953</v>
      </c>
      <c r="C190" s="42" t="s">
        <v>545</v>
      </c>
      <c r="D190" s="41" t="s">
        <v>893</v>
      </c>
      <c r="E190" s="38" t="s">
        <v>894</v>
      </c>
      <c r="F190" s="18" t="s">
        <v>895</v>
      </c>
      <c r="G190" s="41" t="s">
        <v>257</v>
      </c>
      <c r="H190" s="18" t="s">
        <v>17</v>
      </c>
      <c r="I190" s="18" t="s">
        <v>54</v>
      </c>
      <c r="J190" s="36" t="s">
        <v>66</v>
      </c>
      <c r="K190" s="5" t="s">
        <v>226</v>
      </c>
      <c r="L190" t="str">
        <f t="shared" si="3"/>
        <v>ayong3510@gmail.com</v>
      </c>
    </row>
    <row r="191" spans="1:12">
      <c r="A191" t="str" cm="1">
        <f t="array" ref="A191">_xlfn.LET(_xlpm.e,L191,
IF(_xlpm.e="","",
"DOC-"&amp;TEXT(ROW()-ROW(tblMaster[#Headers]),"00000")
))</f>
        <v>DOC-00190</v>
      </c>
      <c r="B191" s="49">
        <v>45953</v>
      </c>
      <c r="C191" s="42" t="s">
        <v>896</v>
      </c>
      <c r="D191" s="41" t="s">
        <v>897</v>
      </c>
      <c r="E191" s="38" t="s">
        <v>898</v>
      </c>
      <c r="F191" s="18" t="s">
        <v>899</v>
      </c>
      <c r="G191" s="41" t="s">
        <v>479</v>
      </c>
      <c r="H191" s="18" t="s">
        <v>17</v>
      </c>
      <c r="I191" s="18" t="s">
        <v>112</v>
      </c>
      <c r="J191" s="36" t="s">
        <v>194</v>
      </c>
      <c r="K191" s="5" t="s">
        <v>226</v>
      </c>
      <c r="L191" t="str">
        <f t="shared" si="3"/>
        <v>jadalisssmarieee@gmail.com</v>
      </c>
    </row>
    <row r="192" spans="1:12">
      <c r="A192" t="str" cm="1">
        <f t="array" ref="A192">_xlfn.LET(_xlpm.e,L192,
IF(_xlpm.e="","",
"DOC-"&amp;TEXT(ROW()-ROW(tblMaster[#Headers]),"00000")
))</f>
        <v>DOC-00191</v>
      </c>
      <c r="B192" s="49">
        <v>45953</v>
      </c>
      <c r="C192" s="42" t="s">
        <v>900</v>
      </c>
      <c r="D192" s="41" t="s">
        <v>901</v>
      </c>
      <c r="E192" s="38" t="s">
        <v>902</v>
      </c>
      <c r="F192" s="18" t="s">
        <v>903</v>
      </c>
      <c r="G192" s="41" t="s">
        <v>47</v>
      </c>
      <c r="H192" s="18" t="s">
        <v>17</v>
      </c>
      <c r="I192" s="18" t="s">
        <v>112</v>
      </c>
      <c r="J192" s="36" t="s">
        <v>497</v>
      </c>
      <c r="K192" s="5" t="s">
        <v>226</v>
      </c>
      <c r="L192" t="str">
        <f t="shared" si="3"/>
        <v>enownkafu2017@gmail.com</v>
      </c>
    </row>
    <row r="193" spans="1:12">
      <c r="A193" t="str" cm="1">
        <f t="array" ref="A193">_xlfn.LET(_xlpm.e,L193,
IF(_xlpm.e="","",
"DOC-"&amp;TEXT(ROW()-ROW(tblMaster[#Headers]),"00000")
))</f>
        <v>DOC-00192</v>
      </c>
      <c r="B193" s="49">
        <v>45953</v>
      </c>
      <c r="C193" s="42" t="s">
        <v>904</v>
      </c>
      <c r="D193" s="41" t="s">
        <v>905</v>
      </c>
      <c r="E193" s="38" t="s">
        <v>906</v>
      </c>
      <c r="F193" s="18" t="s">
        <v>907</v>
      </c>
      <c r="G193" s="41" t="s">
        <v>908</v>
      </c>
      <c r="H193" s="18" t="s">
        <v>267</v>
      </c>
      <c r="I193" s="18" t="s">
        <v>101</v>
      </c>
      <c r="J193" s="36" t="s">
        <v>66</v>
      </c>
      <c r="K193" s="5" t="s">
        <v>226</v>
      </c>
      <c r="L193" t="str">
        <f t="shared" si="3"/>
        <v>jamfi84@gmail.com</v>
      </c>
    </row>
    <row r="194" spans="1:12">
      <c r="A194" t="str" cm="1">
        <f t="array" ref="A194">_xlfn.LET(_xlpm.e,L194,
IF(_xlpm.e="","",
"DOC-"&amp;TEXT(ROW()-ROW(tblMaster[#Headers]),"00000")
))</f>
        <v>DOC-00193</v>
      </c>
      <c r="B194" s="49">
        <v>45953</v>
      </c>
      <c r="C194" s="42" t="s">
        <v>909</v>
      </c>
      <c r="D194" s="41" t="s">
        <v>910</v>
      </c>
      <c r="E194" s="38" t="s">
        <v>911</v>
      </c>
      <c r="F194" s="18" t="s">
        <v>912</v>
      </c>
      <c r="G194" s="41" t="s">
        <v>913</v>
      </c>
      <c r="H194" s="18" t="s">
        <v>60</v>
      </c>
      <c r="I194" s="18" t="s">
        <v>54</v>
      </c>
      <c r="J194" s="36" t="s">
        <v>194</v>
      </c>
      <c r="K194" s="5" t="s">
        <v>226</v>
      </c>
      <c r="L194" t="str">
        <f t="shared" si="3"/>
        <v>kandets@yahoo.com</v>
      </c>
    </row>
    <row r="195" spans="1:12">
      <c r="A195" t="str" cm="1">
        <f t="array" ref="A195">_xlfn.LET(_xlpm.e,L195,
IF(_xlpm.e="","",
"DOC-"&amp;TEXT(ROW()-ROW(tblMaster[#Headers]),"00000")
))</f>
        <v>DOC-00194</v>
      </c>
      <c r="B195" s="49">
        <v>45953</v>
      </c>
      <c r="C195" s="42" t="s">
        <v>914</v>
      </c>
      <c r="D195" s="41" t="s">
        <v>915</v>
      </c>
      <c r="E195" s="38" t="s">
        <v>916</v>
      </c>
      <c r="F195" s="18" t="s">
        <v>917</v>
      </c>
      <c r="G195" s="41" t="s">
        <v>918</v>
      </c>
      <c r="H195" s="18" t="s">
        <v>17</v>
      </c>
      <c r="I195" s="18" t="s">
        <v>112</v>
      </c>
      <c r="J195" s="36" t="s">
        <v>497</v>
      </c>
      <c r="K195" s="5" t="s">
        <v>226</v>
      </c>
      <c r="L195" t="str">
        <f t="shared" si="3"/>
        <v>jebrelle.martin@gmail.com</v>
      </c>
    </row>
    <row r="196" spans="1:12">
      <c r="A196" t="str" cm="1">
        <f t="array" ref="A196">_xlfn.LET(_xlpm.e,L196,
IF(_xlpm.e="","",
"DOC-"&amp;TEXT(ROW()-ROW(tblMaster[#Headers]),"00000")
))</f>
        <v>DOC-00195</v>
      </c>
      <c r="B196" s="49">
        <v>45953</v>
      </c>
      <c r="C196" s="42" t="s">
        <v>919</v>
      </c>
      <c r="D196" s="41" t="s">
        <v>920</v>
      </c>
      <c r="E196" s="38" t="s">
        <v>921</v>
      </c>
      <c r="F196" s="18" t="s">
        <v>922</v>
      </c>
      <c r="G196" s="41" t="s">
        <v>923</v>
      </c>
      <c r="H196" s="18" t="s">
        <v>355</v>
      </c>
      <c r="I196" s="18" t="s">
        <v>112</v>
      </c>
      <c r="J196" s="36" t="s">
        <v>66</v>
      </c>
      <c r="K196" s="5" t="s">
        <v>226</v>
      </c>
      <c r="L196" t="str">
        <f t="shared" si="3"/>
        <v>topmen34@outlook.com</v>
      </c>
    </row>
    <row r="197" spans="1:12">
      <c r="A197" t="str" cm="1">
        <f t="array" ref="A197">_xlfn.LET(_xlpm.e,L197,
IF(_xlpm.e="","",
"DOC-"&amp;TEXT(ROW()-ROW(tblMaster[#Headers]),"00000")
))</f>
        <v>DOC-00196</v>
      </c>
      <c r="B197" s="49">
        <v>45953</v>
      </c>
      <c r="C197" s="42" t="s">
        <v>924</v>
      </c>
      <c r="D197" s="41" t="s">
        <v>925</v>
      </c>
      <c r="E197" s="38" t="s">
        <v>926</v>
      </c>
      <c r="F197" s="18" t="s">
        <v>927</v>
      </c>
      <c r="G197" s="41" t="s">
        <v>928</v>
      </c>
      <c r="H197" s="18" t="s">
        <v>17</v>
      </c>
      <c r="I197" s="18" t="s">
        <v>112</v>
      </c>
      <c r="J197" s="36" t="s">
        <v>194</v>
      </c>
      <c r="K197" s="5" t="s">
        <v>226</v>
      </c>
      <c r="L197" t="str">
        <f t="shared" si="3"/>
        <v>briannacosgro5@gmail.com</v>
      </c>
    </row>
    <row r="198" spans="1:12">
      <c r="A198" t="str" cm="1">
        <f t="array" ref="A198">_xlfn.LET(_xlpm.e,L198,
IF(_xlpm.e="","",
"DOC-"&amp;TEXT(ROW()-ROW(tblMaster[#Headers]),"00000")
))</f>
        <v>DOC-00197</v>
      </c>
      <c r="B198" s="49">
        <v>45953</v>
      </c>
      <c r="C198" s="42" t="s">
        <v>929</v>
      </c>
      <c r="D198" s="41" t="s">
        <v>930</v>
      </c>
      <c r="E198" s="38" t="s">
        <v>931</v>
      </c>
      <c r="F198" s="18" t="s">
        <v>932</v>
      </c>
      <c r="G198" s="41" t="s">
        <v>933</v>
      </c>
      <c r="H198" s="18" t="s">
        <v>370</v>
      </c>
      <c r="I198" s="18" t="s">
        <v>112</v>
      </c>
      <c r="J198" s="36" t="s">
        <v>497</v>
      </c>
      <c r="K198" s="5" t="s">
        <v>226</v>
      </c>
      <c r="L198" t="str">
        <f t="shared" ref="L198:L261" si="4">_xlfn.LET(_xlpm.x,E198,
_xlpm.y,TRIM(CLEAN(SUBSTITUTE(_xlpm.x,CHAR(160)," "))),
LOWER(_xlpm.y))</f>
        <v>kevinperrin2020@gmail.com</v>
      </c>
    </row>
    <row r="199" spans="1:12">
      <c r="A199" t="str" cm="1">
        <f t="array" ref="A199">_xlfn.LET(_xlpm.e,L199,
IF(_xlpm.e="","",
"DOC-"&amp;TEXT(ROW()-ROW(tblMaster[#Headers]),"00000")
))</f>
        <v>DOC-00198</v>
      </c>
      <c r="B199" s="49">
        <v>45953</v>
      </c>
      <c r="C199" s="42" t="s">
        <v>934</v>
      </c>
      <c r="D199" s="41" t="s">
        <v>935</v>
      </c>
      <c r="E199" s="38" t="s">
        <v>936</v>
      </c>
      <c r="F199" s="18" t="s">
        <v>937</v>
      </c>
      <c r="G199" s="41" t="s">
        <v>207</v>
      </c>
      <c r="H199" s="18" t="s">
        <v>60</v>
      </c>
      <c r="I199" s="18" t="s">
        <v>112</v>
      </c>
      <c r="K199" s="5" t="s">
        <v>226</v>
      </c>
      <c r="L199" t="str">
        <f t="shared" si="4"/>
        <v>santodavid14@gmail.com</v>
      </c>
    </row>
    <row r="200" spans="1:12">
      <c r="A200" t="str" cm="1">
        <f t="array" ref="A200">_xlfn.LET(_xlpm.e,L200,
IF(_xlpm.e="","",
"DOC-"&amp;TEXT(ROW()-ROW(tblMaster[#Headers]),"00000")
))</f>
        <v>DOC-00199</v>
      </c>
      <c r="B200" s="49">
        <v>45953</v>
      </c>
      <c r="C200" s="42" t="s">
        <v>938</v>
      </c>
      <c r="D200" s="41" t="s">
        <v>939</v>
      </c>
      <c r="E200" s="38" t="s">
        <v>940</v>
      </c>
      <c r="F200" s="18" t="s">
        <v>941</v>
      </c>
      <c r="G200" s="41" t="s">
        <v>942</v>
      </c>
      <c r="H200" s="18" t="s">
        <v>60</v>
      </c>
      <c r="I200" s="18" t="s">
        <v>943</v>
      </c>
      <c r="J200" s="99" t="s">
        <v>66</v>
      </c>
      <c r="K200" s="5" t="s">
        <v>226</v>
      </c>
      <c r="L200" t="str">
        <f t="shared" si="4"/>
        <v>emm.trudeau22@gmail.com</v>
      </c>
    </row>
    <row r="201" spans="1:12">
      <c r="A201" t="str" cm="1">
        <f t="array" ref="A201">_xlfn.LET(_xlpm.e,L201,
IF(_xlpm.e="","",
"DOC-"&amp;TEXT(ROW()-ROW(tblMaster[#Headers]),"00000")
))</f>
        <v>DOC-00200</v>
      </c>
      <c r="B201" s="49">
        <v>45953</v>
      </c>
      <c r="C201" s="42" t="s">
        <v>944</v>
      </c>
      <c r="D201" s="41" t="s">
        <v>945</v>
      </c>
      <c r="E201" s="38" t="s">
        <v>946</v>
      </c>
      <c r="F201" s="18" t="s">
        <v>947</v>
      </c>
      <c r="G201" s="41" t="s">
        <v>948</v>
      </c>
      <c r="H201" s="18" t="s">
        <v>490</v>
      </c>
      <c r="I201" s="18" t="s">
        <v>112</v>
      </c>
      <c r="J201" s="111" t="s">
        <v>194</v>
      </c>
      <c r="K201" s="5" t="s">
        <v>226</v>
      </c>
      <c r="L201" t="str">
        <f t="shared" si="4"/>
        <v>kaniyaw24@gmail.com</v>
      </c>
    </row>
    <row r="202" spans="1:12">
      <c r="A202" t="str" cm="1">
        <f t="array" ref="A202">_xlfn.LET(_xlpm.e,L202,
IF(_xlpm.e="","",
"DOC-"&amp;TEXT(ROW()-ROW(tblMaster[#Headers]),"00000")
))</f>
        <v>DOC-00201</v>
      </c>
      <c r="B202" s="49">
        <v>45953</v>
      </c>
      <c r="C202" s="42" t="s">
        <v>949</v>
      </c>
      <c r="D202" s="41" t="s">
        <v>950</v>
      </c>
      <c r="E202" s="38" t="s">
        <v>951</v>
      </c>
      <c r="F202" s="18" t="s">
        <v>952</v>
      </c>
      <c r="G202" s="41" t="s">
        <v>59</v>
      </c>
      <c r="H202" s="18" t="s">
        <v>60</v>
      </c>
      <c r="I202" s="18" t="s">
        <v>112</v>
      </c>
      <c r="J202" s="111" t="s">
        <v>497</v>
      </c>
      <c r="K202" s="5" t="s">
        <v>226</v>
      </c>
      <c r="L202" t="str">
        <f t="shared" si="4"/>
        <v>d_pereira15@yahoo.com</v>
      </c>
    </row>
    <row r="203" spans="1:12">
      <c r="A203" t="str" cm="1">
        <f t="array" ref="A203">_xlfn.LET(_xlpm.e,L203,
IF(_xlpm.e="","",
"DOC-"&amp;TEXT(ROW()-ROW(tblMaster[#Headers]),"00000")
))</f>
        <v>DOC-00202</v>
      </c>
      <c r="B203" s="49">
        <v>45953</v>
      </c>
      <c r="C203" s="42" t="s">
        <v>953</v>
      </c>
      <c r="D203" s="41" t="s">
        <v>954</v>
      </c>
      <c r="E203" s="38" t="s">
        <v>955</v>
      </c>
      <c r="F203" s="18" t="s">
        <v>956</v>
      </c>
      <c r="G203" s="41" t="s">
        <v>957</v>
      </c>
      <c r="H203" s="18" t="s">
        <v>17</v>
      </c>
      <c r="I203" s="18" t="s">
        <v>112</v>
      </c>
      <c r="J203" s="111" t="s">
        <v>66</v>
      </c>
      <c r="K203" s="5" t="s">
        <v>226</v>
      </c>
      <c r="L203" t="str">
        <f t="shared" si="4"/>
        <v>ivonduku@gmail.com</v>
      </c>
    </row>
    <row r="204" spans="1:12">
      <c r="A204" t="str" cm="1">
        <f t="array" ref="A204">_xlfn.LET(_xlpm.e,L204,
IF(_xlpm.e="","",
"DOC-"&amp;TEXT(ROW()-ROW(tblMaster[#Headers]),"00000")
))</f>
        <v>DOC-00203</v>
      </c>
      <c r="B204" s="49">
        <v>45953</v>
      </c>
      <c r="C204" s="42" t="s">
        <v>958</v>
      </c>
      <c r="D204" s="41" t="s">
        <v>959</v>
      </c>
      <c r="E204" s="38" t="s">
        <v>960</v>
      </c>
      <c r="F204" s="18" t="s">
        <v>961</v>
      </c>
      <c r="G204" s="41" t="s">
        <v>74</v>
      </c>
      <c r="H204" s="18" t="s">
        <v>17</v>
      </c>
      <c r="I204" s="18" t="s">
        <v>101</v>
      </c>
      <c r="J204" s="111" t="s">
        <v>194</v>
      </c>
      <c r="K204" s="5" t="s">
        <v>226</v>
      </c>
      <c r="L204" t="str">
        <f t="shared" si="4"/>
        <v>ninabillbill@gmail.com</v>
      </c>
    </row>
    <row r="205" spans="1:12">
      <c r="A205" t="str" cm="1">
        <f t="array" ref="A205">_xlfn.LET(_xlpm.e,L205,
IF(_xlpm.e="","",
"DOC-"&amp;TEXT(ROW()-ROW(tblMaster[#Headers]),"00000")
))</f>
        <v>DOC-00204</v>
      </c>
      <c r="B205" s="49">
        <v>45953</v>
      </c>
      <c r="C205" s="42" t="s">
        <v>962</v>
      </c>
      <c r="D205" s="57" t="s">
        <v>963</v>
      </c>
      <c r="E205" s="38" t="s">
        <v>964</v>
      </c>
      <c r="F205" s="20" t="s">
        <v>965</v>
      </c>
      <c r="G205" s="39" t="s">
        <v>942</v>
      </c>
      <c r="H205" s="18" t="s">
        <v>60</v>
      </c>
      <c r="I205" s="18" t="s">
        <v>54</v>
      </c>
      <c r="J205" s="111" t="s">
        <v>497</v>
      </c>
      <c r="K205" s="5" t="s">
        <v>226</v>
      </c>
      <c r="L205" t="str">
        <f t="shared" si="4"/>
        <v>brittneyrylie13@gmail.com</v>
      </c>
    </row>
    <row r="206" spans="1:12">
      <c r="A206" t="str" cm="1">
        <f t="array" ref="A206">_xlfn.LET(_xlpm.e,L206,
IF(_xlpm.e="","",
"DOC-"&amp;TEXT(ROW()-ROW(tblMaster[#Headers]),"00000")
))</f>
        <v>DOC-00205</v>
      </c>
      <c r="B206" s="49">
        <v>45953</v>
      </c>
      <c r="C206" s="42" t="s">
        <v>966</v>
      </c>
      <c r="D206" s="57" t="s">
        <v>967</v>
      </c>
      <c r="E206" s="38" t="s">
        <v>968</v>
      </c>
      <c r="F206" s="20" t="s">
        <v>969</v>
      </c>
      <c r="G206" s="40" t="s">
        <v>970</v>
      </c>
      <c r="H206" s="18" t="s">
        <v>496</v>
      </c>
      <c r="I206" s="18" t="s">
        <v>101</v>
      </c>
      <c r="J206" s="111" t="s">
        <v>66</v>
      </c>
      <c r="K206" s="5" t="s">
        <v>226</v>
      </c>
      <c r="L206" t="str">
        <f t="shared" si="4"/>
        <v>trishalossi@gmail.com</v>
      </c>
    </row>
    <row r="207" spans="1:12">
      <c r="A207" t="str" cm="1">
        <f t="array" ref="A207">_xlfn.LET(_xlpm.e,L207,
IF(_xlpm.e="","",
"DOC-"&amp;TEXT(ROW()-ROW(tblMaster[#Headers]),"00000")
))</f>
        <v>DOC-00206</v>
      </c>
      <c r="B207" s="49">
        <v>45953</v>
      </c>
      <c r="C207" s="42" t="s">
        <v>971</v>
      </c>
      <c r="D207" s="41" t="s">
        <v>972</v>
      </c>
      <c r="E207" s="38" t="s">
        <v>973</v>
      </c>
      <c r="F207" s="18" t="s">
        <v>974</v>
      </c>
      <c r="G207" s="39" t="s">
        <v>33</v>
      </c>
      <c r="H207" s="18" t="s">
        <v>17</v>
      </c>
      <c r="I207" s="18" t="s">
        <v>112</v>
      </c>
      <c r="J207" s="111" t="s">
        <v>194</v>
      </c>
      <c r="K207" s="5" t="s">
        <v>226</v>
      </c>
      <c r="L207" t="str">
        <f t="shared" si="4"/>
        <v>suzykayllana1996@gmail.com</v>
      </c>
    </row>
    <row r="208" spans="1:12" ht="15.75">
      <c r="A208" t="str" cm="1">
        <f t="array" ref="A208">_xlfn.LET(_xlpm.e,L208,
IF(_xlpm.e="","",
"DOC-"&amp;TEXT(ROW()-ROW(tblMaster[#Headers]),"00000")
))</f>
        <v>DOC-00207</v>
      </c>
      <c r="B208" s="49">
        <v>45953</v>
      </c>
      <c r="C208" s="42" t="s">
        <v>975</v>
      </c>
      <c r="D208" s="53" t="s">
        <v>976</v>
      </c>
      <c r="E208" s="38" t="s">
        <v>977</v>
      </c>
      <c r="F208" s="19" t="s">
        <v>978</v>
      </c>
      <c r="G208" s="40" t="s">
        <v>979</v>
      </c>
      <c r="H208" s="18" t="s">
        <v>17</v>
      </c>
      <c r="I208" s="18" t="s">
        <v>54</v>
      </c>
      <c r="J208" s="111" t="s">
        <v>497</v>
      </c>
      <c r="K208" s="5" t="s">
        <v>226</v>
      </c>
      <c r="L208" t="str">
        <f t="shared" si="4"/>
        <v>athomas19807@gmail.com</v>
      </c>
    </row>
    <row r="209" spans="1:12">
      <c r="A209" t="str" cm="1">
        <f t="array" ref="A209">_xlfn.LET(_xlpm.e,L209,
IF(_xlpm.e="","",
"DOC-"&amp;TEXT(ROW()-ROW(tblMaster[#Headers]),"00000")
))</f>
        <v>DOC-00208</v>
      </c>
      <c r="B209" s="49">
        <v>45953</v>
      </c>
      <c r="C209" s="42" t="s">
        <v>980</v>
      </c>
      <c r="D209" s="41" t="s">
        <v>981</v>
      </c>
      <c r="E209" s="38" t="s">
        <v>982</v>
      </c>
      <c r="F209" s="18" t="s">
        <v>983</v>
      </c>
      <c r="G209" s="39" t="s">
        <v>979</v>
      </c>
      <c r="H209" s="18" t="s">
        <v>17</v>
      </c>
      <c r="I209" s="18" t="s">
        <v>101</v>
      </c>
      <c r="J209" s="111" t="s">
        <v>66</v>
      </c>
      <c r="K209" s="5" t="s">
        <v>226</v>
      </c>
      <c r="L209" t="str">
        <f t="shared" si="4"/>
        <v>moralesjo21321@gmail.com</v>
      </c>
    </row>
    <row r="210" spans="1:12">
      <c r="A210" t="str" cm="1">
        <f t="array" ref="A210">_xlfn.LET(_xlpm.e,L210,
IF(_xlpm.e="","",
"DOC-"&amp;TEXT(ROW()-ROW(tblMaster[#Headers]),"00000")
))</f>
        <v>DOC-00209</v>
      </c>
      <c r="B210" s="49">
        <v>45953</v>
      </c>
      <c r="C210" s="42" t="s">
        <v>984</v>
      </c>
      <c r="D210" s="41" t="s">
        <v>985</v>
      </c>
      <c r="E210" s="38" t="s">
        <v>986</v>
      </c>
      <c r="F210" s="18" t="s">
        <v>987</v>
      </c>
      <c r="G210" s="40" t="s">
        <v>988</v>
      </c>
      <c r="H210" s="18" t="s">
        <v>17</v>
      </c>
      <c r="I210" s="18" t="s">
        <v>54</v>
      </c>
      <c r="J210" s="111" t="s">
        <v>194</v>
      </c>
      <c r="K210" s="5" t="s">
        <v>226</v>
      </c>
      <c r="L210" t="str">
        <f t="shared" si="4"/>
        <v>yissy66@yahoo.com</v>
      </c>
    </row>
    <row r="211" spans="1:12" ht="15.75">
      <c r="A211" t="str" cm="1">
        <f t="array" ref="A211">_xlfn.LET(_xlpm.e,L211,
IF(_xlpm.e="","",
"DOC-"&amp;TEXT(ROW()-ROW(tblMaster[#Headers]),"00000")
))</f>
        <v>DOC-00210</v>
      </c>
      <c r="B211" s="49">
        <v>45953</v>
      </c>
      <c r="C211" s="42" t="s">
        <v>989</v>
      </c>
      <c r="D211" s="58" t="s">
        <v>990</v>
      </c>
      <c r="E211" s="38" t="s">
        <v>991</v>
      </c>
      <c r="F211" s="21" t="s">
        <v>992</v>
      </c>
      <c r="G211" s="39" t="s">
        <v>257</v>
      </c>
      <c r="H211" s="18" t="s">
        <v>17</v>
      </c>
      <c r="I211" s="18" t="s">
        <v>112</v>
      </c>
      <c r="J211" s="111" t="s">
        <v>497</v>
      </c>
      <c r="K211" s="5" t="s">
        <v>226</v>
      </c>
      <c r="L211" t="str">
        <f t="shared" si="4"/>
        <v>penar278@gmail.com</v>
      </c>
    </row>
    <row r="212" spans="1:12">
      <c r="A212" t="str" cm="1">
        <f t="array" ref="A212">_xlfn.LET(_xlpm.e,L212,
IF(_xlpm.e="","",
"DOC-"&amp;TEXT(ROW()-ROW(tblMaster[#Headers]),"00000")
))</f>
        <v>DOC-00211</v>
      </c>
      <c r="B212" s="49">
        <v>45953</v>
      </c>
      <c r="C212" s="42" t="s">
        <v>993</v>
      </c>
      <c r="D212" s="41" t="s">
        <v>994</v>
      </c>
      <c r="E212" s="38" t="s">
        <v>995</v>
      </c>
      <c r="F212" s="18" t="s">
        <v>996</v>
      </c>
      <c r="G212" s="40" t="s">
        <v>997</v>
      </c>
      <c r="H212" s="18" t="s">
        <v>267</v>
      </c>
      <c r="I212" s="18" t="s">
        <v>54</v>
      </c>
      <c r="J212" s="111" t="s">
        <v>66</v>
      </c>
      <c r="K212" s="5" t="s">
        <v>226</v>
      </c>
      <c r="L212" t="str">
        <f t="shared" si="4"/>
        <v>ggoppong@gmail.com</v>
      </c>
    </row>
    <row r="213" spans="1:12">
      <c r="A213" t="str" cm="1">
        <f t="array" ref="A213">_xlfn.LET(_xlpm.e,L213,
IF(_xlpm.e="","",
"DOC-"&amp;TEXT(ROW()-ROW(tblMaster[#Headers]),"00000")
))</f>
        <v>DOC-00212</v>
      </c>
      <c r="B213" s="49">
        <v>45953</v>
      </c>
      <c r="C213" s="42" t="s">
        <v>998</v>
      </c>
      <c r="D213" s="41" t="s">
        <v>999</v>
      </c>
      <c r="E213" s="38" t="s">
        <v>1000</v>
      </c>
      <c r="F213" s="112" t="s">
        <v>1001</v>
      </c>
      <c r="G213" s="39" t="s">
        <v>163</v>
      </c>
      <c r="H213" s="18" t="s">
        <v>17</v>
      </c>
      <c r="I213" s="18" t="s">
        <v>54</v>
      </c>
      <c r="J213" s="111" t="s">
        <v>194</v>
      </c>
      <c r="K213" s="5" t="s">
        <v>226</v>
      </c>
      <c r="L213" t="str">
        <f t="shared" si="4"/>
        <v>rseddiqa@gmail.com</v>
      </c>
    </row>
    <row r="214" spans="1:12">
      <c r="A214" t="str" cm="1">
        <f t="array" ref="A214">_xlfn.LET(_xlpm.e,L214,
IF(_xlpm.e="","",
"DOC-"&amp;TEXT(ROW()-ROW(tblMaster[#Headers]),"00000")
))</f>
        <v>DOC-00213</v>
      </c>
      <c r="B214" s="49">
        <v>45953</v>
      </c>
      <c r="C214" s="42" t="s">
        <v>1002</v>
      </c>
      <c r="D214" s="41" t="s">
        <v>1003</v>
      </c>
      <c r="E214" s="38" t="s">
        <v>1004</v>
      </c>
      <c r="F214" s="18" t="s">
        <v>1005</v>
      </c>
      <c r="G214" s="40" t="s">
        <v>257</v>
      </c>
      <c r="H214" s="18" t="s">
        <v>17</v>
      </c>
      <c r="I214" s="18" t="s">
        <v>112</v>
      </c>
      <c r="J214" s="111" t="s">
        <v>497</v>
      </c>
      <c r="K214" s="5" t="s">
        <v>226</v>
      </c>
      <c r="L214" t="str">
        <f t="shared" si="4"/>
        <v>bryancainbresnihan@gmail.com</v>
      </c>
    </row>
    <row r="215" spans="1:12">
      <c r="A215" t="str" cm="1">
        <f t="array" ref="A215">_xlfn.LET(_xlpm.e,L215,
IF(_xlpm.e="","",
"DOC-"&amp;TEXT(ROW()-ROW(tblMaster[#Headers]),"00000")
))</f>
        <v>DOC-00214</v>
      </c>
      <c r="B215" s="49">
        <v>45953</v>
      </c>
      <c r="C215" s="42" t="s">
        <v>1006</v>
      </c>
      <c r="D215" s="41" t="s">
        <v>1007</v>
      </c>
      <c r="E215" s="38" t="s">
        <v>1008</v>
      </c>
      <c r="F215" s="18" t="s">
        <v>1009</v>
      </c>
      <c r="G215" s="39" t="s">
        <v>1010</v>
      </c>
      <c r="H215" s="18" t="s">
        <v>267</v>
      </c>
      <c r="I215" s="18" t="s">
        <v>943</v>
      </c>
      <c r="J215" s="111" t="s">
        <v>66</v>
      </c>
      <c r="K215" s="5" t="s">
        <v>226</v>
      </c>
      <c r="L215" t="str">
        <f t="shared" si="4"/>
        <v>nymiah86@gmail.com</v>
      </c>
    </row>
    <row r="216" spans="1:12">
      <c r="A216" t="str" cm="1">
        <f t="array" ref="A216">_xlfn.LET(_xlpm.e,L216,
IF(_xlpm.e="","",
"DOC-"&amp;TEXT(ROW()-ROW(tblMaster[#Headers]),"00000")
))</f>
        <v>DOC-00215</v>
      </c>
      <c r="B216" s="49">
        <v>45953</v>
      </c>
      <c r="C216" s="42" t="s">
        <v>1011</v>
      </c>
      <c r="D216" s="41" t="s">
        <v>1012</v>
      </c>
      <c r="E216" s="38" t="s">
        <v>1013</v>
      </c>
      <c r="F216" s="18" t="s">
        <v>1014</v>
      </c>
      <c r="G216" s="41" t="s">
        <v>33</v>
      </c>
      <c r="H216" s="18" t="s">
        <v>17</v>
      </c>
      <c r="I216" s="18"/>
      <c r="J216" s="111" t="s">
        <v>66</v>
      </c>
      <c r="K216" s="5" t="s">
        <v>226</v>
      </c>
      <c r="L216" t="str">
        <f t="shared" si="4"/>
        <v>neigomesteixeira@gmail.com</v>
      </c>
    </row>
    <row r="217" spans="1:12">
      <c r="A217" t="str" cm="1">
        <f t="array" ref="A217">_xlfn.LET(_xlpm.e,L217,
IF(_xlpm.e="","",
"DOC-"&amp;TEXT(ROW()-ROW(tblMaster[#Headers]),"00000")
))</f>
        <v>DOC-00216</v>
      </c>
      <c r="B217" s="49">
        <v>45953</v>
      </c>
      <c r="C217" s="42" t="s">
        <v>1015</v>
      </c>
      <c r="D217" s="41" t="s">
        <v>1016</v>
      </c>
      <c r="E217" s="38" t="s">
        <v>1017</v>
      </c>
      <c r="F217" s="18" t="s">
        <v>1018</v>
      </c>
      <c r="G217" s="41"/>
      <c r="H217" s="18"/>
      <c r="I217" s="18" t="s">
        <v>112</v>
      </c>
      <c r="J217" s="111" t="s">
        <v>497</v>
      </c>
      <c r="K217" s="5" t="s">
        <v>226</v>
      </c>
      <c r="L217" t="str">
        <f t="shared" si="4"/>
        <v>rcamile01@gmail.com</v>
      </c>
    </row>
    <row r="218" spans="1:12">
      <c r="A218" t="str" cm="1">
        <f t="array" ref="A218">_xlfn.LET(_xlpm.e,L218,
IF(_xlpm.e="","",
"DOC-"&amp;TEXT(ROW()-ROW(tblMaster[#Headers]),"00000")
))</f>
        <v>DOC-00217</v>
      </c>
      <c r="B218" s="49">
        <v>45953</v>
      </c>
      <c r="C218" s="42" t="s">
        <v>1019</v>
      </c>
      <c r="D218" s="41" t="s">
        <v>1020</v>
      </c>
      <c r="E218" s="38" t="s">
        <v>1021</v>
      </c>
      <c r="F218" s="18" t="s">
        <v>1022</v>
      </c>
      <c r="G218" s="41" t="s">
        <v>1023</v>
      </c>
      <c r="H218" s="18" t="s">
        <v>17</v>
      </c>
      <c r="I218" s="18" t="s">
        <v>112</v>
      </c>
      <c r="J218" s="111" t="s">
        <v>66</v>
      </c>
      <c r="K218" s="5" t="s">
        <v>652</v>
      </c>
      <c r="L218" t="str">
        <f t="shared" si="4"/>
        <v>tristonchampagnie@gmail.com</v>
      </c>
    </row>
    <row r="219" spans="1:12">
      <c r="A219" t="str" cm="1">
        <f t="array" ref="A219">_xlfn.LET(_xlpm.e,L219,
IF(_xlpm.e="","",
"DOC-"&amp;TEXT(ROW()-ROW(tblMaster[#Headers]),"00000")
))</f>
        <v>DOC-00218</v>
      </c>
      <c r="B219" s="49">
        <v>45953</v>
      </c>
      <c r="C219" s="42" t="s">
        <v>1024</v>
      </c>
      <c r="D219" s="41" t="s">
        <v>1025</v>
      </c>
      <c r="E219" s="38" t="s">
        <v>1026</v>
      </c>
      <c r="F219" s="18" t="s">
        <v>1027</v>
      </c>
      <c r="G219" s="41" t="s">
        <v>1028</v>
      </c>
      <c r="H219" s="18" t="s">
        <v>1029</v>
      </c>
      <c r="I219" s="18" t="s">
        <v>112</v>
      </c>
      <c r="J219" s="111" t="s">
        <v>194</v>
      </c>
      <c r="K219" s="5" t="s">
        <v>226</v>
      </c>
      <c r="L219" t="str">
        <f t="shared" si="4"/>
        <v>angelawaldrop0428@gmail.com</v>
      </c>
    </row>
    <row r="220" spans="1:12">
      <c r="A220" t="str" cm="1">
        <f t="array" ref="A220">_xlfn.LET(_xlpm.e,L220,
IF(_xlpm.e="","",
"DOC-"&amp;TEXT(ROW()-ROW(tblMaster[#Headers]),"00000")
))</f>
        <v>DOC-00219</v>
      </c>
      <c r="B220" s="49">
        <v>45953</v>
      </c>
      <c r="C220" s="42" t="s">
        <v>1030</v>
      </c>
      <c r="D220" s="41" t="s">
        <v>1031</v>
      </c>
      <c r="E220" s="38" t="s">
        <v>1032</v>
      </c>
      <c r="F220" s="18" t="s">
        <v>1033</v>
      </c>
      <c r="G220" s="41" t="s">
        <v>1034</v>
      </c>
      <c r="H220" s="18" t="s">
        <v>17</v>
      </c>
      <c r="I220" s="18" t="s">
        <v>112</v>
      </c>
      <c r="J220" s="111" t="s">
        <v>497</v>
      </c>
      <c r="K220" s="5" t="s">
        <v>226</v>
      </c>
      <c r="L220" t="str">
        <f t="shared" si="4"/>
        <v>dimitrygoin@gmail.com</v>
      </c>
    </row>
    <row r="221" spans="1:12">
      <c r="A221" t="str" cm="1">
        <f t="array" ref="A221">_xlfn.LET(_xlpm.e,L221,
IF(_xlpm.e="","",
"DOC-"&amp;TEXT(ROW()-ROW(tblMaster[#Headers]),"00000")
))</f>
        <v>DOC-00220</v>
      </c>
      <c r="B221" s="49">
        <v>45953</v>
      </c>
      <c r="C221" s="42" t="s">
        <v>1035</v>
      </c>
      <c r="D221" s="41" t="s">
        <v>216</v>
      </c>
      <c r="E221" s="38" t="s">
        <v>1036</v>
      </c>
      <c r="F221" s="18" t="s">
        <v>1037</v>
      </c>
      <c r="G221" s="41" t="s">
        <v>257</v>
      </c>
      <c r="H221" s="18" t="s">
        <v>17</v>
      </c>
      <c r="I221" s="18" t="s">
        <v>54</v>
      </c>
      <c r="J221" s="111" t="s">
        <v>194</v>
      </c>
      <c r="K221" s="5" t="s">
        <v>226</v>
      </c>
      <c r="L221" t="str">
        <f t="shared" si="4"/>
        <v>jjada2680@gmail.com</v>
      </c>
    </row>
    <row r="222" spans="1:12">
      <c r="A222" t="str" cm="1">
        <f t="array" ref="A222">_xlfn.LET(_xlpm.e,L222,
IF(_xlpm.e="","",
"DOC-"&amp;TEXT(ROW()-ROW(tblMaster[#Headers]),"00000")
))</f>
        <v/>
      </c>
      <c r="B222" s="49"/>
      <c r="C222" s="42"/>
      <c r="D222" s="41"/>
      <c r="E222" s="38"/>
      <c r="F222" s="18"/>
      <c r="G222" s="39"/>
      <c r="H222" s="18"/>
      <c r="I222" s="18"/>
      <c r="J222" s="111" t="s">
        <v>497</v>
      </c>
      <c r="L222" t="str">
        <f t="shared" si="4"/>
        <v/>
      </c>
    </row>
    <row r="223" spans="1:12">
      <c r="A223" t="str" cm="1">
        <f t="array" ref="A223">_xlfn.LET(_xlpm.e,L223,
IF(_xlpm.e="","",
"DOC-"&amp;TEXT(ROW()-ROW(tblMaster[#Headers]),"00000")
))</f>
        <v>DOC-00222</v>
      </c>
      <c r="B223" s="49">
        <v>45953</v>
      </c>
      <c r="C223" s="42" t="s">
        <v>1038</v>
      </c>
      <c r="D223" s="41" t="s">
        <v>1039</v>
      </c>
      <c r="E223" s="38" t="s">
        <v>1040</v>
      </c>
      <c r="F223" s="18" t="s">
        <v>1041</v>
      </c>
      <c r="G223" s="41" t="s">
        <v>1042</v>
      </c>
      <c r="H223" s="18" t="s">
        <v>496</v>
      </c>
      <c r="I223" s="18" t="s">
        <v>54</v>
      </c>
      <c r="J223" s="111" t="s">
        <v>66</v>
      </c>
      <c r="K223" s="5" t="s">
        <v>226</v>
      </c>
      <c r="L223" t="str">
        <f t="shared" si="4"/>
        <v>cummingsnicole9718@gmail.com</v>
      </c>
    </row>
    <row r="224" spans="1:12">
      <c r="A224" t="str" cm="1">
        <f t="array" ref="A224">_xlfn.LET(_xlpm.e,L224,
IF(_xlpm.e="","",
"DOC-"&amp;TEXT(ROW()-ROW(tblMaster[#Headers]),"00000")
))</f>
        <v>DOC-00223</v>
      </c>
      <c r="B224" s="49">
        <v>45953</v>
      </c>
      <c r="C224" s="42" t="s">
        <v>1043</v>
      </c>
      <c r="D224" s="41" t="s">
        <v>1044</v>
      </c>
      <c r="E224" s="38" t="s">
        <v>1045</v>
      </c>
      <c r="F224" s="18" t="s">
        <v>1046</v>
      </c>
      <c r="G224" s="41" t="s">
        <v>47</v>
      </c>
      <c r="H224" s="18" t="s">
        <v>17</v>
      </c>
      <c r="I224" s="18" t="s">
        <v>101</v>
      </c>
      <c r="J224" s="111" t="s">
        <v>194</v>
      </c>
      <c r="K224" s="5" t="s">
        <v>226</v>
      </c>
      <c r="L224" t="str">
        <f t="shared" si="4"/>
        <v>kerlinjulmice1207@gmail.com</v>
      </c>
    </row>
    <row r="225" spans="1:12">
      <c r="A225" t="str" cm="1">
        <f t="array" ref="A225">_xlfn.LET(_xlpm.e,L225,
IF(_xlpm.e="","",
"DOC-"&amp;TEXT(ROW()-ROW(tblMaster[#Headers]),"00000")
))</f>
        <v>DOC-00224</v>
      </c>
      <c r="B225" s="49">
        <v>45953</v>
      </c>
      <c r="C225" s="42" t="s">
        <v>1047</v>
      </c>
      <c r="D225" s="41" t="s">
        <v>1048</v>
      </c>
      <c r="E225" s="38" t="s">
        <v>1049</v>
      </c>
      <c r="F225" s="18" t="s">
        <v>1050</v>
      </c>
      <c r="G225" s="41" t="s">
        <v>1051</v>
      </c>
      <c r="H225" s="18" t="s">
        <v>17</v>
      </c>
      <c r="I225" s="18" t="s">
        <v>54</v>
      </c>
      <c r="J225" s="111" t="s">
        <v>497</v>
      </c>
      <c r="K225" s="5" t="s">
        <v>226</v>
      </c>
      <c r="L225" t="str">
        <f t="shared" si="4"/>
        <v>tavares70@hotmail.com</v>
      </c>
    </row>
    <row r="226" spans="1:12">
      <c r="A226" t="str" cm="1">
        <f t="array" ref="A226">_xlfn.LET(_xlpm.e,L226,
IF(_xlpm.e="","",
"DOC-"&amp;TEXT(ROW()-ROW(tblMaster[#Headers]),"00000")
))</f>
        <v>DOC-00225</v>
      </c>
      <c r="B226" s="49">
        <v>45953</v>
      </c>
      <c r="C226" s="42" t="s">
        <v>1052</v>
      </c>
      <c r="D226" s="41" t="s">
        <v>1053</v>
      </c>
      <c r="E226" s="38" t="s">
        <v>1054</v>
      </c>
      <c r="F226" s="18" t="s">
        <v>1055</v>
      </c>
      <c r="G226" s="41" t="s">
        <v>1056</v>
      </c>
      <c r="H226" s="18" t="s">
        <v>17</v>
      </c>
      <c r="I226" s="18" t="s">
        <v>54</v>
      </c>
      <c r="J226" s="111" t="s">
        <v>66</v>
      </c>
      <c r="K226" s="5" t="s">
        <v>226</v>
      </c>
      <c r="L226" t="str">
        <f t="shared" si="4"/>
        <v>mosesmaparyan@gmail.com</v>
      </c>
    </row>
    <row r="227" spans="1:12">
      <c r="A227" t="str" cm="1">
        <f t="array" ref="A227">_xlfn.LET(_xlpm.e,L227,
IF(_xlpm.e="","",
"DOC-"&amp;TEXT(ROW()-ROW(tblMaster[#Headers]),"00000")
))</f>
        <v>DOC-00226</v>
      </c>
      <c r="B227" s="49">
        <v>45953</v>
      </c>
      <c r="C227" s="42" t="s">
        <v>1057</v>
      </c>
      <c r="D227" s="41" t="s">
        <v>1058</v>
      </c>
      <c r="E227" s="38" t="s">
        <v>1059</v>
      </c>
      <c r="F227" s="18" t="s">
        <v>1060</v>
      </c>
      <c r="G227" s="41" t="s">
        <v>1061</v>
      </c>
      <c r="H227" s="18" t="s">
        <v>17</v>
      </c>
      <c r="I227" s="18" t="s">
        <v>54</v>
      </c>
      <c r="J227" s="111" t="s">
        <v>194</v>
      </c>
      <c r="K227" s="5" t="s">
        <v>226</v>
      </c>
      <c r="L227" t="str">
        <f t="shared" si="4"/>
        <v>jennacarew3@gmail.com</v>
      </c>
    </row>
    <row r="228" spans="1:12">
      <c r="A228" t="str" cm="1">
        <f t="array" ref="A228">_xlfn.LET(_xlpm.e,L228,
IF(_xlpm.e="","",
"DOC-"&amp;TEXT(ROW()-ROW(tblMaster[#Headers]),"00000")
))</f>
        <v>DOC-00227</v>
      </c>
      <c r="B228" s="49">
        <v>45953</v>
      </c>
      <c r="C228" s="42" t="s">
        <v>1062</v>
      </c>
      <c r="D228" s="41" t="s">
        <v>1063</v>
      </c>
      <c r="E228" s="38" t="s">
        <v>1064</v>
      </c>
      <c r="F228" s="18" t="s">
        <v>1065</v>
      </c>
      <c r="G228" s="41"/>
      <c r="H228" s="18"/>
      <c r="I228" s="18" t="s">
        <v>112</v>
      </c>
      <c r="J228" s="111" t="s">
        <v>497</v>
      </c>
      <c r="K228" s="5" t="s">
        <v>226</v>
      </c>
      <c r="L228" t="str">
        <f t="shared" si="4"/>
        <v>williamson1928@hotmail.com</v>
      </c>
    </row>
    <row r="229" spans="1:12">
      <c r="A229" t="str" cm="1">
        <f t="array" ref="A229">_xlfn.LET(_xlpm.e,L229,
IF(_xlpm.e="","",
"DOC-"&amp;TEXT(ROW()-ROW(tblMaster[#Headers]),"00000")
))</f>
        <v>DOC-00228</v>
      </c>
      <c r="B229" s="49">
        <v>45953</v>
      </c>
      <c r="C229" s="42" t="s">
        <v>1066</v>
      </c>
      <c r="D229" s="41" t="s">
        <v>1067</v>
      </c>
      <c r="E229" s="38" t="s">
        <v>1068</v>
      </c>
      <c r="F229" s="18" t="s">
        <v>1069</v>
      </c>
      <c r="G229" s="41" t="s">
        <v>74</v>
      </c>
      <c r="H229" s="18" t="s">
        <v>17</v>
      </c>
      <c r="I229" s="18" t="s">
        <v>101</v>
      </c>
      <c r="J229" s="111" t="s">
        <v>66</v>
      </c>
      <c r="K229" s="5" t="s">
        <v>226</v>
      </c>
      <c r="L229" t="str">
        <f t="shared" si="4"/>
        <v>sollorelizab@gmail.com</v>
      </c>
    </row>
    <row r="230" spans="1:12">
      <c r="A230" t="str" cm="1">
        <f t="array" ref="A230">_xlfn.LET(_xlpm.e,L230,
IF(_xlpm.e="","",
"DOC-"&amp;TEXT(ROW()-ROW(tblMaster[#Headers]),"00000")
))</f>
        <v>DOC-00229</v>
      </c>
      <c r="B230" s="49">
        <v>45953</v>
      </c>
      <c r="C230" s="42" t="s">
        <v>1070</v>
      </c>
      <c r="D230" s="41" t="s">
        <v>1071</v>
      </c>
      <c r="E230" s="38" t="s">
        <v>1072</v>
      </c>
      <c r="F230" s="18" t="s">
        <v>1073</v>
      </c>
      <c r="G230" s="41" t="s">
        <v>1074</v>
      </c>
      <c r="H230" s="18" t="s">
        <v>17</v>
      </c>
      <c r="I230" s="18" t="s">
        <v>112</v>
      </c>
      <c r="J230" s="111" t="s">
        <v>194</v>
      </c>
      <c r="K230" s="5" t="s">
        <v>226</v>
      </c>
      <c r="L230" t="str">
        <f t="shared" si="4"/>
        <v>hopkins.o.justin@gmail.com</v>
      </c>
    </row>
    <row r="231" spans="1:12">
      <c r="A231" t="str" cm="1">
        <f t="array" ref="A231">_xlfn.LET(_xlpm.e,L231,
IF(_xlpm.e="","",
"DOC-"&amp;TEXT(ROW()-ROW(tblMaster[#Headers]),"00000")
))</f>
        <v>DOC-00230</v>
      </c>
      <c r="B231" s="49">
        <v>45953</v>
      </c>
      <c r="C231" s="42" t="s">
        <v>1075</v>
      </c>
      <c r="D231" s="41" t="s">
        <v>1076</v>
      </c>
      <c r="E231" s="38" t="s">
        <v>1077</v>
      </c>
      <c r="F231" s="18" t="s">
        <v>1078</v>
      </c>
      <c r="G231" s="41" t="s">
        <v>1079</v>
      </c>
      <c r="H231" s="18" t="s">
        <v>17</v>
      </c>
      <c r="I231" s="18" t="s">
        <v>112</v>
      </c>
      <c r="J231" s="111" t="s">
        <v>497</v>
      </c>
      <c r="K231" s="5" t="s">
        <v>226</v>
      </c>
      <c r="L231" t="str">
        <f t="shared" si="4"/>
        <v>denisjcharles@hotmail.com</v>
      </c>
    </row>
    <row r="232" spans="1:12">
      <c r="A232" t="str" cm="1">
        <f t="array" ref="A232">_xlfn.LET(_xlpm.e,L232,
IF(_xlpm.e="","",
"DOC-"&amp;TEXT(ROW()-ROW(tblMaster[#Headers]),"00000")
))</f>
        <v>DOC-00231</v>
      </c>
      <c r="B232" s="49">
        <v>45953</v>
      </c>
      <c r="C232" s="42" t="s">
        <v>1080</v>
      </c>
      <c r="D232" s="41" t="s">
        <v>1081</v>
      </c>
      <c r="E232" s="38" t="s">
        <v>1082</v>
      </c>
      <c r="F232" s="18" t="s">
        <v>1083</v>
      </c>
      <c r="G232" s="41" t="s">
        <v>1084</v>
      </c>
      <c r="H232" s="18" t="s">
        <v>17</v>
      </c>
      <c r="I232" s="18"/>
      <c r="J232" s="111" t="s">
        <v>66</v>
      </c>
      <c r="K232" s="5" t="s">
        <v>226</v>
      </c>
      <c r="L232" t="str">
        <f t="shared" si="4"/>
        <v>christopherphillips440@gmail.com</v>
      </c>
    </row>
    <row r="233" spans="1:12">
      <c r="A233" t="str" cm="1">
        <f t="array" ref="A233">_xlfn.LET(_xlpm.e,L233,
IF(_xlpm.e="","",
"DOC-"&amp;TEXT(ROW()-ROW(tblMaster[#Headers]),"00000")
))</f>
        <v>DOC-00232</v>
      </c>
      <c r="B233" s="49">
        <v>45953</v>
      </c>
      <c r="C233" s="42" t="s">
        <v>1085</v>
      </c>
      <c r="D233" s="41" t="s">
        <v>1086</v>
      </c>
      <c r="E233" s="38" t="s">
        <v>1087</v>
      </c>
      <c r="F233" s="18" t="s">
        <v>1088</v>
      </c>
      <c r="G233" s="41" t="s">
        <v>581</v>
      </c>
      <c r="H233" s="18" t="s">
        <v>17</v>
      </c>
      <c r="I233" s="18" t="s">
        <v>112</v>
      </c>
      <c r="J233" s="111" t="s">
        <v>194</v>
      </c>
      <c r="K233" s="5" t="s">
        <v>226</v>
      </c>
      <c r="L233" t="str">
        <f t="shared" si="4"/>
        <v>charlessunny1@gmail.com</v>
      </c>
    </row>
    <row r="234" spans="1:12">
      <c r="A234" t="str" cm="1">
        <f t="array" ref="A234">_xlfn.LET(_xlpm.e,L234,
IF(_xlpm.e="","",
"DOC-"&amp;TEXT(ROW()-ROW(tblMaster[#Headers]),"00000")
))</f>
        <v>DOC-00233</v>
      </c>
      <c r="B234" s="49">
        <v>45953</v>
      </c>
      <c r="C234" s="42" t="s">
        <v>1089</v>
      </c>
      <c r="D234" s="41" t="s">
        <v>1090</v>
      </c>
      <c r="E234" s="38" t="s">
        <v>1091</v>
      </c>
      <c r="F234" s="18" t="s">
        <v>1092</v>
      </c>
      <c r="G234" s="41" t="s">
        <v>276</v>
      </c>
      <c r="H234" s="18" t="s">
        <v>17</v>
      </c>
      <c r="I234" s="18" t="s">
        <v>101</v>
      </c>
      <c r="J234" s="111" t="s">
        <v>497</v>
      </c>
      <c r="K234" s="5" t="s">
        <v>226</v>
      </c>
      <c r="L234" t="str">
        <f t="shared" si="4"/>
        <v>guerby1987@gmail.com</v>
      </c>
    </row>
    <row r="235" spans="1:12">
      <c r="A235" t="str" cm="1">
        <f t="array" ref="A235">_xlfn.LET(_xlpm.e,L235,
IF(_xlpm.e="","",
"DOC-"&amp;TEXT(ROW()-ROW(tblMaster[#Headers]),"00000")
))</f>
        <v>DOC-00234</v>
      </c>
      <c r="B235" s="49">
        <v>45953</v>
      </c>
      <c r="C235" s="42" t="s">
        <v>1093</v>
      </c>
      <c r="D235" s="41" t="s">
        <v>1094</v>
      </c>
      <c r="E235" s="38" t="s">
        <v>1095</v>
      </c>
      <c r="F235" s="18" t="s">
        <v>1096</v>
      </c>
      <c r="G235" s="41" t="s">
        <v>484</v>
      </c>
      <c r="H235" s="18" t="s">
        <v>267</v>
      </c>
      <c r="I235" s="18" t="s">
        <v>54</v>
      </c>
      <c r="J235" s="111" t="s">
        <v>66</v>
      </c>
      <c r="K235" s="5" t="s">
        <v>226</v>
      </c>
      <c r="L235" t="str">
        <f t="shared" si="4"/>
        <v>lifesaver188@gmail.com</v>
      </c>
    </row>
    <row r="236" spans="1:12">
      <c r="A236" t="str" cm="1">
        <f t="array" ref="A236">_xlfn.LET(_xlpm.e,L236,
IF(_xlpm.e="","",
"DOC-"&amp;TEXT(ROW()-ROW(tblMaster[#Headers]),"00000")
))</f>
        <v>DOC-00235</v>
      </c>
      <c r="B236" s="49">
        <v>45953</v>
      </c>
      <c r="C236" s="42" t="s">
        <v>183</v>
      </c>
      <c r="D236" s="41" t="s">
        <v>1097</v>
      </c>
      <c r="E236" s="38" t="s">
        <v>1098</v>
      </c>
      <c r="F236" s="18" t="s">
        <v>1099</v>
      </c>
      <c r="G236" s="41" t="s">
        <v>1100</v>
      </c>
      <c r="H236" s="18" t="s">
        <v>60</v>
      </c>
      <c r="I236" s="18" t="s">
        <v>101</v>
      </c>
      <c r="J236" s="111" t="s">
        <v>194</v>
      </c>
      <c r="K236" s="5" t="s">
        <v>226</v>
      </c>
      <c r="L236" t="str">
        <f t="shared" si="4"/>
        <v>yvonnemartinezx3@yahoo.com</v>
      </c>
    </row>
    <row r="237" spans="1:12">
      <c r="A237" t="str" cm="1">
        <f t="array" ref="A237">_xlfn.LET(_xlpm.e,L237,
IF(_xlpm.e="","",
"DOC-"&amp;TEXT(ROW()-ROW(tblMaster[#Headers]),"00000")
))</f>
        <v>DOC-00236</v>
      </c>
      <c r="B237" s="49">
        <v>45953</v>
      </c>
      <c r="C237" s="42" t="s">
        <v>1101</v>
      </c>
      <c r="D237" s="41" t="s">
        <v>1102</v>
      </c>
      <c r="E237" s="38" t="s">
        <v>1103</v>
      </c>
      <c r="F237" s="18" t="s">
        <v>1104</v>
      </c>
      <c r="G237" s="41" t="s">
        <v>128</v>
      </c>
      <c r="H237" s="18" t="s">
        <v>17</v>
      </c>
      <c r="I237" s="18" t="s">
        <v>54</v>
      </c>
      <c r="J237" s="111" t="s">
        <v>66</v>
      </c>
      <c r="K237" s="5" t="s">
        <v>226</v>
      </c>
      <c r="L237" t="str">
        <f t="shared" si="4"/>
        <v>reginegabelus6@gmail.com</v>
      </c>
    </row>
    <row r="238" spans="1:12">
      <c r="A238" t="str" cm="1">
        <f t="array" ref="A238">_xlfn.LET(_xlpm.e,L238,
IF(_xlpm.e="","",
"DOC-"&amp;TEXT(ROW()-ROW(tblMaster[#Headers]),"00000")
))</f>
        <v>DOC-00237</v>
      </c>
      <c r="B238" s="49">
        <v>45953</v>
      </c>
      <c r="C238" s="42" t="s">
        <v>1105</v>
      </c>
      <c r="D238" s="41" t="s">
        <v>1106</v>
      </c>
      <c r="E238" s="38" t="s">
        <v>1107</v>
      </c>
      <c r="F238" s="18" t="s">
        <v>1108</v>
      </c>
      <c r="G238" s="41" t="s">
        <v>1109</v>
      </c>
      <c r="H238" s="18" t="s">
        <v>17</v>
      </c>
      <c r="I238" s="18" t="s">
        <v>54</v>
      </c>
      <c r="J238" s="111" t="s">
        <v>194</v>
      </c>
      <c r="K238" s="5" t="s">
        <v>226</v>
      </c>
      <c r="L238" t="str">
        <f t="shared" si="4"/>
        <v>brandonwhitehead@hotmail.com</v>
      </c>
    </row>
    <row r="239" spans="1:12">
      <c r="A239" t="str" cm="1">
        <f t="array" ref="A239">_xlfn.LET(_xlpm.e,L239,
IF(_xlpm.e="","",
"DOC-"&amp;TEXT(ROW()-ROW(tblMaster[#Headers]),"00000")
))</f>
        <v>DOC-00238</v>
      </c>
      <c r="B239" s="49">
        <v>45953</v>
      </c>
      <c r="C239" s="42" t="s">
        <v>976</v>
      </c>
      <c r="D239" s="41" t="s">
        <v>1110</v>
      </c>
      <c r="E239" s="38" t="s">
        <v>1111</v>
      </c>
      <c r="F239" s="18" t="s">
        <v>1112</v>
      </c>
      <c r="G239" s="41" t="s">
        <v>393</v>
      </c>
      <c r="H239" s="18" t="s">
        <v>17</v>
      </c>
      <c r="I239" s="18" t="s">
        <v>54</v>
      </c>
      <c r="J239" s="111" t="s">
        <v>497</v>
      </c>
      <c r="K239" s="5" t="s">
        <v>226</v>
      </c>
      <c r="L239" t="str">
        <f t="shared" si="4"/>
        <v>leavitt0331@gmail.com</v>
      </c>
    </row>
    <row r="240" spans="1:12">
      <c r="A240" t="str" cm="1">
        <f t="array" ref="A240">_xlfn.LET(_xlpm.e,L240,
IF(_xlpm.e="","",
"DOC-"&amp;TEXT(ROW()-ROW(tblMaster[#Headers]),"00000")
))</f>
        <v>DOC-00239</v>
      </c>
      <c r="B240" s="49">
        <v>45953</v>
      </c>
      <c r="C240" s="42" t="s">
        <v>1113</v>
      </c>
      <c r="D240" s="41" t="s">
        <v>1114</v>
      </c>
      <c r="E240" s="38" t="s">
        <v>1115</v>
      </c>
      <c r="F240" s="18" t="s">
        <v>1116</v>
      </c>
      <c r="G240" s="41" t="s">
        <v>147</v>
      </c>
      <c r="H240" s="18" t="s">
        <v>17</v>
      </c>
      <c r="I240" s="18" t="s">
        <v>54</v>
      </c>
      <c r="J240" s="111" t="s">
        <v>66</v>
      </c>
      <c r="K240" s="5" t="s">
        <v>226</v>
      </c>
      <c r="L240" t="str">
        <f t="shared" si="4"/>
        <v>josephwhyte1993@gmail.com</v>
      </c>
    </row>
    <row r="241" spans="1:12">
      <c r="A241" t="str" cm="1">
        <f t="array" ref="A241">_xlfn.LET(_xlpm.e,L241,
IF(_xlpm.e="","",
"DOC-"&amp;TEXT(ROW()-ROW(tblMaster[#Headers]),"00000")
))</f>
        <v>DOC-00240</v>
      </c>
      <c r="B241" s="49">
        <v>45953</v>
      </c>
      <c r="C241" s="42" t="s">
        <v>1117</v>
      </c>
      <c r="D241" s="41" t="s">
        <v>1118</v>
      </c>
      <c r="E241" s="38" t="s">
        <v>1119</v>
      </c>
      <c r="F241" s="18" t="s">
        <v>1120</v>
      </c>
      <c r="G241" s="41" t="s">
        <v>918</v>
      </c>
      <c r="H241" s="18" t="s">
        <v>17</v>
      </c>
      <c r="I241" s="18" t="s">
        <v>54</v>
      </c>
      <c r="J241" s="111" t="s">
        <v>66</v>
      </c>
      <c r="K241" s="5" t="s">
        <v>226</v>
      </c>
      <c r="L241" t="str">
        <f t="shared" si="4"/>
        <v>chopsoxwal@gmail.com</v>
      </c>
    </row>
    <row r="242" spans="1:12">
      <c r="A242" t="str" cm="1">
        <f t="array" ref="A242">_xlfn.LET(_xlpm.e,L242,
IF(_xlpm.e="","",
"DOC-"&amp;TEXT(ROW()-ROW(tblMaster[#Headers]),"00000")
))</f>
        <v>DOC-00241</v>
      </c>
      <c r="B242" s="49">
        <v>45953</v>
      </c>
      <c r="C242" s="42" t="s">
        <v>759</v>
      </c>
      <c r="D242" s="41" t="s">
        <v>1121</v>
      </c>
      <c r="E242" s="38" t="s">
        <v>1122</v>
      </c>
      <c r="F242" s="18" t="s">
        <v>1123</v>
      </c>
      <c r="G242" s="41" t="s">
        <v>1124</v>
      </c>
      <c r="H242" s="18" t="s">
        <v>267</v>
      </c>
      <c r="I242" s="18" t="s">
        <v>112</v>
      </c>
      <c r="J242" s="111" t="s">
        <v>194</v>
      </c>
      <c r="K242" s="5" t="s">
        <v>226</v>
      </c>
      <c r="L242" t="str">
        <f t="shared" si="4"/>
        <v>jose.rosa1979@yahoo.com</v>
      </c>
    </row>
    <row r="243" spans="1:12">
      <c r="A243" t="str" cm="1">
        <f t="array" ref="A243">_xlfn.LET(_xlpm.e,L243,
IF(_xlpm.e="","",
"DOC-"&amp;TEXT(ROW()-ROW(tblMaster[#Headers]),"00000")
))</f>
        <v>DOC-00242</v>
      </c>
      <c r="B243" s="49">
        <v>45953</v>
      </c>
      <c r="C243" s="42" t="s">
        <v>1125</v>
      </c>
      <c r="D243" s="41" t="s">
        <v>1126</v>
      </c>
      <c r="E243" s="38" t="s">
        <v>1127</v>
      </c>
      <c r="F243" s="18" t="s">
        <v>1128</v>
      </c>
      <c r="G243" s="41" t="s">
        <v>33</v>
      </c>
      <c r="H243" s="18" t="s">
        <v>17</v>
      </c>
      <c r="I243" s="18" t="s">
        <v>54</v>
      </c>
      <c r="J243" s="111" t="s">
        <v>497</v>
      </c>
      <c r="K243" s="5" t="s">
        <v>226</v>
      </c>
      <c r="L243" t="str">
        <f t="shared" si="4"/>
        <v>marshadenis@gmail.com</v>
      </c>
    </row>
    <row r="244" spans="1:12">
      <c r="A244" t="str" cm="1">
        <f t="array" ref="A244">_xlfn.LET(_xlpm.e,L244,
IF(_xlpm.e="","",
"DOC-"&amp;TEXT(ROW()-ROW(tblMaster[#Headers]),"00000")
))</f>
        <v>DOC-00243</v>
      </c>
      <c r="B244" s="49">
        <v>45953</v>
      </c>
      <c r="C244" s="42" t="s">
        <v>1129</v>
      </c>
      <c r="D244" s="41" t="s">
        <v>1130</v>
      </c>
      <c r="E244" s="38" t="s">
        <v>1131</v>
      </c>
      <c r="F244" s="18" t="s">
        <v>1132</v>
      </c>
      <c r="G244" s="41" t="s">
        <v>1133</v>
      </c>
      <c r="H244" s="18" t="s">
        <v>267</v>
      </c>
      <c r="I244" s="18" t="s">
        <v>101</v>
      </c>
      <c r="J244" s="111" t="s">
        <v>66</v>
      </c>
      <c r="K244" s="5" t="s">
        <v>226</v>
      </c>
      <c r="L244" t="str">
        <f t="shared" si="4"/>
        <v>rasheed2390@gmail.com</v>
      </c>
    </row>
    <row r="245" spans="1:12">
      <c r="A245" t="str" cm="1">
        <f t="array" ref="A245">_xlfn.LET(_xlpm.e,L245,
IF(_xlpm.e="","",
"DOC-"&amp;TEXT(ROW()-ROW(tblMaster[#Headers]),"00000")
))</f>
        <v>DOC-00244</v>
      </c>
      <c r="B245" s="49">
        <v>45953</v>
      </c>
      <c r="C245" s="42" t="s">
        <v>1134</v>
      </c>
      <c r="D245" s="41" t="s">
        <v>1135</v>
      </c>
      <c r="E245" s="38" t="s">
        <v>1136</v>
      </c>
      <c r="F245" s="18" t="s">
        <v>1137</v>
      </c>
      <c r="G245" s="41" t="s">
        <v>257</v>
      </c>
      <c r="H245" s="18" t="s">
        <v>17</v>
      </c>
      <c r="I245" s="18" t="s">
        <v>54</v>
      </c>
      <c r="J245" s="111" t="s">
        <v>66</v>
      </c>
      <c r="K245" s="5" t="s">
        <v>226</v>
      </c>
      <c r="L245" t="str">
        <f t="shared" si="4"/>
        <v>shandraolivier@icloud.com</v>
      </c>
    </row>
    <row r="246" spans="1:12">
      <c r="A246" t="str" cm="1">
        <f t="array" ref="A246">_xlfn.LET(_xlpm.e,L246,
IF(_xlpm.e="","",
"DOC-"&amp;TEXT(ROW()-ROW(tblMaster[#Headers]),"00000")
))</f>
        <v>DOC-00245</v>
      </c>
      <c r="B246" s="49">
        <v>45953</v>
      </c>
      <c r="C246" s="42" t="s">
        <v>1138</v>
      </c>
      <c r="D246" s="41" t="s">
        <v>1139</v>
      </c>
      <c r="E246" s="38" t="s">
        <v>1140</v>
      </c>
      <c r="F246" s="18" t="s">
        <v>1141</v>
      </c>
      <c r="G246" s="41" t="s">
        <v>47</v>
      </c>
      <c r="H246" s="18" t="s">
        <v>17</v>
      </c>
      <c r="I246" s="18" t="s">
        <v>54</v>
      </c>
      <c r="J246" s="111" t="s">
        <v>497</v>
      </c>
      <c r="K246" s="5" t="s">
        <v>226</v>
      </c>
      <c r="L246" t="str">
        <f t="shared" si="4"/>
        <v>redabazarto@gmail.com</v>
      </c>
    </row>
    <row r="247" spans="1:12">
      <c r="A247" t="str" cm="1">
        <f t="array" ref="A247">_xlfn.LET(_xlpm.e,L247,
IF(_xlpm.e="","",
"DOC-"&amp;TEXT(ROW()-ROW(tblMaster[#Headers]),"00000")
))</f>
        <v>DOC-00246</v>
      </c>
      <c r="B247" s="49">
        <v>45953</v>
      </c>
      <c r="C247" s="42" t="s">
        <v>1142</v>
      </c>
      <c r="D247" s="41" t="s">
        <v>1143</v>
      </c>
      <c r="E247" s="38" t="s">
        <v>1144</v>
      </c>
      <c r="F247" s="18" t="s">
        <v>1145</v>
      </c>
      <c r="G247" s="41" t="s">
        <v>1146</v>
      </c>
      <c r="H247" s="18" t="s">
        <v>496</v>
      </c>
      <c r="I247" s="18"/>
      <c r="J247" s="111" t="s">
        <v>66</v>
      </c>
      <c r="K247" s="5" t="s">
        <v>226</v>
      </c>
      <c r="L247" t="str">
        <f t="shared" si="4"/>
        <v>abrahamnorbi27@icloud.com</v>
      </c>
    </row>
    <row r="248" spans="1:12">
      <c r="A248" t="str" cm="1">
        <f t="array" ref="A248">_xlfn.LET(_xlpm.e,L248,
IF(_xlpm.e="","",
"DOC-"&amp;TEXT(ROW()-ROW(tblMaster[#Headers]),"00000")
))</f>
        <v>DOC-00247</v>
      </c>
      <c r="B248" s="49">
        <v>45953</v>
      </c>
      <c r="C248" s="42" t="s">
        <v>1147</v>
      </c>
      <c r="D248" s="41" t="s">
        <v>1148</v>
      </c>
      <c r="E248" s="38" t="s">
        <v>1149</v>
      </c>
      <c r="F248" s="18" t="s">
        <v>1150</v>
      </c>
      <c r="G248" s="41" t="s">
        <v>1084</v>
      </c>
      <c r="H248" s="18" t="s">
        <v>17</v>
      </c>
      <c r="I248" s="18" t="s">
        <v>54</v>
      </c>
      <c r="J248" s="111" t="s">
        <v>194</v>
      </c>
      <c r="K248" s="5" t="s">
        <v>226</v>
      </c>
      <c r="L248" t="str">
        <f t="shared" si="4"/>
        <v>syysimmons19994@gmail.com</v>
      </c>
    </row>
    <row r="249" spans="1:12">
      <c r="A249" t="str" cm="1">
        <f t="array" ref="A249">_xlfn.LET(_xlpm.e,L249,
IF(_xlpm.e="","",
"DOC-"&amp;TEXT(ROW()-ROW(tblMaster[#Headers]),"00000")
))</f>
        <v>DOC-00248</v>
      </c>
      <c r="B249" s="49">
        <v>45953</v>
      </c>
      <c r="C249" s="42" t="s">
        <v>1151</v>
      </c>
      <c r="D249" s="41" t="s">
        <v>1152</v>
      </c>
      <c r="E249" s="38" t="s">
        <v>1153</v>
      </c>
      <c r="F249" s="18" t="s">
        <v>1154</v>
      </c>
      <c r="G249" s="41" t="s">
        <v>1155</v>
      </c>
      <c r="H249" s="18" t="s">
        <v>1156</v>
      </c>
      <c r="I249" s="18" t="s">
        <v>54</v>
      </c>
      <c r="J249" s="111" t="s">
        <v>66</v>
      </c>
      <c r="K249" s="5" t="s">
        <v>226</v>
      </c>
      <c r="L249" t="str">
        <f t="shared" si="4"/>
        <v>zackareethunter@icloud.com</v>
      </c>
    </row>
    <row r="250" spans="1:12">
      <c r="A250" t="str" cm="1">
        <f t="array" ref="A250">_xlfn.LET(_xlpm.e,L250,
IF(_xlpm.e="","",
"DOC-"&amp;TEXT(ROW()-ROW(tblMaster[#Headers]),"00000")
))</f>
        <v>DOC-00249</v>
      </c>
      <c r="B250" s="49">
        <v>45953</v>
      </c>
      <c r="C250" s="42" t="s">
        <v>1157</v>
      </c>
      <c r="D250" s="41" t="s">
        <v>1158</v>
      </c>
      <c r="E250" s="38" t="s">
        <v>1159</v>
      </c>
      <c r="F250" s="18" t="s">
        <v>1160</v>
      </c>
      <c r="G250" s="41" t="s">
        <v>74</v>
      </c>
      <c r="H250" s="18" t="s">
        <v>17</v>
      </c>
      <c r="I250" s="18" t="s">
        <v>101</v>
      </c>
      <c r="J250" s="111" t="s">
        <v>497</v>
      </c>
      <c r="K250" s="5" t="s">
        <v>226</v>
      </c>
      <c r="L250" t="str">
        <f t="shared" si="4"/>
        <v>navarroreynaldo569@gmail.com</v>
      </c>
    </row>
    <row r="251" spans="1:12">
      <c r="A251" t="str" cm="1">
        <f t="array" ref="A251">_xlfn.LET(_xlpm.e,L251,
IF(_xlpm.e="","",
"DOC-"&amp;TEXT(ROW()-ROW(tblMaster[#Headers]),"00000")
))</f>
        <v/>
      </c>
      <c r="B251" s="49">
        <v>45953</v>
      </c>
      <c r="C251" s="42" t="s">
        <v>1161</v>
      </c>
      <c r="D251" s="41" t="s">
        <v>631</v>
      </c>
      <c r="E251" s="40"/>
      <c r="F251" s="18" t="s">
        <v>633</v>
      </c>
      <c r="G251" s="41" t="s">
        <v>1162</v>
      </c>
      <c r="H251" s="18" t="s">
        <v>17</v>
      </c>
      <c r="I251" s="18" t="s">
        <v>112</v>
      </c>
      <c r="J251" s="111" t="s">
        <v>194</v>
      </c>
      <c r="K251" s="5" t="s">
        <v>226</v>
      </c>
      <c r="L251" t="str">
        <f t="shared" si="4"/>
        <v/>
      </c>
    </row>
    <row r="252" spans="1:12">
      <c r="A252" t="str" cm="1">
        <f t="array" ref="A252">_xlfn.LET(_xlpm.e,L252,
IF(_xlpm.e="","",
"DOC-"&amp;TEXT(ROW()-ROW(tblMaster[#Headers]),"00000")
))</f>
        <v>DOC-00251</v>
      </c>
      <c r="B252" s="49">
        <v>45953</v>
      </c>
      <c r="C252" s="42" t="s">
        <v>313</v>
      </c>
      <c r="D252" s="41" t="s">
        <v>1163</v>
      </c>
      <c r="E252" s="38" t="s">
        <v>1164</v>
      </c>
      <c r="F252" s="18" t="s">
        <v>1165</v>
      </c>
      <c r="G252" s="41" t="s">
        <v>837</v>
      </c>
      <c r="H252" s="18" t="s">
        <v>17</v>
      </c>
      <c r="I252" s="18" t="s">
        <v>112</v>
      </c>
      <c r="J252" s="111" t="s">
        <v>497</v>
      </c>
      <c r="K252" s="5" t="s">
        <v>226</v>
      </c>
      <c r="L252" t="str">
        <f t="shared" si="4"/>
        <v>arsenaultshawn287@gmail.com</v>
      </c>
    </row>
    <row r="253" spans="1:12">
      <c r="A253" t="str" cm="1">
        <f t="array" ref="A253">_xlfn.LET(_xlpm.e,L253,
IF(_xlpm.e="","",
"DOC-"&amp;TEXT(ROW()-ROW(tblMaster[#Headers]),"00000")
))</f>
        <v>DOC-00252</v>
      </c>
      <c r="B253" s="49">
        <v>45953</v>
      </c>
      <c r="C253" s="42" t="s">
        <v>313</v>
      </c>
      <c r="D253" s="41" t="s">
        <v>1166</v>
      </c>
      <c r="E253" s="38" t="s">
        <v>1167</v>
      </c>
      <c r="F253" s="18" t="s">
        <v>1168</v>
      </c>
      <c r="G253" s="41" t="s">
        <v>42</v>
      </c>
      <c r="H253" s="18" t="s">
        <v>17</v>
      </c>
      <c r="I253" s="18" t="s">
        <v>101</v>
      </c>
      <c r="J253" s="111" t="s">
        <v>66</v>
      </c>
      <c r="K253" s="5" t="s">
        <v>226</v>
      </c>
      <c r="L253" t="str">
        <f t="shared" si="4"/>
        <v>shawnrussell009@gmail.com</v>
      </c>
    </row>
    <row r="254" spans="1:12">
      <c r="A254" t="str" cm="1">
        <f t="array" ref="A254">_xlfn.LET(_xlpm.e,L254,
IF(_xlpm.e="","",
"DOC-"&amp;TEXT(ROW()-ROW(tblMaster[#Headers]),"00000")
))</f>
        <v>DOC-00253</v>
      </c>
      <c r="B254" s="49">
        <v>45953</v>
      </c>
      <c r="C254" s="42" t="s">
        <v>1169</v>
      </c>
      <c r="D254" s="41" t="s">
        <v>1170</v>
      </c>
      <c r="E254" s="38" t="s">
        <v>1171</v>
      </c>
      <c r="F254" s="18" t="s">
        <v>1172</v>
      </c>
      <c r="G254" s="39" t="s">
        <v>257</v>
      </c>
      <c r="H254" s="18" t="s">
        <v>17</v>
      </c>
      <c r="I254" s="18" t="s">
        <v>112</v>
      </c>
      <c r="J254" s="111" t="s">
        <v>194</v>
      </c>
      <c r="K254" s="5" t="s">
        <v>226</v>
      </c>
      <c r="L254" t="str">
        <f t="shared" si="4"/>
        <v>yrashard868@gmail.com</v>
      </c>
    </row>
    <row r="255" spans="1:12">
      <c r="A255" t="str" cm="1">
        <f t="array" ref="A255">_xlfn.LET(_xlpm.e,L255,
IF(_xlpm.e="","",
"DOC-"&amp;TEXT(ROW()-ROW(tblMaster[#Headers]),"00000")
))</f>
        <v>DOC-00254</v>
      </c>
      <c r="B255" s="49">
        <v>45953</v>
      </c>
      <c r="C255" s="42" t="s">
        <v>1173</v>
      </c>
      <c r="D255" s="41" t="s">
        <v>1174</v>
      </c>
      <c r="E255" s="38" t="s">
        <v>1175</v>
      </c>
      <c r="F255" s="18" t="s">
        <v>1176</v>
      </c>
      <c r="G255" s="41" t="s">
        <v>837</v>
      </c>
      <c r="H255" s="18" t="s">
        <v>17</v>
      </c>
      <c r="I255" s="18" t="s">
        <v>54</v>
      </c>
      <c r="J255" s="111" t="s">
        <v>497</v>
      </c>
      <c r="K255" s="5" t="s">
        <v>226</v>
      </c>
      <c r="L255" t="str">
        <f t="shared" si="4"/>
        <v>mwilliam0594@gmail.com</v>
      </c>
    </row>
    <row r="256" spans="1:12">
      <c r="A256" t="str" cm="1">
        <f t="array" ref="A256">_xlfn.LET(_xlpm.e,L256,
IF(_xlpm.e="","",
"DOC-"&amp;TEXT(ROW()-ROW(tblMaster[#Headers]),"00000")
))</f>
        <v>DOC-00255</v>
      </c>
      <c r="B256" s="49">
        <v>45953</v>
      </c>
      <c r="C256" s="42" t="s">
        <v>1177</v>
      </c>
      <c r="D256" s="41" t="s">
        <v>1178</v>
      </c>
      <c r="E256" s="38" t="s">
        <v>1179</v>
      </c>
      <c r="F256" s="18"/>
      <c r="G256" s="41" t="s">
        <v>257</v>
      </c>
      <c r="H256" s="18" t="s">
        <v>17</v>
      </c>
      <c r="I256" s="18" t="s">
        <v>54</v>
      </c>
      <c r="J256" s="111" t="s">
        <v>66</v>
      </c>
      <c r="K256" s="5" t="s">
        <v>226</v>
      </c>
      <c r="L256" t="str">
        <f t="shared" si="4"/>
        <v>kharikindell40@gmail.com</v>
      </c>
    </row>
    <row r="257" spans="1:12">
      <c r="A257" t="str" cm="1">
        <f t="array" ref="A257">_xlfn.LET(_xlpm.e,L257,
IF(_xlpm.e="","",
"DOC-"&amp;TEXT(ROW()-ROW(tblMaster[#Headers]),"00000")
))</f>
        <v>DOC-00256</v>
      </c>
      <c r="B257" s="49">
        <v>45953</v>
      </c>
      <c r="C257" s="42" t="s">
        <v>1180</v>
      </c>
      <c r="D257" s="41" t="s">
        <v>1181</v>
      </c>
      <c r="E257" s="38" t="s">
        <v>1182</v>
      </c>
      <c r="F257" s="18" t="s">
        <v>1183</v>
      </c>
      <c r="G257" s="41" t="s">
        <v>1184</v>
      </c>
      <c r="H257" s="18" t="s">
        <v>17</v>
      </c>
      <c r="I257" s="18" t="s">
        <v>112</v>
      </c>
      <c r="J257" s="111" t="s">
        <v>497</v>
      </c>
      <c r="K257" s="5" t="s">
        <v>226</v>
      </c>
      <c r="L257" t="str">
        <f t="shared" si="4"/>
        <v>castroiorynunez@gmail.com</v>
      </c>
    </row>
    <row r="258" spans="1:12">
      <c r="A258" t="str" cm="1">
        <f t="array" ref="A258">_xlfn.LET(_xlpm.e,L258,
IF(_xlpm.e="","",
"DOC-"&amp;TEXT(ROW()-ROW(tblMaster[#Headers]),"00000")
))</f>
        <v>DOC-00257</v>
      </c>
      <c r="B258" s="49">
        <v>45953</v>
      </c>
      <c r="C258" s="42" t="s">
        <v>1185</v>
      </c>
      <c r="D258" s="41" t="s">
        <v>724</v>
      </c>
      <c r="E258" s="38" t="s">
        <v>1186</v>
      </c>
      <c r="F258" s="18" t="s">
        <v>1187</v>
      </c>
      <c r="G258" s="41" t="s">
        <v>1188</v>
      </c>
      <c r="H258" s="18" t="s">
        <v>17</v>
      </c>
      <c r="I258" s="18" t="s">
        <v>112</v>
      </c>
      <c r="J258" s="111" t="s">
        <v>497</v>
      </c>
      <c r="K258" s="5" t="s">
        <v>226</v>
      </c>
      <c r="L258" t="str">
        <f t="shared" si="4"/>
        <v>josephhebert2021@yahoo.com</v>
      </c>
    </row>
    <row r="259" spans="1:12">
      <c r="A259" t="str" cm="1">
        <f t="array" ref="A259">_xlfn.LET(_xlpm.e,L259,
IF(_xlpm.e="","",
"DOC-"&amp;TEXT(ROW()-ROW(tblMaster[#Headers]),"00000")
))</f>
        <v>DOC-00258</v>
      </c>
      <c r="B259" s="49">
        <v>45953</v>
      </c>
      <c r="C259" s="42" t="s">
        <v>1189</v>
      </c>
      <c r="D259" s="41" t="s">
        <v>1190</v>
      </c>
      <c r="E259" s="38" t="s">
        <v>1191</v>
      </c>
      <c r="F259" s="18" t="s">
        <v>1192</v>
      </c>
      <c r="G259" s="41" t="s">
        <v>74</v>
      </c>
      <c r="H259" s="18" t="s">
        <v>17</v>
      </c>
      <c r="I259" s="18" t="s">
        <v>54</v>
      </c>
      <c r="J259" s="111" t="s">
        <v>66</v>
      </c>
      <c r="K259" s="5" t="s">
        <v>226</v>
      </c>
      <c r="L259" t="str">
        <f t="shared" si="4"/>
        <v>jaidansamuels234@gmail.com</v>
      </c>
    </row>
    <row r="260" spans="1:12">
      <c r="A260" t="str" cm="1">
        <f t="array" ref="A260">_xlfn.LET(_xlpm.e,L260,
IF(_xlpm.e="","",
"DOC-"&amp;TEXT(ROW()-ROW(tblMaster[#Headers]),"00000")
))</f>
        <v>DOC-00259</v>
      </c>
      <c r="B260" s="49">
        <v>45953</v>
      </c>
      <c r="C260" s="42" t="s">
        <v>1193</v>
      </c>
      <c r="D260" s="41" t="s">
        <v>1194</v>
      </c>
      <c r="E260" s="38" t="s">
        <v>1195</v>
      </c>
      <c r="F260" s="18" t="s">
        <v>1196</v>
      </c>
      <c r="G260" s="41" t="s">
        <v>1197</v>
      </c>
      <c r="H260" s="18" t="s">
        <v>17</v>
      </c>
      <c r="I260" s="18" t="s">
        <v>101</v>
      </c>
      <c r="J260" s="111" t="s">
        <v>194</v>
      </c>
      <c r="K260" s="5" t="s">
        <v>226</v>
      </c>
      <c r="L260" t="str">
        <f t="shared" si="4"/>
        <v>ryanmajor193@gmail.com</v>
      </c>
    </row>
    <row r="261" spans="1:12">
      <c r="A261" t="str" cm="1">
        <f t="array" ref="A261">_xlfn.LET(_xlpm.e,L261,
IF(_xlpm.e="","",
"DOC-"&amp;TEXT(ROW()-ROW(tblMaster[#Headers]),"00000")
))</f>
        <v>DOC-00260</v>
      </c>
      <c r="B261" s="49">
        <v>45953</v>
      </c>
      <c r="C261" s="42" t="s">
        <v>1198</v>
      </c>
      <c r="D261" s="41" t="s">
        <v>1199</v>
      </c>
      <c r="E261" s="38" t="s">
        <v>1200</v>
      </c>
      <c r="F261" s="18" t="s">
        <v>1201</v>
      </c>
      <c r="G261" s="41" t="s">
        <v>74</v>
      </c>
      <c r="H261" s="18" t="s">
        <v>17</v>
      </c>
      <c r="I261" s="18" t="s">
        <v>54</v>
      </c>
      <c r="J261" s="111" t="s">
        <v>497</v>
      </c>
      <c r="K261" s="5" t="s">
        <v>226</v>
      </c>
      <c r="L261" t="str">
        <f t="shared" si="4"/>
        <v>tamathaschipper8@gmail.com</v>
      </c>
    </row>
    <row r="262" spans="1:12">
      <c r="A262" t="str" cm="1">
        <f t="array" ref="A262">_xlfn.LET(_xlpm.e,L262,
IF(_xlpm.e="","",
"DOC-"&amp;TEXT(ROW()-ROW(tblMaster[#Headers]),"00000")
))</f>
        <v>DOC-00261</v>
      </c>
      <c r="B262" s="49">
        <v>45953</v>
      </c>
      <c r="C262" s="42" t="s">
        <v>1202</v>
      </c>
      <c r="D262" s="41" t="s">
        <v>1203</v>
      </c>
      <c r="E262" s="38" t="s">
        <v>1204</v>
      </c>
      <c r="F262" s="18" t="s">
        <v>1205</v>
      </c>
      <c r="G262" s="41" t="s">
        <v>106</v>
      </c>
      <c r="H262" s="18" t="s">
        <v>17</v>
      </c>
      <c r="I262" s="18" t="s">
        <v>54</v>
      </c>
      <c r="J262" s="111" t="s">
        <v>497</v>
      </c>
      <c r="K262" s="5" t="s">
        <v>226</v>
      </c>
      <c r="L262" t="str">
        <f t="shared" ref="L262:L325" si="5">_xlfn.LET(_xlpm.x,E262,
_xlpm.y,TRIM(CLEAN(SUBSTITUTE(_xlpm.x,CHAR(160)," "))),
LOWER(_xlpm.y))</f>
        <v>brianarthur8982@gmail.com</v>
      </c>
    </row>
    <row r="263" spans="1:12">
      <c r="A263" t="str" cm="1">
        <f t="array" ref="A263">_xlfn.LET(_xlpm.e,L263,
IF(_xlpm.e="","",
"DOC-"&amp;TEXT(ROW()-ROW(tblMaster[#Headers]),"00000")
))</f>
        <v>DOC-00262</v>
      </c>
      <c r="B263" s="49">
        <v>45953</v>
      </c>
      <c r="C263" s="42" t="s">
        <v>1206</v>
      </c>
      <c r="D263" s="41" t="s">
        <v>1207</v>
      </c>
      <c r="E263" s="38" t="s">
        <v>1208</v>
      </c>
      <c r="F263" s="18" t="s">
        <v>1209</v>
      </c>
      <c r="G263" s="41" t="s">
        <v>1210</v>
      </c>
      <c r="H263" s="18" t="s">
        <v>17</v>
      </c>
      <c r="I263" s="18" t="s">
        <v>101</v>
      </c>
      <c r="J263" s="111" t="s">
        <v>66</v>
      </c>
      <c r="K263" s="5" t="s">
        <v>226</v>
      </c>
      <c r="L263" t="str">
        <f t="shared" si="5"/>
        <v>stephen.bullock33@outlook.com</v>
      </c>
    </row>
    <row r="264" spans="1:12">
      <c r="A264" t="str" cm="1">
        <f t="array" ref="A264">_xlfn.LET(_xlpm.e,L264,
IF(_xlpm.e="","",
"DOC-"&amp;TEXT(ROW()-ROW(tblMaster[#Headers]),"00000")
))</f>
        <v>DOC-00263</v>
      </c>
      <c r="B264" s="49">
        <v>45953</v>
      </c>
      <c r="C264" s="42" t="s">
        <v>1211</v>
      </c>
      <c r="D264" s="41" t="s">
        <v>1212</v>
      </c>
      <c r="E264" s="38" t="s">
        <v>1213</v>
      </c>
      <c r="F264" s="18" t="s">
        <v>1214</v>
      </c>
      <c r="G264" s="41" t="s">
        <v>47</v>
      </c>
      <c r="H264" s="18" t="s">
        <v>17</v>
      </c>
      <c r="I264" s="18" t="s">
        <v>54</v>
      </c>
      <c r="J264" s="111" t="s">
        <v>194</v>
      </c>
      <c r="K264" s="5" t="s">
        <v>226</v>
      </c>
      <c r="L264" t="str">
        <f t="shared" si="5"/>
        <v>tmrentas08@gmail.com</v>
      </c>
    </row>
    <row r="265" spans="1:12">
      <c r="A265" t="str" cm="1">
        <f t="array" ref="A265">_xlfn.LET(_xlpm.e,L265,
IF(_xlpm.e="","",
"DOC-"&amp;TEXT(ROW()-ROW(tblMaster[#Headers]),"00000")
))</f>
        <v>DOC-00264</v>
      </c>
      <c r="B265" s="49">
        <v>45953</v>
      </c>
      <c r="C265" s="42" t="s">
        <v>1215</v>
      </c>
      <c r="D265" s="41" t="s">
        <v>1216</v>
      </c>
      <c r="E265" s="38" t="s">
        <v>1217</v>
      </c>
      <c r="F265" s="18" t="s">
        <v>1218</v>
      </c>
      <c r="G265" s="41" t="s">
        <v>1219</v>
      </c>
      <c r="H265" s="18" t="s">
        <v>60</v>
      </c>
      <c r="I265" s="18" t="s">
        <v>101</v>
      </c>
      <c r="J265" s="111" t="s">
        <v>497</v>
      </c>
      <c r="K265" s="5" t="s">
        <v>226</v>
      </c>
      <c r="L265" t="str">
        <f t="shared" si="5"/>
        <v>wildingdante12@icloud.com</v>
      </c>
    </row>
    <row r="266" spans="1:12">
      <c r="A266" t="str" cm="1">
        <f t="array" ref="A266">_xlfn.LET(_xlpm.e,L266,
IF(_xlpm.e="","",
"DOC-"&amp;TEXT(ROW()-ROW(tblMaster[#Headers]),"00000")
))</f>
        <v>DOC-00265</v>
      </c>
      <c r="B266" s="49">
        <v>45953</v>
      </c>
      <c r="C266" s="42" t="s">
        <v>1220</v>
      </c>
      <c r="D266" s="41" t="s">
        <v>1221</v>
      </c>
      <c r="E266" s="38" t="s">
        <v>1222</v>
      </c>
      <c r="F266" s="18" t="s">
        <v>1223</v>
      </c>
      <c r="G266" s="41" t="s">
        <v>1224</v>
      </c>
      <c r="H266" s="18" t="s">
        <v>17</v>
      </c>
      <c r="I266" s="18" t="s">
        <v>112</v>
      </c>
      <c r="J266" s="111" t="s">
        <v>66</v>
      </c>
      <c r="K266" s="5" t="s">
        <v>226</v>
      </c>
      <c r="L266" t="str">
        <f t="shared" si="5"/>
        <v>holly.jenice@icloud.com</v>
      </c>
    </row>
    <row r="267" spans="1:12">
      <c r="A267" t="str" cm="1">
        <f t="array" ref="A267">_xlfn.LET(_xlpm.e,L267,
IF(_xlpm.e="","",
"DOC-"&amp;TEXT(ROW()-ROW(tblMaster[#Headers]),"00000")
))</f>
        <v>DOC-00266</v>
      </c>
      <c r="B267" s="49">
        <v>45953</v>
      </c>
      <c r="C267" s="42" t="s">
        <v>1225</v>
      </c>
      <c r="D267" s="41" t="s">
        <v>1226</v>
      </c>
      <c r="E267" s="38" t="s">
        <v>1227</v>
      </c>
      <c r="F267" s="18" t="s">
        <v>1228</v>
      </c>
      <c r="G267" s="41"/>
      <c r="H267" s="18"/>
      <c r="I267" s="18" t="s">
        <v>112</v>
      </c>
      <c r="J267" s="111" t="s">
        <v>497</v>
      </c>
      <c r="K267" s="5" t="s">
        <v>226</v>
      </c>
      <c r="L267" t="str">
        <f t="shared" si="5"/>
        <v>moraesemily923@gmail.com</v>
      </c>
    </row>
    <row r="268" spans="1:12">
      <c r="A268" t="str" cm="1">
        <f t="array" ref="A268">_xlfn.LET(_xlpm.e,L268,
IF(_xlpm.e="","",
"DOC-"&amp;TEXT(ROW()-ROW(tblMaster[#Headers]),"00000")
))</f>
        <v>DOC-00267</v>
      </c>
      <c r="B268" s="49">
        <v>45953</v>
      </c>
      <c r="C268" s="42" t="s">
        <v>253</v>
      </c>
      <c r="D268" s="41" t="s">
        <v>1229</v>
      </c>
      <c r="E268" s="38" t="s">
        <v>1230</v>
      </c>
      <c r="F268" s="18" t="s">
        <v>1231</v>
      </c>
      <c r="G268" s="41" t="s">
        <v>1232</v>
      </c>
      <c r="H268" s="18" t="s">
        <v>17</v>
      </c>
      <c r="I268" s="18" t="s">
        <v>54</v>
      </c>
      <c r="J268" s="111" t="s">
        <v>66</v>
      </c>
      <c r="K268" s="5" t="s">
        <v>226</v>
      </c>
      <c r="L268" t="str">
        <f t="shared" si="5"/>
        <v>squibbdavid2017@gmail.com</v>
      </c>
    </row>
    <row r="269" spans="1:12">
      <c r="A269" t="str" cm="1">
        <f t="array" ref="A269">_xlfn.LET(_xlpm.e,L269,
IF(_xlpm.e="","",
"DOC-"&amp;TEXT(ROW()-ROW(tblMaster[#Headers]),"00000")
))</f>
        <v>DOC-00268</v>
      </c>
      <c r="B269" s="49">
        <v>45953</v>
      </c>
      <c r="C269" s="42" t="s">
        <v>1233</v>
      </c>
      <c r="D269" s="41" t="s">
        <v>1233</v>
      </c>
      <c r="E269" s="38" t="s">
        <v>1234</v>
      </c>
      <c r="F269" s="18" t="s">
        <v>1235</v>
      </c>
      <c r="G269" s="41" t="s">
        <v>1236</v>
      </c>
      <c r="H269" s="18" t="s">
        <v>17</v>
      </c>
      <c r="I269" s="18"/>
      <c r="J269" s="111" t="s">
        <v>194</v>
      </c>
      <c r="K269" s="5" t="s">
        <v>226</v>
      </c>
      <c r="L269" t="str">
        <f t="shared" si="5"/>
        <v>aidensullivan0@gmail.com</v>
      </c>
    </row>
    <row r="270" spans="1:12">
      <c r="A270" t="str" cm="1">
        <f t="array" ref="A270">_xlfn.LET(_xlpm.e,L270,
IF(_xlpm.e="","",
"DOC-"&amp;TEXT(ROW()-ROW(tblMaster[#Headers]),"00000")
))</f>
        <v>DOC-00269</v>
      </c>
      <c r="B270" s="49">
        <v>45953</v>
      </c>
      <c r="C270" s="42" t="s">
        <v>1237</v>
      </c>
      <c r="D270" s="41" t="s">
        <v>1238</v>
      </c>
      <c r="E270" s="38" t="s">
        <v>1239</v>
      </c>
      <c r="F270" s="18" t="s">
        <v>1240</v>
      </c>
      <c r="G270" s="41" t="s">
        <v>74</v>
      </c>
      <c r="H270" s="18" t="s">
        <v>17</v>
      </c>
      <c r="I270" s="18" t="s">
        <v>54</v>
      </c>
      <c r="J270" s="111" t="s">
        <v>194</v>
      </c>
      <c r="K270" s="5" t="s">
        <v>226</v>
      </c>
      <c r="L270" t="str">
        <f t="shared" si="5"/>
        <v>asianboy1134@gmail.com</v>
      </c>
    </row>
    <row r="271" spans="1:12">
      <c r="A271" t="str" cm="1">
        <f t="array" ref="A271">_xlfn.LET(_xlpm.e,L271,
IF(_xlpm.e="","",
"DOC-"&amp;TEXT(ROW()-ROW(tblMaster[#Headers]),"00000")
))</f>
        <v>DOC-00270</v>
      </c>
      <c r="B271" s="49">
        <v>45953</v>
      </c>
      <c r="C271" s="42" t="s">
        <v>1241</v>
      </c>
      <c r="D271" s="41" t="s">
        <v>1242</v>
      </c>
      <c r="E271" s="38" t="s">
        <v>1243</v>
      </c>
      <c r="F271" s="18" t="s">
        <v>1244</v>
      </c>
      <c r="G271" s="41" t="s">
        <v>596</v>
      </c>
      <c r="H271" s="18" t="s">
        <v>17</v>
      </c>
      <c r="I271" s="18" t="s">
        <v>54</v>
      </c>
      <c r="J271" s="111" t="s">
        <v>66</v>
      </c>
      <c r="K271" s="5" t="s">
        <v>226</v>
      </c>
      <c r="L271" t="str">
        <f t="shared" si="5"/>
        <v>estevaoavelino7@gmail.com</v>
      </c>
    </row>
    <row r="272" spans="1:12">
      <c r="A272" t="str" cm="1">
        <f t="array" ref="A272">_xlfn.LET(_xlpm.e,L272,
IF(_xlpm.e="","",
"DOC-"&amp;TEXT(ROW()-ROW(tblMaster[#Headers]),"00000")
))</f>
        <v>DOC-00271</v>
      </c>
      <c r="B272" s="49">
        <v>45953</v>
      </c>
      <c r="C272" s="42" t="s">
        <v>1245</v>
      </c>
      <c r="D272" s="41" t="s">
        <v>1246</v>
      </c>
      <c r="E272" s="38" t="s">
        <v>1247</v>
      </c>
      <c r="F272" s="18" t="s">
        <v>1248</v>
      </c>
      <c r="G272" s="41" t="s">
        <v>59</v>
      </c>
      <c r="H272" s="18" t="s">
        <v>60</v>
      </c>
      <c r="I272" s="18" t="s">
        <v>54</v>
      </c>
      <c r="J272" s="111" t="s">
        <v>497</v>
      </c>
      <c r="K272" s="5" t="s">
        <v>226</v>
      </c>
      <c r="L272" t="str">
        <f t="shared" si="5"/>
        <v>tlbmontgomery@gmail.com</v>
      </c>
    </row>
    <row r="273" spans="1:12">
      <c r="A273" t="str" cm="1">
        <f t="array" ref="A273">_xlfn.LET(_xlpm.e,L273,
IF(_xlpm.e="","",
"DOC-"&amp;TEXT(ROW()-ROW(tblMaster[#Headers]),"00000")
))</f>
        <v>DOC-00272</v>
      </c>
      <c r="B273" s="49">
        <v>45953</v>
      </c>
      <c r="C273" s="42" t="s">
        <v>654</v>
      </c>
      <c r="D273" s="41" t="s">
        <v>1249</v>
      </c>
      <c r="E273" s="38" t="s">
        <v>1250</v>
      </c>
      <c r="F273" s="18" t="s">
        <v>1251</v>
      </c>
      <c r="G273" s="41" t="s">
        <v>1252</v>
      </c>
      <c r="H273" s="18" t="s">
        <v>17</v>
      </c>
      <c r="I273" s="18" t="s">
        <v>112</v>
      </c>
      <c r="J273" s="111" t="s">
        <v>66</v>
      </c>
      <c r="K273" s="5" t="s">
        <v>226</v>
      </c>
      <c r="L273" t="str">
        <f t="shared" si="5"/>
        <v>kewingpaul@gmail.com</v>
      </c>
    </row>
    <row r="274" spans="1:12">
      <c r="A274" t="str" cm="1">
        <f t="array" ref="A274">_xlfn.LET(_xlpm.e,L274,
IF(_xlpm.e="","",
"DOC-"&amp;TEXT(ROW()-ROW(tblMaster[#Headers]),"00000")
))</f>
        <v>DOC-00273</v>
      </c>
      <c r="B274" s="49">
        <v>45953</v>
      </c>
      <c r="C274" s="42" t="s">
        <v>1253</v>
      </c>
      <c r="D274" s="41" t="s">
        <v>1254</v>
      </c>
      <c r="E274" s="38" t="s">
        <v>1255</v>
      </c>
      <c r="F274" s="18" t="s">
        <v>1256</v>
      </c>
      <c r="G274" s="41" t="s">
        <v>1252</v>
      </c>
      <c r="H274" s="18" t="s">
        <v>17</v>
      </c>
      <c r="I274" s="18" t="s">
        <v>54</v>
      </c>
      <c r="K274" s="5" t="s">
        <v>652</v>
      </c>
      <c r="L274" t="str">
        <f t="shared" si="5"/>
        <v>bhighlyfavor40@gmail.com</v>
      </c>
    </row>
    <row r="275" spans="1:12">
      <c r="A275" t="str" cm="1">
        <f t="array" ref="A275">_xlfn.LET(_xlpm.e,L275,
IF(_xlpm.e="","",
"DOC-"&amp;TEXT(ROW()-ROW(tblMaster[#Headers]),"00000")
))</f>
        <v>DOC-00274</v>
      </c>
      <c r="B275" s="49">
        <v>45953</v>
      </c>
      <c r="C275" s="42" t="s">
        <v>1257</v>
      </c>
      <c r="D275" s="41" t="s">
        <v>1258</v>
      </c>
      <c r="E275" s="38" t="s">
        <v>1259</v>
      </c>
      <c r="F275" s="18" t="s">
        <v>1260</v>
      </c>
      <c r="G275" s="41" t="s">
        <v>74</v>
      </c>
      <c r="H275" s="18" t="s">
        <v>17</v>
      </c>
      <c r="I275" s="18" t="s">
        <v>54</v>
      </c>
      <c r="K275" s="5" t="s">
        <v>652</v>
      </c>
      <c r="L275" t="str">
        <f t="shared" si="5"/>
        <v>alexyarielgarcia@icloud.com</v>
      </c>
    </row>
    <row r="276" spans="1:12">
      <c r="A276" t="str" cm="1">
        <f t="array" ref="A276">_xlfn.LET(_xlpm.e,L276,
IF(_xlpm.e="","",
"DOC-"&amp;TEXT(ROW()-ROW(tblMaster[#Headers]),"00000")
))</f>
        <v>DOC-00275</v>
      </c>
      <c r="B276" s="49">
        <v>45953</v>
      </c>
      <c r="C276" s="42" t="s">
        <v>1261</v>
      </c>
      <c r="D276" s="41" t="s">
        <v>1262</v>
      </c>
      <c r="E276" s="38" t="s">
        <v>1263</v>
      </c>
      <c r="F276" s="18" t="s">
        <v>1264</v>
      </c>
      <c r="G276" s="41" t="s">
        <v>276</v>
      </c>
      <c r="H276" s="18" t="s">
        <v>17</v>
      </c>
      <c r="I276" s="18" t="s">
        <v>54</v>
      </c>
      <c r="J276" s="99" t="s">
        <v>23</v>
      </c>
      <c r="K276" s="5" t="s">
        <v>652</v>
      </c>
      <c r="L276" t="str">
        <f t="shared" si="5"/>
        <v>drewlinds89@gmail.com</v>
      </c>
    </row>
    <row r="277" spans="1:12">
      <c r="A277" t="str" cm="1">
        <f t="array" ref="A277">_xlfn.LET(_xlpm.e,L277,
IF(_xlpm.e="","",
"DOC-"&amp;TEXT(ROW()-ROW(tblMaster[#Headers]),"00000")
))</f>
        <v/>
      </c>
      <c r="B277" s="49">
        <v>45953</v>
      </c>
      <c r="C277" s="42" t="s">
        <v>1265</v>
      </c>
      <c r="D277" s="41" t="s">
        <v>1266</v>
      </c>
      <c r="E277" s="39"/>
      <c r="F277" s="18" t="s">
        <v>1267</v>
      </c>
      <c r="G277" s="41" t="s">
        <v>257</v>
      </c>
      <c r="H277" s="18" t="s">
        <v>17</v>
      </c>
      <c r="I277" s="18" t="s">
        <v>54</v>
      </c>
      <c r="K277" s="5" t="s">
        <v>652</v>
      </c>
      <c r="L277" t="str">
        <f t="shared" si="5"/>
        <v/>
      </c>
    </row>
    <row r="278" spans="1:12">
      <c r="A278" t="str" cm="1">
        <f t="array" ref="A278">_xlfn.LET(_xlpm.e,L278,
IF(_xlpm.e="","",
"DOC-"&amp;TEXT(ROW()-ROW(tblMaster[#Headers]),"00000")
))</f>
        <v>DOC-00277</v>
      </c>
      <c r="B278" s="49">
        <v>45953</v>
      </c>
      <c r="C278" s="42" t="s">
        <v>1268</v>
      </c>
      <c r="D278" s="41" t="s">
        <v>1269</v>
      </c>
      <c r="E278" s="38" t="s">
        <v>1270</v>
      </c>
      <c r="F278" s="18" t="s">
        <v>1271</v>
      </c>
      <c r="G278" s="41" t="s">
        <v>544</v>
      </c>
      <c r="H278" s="18" t="s">
        <v>17</v>
      </c>
      <c r="I278" s="18" t="s">
        <v>54</v>
      </c>
      <c r="K278" s="5" t="s">
        <v>652</v>
      </c>
      <c r="L278" t="str">
        <f t="shared" si="5"/>
        <v>browncher893@gmail.com</v>
      </c>
    </row>
    <row r="279" spans="1:12">
      <c r="A279" t="str" cm="1">
        <f t="array" ref="A279">_xlfn.LET(_xlpm.e,L279,
IF(_xlpm.e="","",
"DOC-"&amp;TEXT(ROW()-ROW(tblMaster[#Headers]),"00000")
))</f>
        <v>DOC-00278</v>
      </c>
      <c r="B279" s="49">
        <v>45953</v>
      </c>
      <c r="C279" s="42" t="s">
        <v>1272</v>
      </c>
      <c r="D279" s="41" t="s">
        <v>1273</v>
      </c>
      <c r="E279" s="38" t="s">
        <v>1274</v>
      </c>
      <c r="F279" s="18" t="s">
        <v>1275</v>
      </c>
      <c r="G279" s="41" t="s">
        <v>1276</v>
      </c>
      <c r="H279" s="18" t="s">
        <v>17</v>
      </c>
      <c r="I279" s="18" t="s">
        <v>54</v>
      </c>
      <c r="K279" s="5" t="s">
        <v>652</v>
      </c>
      <c r="L279" t="str">
        <f t="shared" si="5"/>
        <v>rikensonpieerre@gmail.com</v>
      </c>
    </row>
    <row r="280" spans="1:12">
      <c r="A280" t="str" cm="1">
        <f t="array" ref="A280">_xlfn.LET(_xlpm.e,L280,
IF(_xlpm.e="","",
"DOC-"&amp;TEXT(ROW()-ROW(tblMaster[#Headers]),"00000")
))</f>
        <v>DOC-00279</v>
      </c>
      <c r="B280" s="49">
        <v>45953</v>
      </c>
      <c r="C280" s="42" t="s">
        <v>1277</v>
      </c>
      <c r="D280" s="41" t="s">
        <v>1278</v>
      </c>
      <c r="E280" s="38" t="s">
        <v>1279</v>
      </c>
      <c r="F280" s="18" t="s">
        <v>1280</v>
      </c>
      <c r="G280" s="41" t="s">
        <v>1281</v>
      </c>
      <c r="H280" s="18" t="s">
        <v>17</v>
      </c>
      <c r="I280" s="18" t="s">
        <v>54</v>
      </c>
      <c r="K280" s="5" t="s">
        <v>652</v>
      </c>
      <c r="L280" t="str">
        <f t="shared" si="5"/>
        <v>legend3540@aol.com</v>
      </c>
    </row>
    <row r="281" spans="1:12">
      <c r="A281" t="str" cm="1">
        <f t="array" ref="A281">_xlfn.LET(_xlpm.e,L281,
IF(_xlpm.e="","",
"DOC-"&amp;TEXT(ROW()-ROW(tblMaster[#Headers]),"00000")
))</f>
        <v>DOC-00280</v>
      </c>
      <c r="B281" s="49">
        <v>45953</v>
      </c>
      <c r="C281" s="42" t="s">
        <v>1282</v>
      </c>
      <c r="D281" s="41" t="s">
        <v>1283</v>
      </c>
      <c r="E281" s="38" t="s">
        <v>1284</v>
      </c>
      <c r="F281" s="18" t="s">
        <v>1285</v>
      </c>
      <c r="G281" s="41" t="s">
        <v>74</v>
      </c>
      <c r="H281" s="18" t="s">
        <v>17</v>
      </c>
      <c r="I281" s="18" t="s">
        <v>54</v>
      </c>
      <c r="K281" s="5" t="s">
        <v>652</v>
      </c>
      <c r="L281" t="str">
        <f t="shared" si="5"/>
        <v>lasclafani333@gmail.com</v>
      </c>
    </row>
    <row r="282" spans="1:12">
      <c r="A282" t="str" cm="1">
        <f t="array" ref="A282">_xlfn.LET(_xlpm.e,L282,
IF(_xlpm.e="","",
"DOC-"&amp;TEXT(ROW()-ROW(tblMaster[#Headers]),"00000")
))</f>
        <v>DOC-00281</v>
      </c>
      <c r="B282" s="49">
        <v>45953</v>
      </c>
      <c r="C282" s="42" t="s">
        <v>1286</v>
      </c>
      <c r="D282" s="41" t="s">
        <v>1287</v>
      </c>
      <c r="E282" s="38" t="s">
        <v>1288</v>
      </c>
      <c r="F282" s="18" t="s">
        <v>1289</v>
      </c>
      <c r="G282" s="41" t="s">
        <v>74</v>
      </c>
      <c r="H282" s="18" t="s">
        <v>17</v>
      </c>
      <c r="I282" s="18" t="s">
        <v>54</v>
      </c>
      <c r="J282" s="99" t="s">
        <v>23</v>
      </c>
      <c r="K282" s="5" t="s">
        <v>652</v>
      </c>
      <c r="L282" t="str">
        <f t="shared" si="5"/>
        <v>nanakaci@yahoo.com</v>
      </c>
    </row>
    <row r="283" spans="1:12">
      <c r="A283" t="str" cm="1">
        <f t="array" ref="A283">_xlfn.LET(_xlpm.e,L283,
IF(_xlpm.e="","",
"DOC-"&amp;TEXT(ROW()-ROW(tblMaster[#Headers]),"00000")
))</f>
        <v>DOC-00282</v>
      </c>
      <c r="B283" s="49">
        <v>45953</v>
      </c>
      <c r="C283" s="42" t="s">
        <v>1290</v>
      </c>
      <c r="D283" s="41" t="s">
        <v>1291</v>
      </c>
      <c r="E283" s="38" t="s">
        <v>1292</v>
      </c>
      <c r="F283" s="18" t="s">
        <v>1293</v>
      </c>
      <c r="G283" s="41" t="s">
        <v>1294</v>
      </c>
      <c r="H283" s="18" t="s">
        <v>17</v>
      </c>
      <c r="I283" s="18" t="s">
        <v>54</v>
      </c>
      <c r="K283" s="5" t="s">
        <v>652</v>
      </c>
      <c r="L283" t="str">
        <f t="shared" si="5"/>
        <v>lav.srinivass07@gmail.com</v>
      </c>
    </row>
    <row r="284" spans="1:12">
      <c r="A284" t="str" cm="1">
        <f t="array" ref="A284">_xlfn.LET(_xlpm.e,L284,
IF(_xlpm.e="","",
"DOC-"&amp;TEXT(ROW()-ROW(tblMaster[#Headers]),"00000")
))</f>
        <v>DOC-00283</v>
      </c>
      <c r="B284" s="49">
        <v>45953</v>
      </c>
      <c r="C284" s="42" t="s">
        <v>1295</v>
      </c>
      <c r="D284" s="41" t="s">
        <v>1296</v>
      </c>
      <c r="E284" s="38" t="s">
        <v>1297</v>
      </c>
      <c r="F284" s="18" t="s">
        <v>1298</v>
      </c>
      <c r="G284" s="41" t="s">
        <v>74</v>
      </c>
      <c r="H284" s="18" t="s">
        <v>17</v>
      </c>
      <c r="I284" s="18" t="s">
        <v>54</v>
      </c>
      <c r="K284" s="5" t="s">
        <v>652</v>
      </c>
      <c r="L284" t="str">
        <f t="shared" si="5"/>
        <v>macotony_1932@hotmail.com</v>
      </c>
    </row>
    <row r="285" spans="1:12">
      <c r="A285" t="str" cm="1">
        <f t="array" ref="A285">_xlfn.LET(_xlpm.e,L285,
IF(_xlpm.e="","",
"DOC-"&amp;TEXT(ROW()-ROW(tblMaster[#Headers]),"00000")
))</f>
        <v>DOC-00284</v>
      </c>
      <c r="B285" s="49">
        <v>45953</v>
      </c>
      <c r="C285" s="42" t="s">
        <v>1299</v>
      </c>
      <c r="D285" s="41" t="s">
        <v>1300</v>
      </c>
      <c r="E285" s="38" t="s">
        <v>1301</v>
      </c>
      <c r="F285" s="18" t="s">
        <v>1302</v>
      </c>
      <c r="G285" s="41" t="s">
        <v>74</v>
      </c>
      <c r="H285" s="18" t="s">
        <v>17</v>
      </c>
      <c r="I285" s="18" t="s">
        <v>54</v>
      </c>
      <c r="K285" s="5" t="s">
        <v>652</v>
      </c>
      <c r="L285" t="str">
        <f t="shared" si="5"/>
        <v>eemarden@gmail.com</v>
      </c>
    </row>
    <row r="286" spans="1:12">
      <c r="A286" t="str" cm="1">
        <f t="array" ref="A286">_xlfn.LET(_xlpm.e,L286,
IF(_xlpm.e="","",
"DOC-"&amp;TEXT(ROW()-ROW(tblMaster[#Headers]),"00000")
))</f>
        <v>DOC-00285</v>
      </c>
      <c r="B286" s="49">
        <v>45953</v>
      </c>
      <c r="C286" s="42" t="s">
        <v>582</v>
      </c>
      <c r="D286" s="41" t="s">
        <v>1303</v>
      </c>
      <c r="E286" s="38" t="s">
        <v>1304</v>
      </c>
      <c r="F286" s="18" t="s">
        <v>1305</v>
      </c>
      <c r="G286" s="41" t="s">
        <v>1306</v>
      </c>
      <c r="H286" s="18" t="s">
        <v>17</v>
      </c>
      <c r="I286" s="18" t="s">
        <v>54</v>
      </c>
      <c r="K286" s="5" t="s">
        <v>652</v>
      </c>
      <c r="L286" t="str">
        <f t="shared" si="5"/>
        <v>provmetnathan@gmail.com</v>
      </c>
    </row>
    <row r="287" spans="1:12">
      <c r="A287" t="str" cm="1">
        <f t="array" ref="A287">_xlfn.LET(_xlpm.e,L287,
IF(_xlpm.e="","",
"DOC-"&amp;TEXT(ROW()-ROW(tblMaster[#Headers]),"00000")
))</f>
        <v>DOC-00286</v>
      </c>
      <c r="B287" s="49">
        <v>45953</v>
      </c>
      <c r="C287" s="42" t="s">
        <v>1307</v>
      </c>
      <c r="D287" s="41" t="s">
        <v>1308</v>
      </c>
      <c r="E287" s="38" t="s">
        <v>1309</v>
      </c>
      <c r="F287" s="18" t="s">
        <v>1310</v>
      </c>
      <c r="G287" s="41" t="s">
        <v>1311</v>
      </c>
      <c r="H287" s="18" t="s">
        <v>17</v>
      </c>
      <c r="I287" s="18" t="s">
        <v>54</v>
      </c>
      <c r="K287" s="5" t="s">
        <v>652</v>
      </c>
      <c r="L287" t="str">
        <f t="shared" si="5"/>
        <v>anthony_semidey@yahoo.com</v>
      </c>
    </row>
    <row r="288" spans="1:12">
      <c r="A288" t="str" cm="1">
        <f t="array" ref="A288">_xlfn.LET(_xlpm.e,L288,
IF(_xlpm.e="","",
"DOC-"&amp;TEXT(ROW()-ROW(tblMaster[#Headers]),"00000")
))</f>
        <v>DOC-00287</v>
      </c>
      <c r="B288" s="49">
        <v>45953</v>
      </c>
      <c r="C288" s="42" t="s">
        <v>1312</v>
      </c>
      <c r="D288" s="41" t="s">
        <v>1313</v>
      </c>
      <c r="E288" s="38" t="s">
        <v>1314</v>
      </c>
      <c r="F288" s="18" t="s">
        <v>1315</v>
      </c>
      <c r="G288" s="41" t="s">
        <v>79</v>
      </c>
      <c r="H288" s="18" t="s">
        <v>17</v>
      </c>
      <c r="I288" s="18" t="s">
        <v>54</v>
      </c>
      <c r="J288" s="99" t="s">
        <v>23</v>
      </c>
      <c r="K288" s="5" t="s">
        <v>652</v>
      </c>
      <c r="L288" t="str">
        <f t="shared" si="5"/>
        <v>katdeluny19@gmail.com</v>
      </c>
    </row>
    <row r="289" spans="1:12">
      <c r="A289" t="str" cm="1">
        <f t="array" ref="A289">_xlfn.LET(_xlpm.e,L289,
IF(_xlpm.e="","",
"DOC-"&amp;TEXT(ROW()-ROW(tblMaster[#Headers]),"00000")
))</f>
        <v>DOC-00288</v>
      </c>
      <c r="B289" s="49">
        <v>45953</v>
      </c>
      <c r="C289" s="42" t="s">
        <v>1316</v>
      </c>
      <c r="D289" s="41" t="s">
        <v>1317</v>
      </c>
      <c r="E289" s="38" t="s">
        <v>1318</v>
      </c>
      <c r="F289" s="18" t="s">
        <v>1319</v>
      </c>
      <c r="G289" s="41" t="s">
        <v>42</v>
      </c>
      <c r="H289" s="18" t="s">
        <v>17</v>
      </c>
      <c r="I289" s="18" t="s">
        <v>54</v>
      </c>
      <c r="K289" s="5" t="s">
        <v>652</v>
      </c>
      <c r="L289" t="str">
        <f t="shared" si="5"/>
        <v>mrsplusamerica2024@gmail.com</v>
      </c>
    </row>
    <row r="290" spans="1:12">
      <c r="A290" t="str" cm="1">
        <f t="array" ref="A290">_xlfn.LET(_xlpm.e,L290,
IF(_xlpm.e="","",
"DOC-"&amp;TEXT(ROW()-ROW(tblMaster[#Headers]),"00000")
))</f>
        <v>DOC-00289</v>
      </c>
      <c r="B290" s="49">
        <v>45953</v>
      </c>
      <c r="C290" s="42" t="s">
        <v>1320</v>
      </c>
      <c r="D290" s="41" t="s">
        <v>1321</v>
      </c>
      <c r="E290" s="38" t="s">
        <v>1322</v>
      </c>
      <c r="F290" s="18" t="s">
        <v>1323</v>
      </c>
      <c r="G290" s="41" t="s">
        <v>1324</v>
      </c>
      <c r="H290" s="18" t="s">
        <v>17</v>
      </c>
      <c r="I290" s="18" t="s">
        <v>54</v>
      </c>
      <c r="K290" s="5" t="s">
        <v>652</v>
      </c>
      <c r="L290" t="str">
        <f t="shared" si="5"/>
        <v>ana_sarante@hotmail.com</v>
      </c>
    </row>
    <row r="291" spans="1:12">
      <c r="A291" t="str" cm="1">
        <f t="array" ref="A291">_xlfn.LET(_xlpm.e,L291,
IF(_xlpm.e="","",
"DOC-"&amp;TEXT(ROW()-ROW(tblMaster[#Headers]),"00000")
))</f>
        <v>DOC-00290</v>
      </c>
      <c r="B291" s="49">
        <v>45953</v>
      </c>
      <c r="C291" s="42" t="s">
        <v>1325</v>
      </c>
      <c r="D291" s="41" t="s">
        <v>1326</v>
      </c>
      <c r="E291" s="38" t="s">
        <v>1327</v>
      </c>
      <c r="F291" s="18" t="s">
        <v>1328</v>
      </c>
      <c r="G291" s="41" t="s">
        <v>79</v>
      </c>
      <c r="H291" s="18" t="s">
        <v>17</v>
      </c>
      <c r="I291" s="18" t="s">
        <v>54</v>
      </c>
      <c r="K291" s="5" t="s">
        <v>652</v>
      </c>
      <c r="L291" t="str">
        <f t="shared" si="5"/>
        <v>andino23pr@gmail.com</v>
      </c>
    </row>
    <row r="292" spans="1:12">
      <c r="A292" t="str" cm="1">
        <f t="array" ref="A292">_xlfn.LET(_xlpm.e,L292,
IF(_xlpm.e="","",
"DOC-"&amp;TEXT(ROW()-ROW(tblMaster[#Headers]),"00000")
))</f>
        <v>DOC-00291</v>
      </c>
      <c r="B292" s="49">
        <v>45953</v>
      </c>
      <c r="C292" s="42" t="s">
        <v>1329</v>
      </c>
      <c r="D292" s="41" t="s">
        <v>1330</v>
      </c>
      <c r="E292" s="38" t="s">
        <v>1331</v>
      </c>
      <c r="F292" s="18" t="s">
        <v>1332</v>
      </c>
      <c r="G292" s="41" t="s">
        <v>1333</v>
      </c>
      <c r="H292" s="18" t="s">
        <v>17</v>
      </c>
      <c r="I292" s="18" t="s">
        <v>54</v>
      </c>
      <c r="K292" s="5" t="s">
        <v>652</v>
      </c>
      <c r="L292" t="str">
        <f t="shared" si="5"/>
        <v>sue_shay@comcast.net</v>
      </c>
    </row>
    <row r="293" spans="1:12">
      <c r="A293" t="str" cm="1">
        <f t="array" ref="A293">_xlfn.LET(_xlpm.e,L293,
IF(_xlpm.e="","",
"DOC-"&amp;TEXT(ROW()-ROW(tblMaster[#Headers]),"00000")
))</f>
        <v>DOC-00292</v>
      </c>
      <c r="B293" s="49">
        <v>45953</v>
      </c>
      <c r="C293" s="42" t="s">
        <v>1334</v>
      </c>
      <c r="D293" s="41" t="s">
        <v>1335</v>
      </c>
      <c r="E293" s="38" t="s">
        <v>1336</v>
      </c>
      <c r="F293" s="18" t="s">
        <v>1337</v>
      </c>
      <c r="G293" s="41" t="s">
        <v>1338</v>
      </c>
      <c r="H293" s="18" t="s">
        <v>17</v>
      </c>
      <c r="I293" s="18" t="s">
        <v>54</v>
      </c>
      <c r="K293" s="5" t="s">
        <v>652</v>
      </c>
      <c r="L293" t="str">
        <f t="shared" si="5"/>
        <v>gosia.siwik@hotmail.com</v>
      </c>
    </row>
    <row r="294" spans="1:12">
      <c r="A294" t="str" cm="1">
        <f t="array" ref="A294">_xlfn.LET(_xlpm.e,L294,
IF(_xlpm.e="","",
"DOC-"&amp;TEXT(ROW()-ROW(tblMaster[#Headers]),"00000")
))</f>
        <v>DOC-00293</v>
      </c>
      <c r="B294" s="49">
        <v>45953</v>
      </c>
      <c r="C294" s="42" t="s">
        <v>873</v>
      </c>
      <c r="D294" s="41" t="s">
        <v>874</v>
      </c>
      <c r="E294" s="38" t="s">
        <v>1339</v>
      </c>
      <c r="F294" s="18" t="s">
        <v>876</v>
      </c>
      <c r="G294" s="41" t="s">
        <v>74</v>
      </c>
      <c r="H294" s="18" t="s">
        <v>17</v>
      </c>
      <c r="I294" s="18" t="s">
        <v>54</v>
      </c>
      <c r="J294" s="99" t="s">
        <v>23</v>
      </c>
      <c r="K294" s="5" t="s">
        <v>652</v>
      </c>
      <c r="L294" t="str">
        <f t="shared" si="5"/>
        <v>brkhrrngtn@gmail.com</v>
      </c>
    </row>
    <row r="295" spans="1:12">
      <c r="A295" t="str" cm="1">
        <f t="array" ref="A295">_xlfn.LET(_xlpm.e,L295,
IF(_xlpm.e="","",
"DOC-"&amp;TEXT(ROW()-ROW(tblMaster[#Headers]),"00000")
))</f>
        <v>DOC-00294</v>
      </c>
      <c r="B295" s="49">
        <v>45953</v>
      </c>
      <c r="C295" s="42" t="s">
        <v>1340</v>
      </c>
      <c r="D295" s="41" t="s">
        <v>1341</v>
      </c>
      <c r="E295" s="38" t="s">
        <v>1342</v>
      </c>
      <c r="F295" s="18" t="s">
        <v>1343</v>
      </c>
      <c r="G295" s="41" t="s">
        <v>79</v>
      </c>
      <c r="H295" s="18" t="s">
        <v>17</v>
      </c>
      <c r="I295" s="18" t="s">
        <v>54</v>
      </c>
      <c r="K295" s="5" t="s">
        <v>652</v>
      </c>
      <c r="L295" t="str">
        <f t="shared" si="5"/>
        <v>monique_send@yahoo.com</v>
      </c>
    </row>
    <row r="296" spans="1:12">
      <c r="A296" t="str" cm="1">
        <f t="array" ref="A296">_xlfn.LET(_xlpm.e,L296,
IF(_xlpm.e="","",
"DOC-"&amp;TEXT(ROW()-ROW(tblMaster[#Headers]),"00000")
))</f>
        <v>DOC-00295</v>
      </c>
      <c r="B296" s="49">
        <v>45953</v>
      </c>
      <c r="C296" s="42" t="s">
        <v>1344</v>
      </c>
      <c r="D296" s="41" t="s">
        <v>1345</v>
      </c>
      <c r="E296" s="38" t="s">
        <v>1346</v>
      </c>
      <c r="F296" s="18" t="s">
        <v>1347</v>
      </c>
      <c r="G296" s="41" t="s">
        <v>1348</v>
      </c>
      <c r="H296" s="18" t="s">
        <v>17</v>
      </c>
      <c r="I296" s="18" t="s">
        <v>54</v>
      </c>
      <c r="K296" s="5" t="s">
        <v>226</v>
      </c>
      <c r="L296" t="str">
        <f t="shared" si="5"/>
        <v>boatengfilms@gmail.com</v>
      </c>
    </row>
    <row r="297" spans="1:12">
      <c r="A297" t="str" cm="1">
        <f t="array" ref="A297">_xlfn.LET(_xlpm.e,L297,
IF(_xlpm.e="","",
"DOC-"&amp;TEXT(ROW()-ROW(tblMaster[#Headers]),"00000")
))</f>
        <v>DOC-00296</v>
      </c>
      <c r="B297" s="49">
        <v>45953</v>
      </c>
      <c r="C297" s="42" t="s">
        <v>1349</v>
      </c>
      <c r="D297" s="41" t="s">
        <v>1350</v>
      </c>
      <c r="E297" s="38" t="s">
        <v>1351</v>
      </c>
      <c r="F297" s="18" t="s">
        <v>1352</v>
      </c>
      <c r="G297" s="41" t="s">
        <v>576</v>
      </c>
      <c r="H297" s="18" t="s">
        <v>17</v>
      </c>
      <c r="I297" s="18" t="s">
        <v>54</v>
      </c>
      <c r="K297" s="5" t="s">
        <v>226</v>
      </c>
      <c r="L297" t="str">
        <f t="shared" si="5"/>
        <v>melissagaellejean@gmail.com</v>
      </c>
    </row>
    <row r="298" spans="1:12">
      <c r="A298" t="str" cm="1">
        <f t="array" ref="A298">_xlfn.LET(_xlpm.e,L298,
IF(_xlpm.e="","",
"DOC-"&amp;TEXT(ROW()-ROW(tblMaster[#Headers]),"00000")
))</f>
        <v>DOC-00297</v>
      </c>
      <c r="B298" s="49">
        <v>45953</v>
      </c>
      <c r="C298" s="42" t="s">
        <v>1353</v>
      </c>
      <c r="D298" s="41" t="s">
        <v>1354</v>
      </c>
      <c r="E298" s="38" t="s">
        <v>1355</v>
      </c>
      <c r="F298" s="18" t="s">
        <v>1356</v>
      </c>
      <c r="G298" s="41" t="s">
        <v>74</v>
      </c>
      <c r="H298" s="18" t="s">
        <v>17</v>
      </c>
      <c r="I298" s="18" t="s">
        <v>54</v>
      </c>
      <c r="K298" s="5" t="s">
        <v>652</v>
      </c>
      <c r="L298" t="str">
        <f t="shared" si="5"/>
        <v>av1493@yahoo.com</v>
      </c>
    </row>
    <row r="299" spans="1:12">
      <c r="A299" t="str" cm="1">
        <f t="array" ref="A299">_xlfn.LET(_xlpm.e,L299,
IF(_xlpm.e="","",
"DOC-"&amp;TEXT(ROW()-ROW(tblMaster[#Headers]),"00000")
))</f>
        <v>DOC-00298</v>
      </c>
      <c r="B299" s="49">
        <v>45953</v>
      </c>
      <c r="C299" s="42" t="s">
        <v>1357</v>
      </c>
      <c r="D299" s="41" t="s">
        <v>1358</v>
      </c>
      <c r="E299" s="38" t="s">
        <v>1359</v>
      </c>
      <c r="F299" s="18" t="s">
        <v>1360</v>
      </c>
      <c r="G299" s="41" t="s">
        <v>1361</v>
      </c>
      <c r="H299" s="18" t="s">
        <v>17</v>
      </c>
      <c r="I299" s="18" t="s">
        <v>54</v>
      </c>
      <c r="K299" s="5" t="s">
        <v>652</v>
      </c>
      <c r="L299" t="str">
        <f t="shared" si="5"/>
        <v>leblancolivia2@gmail.com</v>
      </c>
    </row>
    <row r="300" spans="1:12">
      <c r="A300" t="str" cm="1">
        <f t="array" ref="A300">_xlfn.LET(_xlpm.e,L300,
IF(_xlpm.e="","",
"DOC-"&amp;TEXT(ROW()-ROW(tblMaster[#Headers]),"00000")
))</f>
        <v>DOC-00299</v>
      </c>
      <c r="B300" s="49">
        <v>45953</v>
      </c>
      <c r="C300" s="42" t="s">
        <v>75</v>
      </c>
      <c r="D300" s="41" t="s">
        <v>1362</v>
      </c>
      <c r="E300" s="38" t="s">
        <v>1363</v>
      </c>
      <c r="F300" s="18" t="s">
        <v>1364</v>
      </c>
      <c r="G300" s="41" t="s">
        <v>79</v>
      </c>
      <c r="H300" s="18" t="s">
        <v>17</v>
      </c>
      <c r="I300" s="18" t="s">
        <v>54</v>
      </c>
      <c r="J300" s="99" t="s">
        <v>23</v>
      </c>
      <c r="K300" s="5" t="s">
        <v>652</v>
      </c>
      <c r="L300" t="str">
        <f t="shared" si="5"/>
        <v>j.mongeau1289@gmail.com</v>
      </c>
    </row>
    <row r="301" spans="1:12">
      <c r="A301" t="str" cm="1">
        <f t="array" ref="A301">_xlfn.LET(_xlpm.e,L301,
IF(_xlpm.e="","",
"DOC-"&amp;TEXT(ROW()-ROW(tblMaster[#Headers]),"00000")
))</f>
        <v>DOC-00300</v>
      </c>
      <c r="B301" s="49">
        <v>45953</v>
      </c>
      <c r="C301" s="42" t="s">
        <v>1113</v>
      </c>
      <c r="D301" s="41" t="s">
        <v>1365</v>
      </c>
      <c r="E301" s="38" t="s">
        <v>1366</v>
      </c>
      <c r="F301" s="18" t="s">
        <v>1367</v>
      </c>
      <c r="G301" s="41" t="s">
        <v>163</v>
      </c>
      <c r="H301" s="18" t="s">
        <v>17</v>
      </c>
      <c r="I301" s="18" t="s">
        <v>54</v>
      </c>
      <c r="K301" s="5" t="s">
        <v>652</v>
      </c>
      <c r="L301" t="str">
        <f t="shared" si="5"/>
        <v>joesawchuk1@gmail.com</v>
      </c>
    </row>
    <row r="302" spans="1:12">
      <c r="A302" t="str" cm="1">
        <f t="array" ref="A302">_xlfn.LET(_xlpm.e,L302,
IF(_xlpm.e="","",
"DOC-"&amp;TEXT(ROW()-ROW(tblMaster[#Headers]),"00000")
))</f>
        <v>DOC-00301</v>
      </c>
      <c r="B302" s="49">
        <v>45953</v>
      </c>
      <c r="C302" s="42" t="s">
        <v>1368</v>
      </c>
      <c r="D302" s="41" t="s">
        <v>1369</v>
      </c>
      <c r="E302" s="38" t="s">
        <v>1370</v>
      </c>
      <c r="F302" s="18" t="s">
        <v>1371</v>
      </c>
      <c r="G302" s="41" t="s">
        <v>1372</v>
      </c>
      <c r="H302" s="18" t="s">
        <v>17</v>
      </c>
      <c r="I302" s="18" t="s">
        <v>54</v>
      </c>
      <c r="K302" s="5" t="s">
        <v>652</v>
      </c>
      <c r="L302" t="str">
        <f t="shared" si="5"/>
        <v>cjforget123@gmail.com</v>
      </c>
    </row>
    <row r="303" spans="1:12">
      <c r="A303" t="str" cm="1">
        <f t="array" ref="A303">_xlfn.LET(_xlpm.e,L303,
IF(_xlpm.e="","",
"DOC-"&amp;TEXT(ROW()-ROW(tblMaster[#Headers]),"00000")
))</f>
        <v>DOC-00302</v>
      </c>
      <c r="B303" s="49">
        <v>45953</v>
      </c>
      <c r="C303" s="42" t="s">
        <v>1193</v>
      </c>
      <c r="D303" s="41" t="s">
        <v>1373</v>
      </c>
      <c r="E303" s="38" t="s">
        <v>1374</v>
      </c>
      <c r="F303" s="18" t="s">
        <v>1375</v>
      </c>
      <c r="G303" s="41" t="s">
        <v>1197</v>
      </c>
      <c r="H303" s="18" t="s">
        <v>17</v>
      </c>
      <c r="I303" s="18" t="s">
        <v>54</v>
      </c>
      <c r="K303" s="5" t="s">
        <v>652</v>
      </c>
      <c r="L303" t="str">
        <f t="shared" si="5"/>
        <v>cottonschwab19@outlook.com</v>
      </c>
    </row>
    <row r="304" spans="1:12">
      <c r="A304" t="str" cm="1">
        <f t="array" ref="A304">_xlfn.LET(_xlpm.e,L304,
IF(_xlpm.e="","",
"DOC-"&amp;TEXT(ROW()-ROW(tblMaster[#Headers]),"00000")
))</f>
        <v>DOC-00303</v>
      </c>
      <c r="B304" s="49">
        <v>45953</v>
      </c>
      <c r="C304" s="42" t="s">
        <v>1376</v>
      </c>
      <c r="D304" s="41" t="s">
        <v>1376</v>
      </c>
      <c r="E304" s="38" t="s">
        <v>1377</v>
      </c>
      <c r="F304" s="18" t="s">
        <v>1378</v>
      </c>
      <c r="G304" s="41" t="s">
        <v>1197</v>
      </c>
      <c r="H304" s="18" t="s">
        <v>17</v>
      </c>
      <c r="I304" s="18" t="s">
        <v>54</v>
      </c>
      <c r="K304" s="5" t="s">
        <v>652</v>
      </c>
      <c r="L304" t="str">
        <f t="shared" si="5"/>
        <v>dupreykamden@gmail.com</v>
      </c>
    </row>
    <row r="305" spans="1:12">
      <c r="A305" t="str" cm="1">
        <f t="array" ref="A305">_xlfn.LET(_xlpm.e,L305,
IF(_xlpm.e="","",
"DOC-"&amp;TEXT(ROW()-ROW(tblMaster[#Headers]),"00000")
))</f>
        <v>DOC-00304</v>
      </c>
      <c r="B305" s="49">
        <v>45953</v>
      </c>
      <c r="C305" s="42" t="s">
        <v>1379</v>
      </c>
      <c r="D305" s="41" t="s">
        <v>1380</v>
      </c>
      <c r="E305" s="38" t="s">
        <v>1381</v>
      </c>
      <c r="F305" s="18" t="s">
        <v>1382</v>
      </c>
      <c r="G305" s="41" t="s">
        <v>1197</v>
      </c>
      <c r="H305" s="18" t="s">
        <v>17</v>
      </c>
      <c r="I305" s="18" t="s">
        <v>54</v>
      </c>
      <c r="K305" s="5" t="s">
        <v>652</v>
      </c>
      <c r="L305" t="str">
        <f t="shared" si="5"/>
        <v>rlove@townisp.com</v>
      </c>
    </row>
    <row r="306" spans="1:12">
      <c r="A306" t="str" cm="1">
        <f t="array" ref="A306">_xlfn.LET(_xlpm.e,L306,
IF(_xlpm.e="","",
"DOC-"&amp;TEXT(ROW()-ROW(tblMaster[#Headers]),"00000")
))</f>
        <v>DOC-00305</v>
      </c>
      <c r="B306" s="49">
        <v>45953</v>
      </c>
      <c r="C306" s="42" t="s">
        <v>1383</v>
      </c>
      <c r="D306" s="41" t="s">
        <v>1384</v>
      </c>
      <c r="E306" s="38" t="s">
        <v>1385</v>
      </c>
      <c r="F306" s="18" t="s">
        <v>1386</v>
      </c>
      <c r="G306" s="41" t="s">
        <v>1387</v>
      </c>
      <c r="H306" s="18" t="s">
        <v>17</v>
      </c>
      <c r="I306" s="18" t="s">
        <v>54</v>
      </c>
      <c r="J306" s="99" t="s">
        <v>23</v>
      </c>
      <c r="K306" s="5" t="s">
        <v>652</v>
      </c>
      <c r="L306" t="str">
        <f t="shared" si="5"/>
        <v>brnt556@gmail.com</v>
      </c>
    </row>
    <row r="307" spans="1:12">
      <c r="A307" t="str" cm="1">
        <f t="array" ref="A307">_xlfn.LET(_xlpm.e,L307,
IF(_xlpm.e="","",
"DOC-"&amp;TEXT(ROW()-ROW(tblMaster[#Headers]),"00000")
))</f>
        <v>DOC-00306</v>
      </c>
      <c r="B307" s="49">
        <v>45953</v>
      </c>
      <c r="C307" s="42" t="s">
        <v>1388</v>
      </c>
      <c r="D307" s="41" t="s">
        <v>1389</v>
      </c>
      <c r="E307" s="38" t="s">
        <v>1390</v>
      </c>
      <c r="F307" s="18" t="s">
        <v>1391</v>
      </c>
      <c r="G307" s="41" t="s">
        <v>1361</v>
      </c>
      <c r="H307" s="18" t="s">
        <v>17</v>
      </c>
      <c r="I307" s="18" t="s">
        <v>54</v>
      </c>
      <c r="K307" s="5" t="s">
        <v>652</v>
      </c>
      <c r="L307" t="str">
        <f t="shared" si="5"/>
        <v>sixstringsandporchswings@gmail.com</v>
      </c>
    </row>
    <row r="308" spans="1:12">
      <c r="A308" t="str" cm="1">
        <f t="array" ref="A308">_xlfn.LET(_xlpm.e,L308,
IF(_xlpm.e="","",
"DOC-"&amp;TEXT(ROW()-ROW(tblMaster[#Headers]),"00000")
))</f>
        <v>DOC-00307</v>
      </c>
      <c r="B308" s="49">
        <v>45953</v>
      </c>
      <c r="C308" s="42" t="s">
        <v>1392</v>
      </c>
      <c r="D308" s="41" t="s">
        <v>1393</v>
      </c>
      <c r="E308" s="38" t="s">
        <v>1394</v>
      </c>
      <c r="F308" s="18" t="s">
        <v>1395</v>
      </c>
      <c r="G308" s="41" t="s">
        <v>544</v>
      </c>
      <c r="H308" s="18" t="s">
        <v>17</v>
      </c>
      <c r="I308" s="18" t="s">
        <v>54</v>
      </c>
      <c r="K308" s="5" t="s">
        <v>652</v>
      </c>
      <c r="L308" t="str">
        <f t="shared" si="5"/>
        <v>jazlynnflecha@gmail.com</v>
      </c>
    </row>
    <row r="309" spans="1:12">
      <c r="A309" t="str" cm="1">
        <f t="array" ref="A309">_xlfn.LET(_xlpm.e,L309,
IF(_xlpm.e="","",
"DOC-"&amp;TEXT(ROW()-ROW(tblMaster[#Headers]),"00000")
))</f>
        <v>DOC-00308</v>
      </c>
      <c r="B309" s="49">
        <v>45953</v>
      </c>
      <c r="C309" s="42" t="s">
        <v>1396</v>
      </c>
      <c r="D309" s="41" t="s">
        <v>1397</v>
      </c>
      <c r="E309" s="38" t="s">
        <v>1398</v>
      </c>
      <c r="F309" s="18" t="s">
        <v>1399</v>
      </c>
      <c r="G309" s="41" t="s">
        <v>544</v>
      </c>
      <c r="H309" s="18" t="s">
        <v>17</v>
      </c>
      <c r="I309" s="18" t="s">
        <v>54</v>
      </c>
      <c r="K309" s="5" t="s">
        <v>652</v>
      </c>
      <c r="L309" t="str">
        <f t="shared" si="5"/>
        <v>ortizleonela12@gmail.com</v>
      </c>
    </row>
    <row r="310" spans="1:12">
      <c r="A310" t="str" cm="1">
        <f t="array" ref="A310">_xlfn.LET(_xlpm.e,L310,
IF(_xlpm.e="","",
"DOC-"&amp;TEXT(ROW()-ROW(tblMaster[#Headers]),"00000")
))</f>
        <v>DOC-00309</v>
      </c>
      <c r="B310" s="49">
        <v>45953</v>
      </c>
      <c r="C310" s="42" t="s">
        <v>676</v>
      </c>
      <c r="D310" s="41" t="s">
        <v>1400</v>
      </c>
      <c r="E310" s="38" t="s">
        <v>1401</v>
      </c>
      <c r="F310" s="18" t="s">
        <v>1402</v>
      </c>
      <c r="G310" s="41" t="s">
        <v>1403</v>
      </c>
      <c r="H310" s="18" t="s">
        <v>60</v>
      </c>
      <c r="I310" s="18" t="s">
        <v>54</v>
      </c>
      <c r="K310" s="5" t="s">
        <v>652</v>
      </c>
      <c r="L310" t="str">
        <f t="shared" si="5"/>
        <v>dasilvacurtis23@gmail.com</v>
      </c>
    </row>
    <row r="311" spans="1:12">
      <c r="A311" t="str" cm="1">
        <f t="array" ref="A311">_xlfn.LET(_xlpm.e,L311,
IF(_xlpm.e="","",
"DOC-"&amp;TEXT(ROW()-ROW(tblMaster[#Headers]),"00000")
))</f>
        <v>DOC-00310</v>
      </c>
      <c r="B311" s="49">
        <v>45953</v>
      </c>
      <c r="C311" s="42" t="s">
        <v>1404</v>
      </c>
      <c r="D311" s="41" t="s">
        <v>1405</v>
      </c>
      <c r="E311" s="38" t="s">
        <v>1406</v>
      </c>
      <c r="F311" s="18" t="s">
        <v>1407</v>
      </c>
      <c r="G311" s="41" t="s">
        <v>257</v>
      </c>
      <c r="H311" s="18" t="s">
        <v>17</v>
      </c>
      <c r="I311" s="18"/>
      <c r="K311" s="5" t="s">
        <v>652</v>
      </c>
      <c r="L311" t="str">
        <f t="shared" si="5"/>
        <v>keyrobinson33@icloud.com</v>
      </c>
    </row>
    <row r="312" spans="1:12">
      <c r="A312" t="str" cm="1">
        <f t="array" ref="A312">_xlfn.LET(_xlpm.e,L312,
IF(_xlpm.e="","",
"DOC-"&amp;TEXT(ROW()-ROW(tblMaster[#Headers]),"00000")
))</f>
        <v>DOC-00311</v>
      </c>
      <c r="B312" s="49">
        <v>45953</v>
      </c>
      <c r="C312" s="42" t="s">
        <v>1408</v>
      </c>
      <c r="D312" s="41" t="s">
        <v>1409</v>
      </c>
      <c r="E312" s="38" t="s">
        <v>1410</v>
      </c>
      <c r="F312" s="18" t="s">
        <v>1411</v>
      </c>
      <c r="G312" s="41"/>
      <c r="H312" s="18"/>
      <c r="I312" s="18" t="s">
        <v>54</v>
      </c>
      <c r="K312" s="5" t="s">
        <v>652</v>
      </c>
      <c r="L312" t="str">
        <f t="shared" si="5"/>
        <v>izaacthompson0423@gmail.com</v>
      </c>
    </row>
    <row r="313" spans="1:12">
      <c r="A313" t="str" cm="1">
        <f t="array" ref="A313">_xlfn.LET(_xlpm.e,L313,
IF(_xlpm.e="","",
"DOC-"&amp;TEXT(ROW()-ROW(tblMaster[#Headers]),"00000")
))</f>
        <v>DOC-00312</v>
      </c>
      <c r="B313" s="49">
        <v>45953</v>
      </c>
      <c r="C313" s="42" t="s">
        <v>1412</v>
      </c>
      <c r="D313" s="41" t="s">
        <v>1413</v>
      </c>
      <c r="E313" s="38" t="s">
        <v>1414</v>
      </c>
      <c r="F313" s="18" t="s">
        <v>1415</v>
      </c>
      <c r="G313" s="41" t="s">
        <v>1416</v>
      </c>
      <c r="H313" s="18" t="s">
        <v>17</v>
      </c>
      <c r="I313" s="18" t="s">
        <v>101</v>
      </c>
      <c r="K313" s="5" t="s">
        <v>652</v>
      </c>
      <c r="L313" t="str">
        <f t="shared" si="5"/>
        <v>jpineda42@icloud.com</v>
      </c>
    </row>
    <row r="314" spans="1:12">
      <c r="A314" t="str" cm="1">
        <f t="array" ref="A314">_xlfn.LET(_xlpm.e,L314,
IF(_xlpm.e="","",
"DOC-"&amp;TEXT(ROW()-ROW(tblMaster[#Headers]),"00000")
))</f>
        <v>DOC-00313</v>
      </c>
      <c r="B314" s="49">
        <v>45953</v>
      </c>
      <c r="C314" s="42" t="s">
        <v>1417</v>
      </c>
      <c r="D314" s="41" t="s">
        <v>1418</v>
      </c>
      <c r="E314" s="38" t="s">
        <v>1419</v>
      </c>
      <c r="F314" s="18" t="s">
        <v>1420</v>
      </c>
      <c r="G314" s="41" t="s">
        <v>1421</v>
      </c>
      <c r="H314" s="18" t="s">
        <v>17</v>
      </c>
      <c r="I314" s="18" t="s">
        <v>101</v>
      </c>
      <c r="K314" s="5" t="s">
        <v>652</v>
      </c>
      <c r="L314" t="str">
        <f t="shared" si="5"/>
        <v>luzdelgado596@gmail.com</v>
      </c>
    </row>
    <row r="315" spans="1:12">
      <c r="A315" t="str" cm="1">
        <f t="array" ref="A315">_xlfn.LET(_xlpm.e,L315,
IF(_xlpm.e="","",
"DOC-"&amp;TEXT(ROW()-ROW(tblMaster[#Headers]),"00000")
))</f>
        <v>DOC-00314</v>
      </c>
      <c r="B315" s="49">
        <v>45953</v>
      </c>
      <c r="C315" s="42" t="s">
        <v>1024</v>
      </c>
      <c r="D315" s="41" t="s">
        <v>1422</v>
      </c>
      <c r="E315" s="38" t="s">
        <v>1423</v>
      </c>
      <c r="F315" s="18" t="s">
        <v>1424</v>
      </c>
      <c r="G315" s="41" t="s">
        <v>133</v>
      </c>
      <c r="H315" s="18" t="s">
        <v>17</v>
      </c>
      <c r="I315" s="18" t="s">
        <v>54</v>
      </c>
      <c r="K315" s="5" t="s">
        <v>652</v>
      </c>
      <c r="L315" t="str">
        <f t="shared" si="5"/>
        <v>avdamico09@hotmail.com</v>
      </c>
    </row>
    <row r="316" spans="1:12">
      <c r="A316" t="str" cm="1">
        <f t="array" ref="A316">_xlfn.LET(_xlpm.e,L316,
IF(_xlpm.e="","",
"DOC-"&amp;TEXT(ROW()-ROW(tblMaster[#Headers]),"00000")
))</f>
        <v>DOC-00315</v>
      </c>
      <c r="B316" s="49">
        <v>45953</v>
      </c>
      <c r="C316" s="42" t="s">
        <v>1425</v>
      </c>
      <c r="D316" s="41" t="s">
        <v>1426</v>
      </c>
      <c r="E316" s="38" t="s">
        <v>1427</v>
      </c>
      <c r="F316" s="18" t="s">
        <v>1428</v>
      </c>
      <c r="G316" s="41" t="s">
        <v>596</v>
      </c>
      <c r="H316" s="18" t="s">
        <v>17</v>
      </c>
      <c r="I316" s="18" t="s">
        <v>101</v>
      </c>
      <c r="K316" s="5" t="s">
        <v>652</v>
      </c>
      <c r="L316" t="str">
        <f t="shared" si="5"/>
        <v>claudino.alvarenga@brocktonpolice.com</v>
      </c>
    </row>
    <row r="317" spans="1:12">
      <c r="A317" t="str" cm="1">
        <f t="array" ref="A317">_xlfn.LET(_xlpm.e,L317,
IF(_xlpm.e="","",
"DOC-"&amp;TEXT(ROW()-ROW(tblMaster[#Headers]),"00000")
))</f>
        <v>DOC-00316</v>
      </c>
      <c r="B317" s="49">
        <v>45953</v>
      </c>
      <c r="C317" s="42" t="s">
        <v>1429</v>
      </c>
      <c r="D317" s="41" t="s">
        <v>1430</v>
      </c>
      <c r="E317" s="38" t="s">
        <v>1431</v>
      </c>
      <c r="F317" s="18" t="s">
        <v>1432</v>
      </c>
      <c r="G317" s="41" t="s">
        <v>1433</v>
      </c>
      <c r="H317" s="18" t="s">
        <v>17</v>
      </c>
      <c r="I317" s="18" t="s">
        <v>101</v>
      </c>
      <c r="K317" s="5" t="s">
        <v>652</v>
      </c>
      <c r="L317" t="str">
        <f t="shared" si="5"/>
        <v>milliscentj@gmail.com</v>
      </c>
    </row>
    <row r="318" spans="1:12">
      <c r="A318" t="str" cm="1">
        <f t="array" ref="A318">_xlfn.LET(_xlpm.e,L318,
IF(_xlpm.e="","",
"DOC-"&amp;TEXT(ROW()-ROW(tblMaster[#Headers]),"00000")
))</f>
        <v>DOC-00317</v>
      </c>
      <c r="B318" s="49">
        <v>45953</v>
      </c>
      <c r="C318" s="42" t="s">
        <v>1434</v>
      </c>
      <c r="D318" s="41" t="s">
        <v>1435</v>
      </c>
      <c r="E318" s="38" t="s">
        <v>1436</v>
      </c>
      <c r="F318" s="18" t="s">
        <v>1437</v>
      </c>
      <c r="G318" s="41" t="s">
        <v>257</v>
      </c>
      <c r="H318" s="18" t="s">
        <v>17</v>
      </c>
      <c r="I318" s="18" t="s">
        <v>112</v>
      </c>
      <c r="J318" s="99" t="s">
        <v>23</v>
      </c>
      <c r="K318" s="5" t="s">
        <v>652</v>
      </c>
      <c r="L318" t="str">
        <f t="shared" si="5"/>
        <v>syniaedwards@gmail.com</v>
      </c>
    </row>
    <row r="319" spans="1:12">
      <c r="A319" t="str" cm="1">
        <f t="array" ref="A319">_xlfn.LET(_xlpm.e,L319,
IF(_xlpm.e="","",
"DOC-"&amp;TEXT(ROW()-ROW(tblMaster[#Headers]),"00000")
))</f>
        <v>DOC-00318</v>
      </c>
      <c r="B319" s="49">
        <v>45953</v>
      </c>
      <c r="C319" s="42" t="s">
        <v>1438</v>
      </c>
      <c r="D319" s="41" t="s">
        <v>1439</v>
      </c>
      <c r="E319" s="38" t="s">
        <v>1440</v>
      </c>
      <c r="F319" s="18" t="s">
        <v>1441</v>
      </c>
      <c r="G319" s="41" t="s">
        <v>52</v>
      </c>
      <c r="H319" s="18" t="s">
        <v>17</v>
      </c>
      <c r="I319" s="18" t="s">
        <v>112</v>
      </c>
      <c r="J319" s="99" t="s">
        <v>194</v>
      </c>
      <c r="K319" s="5" t="s">
        <v>226</v>
      </c>
      <c r="L319" t="str">
        <f t="shared" si="5"/>
        <v>mamunbabu@hotmail.com</v>
      </c>
    </row>
    <row r="320" spans="1:12">
      <c r="A320" t="str" cm="1">
        <f t="array" ref="A320">_xlfn.LET(_xlpm.e,L320,
IF(_xlpm.e="","",
"DOC-"&amp;TEXT(ROW()-ROW(tblMaster[#Headers]),"00000")
))</f>
        <v>DOC-00319</v>
      </c>
      <c r="B320" s="49">
        <v>45953</v>
      </c>
      <c r="C320" s="42" t="s">
        <v>1442</v>
      </c>
      <c r="D320" s="41" t="s">
        <v>1443</v>
      </c>
      <c r="E320" s="38" t="s">
        <v>1444</v>
      </c>
      <c r="F320" s="18" t="s">
        <v>1445</v>
      </c>
      <c r="G320" s="41" t="s">
        <v>52</v>
      </c>
      <c r="H320" s="18" t="s">
        <v>17</v>
      </c>
      <c r="I320" s="18" t="s">
        <v>112</v>
      </c>
      <c r="K320" s="5" t="s">
        <v>652</v>
      </c>
      <c r="L320" t="str">
        <f t="shared" si="5"/>
        <v>sadaqahrashid2@gmail.com</v>
      </c>
    </row>
    <row r="321" spans="1:12">
      <c r="A321" t="str" cm="1">
        <f t="array" ref="A321">_xlfn.LET(_xlpm.e,L321,
IF(_xlpm.e="","",
"DOC-"&amp;TEXT(ROW()-ROW(tblMaster[#Headers]),"00000")
))</f>
        <v>DOC-00320</v>
      </c>
      <c r="B321" s="49">
        <v>45953</v>
      </c>
      <c r="C321" s="42" t="s">
        <v>1446</v>
      </c>
      <c r="D321" s="41" t="s">
        <v>1447</v>
      </c>
      <c r="E321" s="38" t="s">
        <v>1448</v>
      </c>
      <c r="F321" s="18" t="s">
        <v>1449</v>
      </c>
      <c r="G321" s="41" t="s">
        <v>257</v>
      </c>
      <c r="H321" s="18" t="s">
        <v>17</v>
      </c>
      <c r="I321" s="18" t="s">
        <v>101</v>
      </c>
      <c r="J321" s="99" t="s">
        <v>497</v>
      </c>
      <c r="K321" s="5" t="s">
        <v>652</v>
      </c>
      <c r="L321" t="str">
        <f t="shared" si="5"/>
        <v>alexandretheodore5@gmail.com</v>
      </c>
    </row>
    <row r="322" spans="1:12">
      <c r="A322" t="str" cm="1">
        <f t="array" ref="A322">_xlfn.LET(_xlpm.e,L322,
IF(_xlpm.e="","",
"DOC-"&amp;TEXT(ROW()-ROW(tblMaster[#Headers]),"00000")
))</f>
        <v>DOC-00321</v>
      </c>
      <c r="B322" s="49">
        <v>45953</v>
      </c>
      <c r="C322" s="42" t="s">
        <v>1450</v>
      </c>
      <c r="D322" s="41" t="s">
        <v>1451</v>
      </c>
      <c r="E322" s="38" t="s">
        <v>1452</v>
      </c>
      <c r="F322" s="18" t="s">
        <v>1453</v>
      </c>
      <c r="G322" s="41" t="s">
        <v>979</v>
      </c>
      <c r="H322" s="18" t="s">
        <v>17</v>
      </c>
      <c r="I322" s="18" t="s">
        <v>112</v>
      </c>
      <c r="K322" s="5" t="s">
        <v>652</v>
      </c>
      <c r="L322" t="str">
        <f t="shared" si="5"/>
        <v>mondesirjimmikathson@gmail.com</v>
      </c>
    </row>
    <row r="323" spans="1:12">
      <c r="A323" t="str" cm="1">
        <f t="array" ref="A323">_xlfn.LET(_xlpm.e,L323,
IF(_xlpm.e="","",
"DOC-"&amp;TEXT(ROW()-ROW(tblMaster[#Headers]),"00000")
))</f>
        <v/>
      </c>
      <c r="B323" s="49">
        <v>45953</v>
      </c>
      <c r="C323" s="42" t="s">
        <v>1268</v>
      </c>
      <c r="D323" s="41" t="s">
        <v>1454</v>
      </c>
      <c r="E323" s="39"/>
      <c r="F323" s="18" t="s">
        <v>1455</v>
      </c>
      <c r="G323" s="41" t="s">
        <v>1456</v>
      </c>
      <c r="H323" s="18" t="s">
        <v>17</v>
      </c>
      <c r="I323" s="18" t="s">
        <v>112</v>
      </c>
      <c r="K323" s="5" t="s">
        <v>652</v>
      </c>
      <c r="L323" t="str">
        <f t="shared" si="5"/>
        <v/>
      </c>
    </row>
    <row r="324" spans="1:12">
      <c r="A324" t="str" cm="1">
        <f t="array" ref="A324">_xlfn.LET(_xlpm.e,L324,
IF(_xlpm.e="","",
"DOC-"&amp;TEXT(ROW()-ROW(tblMaster[#Headers]),"00000")
))</f>
        <v/>
      </c>
      <c r="B324" s="49">
        <v>45953</v>
      </c>
      <c r="C324" s="42" t="s">
        <v>1457</v>
      </c>
      <c r="D324" s="41" t="s">
        <v>1458</v>
      </c>
      <c r="E324" s="40"/>
      <c r="F324" s="18" t="s">
        <v>1459</v>
      </c>
      <c r="G324" s="41" t="s">
        <v>596</v>
      </c>
      <c r="H324" s="18" t="s">
        <v>17</v>
      </c>
      <c r="I324" s="18" t="s">
        <v>112</v>
      </c>
      <c r="K324" s="5" t="s">
        <v>652</v>
      </c>
      <c r="L324" t="str">
        <f t="shared" si="5"/>
        <v/>
      </c>
    </row>
    <row r="325" spans="1:12">
      <c r="A325" t="str" cm="1">
        <f t="array" ref="A325">_xlfn.LET(_xlpm.e,L325,
IF(_xlpm.e="","",
"DOC-"&amp;TEXT(ROW()-ROW(tblMaster[#Headers]),"00000")
))</f>
        <v/>
      </c>
      <c r="B325" s="49">
        <v>45953</v>
      </c>
      <c r="C325" s="42" t="s">
        <v>1460</v>
      </c>
      <c r="D325" s="41" t="s">
        <v>1461</v>
      </c>
      <c r="E325" s="39"/>
      <c r="F325" s="18" t="s">
        <v>1462</v>
      </c>
      <c r="G325" s="41" t="s">
        <v>1463</v>
      </c>
      <c r="H325" s="18" t="s">
        <v>17</v>
      </c>
      <c r="I325" s="18" t="s">
        <v>112</v>
      </c>
      <c r="K325" s="5" t="s">
        <v>652</v>
      </c>
      <c r="L325" t="str">
        <f t="shared" si="5"/>
        <v/>
      </c>
    </row>
    <row r="326" spans="1:12">
      <c r="A326" t="str" cm="1">
        <f t="array" ref="A326">_xlfn.LET(_xlpm.e,L326,
IF(_xlpm.e="","",
"DOC-"&amp;TEXT(ROW()-ROW(tblMaster[#Headers]),"00000")
))</f>
        <v>DOC-00325</v>
      </c>
      <c r="B326" s="49">
        <v>45953</v>
      </c>
      <c r="C326" s="42" t="s">
        <v>1464</v>
      </c>
      <c r="D326" s="41" t="s">
        <v>1465</v>
      </c>
      <c r="E326" s="38" t="s">
        <v>1466</v>
      </c>
      <c r="F326" s="18" t="s">
        <v>1467</v>
      </c>
      <c r="G326" s="41" t="s">
        <v>419</v>
      </c>
      <c r="H326" s="18" t="s">
        <v>17</v>
      </c>
      <c r="I326" s="18" t="s">
        <v>112</v>
      </c>
      <c r="K326" s="5" t="s">
        <v>652</v>
      </c>
      <c r="L326" t="str">
        <f t="shared" ref="L326:L389" si="6">_xlfn.LET(_xlpm.x,E326,
_xlpm.y,TRIM(CLEAN(SUBSTITUTE(_xlpm.x,CHAR(160)," "))),
LOWER(_xlpm.y))</f>
        <v>michelkelida@gmail.com</v>
      </c>
    </row>
    <row r="327" spans="1:12">
      <c r="A327" t="str" cm="1">
        <f t="array" ref="A327">_xlfn.LET(_xlpm.e,L327,
IF(_xlpm.e="","",
"DOC-"&amp;TEXT(ROW()-ROW(tblMaster[#Headers]),"00000")
))</f>
        <v>DOC-00326</v>
      </c>
      <c r="B327" s="49">
        <v>45953</v>
      </c>
      <c r="C327" s="42" t="s">
        <v>1468</v>
      </c>
      <c r="D327" s="41" t="s">
        <v>1469</v>
      </c>
      <c r="E327" s="38" t="s">
        <v>1470</v>
      </c>
      <c r="F327" s="18" t="s">
        <v>1471</v>
      </c>
      <c r="G327" s="41" t="s">
        <v>1472</v>
      </c>
      <c r="H327" s="18" t="s">
        <v>17</v>
      </c>
      <c r="I327" s="18" t="s">
        <v>112</v>
      </c>
      <c r="J327" s="99" t="s">
        <v>23</v>
      </c>
      <c r="K327" s="5" t="s">
        <v>652</v>
      </c>
      <c r="L327" t="str">
        <f t="shared" si="6"/>
        <v>patricklanguzzi@gmail.com</v>
      </c>
    </row>
    <row r="328" spans="1:12">
      <c r="A328" t="str" cm="1">
        <f t="array" ref="A328">_xlfn.LET(_xlpm.e,L328,
IF(_xlpm.e="","",
"DOC-"&amp;TEXT(ROW()-ROW(tblMaster[#Headers]),"00000")
))</f>
        <v>DOC-00327</v>
      </c>
      <c r="B328" s="49">
        <v>45953</v>
      </c>
      <c r="C328" s="42" t="s">
        <v>1473</v>
      </c>
      <c r="D328" s="41" t="s">
        <v>1474</v>
      </c>
      <c r="E328" s="38" t="s">
        <v>1475</v>
      </c>
      <c r="F328" s="18" t="s">
        <v>1476</v>
      </c>
      <c r="G328" s="41" t="s">
        <v>79</v>
      </c>
      <c r="H328" s="18" t="s">
        <v>17</v>
      </c>
      <c r="I328" s="18" t="s">
        <v>101</v>
      </c>
      <c r="K328" s="5" t="s">
        <v>652</v>
      </c>
      <c r="L328" t="str">
        <f t="shared" si="6"/>
        <v>colon.edni@yahoo.com</v>
      </c>
    </row>
    <row r="329" spans="1:12">
      <c r="A329" t="str" cm="1">
        <f t="array" ref="A329">_xlfn.LET(_xlpm.e,L329,
IF(_xlpm.e="","",
"DOC-"&amp;TEXT(ROW()-ROW(tblMaster[#Headers]),"00000")
))</f>
        <v>DOC-00328</v>
      </c>
      <c r="B329" s="49">
        <v>45953</v>
      </c>
      <c r="C329" s="42" t="s">
        <v>1477</v>
      </c>
      <c r="D329" s="41" t="s">
        <v>1478</v>
      </c>
      <c r="E329" s="38" t="s">
        <v>1479</v>
      </c>
      <c r="F329" s="18" t="s">
        <v>1480</v>
      </c>
      <c r="G329" s="41" t="s">
        <v>52</v>
      </c>
      <c r="H329" s="18" t="s">
        <v>17</v>
      </c>
      <c r="I329" s="18" t="s">
        <v>54</v>
      </c>
      <c r="K329" s="5" t="s">
        <v>652</v>
      </c>
      <c r="L329" t="str">
        <f t="shared" si="6"/>
        <v>kemleyned@gmail.com</v>
      </c>
    </row>
    <row r="330" spans="1:12">
      <c r="A330" t="str" cm="1">
        <f t="array" ref="A330">_xlfn.LET(_xlpm.e,L330,
IF(_xlpm.e="","",
"DOC-"&amp;TEXT(ROW()-ROW(tblMaster[#Headers]),"00000")
))</f>
        <v>DOC-00329</v>
      </c>
      <c r="B330" s="49">
        <v>45953</v>
      </c>
      <c r="C330" s="42" t="s">
        <v>1481</v>
      </c>
      <c r="D330" s="41" t="s">
        <v>1482</v>
      </c>
      <c r="E330" s="38" t="s">
        <v>1483</v>
      </c>
      <c r="F330" s="18" t="s">
        <v>1484</v>
      </c>
      <c r="G330" s="41" t="s">
        <v>79</v>
      </c>
      <c r="H330" s="18" t="s">
        <v>17</v>
      </c>
      <c r="I330" s="18" t="s">
        <v>54</v>
      </c>
      <c r="J330" s="99" t="s">
        <v>497</v>
      </c>
      <c r="K330" s="5" t="s">
        <v>652</v>
      </c>
      <c r="L330" t="str">
        <f t="shared" si="6"/>
        <v>bissonnette8486@outlook.com</v>
      </c>
    </row>
    <row r="331" spans="1:12">
      <c r="A331" t="str" cm="1">
        <f t="array" ref="A331">_xlfn.LET(_xlpm.e,L331,
IF(_xlpm.e="","",
"DOC-"&amp;TEXT(ROW()-ROW(tblMaster[#Headers]),"00000")
))</f>
        <v>DOC-00330</v>
      </c>
      <c r="B331" s="49">
        <v>45953</v>
      </c>
      <c r="C331" s="42" t="s">
        <v>1485</v>
      </c>
      <c r="D331" s="41" t="s">
        <v>1486</v>
      </c>
      <c r="E331" s="38" t="s">
        <v>1487</v>
      </c>
      <c r="F331" s="18" t="s">
        <v>1488</v>
      </c>
      <c r="G331" s="41" t="s">
        <v>182</v>
      </c>
      <c r="H331" s="18" t="s">
        <v>17</v>
      </c>
      <c r="I331" s="18" t="s">
        <v>54</v>
      </c>
      <c r="K331" s="5" t="s">
        <v>652</v>
      </c>
      <c r="L331" t="str">
        <f t="shared" si="6"/>
        <v>danielaarsantamaria@gmail.com</v>
      </c>
    </row>
    <row r="332" spans="1:12">
      <c r="A332" t="str" cm="1">
        <f t="array" ref="A332">_xlfn.LET(_xlpm.e,L332,
IF(_xlpm.e="","",
"DOC-"&amp;TEXT(ROW()-ROW(tblMaster[#Headers]),"00000")
))</f>
        <v>DOC-00331</v>
      </c>
      <c r="B332" s="49">
        <v>45953</v>
      </c>
      <c r="C332" s="42" t="s">
        <v>1489</v>
      </c>
      <c r="D332" s="41" t="s">
        <v>1490</v>
      </c>
      <c r="E332" s="38" t="s">
        <v>1491</v>
      </c>
      <c r="F332" s="18" t="s">
        <v>1492</v>
      </c>
      <c r="G332" s="41" t="s">
        <v>1493</v>
      </c>
      <c r="H332" s="18" t="s">
        <v>17</v>
      </c>
      <c r="I332" s="18" t="s">
        <v>54</v>
      </c>
      <c r="K332" s="5" t="s">
        <v>652</v>
      </c>
      <c r="L332" t="str">
        <f t="shared" si="6"/>
        <v>iddrical@yahoo.com</v>
      </c>
    </row>
    <row r="333" spans="1:12">
      <c r="A333" t="str" cm="1">
        <f t="array" ref="A333">_xlfn.LET(_xlpm.e,L333,
IF(_xlpm.e="","",
"DOC-"&amp;TEXT(ROW()-ROW(tblMaster[#Headers]),"00000")
))</f>
        <v>DOC-00332</v>
      </c>
      <c r="B333" s="49">
        <v>45953</v>
      </c>
      <c r="C333" s="42" t="s">
        <v>1494</v>
      </c>
      <c r="D333" s="41" t="s">
        <v>1495</v>
      </c>
      <c r="E333" s="38" t="s">
        <v>1496</v>
      </c>
      <c r="F333" s="18" t="s">
        <v>1497</v>
      </c>
      <c r="G333" s="41" t="s">
        <v>728</v>
      </c>
      <c r="H333" s="18" t="s">
        <v>17</v>
      </c>
      <c r="I333" s="18" t="s">
        <v>54</v>
      </c>
      <c r="J333" s="99" t="s">
        <v>23</v>
      </c>
      <c r="K333" s="5" t="s">
        <v>652</v>
      </c>
      <c r="L333" t="str">
        <f t="shared" si="6"/>
        <v>imanuelfernandes17@gmail.com</v>
      </c>
    </row>
    <row r="334" spans="1:12">
      <c r="A334" t="str" cm="1">
        <f t="array" ref="A334">_xlfn.LET(_xlpm.e,L334,
IF(_xlpm.e="","",
"DOC-"&amp;TEXT(ROW()-ROW(tblMaster[#Headers]),"00000")
))</f>
        <v>DOC-00333</v>
      </c>
      <c r="B334" s="49">
        <v>45953</v>
      </c>
      <c r="C334" s="42" t="s">
        <v>1498</v>
      </c>
      <c r="D334" s="41" t="s">
        <v>1499</v>
      </c>
      <c r="E334" s="38" t="s">
        <v>1500</v>
      </c>
      <c r="F334" s="18" t="s">
        <v>1501</v>
      </c>
      <c r="G334" s="41" t="s">
        <v>1502</v>
      </c>
      <c r="H334" s="18" t="s">
        <v>17</v>
      </c>
      <c r="I334" s="18" t="s">
        <v>54</v>
      </c>
      <c r="K334" s="5" t="s">
        <v>652</v>
      </c>
      <c r="L334" t="str">
        <f t="shared" si="6"/>
        <v>jeananchellolacroix@gmail.com</v>
      </c>
    </row>
    <row r="335" spans="1:12">
      <c r="A335" t="str" cm="1">
        <f t="array" ref="A335">_xlfn.LET(_xlpm.e,L335,
IF(_xlpm.e="","",
"DOC-"&amp;TEXT(ROW()-ROW(tblMaster[#Headers]),"00000")
))</f>
        <v>DOC-00334</v>
      </c>
      <c r="B335" s="49">
        <v>45953</v>
      </c>
      <c r="C335" s="42" t="s">
        <v>1503</v>
      </c>
      <c r="D335" s="41" t="s">
        <v>1504</v>
      </c>
      <c r="E335" s="38" t="s">
        <v>1505</v>
      </c>
      <c r="F335" s="18" t="s">
        <v>1506</v>
      </c>
      <c r="G335" s="41" t="s">
        <v>1507</v>
      </c>
      <c r="H335" s="18" t="s">
        <v>60</v>
      </c>
      <c r="I335" s="18" t="s">
        <v>54</v>
      </c>
      <c r="K335" s="5" t="s">
        <v>652</v>
      </c>
      <c r="L335" t="str">
        <f t="shared" si="6"/>
        <v>jeinshy1996@gmail.com</v>
      </c>
    </row>
    <row r="336" spans="1:12">
      <c r="A336" t="str" cm="1">
        <f t="array" ref="A336">_xlfn.LET(_xlpm.e,L336,
IF(_xlpm.e="","",
"DOC-"&amp;TEXT(ROW()-ROW(tblMaster[#Headers]),"00000")
))</f>
        <v/>
      </c>
      <c r="B336" s="49"/>
      <c r="C336" s="42"/>
      <c r="D336" s="41"/>
      <c r="E336" s="38"/>
      <c r="F336" s="18"/>
      <c r="G336" s="41"/>
      <c r="H336" s="18"/>
      <c r="I336" s="18"/>
      <c r="L336" t="str">
        <f t="shared" si="6"/>
        <v/>
      </c>
    </row>
    <row r="337" spans="1:12">
      <c r="A337" t="str" cm="1">
        <f t="array" ref="A337">_xlfn.LET(_xlpm.e,L337,
IF(_xlpm.e="","",
"DOC-"&amp;TEXT(ROW()-ROW(tblMaster[#Headers]),"00000")
))</f>
        <v>DOC-00336</v>
      </c>
      <c r="B337" s="49">
        <v>45953</v>
      </c>
      <c r="C337" s="42" t="s">
        <v>1508</v>
      </c>
      <c r="D337" s="41" t="s">
        <v>1509</v>
      </c>
      <c r="E337" s="38" t="s">
        <v>1510</v>
      </c>
      <c r="F337" s="18" t="s">
        <v>1511</v>
      </c>
      <c r="G337" s="41" t="s">
        <v>128</v>
      </c>
      <c r="H337" s="18" t="s">
        <v>17</v>
      </c>
      <c r="I337" s="18" t="s">
        <v>112</v>
      </c>
      <c r="K337" s="5" t="s">
        <v>226</v>
      </c>
      <c r="L337" t="str">
        <f t="shared" si="6"/>
        <v>shamikhah73@gmail.com</v>
      </c>
    </row>
    <row r="338" spans="1:12">
      <c r="A338" t="str" cm="1">
        <f t="array" ref="A338">_xlfn.LET(_xlpm.e,L338,
IF(_xlpm.e="","",
"DOC-"&amp;TEXT(ROW()-ROW(tblMaster[#Headers]),"00000")
))</f>
        <v/>
      </c>
      <c r="B338" s="49">
        <v>45953</v>
      </c>
      <c r="C338" s="42" t="s">
        <v>1512</v>
      </c>
      <c r="D338" s="41" t="s">
        <v>1513</v>
      </c>
      <c r="E338" s="40"/>
      <c r="F338" s="18" t="s">
        <v>1514</v>
      </c>
      <c r="G338" s="41" t="s">
        <v>438</v>
      </c>
      <c r="H338" s="18" t="s">
        <v>17</v>
      </c>
      <c r="I338" s="18" t="s">
        <v>112</v>
      </c>
      <c r="K338" s="5" t="s">
        <v>652</v>
      </c>
      <c r="L338" t="str">
        <f t="shared" si="6"/>
        <v/>
      </c>
    </row>
    <row r="339" spans="1:12">
      <c r="A339" t="str" cm="1">
        <f t="array" ref="A339">_xlfn.LET(_xlpm.e,L339,
IF(_xlpm.e="","",
"DOC-"&amp;TEXT(ROW()-ROW(tblMaster[#Headers]),"00000")
))</f>
        <v>DOC-00338</v>
      </c>
      <c r="B339" s="49">
        <v>45953</v>
      </c>
      <c r="C339" s="42" t="s">
        <v>1515</v>
      </c>
      <c r="D339" s="41" t="s">
        <v>1516</v>
      </c>
      <c r="E339" s="38" t="s">
        <v>1517</v>
      </c>
      <c r="F339" s="18" t="s">
        <v>1518</v>
      </c>
      <c r="G339" s="41" t="s">
        <v>79</v>
      </c>
      <c r="H339" s="18" t="s">
        <v>17</v>
      </c>
      <c r="I339" s="18" t="s">
        <v>112</v>
      </c>
      <c r="K339" s="5" t="s">
        <v>652</v>
      </c>
      <c r="L339" t="str">
        <f t="shared" si="6"/>
        <v>santiagoyamilett3@gmail.com</v>
      </c>
    </row>
    <row r="340" spans="1:12">
      <c r="A340" t="str" cm="1">
        <f t="array" ref="A340">_xlfn.LET(_xlpm.e,L340,
IF(_xlpm.e="","",
"DOC-"&amp;TEXT(ROW()-ROW(tblMaster[#Headers]),"00000")
))</f>
        <v>DOC-00339</v>
      </c>
      <c r="B340" s="49">
        <v>45953</v>
      </c>
      <c r="C340" s="42" t="s">
        <v>1519</v>
      </c>
      <c r="D340" s="41" t="s">
        <v>1520</v>
      </c>
      <c r="E340" s="38" t="s">
        <v>1521</v>
      </c>
      <c r="F340" s="18" t="s">
        <v>1522</v>
      </c>
      <c r="G340" s="41" t="s">
        <v>79</v>
      </c>
      <c r="H340" s="18" t="s">
        <v>17</v>
      </c>
      <c r="I340" s="18" t="s">
        <v>112</v>
      </c>
      <c r="J340" s="99" t="s">
        <v>23</v>
      </c>
      <c r="K340" s="5" t="s">
        <v>652</v>
      </c>
      <c r="L340" t="str">
        <f t="shared" si="6"/>
        <v>calderonnyzalie@gmail.com</v>
      </c>
    </row>
    <row r="341" spans="1:12">
      <c r="A341" t="str" cm="1">
        <f t="array" ref="A341">_xlfn.LET(_xlpm.e,L341,
IF(_xlpm.e="","",
"DOC-"&amp;TEXT(ROW()-ROW(tblMaster[#Headers]),"00000")
))</f>
        <v/>
      </c>
      <c r="B341" s="49">
        <v>45953</v>
      </c>
      <c r="C341" s="42" t="s">
        <v>1523</v>
      </c>
      <c r="D341" s="41" t="s">
        <v>1524</v>
      </c>
      <c r="E341" s="39"/>
      <c r="F341" s="18" t="s">
        <v>1525</v>
      </c>
      <c r="G341" s="41" t="s">
        <v>728</v>
      </c>
      <c r="H341" s="18" t="s">
        <v>17</v>
      </c>
      <c r="I341" s="18" t="s">
        <v>112</v>
      </c>
      <c r="K341" s="5" t="s">
        <v>652</v>
      </c>
      <c r="L341" t="str">
        <f t="shared" si="6"/>
        <v/>
      </c>
    </row>
    <row r="342" spans="1:12">
      <c r="A342" t="str" cm="1">
        <f t="array" ref="A342">_xlfn.LET(_xlpm.e,L342,
IF(_xlpm.e="","",
"DOC-"&amp;TEXT(ROW()-ROW(tblMaster[#Headers]),"00000")
))</f>
        <v>DOC-00341</v>
      </c>
      <c r="B342" s="49">
        <v>45953</v>
      </c>
      <c r="C342" s="42" t="s">
        <v>1526</v>
      </c>
      <c r="D342" s="41" t="s">
        <v>1527</v>
      </c>
      <c r="E342" s="38" t="s">
        <v>1528</v>
      </c>
      <c r="F342" s="18" t="s">
        <v>1529</v>
      </c>
      <c r="G342" s="41" t="s">
        <v>596</v>
      </c>
      <c r="H342" s="18" t="s">
        <v>17</v>
      </c>
      <c r="I342" s="18" t="s">
        <v>54</v>
      </c>
      <c r="K342" s="5" t="s">
        <v>652</v>
      </c>
      <c r="L342" t="str">
        <f t="shared" si="6"/>
        <v>djeissomendes@hotmail.com</v>
      </c>
    </row>
    <row r="343" spans="1:12">
      <c r="A343" t="str" cm="1">
        <f t="array" ref="A343">_xlfn.LET(_xlpm.e,L343,
IF(_xlpm.e="","",
"DOC-"&amp;TEXT(ROW()-ROW(tblMaster[#Headers]),"00000")
))</f>
        <v>DOC-00342</v>
      </c>
      <c r="B343" s="49">
        <v>45953</v>
      </c>
      <c r="C343" s="42" t="s">
        <v>1530</v>
      </c>
      <c r="D343" s="41" t="s">
        <v>1531</v>
      </c>
      <c r="E343" s="38" t="s">
        <v>1532</v>
      </c>
      <c r="F343" s="18" t="s">
        <v>1533</v>
      </c>
      <c r="G343" s="41" t="s">
        <v>79</v>
      </c>
      <c r="H343" s="18" t="s">
        <v>17</v>
      </c>
      <c r="I343" s="18" t="s">
        <v>54</v>
      </c>
      <c r="K343" s="5" t="s">
        <v>226</v>
      </c>
      <c r="L343" t="str">
        <f t="shared" si="6"/>
        <v>maxagriin@gmail.com</v>
      </c>
    </row>
    <row r="344" spans="1:12">
      <c r="A344" t="str" cm="1">
        <f t="array" ref="A344">_xlfn.LET(_xlpm.e,L344,
IF(_xlpm.e="","",
"DOC-"&amp;TEXT(ROW()-ROW(tblMaster[#Headers]),"00000")
))</f>
        <v>DOC-00343</v>
      </c>
      <c r="B344" s="49">
        <v>45953</v>
      </c>
      <c r="C344" s="42" t="s">
        <v>1534</v>
      </c>
      <c r="D344" s="41" t="s">
        <v>1535</v>
      </c>
      <c r="E344" s="38" t="s">
        <v>1536</v>
      </c>
      <c r="F344" s="18" t="s">
        <v>1537</v>
      </c>
      <c r="G344" s="41" t="s">
        <v>1538</v>
      </c>
      <c r="H344" s="18" t="s">
        <v>17</v>
      </c>
      <c r="I344" s="18" t="s">
        <v>54</v>
      </c>
      <c r="K344" s="5" t="s">
        <v>652</v>
      </c>
      <c r="L344" t="str">
        <f t="shared" si="6"/>
        <v>cpriebe2024@students.curry.edu</v>
      </c>
    </row>
    <row r="345" spans="1:12">
      <c r="A345" t="str" cm="1">
        <f t="array" ref="A345">_xlfn.LET(_xlpm.e,L345,
IF(_xlpm.e="","",
"DOC-"&amp;TEXT(ROW()-ROW(tblMaster[#Headers]),"00000")
))</f>
        <v>DOC-00344</v>
      </c>
      <c r="B345" s="49">
        <v>45953</v>
      </c>
      <c r="C345" s="42" t="s">
        <v>1539</v>
      </c>
      <c r="D345" s="41" t="s">
        <v>1540</v>
      </c>
      <c r="E345" s="38" t="s">
        <v>1541</v>
      </c>
      <c r="F345" s="18" t="s">
        <v>1542</v>
      </c>
      <c r="G345" s="41" t="s">
        <v>1543</v>
      </c>
      <c r="H345" s="18" t="s">
        <v>60</v>
      </c>
      <c r="I345" s="18" t="s">
        <v>54</v>
      </c>
      <c r="K345" s="5" t="s">
        <v>652</v>
      </c>
      <c r="L345" t="str">
        <f t="shared" si="6"/>
        <v>cailenedupras5@gmail.com</v>
      </c>
    </row>
    <row r="346" spans="1:12">
      <c r="A346" t="str" cm="1">
        <f t="array" ref="A346">_xlfn.LET(_xlpm.e,L346,
IF(_xlpm.e="","",
"DOC-"&amp;TEXT(ROW()-ROW(tblMaster[#Headers]),"00000")
))</f>
        <v>DOC-00345</v>
      </c>
      <c r="B346" s="49">
        <v>45953</v>
      </c>
      <c r="C346" s="42" t="s">
        <v>1544</v>
      </c>
      <c r="D346" s="41" t="s">
        <v>1545</v>
      </c>
      <c r="E346" s="38" t="s">
        <v>1546</v>
      </c>
      <c r="F346" s="18" t="s">
        <v>1547</v>
      </c>
      <c r="G346" s="41" t="s">
        <v>257</v>
      </c>
      <c r="H346" s="18" t="s">
        <v>17</v>
      </c>
      <c r="I346" s="18" t="s">
        <v>54</v>
      </c>
      <c r="K346" s="5" t="s">
        <v>652</v>
      </c>
      <c r="L346" t="str">
        <f t="shared" si="6"/>
        <v>patricejoseph20@gmail.com</v>
      </c>
    </row>
    <row r="347" spans="1:12">
      <c r="A347" t="str" cm="1">
        <f t="array" ref="A347">_xlfn.LET(_xlpm.e,L347,
IF(_xlpm.e="","",
"DOC-"&amp;TEXT(ROW()-ROW(tblMaster[#Headers]),"00000")
))</f>
        <v/>
      </c>
      <c r="B347" s="49">
        <v>45953</v>
      </c>
      <c r="C347" s="42" t="s">
        <v>733</v>
      </c>
      <c r="D347" s="41" t="s">
        <v>1548</v>
      </c>
      <c r="E347" s="39"/>
      <c r="F347" s="18" t="s">
        <v>1549</v>
      </c>
      <c r="G347" s="41" t="s">
        <v>419</v>
      </c>
      <c r="H347" s="18" t="s">
        <v>17</v>
      </c>
      <c r="I347" s="18" t="s">
        <v>112</v>
      </c>
      <c r="J347" s="99" t="s">
        <v>23</v>
      </c>
      <c r="K347" s="5" t="s">
        <v>652</v>
      </c>
      <c r="L347" t="str">
        <f t="shared" si="6"/>
        <v/>
      </c>
    </row>
    <row r="348" spans="1:12">
      <c r="A348" t="str" cm="1">
        <f t="array" ref="A348">_xlfn.LET(_xlpm.e,L348,
IF(_xlpm.e="","",
"DOC-"&amp;TEXT(ROW()-ROW(tblMaster[#Headers]),"00000")
))</f>
        <v>DOC-00347</v>
      </c>
      <c r="B348" s="49">
        <v>45953</v>
      </c>
      <c r="C348" s="42" t="s">
        <v>1550</v>
      </c>
      <c r="D348" s="41" t="s">
        <v>1551</v>
      </c>
      <c r="E348" s="38" t="s">
        <v>1552</v>
      </c>
      <c r="F348" s="18" t="s">
        <v>1553</v>
      </c>
      <c r="G348" s="41" t="s">
        <v>1554</v>
      </c>
      <c r="H348" s="18" t="s">
        <v>267</v>
      </c>
      <c r="I348" s="18" t="s">
        <v>54</v>
      </c>
      <c r="K348" s="5" t="s">
        <v>652</v>
      </c>
      <c r="L348" t="str">
        <f t="shared" si="6"/>
        <v>mkaras6@yahoo.com</v>
      </c>
    </row>
    <row r="349" spans="1:12">
      <c r="A349" t="str" cm="1">
        <f t="array" ref="A349">_xlfn.LET(_xlpm.e,L349,
IF(_xlpm.e="","",
"DOC-"&amp;TEXT(ROW()-ROW(tblMaster[#Headers]),"00000")
))</f>
        <v>DOC-00348</v>
      </c>
      <c r="B349" s="49">
        <v>45953</v>
      </c>
      <c r="C349" s="42" t="s">
        <v>1555</v>
      </c>
      <c r="D349" s="41" t="s">
        <v>1556</v>
      </c>
      <c r="E349" s="38" t="s">
        <v>1557</v>
      </c>
      <c r="F349" s="18" t="s">
        <v>1558</v>
      </c>
      <c r="G349" s="41" t="s">
        <v>1559</v>
      </c>
      <c r="H349" s="18" t="s">
        <v>17</v>
      </c>
      <c r="I349" s="18" t="s">
        <v>54</v>
      </c>
      <c r="K349" s="5" t="s">
        <v>652</v>
      </c>
      <c r="L349" t="str">
        <f t="shared" si="6"/>
        <v>harringtonjake8@gmail.com</v>
      </c>
    </row>
    <row r="350" spans="1:12">
      <c r="A350" t="str" cm="1">
        <f t="array" ref="A350">_xlfn.LET(_xlpm.e,L350,
IF(_xlpm.e="","",
"DOC-"&amp;TEXT(ROW()-ROW(tblMaster[#Headers]),"00000")
))</f>
        <v>DOC-00349</v>
      </c>
      <c r="B350" s="49">
        <v>45953</v>
      </c>
      <c r="C350" s="42" t="s">
        <v>1560</v>
      </c>
      <c r="D350" s="41" t="s">
        <v>1561</v>
      </c>
      <c r="E350" s="38" t="s">
        <v>1562</v>
      </c>
      <c r="F350" s="18" t="s">
        <v>1563</v>
      </c>
      <c r="G350" s="41" t="s">
        <v>257</v>
      </c>
      <c r="H350" s="18" t="s">
        <v>17</v>
      </c>
      <c r="I350" s="18" t="s">
        <v>54</v>
      </c>
      <c r="K350" s="5" t="s">
        <v>652</v>
      </c>
      <c r="L350" t="str">
        <f t="shared" si="6"/>
        <v>wheresgreg82@gmail.com</v>
      </c>
    </row>
    <row r="351" spans="1:12">
      <c r="A351" t="str" cm="1">
        <f t="array" ref="A351">_xlfn.LET(_xlpm.e,L351,
IF(_xlpm.e="","",
"DOC-"&amp;TEXT(ROW()-ROW(tblMaster[#Headers]),"00000")
))</f>
        <v>DOC-00350</v>
      </c>
      <c r="B351" s="49">
        <v>45953</v>
      </c>
      <c r="C351" s="42" t="s">
        <v>1564</v>
      </c>
      <c r="D351" s="41" t="s">
        <v>1565</v>
      </c>
      <c r="E351" s="38" t="s">
        <v>1566</v>
      </c>
      <c r="F351" s="18" t="s">
        <v>1567</v>
      </c>
      <c r="G351" s="41" t="s">
        <v>52</v>
      </c>
      <c r="H351" s="18" t="s">
        <v>17</v>
      </c>
      <c r="I351" s="18" t="s">
        <v>112</v>
      </c>
      <c r="K351" s="5" t="s">
        <v>652</v>
      </c>
      <c r="L351" t="str">
        <f t="shared" si="6"/>
        <v>eustashaldai@gmail.com</v>
      </c>
    </row>
    <row r="352" spans="1:12">
      <c r="A352" t="str" cm="1">
        <f t="array" ref="A352">_xlfn.LET(_xlpm.e,L352,
IF(_xlpm.e="","",
"DOC-"&amp;TEXT(ROW()-ROW(tblMaster[#Headers]),"00000")
))</f>
        <v>DOC-00351</v>
      </c>
      <c r="B352" s="49">
        <v>45953</v>
      </c>
      <c r="C352" s="42" t="s">
        <v>1568</v>
      </c>
      <c r="D352" s="41" t="s">
        <v>1569</v>
      </c>
      <c r="E352" s="38" t="s">
        <v>1570</v>
      </c>
      <c r="F352" s="18" t="s">
        <v>1571</v>
      </c>
      <c r="G352" s="41" t="s">
        <v>1538</v>
      </c>
      <c r="H352" s="18" t="s">
        <v>17</v>
      </c>
      <c r="I352" s="18" t="s">
        <v>112</v>
      </c>
      <c r="K352" s="5" t="s">
        <v>652</v>
      </c>
      <c r="L352" t="str">
        <f t="shared" si="6"/>
        <v>solomon.kujabi7@gmail.com</v>
      </c>
    </row>
    <row r="353" spans="1:12">
      <c r="A353" t="str" cm="1">
        <f t="array" ref="A353">_xlfn.LET(_xlpm.e,L353,
IF(_xlpm.e="","",
"DOC-"&amp;TEXT(ROW()-ROW(tblMaster[#Headers]),"00000")
))</f>
        <v>DOC-00352</v>
      </c>
      <c r="B353" s="49">
        <v>45953</v>
      </c>
      <c r="C353" s="42" t="s">
        <v>1572</v>
      </c>
      <c r="D353" s="41" t="s">
        <v>1573</v>
      </c>
      <c r="E353" s="38" t="s">
        <v>1574</v>
      </c>
      <c r="F353" s="18" t="s">
        <v>1575</v>
      </c>
      <c r="G353" s="41" t="s">
        <v>128</v>
      </c>
      <c r="H353" s="18" t="s">
        <v>17</v>
      </c>
      <c r="I353" s="18" t="s">
        <v>112</v>
      </c>
      <c r="K353" s="5" t="s">
        <v>652</v>
      </c>
      <c r="L353" t="str">
        <f t="shared" si="6"/>
        <v>alce507@gmail.com</v>
      </c>
    </row>
    <row r="354" spans="1:12">
      <c r="A354" t="str" cm="1">
        <f t="array" ref="A354">_xlfn.LET(_xlpm.e,L354,
IF(_xlpm.e="","",
"DOC-"&amp;TEXT(ROW()-ROW(tblMaster[#Headers]),"00000")
))</f>
        <v>DOC-00353</v>
      </c>
      <c r="B354" s="49">
        <v>45953</v>
      </c>
      <c r="C354" s="42" t="s">
        <v>1576</v>
      </c>
      <c r="D354" s="41" t="s">
        <v>1577</v>
      </c>
      <c r="E354" s="38" t="s">
        <v>1578</v>
      </c>
      <c r="F354" s="18" t="s">
        <v>1579</v>
      </c>
      <c r="G354" s="41" t="s">
        <v>1580</v>
      </c>
      <c r="H354" s="18" t="s">
        <v>60</v>
      </c>
      <c r="I354" s="18" t="s">
        <v>112</v>
      </c>
      <c r="K354" s="5" t="s">
        <v>652</v>
      </c>
      <c r="L354" t="str">
        <f t="shared" si="6"/>
        <v>dyanez9867@icloud.com</v>
      </c>
    </row>
    <row r="355" spans="1:12">
      <c r="A355" t="str" cm="1">
        <f t="array" ref="A355">_xlfn.LET(_xlpm.e,L355,
IF(_xlpm.e="","",
"DOC-"&amp;TEXT(ROW()-ROW(tblMaster[#Headers]),"00000")
))</f>
        <v>DOC-00354</v>
      </c>
      <c r="B355" s="49">
        <v>45953</v>
      </c>
      <c r="C355" s="42" t="s">
        <v>1581</v>
      </c>
      <c r="D355" s="41" t="s">
        <v>830</v>
      </c>
      <c r="E355" s="38" t="s">
        <v>1582</v>
      </c>
      <c r="F355" s="18" t="s">
        <v>1583</v>
      </c>
      <c r="G355" s="41" t="s">
        <v>1584</v>
      </c>
      <c r="H355" s="18" t="s">
        <v>17</v>
      </c>
      <c r="I355" s="18" t="s">
        <v>112</v>
      </c>
      <c r="J355" s="99" t="s">
        <v>23</v>
      </c>
      <c r="K355" s="5" t="s">
        <v>652</v>
      </c>
      <c r="L355" t="str">
        <f t="shared" si="6"/>
        <v>henryflores97@gmail.com</v>
      </c>
    </row>
    <row r="356" spans="1:12">
      <c r="A356" t="str" cm="1">
        <f t="array" ref="A356">_xlfn.LET(_xlpm.e,L356,
IF(_xlpm.e="","",
"DOC-"&amp;TEXT(ROW()-ROW(tblMaster[#Headers]),"00000")
))</f>
        <v>DOC-00355</v>
      </c>
      <c r="B356" s="49">
        <v>45953</v>
      </c>
      <c r="C356" s="42" t="s">
        <v>1585</v>
      </c>
      <c r="D356" s="41" t="s">
        <v>1586</v>
      </c>
      <c r="E356" s="38" t="s">
        <v>1587</v>
      </c>
      <c r="F356" s="18" t="s">
        <v>1588</v>
      </c>
      <c r="G356" s="41" t="s">
        <v>1589</v>
      </c>
      <c r="H356" s="18" t="s">
        <v>1590</v>
      </c>
      <c r="I356" s="18" t="s">
        <v>101</v>
      </c>
      <c r="K356" s="5" t="s">
        <v>652</v>
      </c>
      <c r="L356" t="str">
        <f t="shared" si="6"/>
        <v>gmoney01603@yahoo.com</v>
      </c>
    </row>
    <row r="357" spans="1:12">
      <c r="A357" t="str" cm="1">
        <f t="array" ref="A357">_xlfn.LET(_xlpm.e,L357,
IF(_xlpm.e="","",
"DOC-"&amp;TEXT(ROW()-ROW(tblMaster[#Headers]),"00000")
))</f>
        <v>DOC-00356</v>
      </c>
      <c r="B357" s="49">
        <v>45953</v>
      </c>
      <c r="C357" s="42" t="s">
        <v>1591</v>
      </c>
      <c r="D357" s="41" t="s">
        <v>1592</v>
      </c>
      <c r="E357" s="38" t="s">
        <v>1593</v>
      </c>
      <c r="F357" s="18" t="s">
        <v>1594</v>
      </c>
      <c r="G357" s="41" t="s">
        <v>419</v>
      </c>
      <c r="H357" s="18" t="s">
        <v>17</v>
      </c>
      <c r="I357" s="18" t="s">
        <v>101</v>
      </c>
      <c r="K357" s="5" t="s">
        <v>652</v>
      </c>
      <c r="L357" t="str">
        <f t="shared" si="6"/>
        <v>liliana.amado@myguardian.org</v>
      </c>
    </row>
    <row r="358" spans="1:12">
      <c r="A358" t="str" cm="1">
        <f t="array" ref="A358">_xlfn.LET(_xlpm.e,L358,
IF(_xlpm.e="","",
"DOC-"&amp;TEXT(ROW()-ROW(tblMaster[#Headers]),"00000")
))</f>
        <v>DOC-00357</v>
      </c>
      <c r="B358" s="49">
        <v>45953</v>
      </c>
      <c r="C358" s="42" t="s">
        <v>1349</v>
      </c>
      <c r="D358" s="41" t="s">
        <v>1595</v>
      </c>
      <c r="E358" s="38" t="s">
        <v>1596</v>
      </c>
      <c r="F358" s="18" t="s">
        <v>1597</v>
      </c>
      <c r="G358" s="41" t="s">
        <v>1598</v>
      </c>
      <c r="H358" s="18" t="s">
        <v>17</v>
      </c>
      <c r="I358" s="18" t="s">
        <v>54</v>
      </c>
      <c r="K358" s="5" t="s">
        <v>652</v>
      </c>
      <c r="L358" t="str">
        <f t="shared" si="6"/>
        <v>msmith.ja7@gmail.com</v>
      </c>
    </row>
    <row r="359" spans="1:12">
      <c r="A359" t="str" cm="1">
        <f t="array" ref="A359">_xlfn.LET(_xlpm.e,L359,
IF(_xlpm.e="","",
"DOC-"&amp;TEXT(ROW()-ROW(tblMaster[#Headers]),"00000")
))</f>
        <v>DOC-00358</v>
      </c>
      <c r="B359" s="49">
        <v>45953</v>
      </c>
      <c r="C359" s="42" t="s">
        <v>1599</v>
      </c>
      <c r="D359" s="41" t="s">
        <v>1600</v>
      </c>
      <c r="E359" s="38" t="s">
        <v>1601</v>
      </c>
      <c r="F359" s="18" t="s">
        <v>1602</v>
      </c>
      <c r="G359" s="41" t="s">
        <v>142</v>
      </c>
      <c r="H359" s="18" t="s">
        <v>17</v>
      </c>
      <c r="I359" s="18" t="s">
        <v>54</v>
      </c>
      <c r="K359" s="5" t="s">
        <v>652</v>
      </c>
      <c r="L359" t="str">
        <f t="shared" si="6"/>
        <v>marivictorre1577@gmail.com</v>
      </c>
    </row>
    <row r="360" spans="1:12">
      <c r="A360" t="str" cm="1">
        <f t="array" ref="A360">_xlfn.LET(_xlpm.e,L360,
IF(_xlpm.e="","",
"DOC-"&amp;TEXT(ROW()-ROW(tblMaster[#Headers]),"00000")
))</f>
        <v>DOC-00359</v>
      </c>
      <c r="B360" s="49">
        <v>45953</v>
      </c>
      <c r="C360" s="42" t="s">
        <v>1603</v>
      </c>
      <c r="D360" s="41" t="s">
        <v>1604</v>
      </c>
      <c r="E360" s="38" t="s">
        <v>1605</v>
      </c>
      <c r="F360" s="18" t="s">
        <v>1606</v>
      </c>
      <c r="G360" s="41" t="s">
        <v>728</v>
      </c>
      <c r="H360" s="18" t="s">
        <v>17</v>
      </c>
      <c r="I360" s="18" t="s">
        <v>54</v>
      </c>
      <c r="K360" s="5" t="s">
        <v>652</v>
      </c>
      <c r="L360" t="str">
        <f t="shared" si="6"/>
        <v>gregpaiva@gmail.com</v>
      </c>
    </row>
    <row r="361" spans="1:12">
      <c r="A361" t="str" cm="1">
        <f t="array" ref="A361">_xlfn.LET(_xlpm.e,L361,
IF(_xlpm.e="","",
"DOC-"&amp;TEXT(ROW()-ROW(tblMaster[#Headers]),"00000")
))</f>
        <v>DOC-00360</v>
      </c>
      <c r="B361" s="49">
        <v>45953</v>
      </c>
      <c r="C361" s="42" t="s">
        <v>175</v>
      </c>
      <c r="D361" s="41" t="s">
        <v>1607</v>
      </c>
      <c r="E361" s="38" t="s">
        <v>1608</v>
      </c>
      <c r="F361" s="18" t="s">
        <v>1609</v>
      </c>
      <c r="G361" s="41" t="s">
        <v>1610</v>
      </c>
      <c r="H361" s="18" t="s">
        <v>17</v>
      </c>
      <c r="I361" s="18" t="s">
        <v>112</v>
      </c>
      <c r="J361" s="99" t="s">
        <v>23</v>
      </c>
      <c r="K361" s="5" t="s">
        <v>652</v>
      </c>
      <c r="L361" t="str">
        <f t="shared" si="6"/>
        <v>rolph.nick@gmail.com</v>
      </c>
    </row>
    <row r="362" spans="1:12">
      <c r="A362" t="str" cm="1">
        <f t="array" ref="A362">_xlfn.LET(_xlpm.e,L362,
IF(_xlpm.e="","",
"DOC-"&amp;TEXT(ROW()-ROW(tblMaster[#Headers]),"00000")
))</f>
        <v>DOC-00361</v>
      </c>
      <c r="B362" s="49">
        <v>45953</v>
      </c>
      <c r="C362" s="42" t="s">
        <v>1611</v>
      </c>
      <c r="D362" s="41" t="s">
        <v>1612</v>
      </c>
      <c r="E362" s="38" t="s">
        <v>1613</v>
      </c>
      <c r="F362" s="18" t="s">
        <v>1614</v>
      </c>
      <c r="G362" s="41" t="s">
        <v>158</v>
      </c>
      <c r="H362" s="18" t="s">
        <v>17</v>
      </c>
      <c r="I362" s="18" t="s">
        <v>101</v>
      </c>
      <c r="K362" s="5" t="s">
        <v>652</v>
      </c>
      <c r="L362" t="str">
        <f t="shared" si="6"/>
        <v>allenreynoso04@icloud.com</v>
      </c>
    </row>
    <row r="363" spans="1:12">
      <c r="A363" t="str" cm="1">
        <f t="array" ref="A363">_xlfn.LET(_xlpm.e,L363,
IF(_xlpm.e="","",
"DOC-"&amp;TEXT(ROW()-ROW(tblMaster[#Headers]),"00000")
))</f>
        <v>DOC-00362</v>
      </c>
      <c r="B363" s="49">
        <v>45953</v>
      </c>
      <c r="C363" s="42" t="s">
        <v>1615</v>
      </c>
      <c r="D363" s="41" t="s">
        <v>1616</v>
      </c>
      <c r="E363" s="38" t="s">
        <v>1617</v>
      </c>
      <c r="F363" s="18"/>
      <c r="G363" s="41"/>
      <c r="H363" s="18"/>
      <c r="I363" s="18" t="s">
        <v>101</v>
      </c>
      <c r="K363" s="5" t="s">
        <v>652</v>
      </c>
      <c r="L363" t="str">
        <f t="shared" si="6"/>
        <v>seif_elsheikh12@icloud.com</v>
      </c>
    </row>
    <row r="364" spans="1:12">
      <c r="A364" t="str" cm="1">
        <f t="array" ref="A364">_xlfn.LET(_xlpm.e,L364,
IF(_xlpm.e="","",
"DOC-"&amp;TEXT(ROW()-ROW(tblMaster[#Headers]),"00000")
))</f>
        <v>DOC-00363</v>
      </c>
      <c r="B364" s="49">
        <v>45953</v>
      </c>
      <c r="C364" s="42" t="s">
        <v>1215</v>
      </c>
      <c r="D364" s="41" t="s">
        <v>1216</v>
      </c>
      <c r="E364" s="38" t="s">
        <v>1618</v>
      </c>
      <c r="F364" s="18" t="s">
        <v>1619</v>
      </c>
      <c r="G364" s="41" t="s">
        <v>1219</v>
      </c>
      <c r="H364" s="18" t="s">
        <v>60</v>
      </c>
      <c r="I364" s="18" t="s">
        <v>101</v>
      </c>
      <c r="K364" s="5" t="s">
        <v>652</v>
      </c>
      <c r="L364" t="str">
        <f t="shared" si="6"/>
        <v>wildingdante12@icloud.com</v>
      </c>
    </row>
    <row r="365" spans="1:12">
      <c r="A365" t="str" cm="1">
        <f t="array" ref="A365">_xlfn.LET(_xlpm.e,L365,
IF(_xlpm.e="","",
"DOC-"&amp;TEXT(ROW()-ROW(tblMaster[#Headers]),"00000")
))</f>
        <v>DOC-00364</v>
      </c>
      <c r="B365" s="49">
        <v>45953</v>
      </c>
      <c r="C365" s="42" t="s">
        <v>1620</v>
      </c>
      <c r="D365" s="41" t="s">
        <v>1621</v>
      </c>
      <c r="E365" s="38" t="s">
        <v>1622</v>
      </c>
      <c r="F365" s="18"/>
      <c r="G365" s="41"/>
      <c r="H365" s="18"/>
      <c r="I365" s="18" t="s">
        <v>101</v>
      </c>
      <c r="K365" s="5" t="s">
        <v>652</v>
      </c>
      <c r="L365" t="str">
        <f t="shared" si="6"/>
        <v>kenoluna1738@icloud.com</v>
      </c>
    </row>
    <row r="366" spans="1:12">
      <c r="A366" t="str" cm="1">
        <f t="array" ref="A366">_xlfn.LET(_xlpm.e,L366,
IF(_xlpm.e="","",
"DOC-"&amp;TEXT(ROW()-ROW(tblMaster[#Headers]),"00000")
))</f>
        <v>DOC-00365</v>
      </c>
      <c r="B366" s="49">
        <v>45953</v>
      </c>
      <c r="C366" s="42" t="s">
        <v>1623</v>
      </c>
      <c r="D366" s="41" t="s">
        <v>1624</v>
      </c>
      <c r="E366" s="38" t="s">
        <v>1625</v>
      </c>
      <c r="F366" s="18" t="s">
        <v>1626</v>
      </c>
      <c r="G366" s="41" t="s">
        <v>231</v>
      </c>
      <c r="H366" s="18" t="s">
        <v>17</v>
      </c>
      <c r="I366" s="18" t="s">
        <v>112</v>
      </c>
      <c r="J366" s="99" t="s">
        <v>23</v>
      </c>
      <c r="K366" s="5" t="s">
        <v>652</v>
      </c>
      <c r="L366" t="str">
        <f t="shared" si="6"/>
        <v>mrcarlosreyes3@gmail.com</v>
      </c>
    </row>
    <row r="367" spans="1:12">
      <c r="A367" t="str" cm="1">
        <f t="array" ref="A367">_xlfn.LET(_xlpm.e,L367,
IF(_xlpm.e="","",
"DOC-"&amp;TEXT(ROW()-ROW(tblMaster[#Headers]),"00000")
))</f>
        <v>DOC-00366</v>
      </c>
      <c r="B367" s="49">
        <v>45953</v>
      </c>
      <c r="C367" s="42" t="s">
        <v>1627</v>
      </c>
      <c r="D367" s="41" t="s">
        <v>1628</v>
      </c>
      <c r="E367" s="38" t="s">
        <v>1629</v>
      </c>
      <c r="F367" s="18" t="s">
        <v>1630</v>
      </c>
      <c r="G367" s="41" t="s">
        <v>158</v>
      </c>
      <c r="H367" s="18" t="s">
        <v>17</v>
      </c>
      <c r="I367" s="18" t="s">
        <v>112</v>
      </c>
      <c r="K367" s="5" t="s">
        <v>652</v>
      </c>
      <c r="L367" t="str">
        <f t="shared" si="6"/>
        <v>jerinsodariel@gmail.com</v>
      </c>
    </row>
    <row r="368" spans="1:12">
      <c r="A368" t="str" cm="1">
        <f t="array" ref="A368">_xlfn.LET(_xlpm.e,L368,
IF(_xlpm.e="","",
"DOC-"&amp;TEXT(ROW()-ROW(tblMaster[#Headers]),"00000")
))</f>
        <v>DOC-00367</v>
      </c>
      <c r="B368" s="49">
        <v>45953</v>
      </c>
      <c r="C368" s="42" t="s">
        <v>1631</v>
      </c>
      <c r="D368" s="41" t="s">
        <v>1632</v>
      </c>
      <c r="E368" s="38" t="s">
        <v>1633</v>
      </c>
      <c r="F368" s="18" t="s">
        <v>1634</v>
      </c>
      <c r="G368" s="41" t="s">
        <v>1635</v>
      </c>
      <c r="H368" s="18" t="s">
        <v>17</v>
      </c>
      <c r="I368" s="18" t="s">
        <v>112</v>
      </c>
      <c r="K368" s="5" t="s">
        <v>652</v>
      </c>
      <c r="L368" t="str">
        <f t="shared" si="6"/>
        <v>kirwinmikell@yahoo.com</v>
      </c>
    </row>
    <row r="369" spans="1:12">
      <c r="A369" t="str" cm="1">
        <f t="array" ref="A369">_xlfn.LET(_xlpm.e,L369,
IF(_xlpm.e="","",
"DOC-"&amp;TEXT(ROW()-ROW(tblMaster[#Headers]),"00000")
))</f>
        <v/>
      </c>
      <c r="B369" s="49">
        <v>45953</v>
      </c>
      <c r="C369" s="42" t="s">
        <v>1636</v>
      </c>
      <c r="D369" s="41" t="s">
        <v>1637</v>
      </c>
      <c r="E369" s="39"/>
      <c r="F369" s="18" t="s">
        <v>1638</v>
      </c>
      <c r="G369" s="41" t="s">
        <v>1639</v>
      </c>
      <c r="H369" s="18" t="s">
        <v>17</v>
      </c>
      <c r="I369" s="18" t="s">
        <v>101</v>
      </c>
      <c r="K369" s="5" t="s">
        <v>652</v>
      </c>
      <c r="L369" t="str">
        <f t="shared" si="6"/>
        <v/>
      </c>
    </row>
    <row r="370" spans="1:12">
      <c r="A370" t="str" cm="1">
        <f t="array" ref="A370">_xlfn.LET(_xlpm.e,L370,
IF(_xlpm.e="","",
"DOC-"&amp;TEXT(ROW()-ROW(tblMaster[#Headers]),"00000")
))</f>
        <v>DOC-00369</v>
      </c>
      <c r="B370" s="49">
        <v>45953</v>
      </c>
      <c r="C370" s="42" t="s">
        <v>1640</v>
      </c>
      <c r="D370" s="41" t="s">
        <v>1641</v>
      </c>
      <c r="E370" s="38" t="s">
        <v>1642</v>
      </c>
      <c r="F370" s="18" t="s">
        <v>1643</v>
      </c>
      <c r="G370" s="41"/>
      <c r="H370" s="18"/>
      <c r="I370" s="18" t="s">
        <v>112</v>
      </c>
      <c r="K370" s="5" t="s">
        <v>652</v>
      </c>
      <c r="L370" t="str">
        <f t="shared" si="6"/>
        <v>ansunkz@yahoo.com</v>
      </c>
    </row>
    <row r="371" spans="1:12">
      <c r="A371" t="str" cm="1">
        <f t="array" ref="A371">_xlfn.LET(_xlpm.e,L371,
IF(_xlpm.e="","",
"DOC-"&amp;TEXT(ROW()-ROW(tblMaster[#Headers]),"00000")
))</f>
        <v>DOC-00370</v>
      </c>
      <c r="B371" s="49">
        <v>45953</v>
      </c>
      <c r="C371" s="42" t="s">
        <v>1644</v>
      </c>
      <c r="D371" s="41" t="s">
        <v>1645</v>
      </c>
      <c r="E371" s="38" t="s">
        <v>1646</v>
      </c>
      <c r="F371" s="18" t="s">
        <v>1647</v>
      </c>
      <c r="G371" s="41" t="s">
        <v>728</v>
      </c>
      <c r="H371" s="18" t="s">
        <v>17</v>
      </c>
      <c r="I371" s="18" t="s">
        <v>112</v>
      </c>
      <c r="K371" s="5" t="s">
        <v>652</v>
      </c>
      <c r="L371" t="str">
        <f t="shared" si="6"/>
        <v>rapaport369@gmail.com</v>
      </c>
    </row>
    <row r="372" spans="1:12">
      <c r="A372" t="str" cm="1">
        <f t="array" ref="A372">_xlfn.LET(_xlpm.e,L372,
IF(_xlpm.e="","",
"DOC-"&amp;TEXT(ROW()-ROW(tblMaster[#Headers]),"00000")
))</f>
        <v>DOC-00371</v>
      </c>
      <c r="B372" s="49">
        <v>45953</v>
      </c>
      <c r="C372" s="42" t="s">
        <v>1648</v>
      </c>
      <c r="D372" s="41" t="s">
        <v>1649</v>
      </c>
      <c r="E372" s="38" t="s">
        <v>1650</v>
      </c>
      <c r="F372" s="18" t="s">
        <v>1651</v>
      </c>
      <c r="G372" s="41" t="s">
        <v>52</v>
      </c>
      <c r="H372" s="18" t="s">
        <v>17</v>
      </c>
      <c r="I372" s="18" t="s">
        <v>54</v>
      </c>
      <c r="J372" s="99" t="s">
        <v>23</v>
      </c>
      <c r="K372" s="5" t="s">
        <v>652</v>
      </c>
      <c r="L372" t="str">
        <f t="shared" si="6"/>
        <v>brixsonaelliott@gmail.com</v>
      </c>
    </row>
    <row r="373" spans="1:12">
      <c r="A373" t="str" cm="1">
        <f t="array" ref="A373">_xlfn.LET(_xlpm.e,L373,
IF(_xlpm.e="","",
"DOC-"&amp;TEXT(ROW()-ROW(tblMaster[#Headers]),"00000")
))</f>
        <v>DOC-00372</v>
      </c>
      <c r="B373" s="49">
        <v>45953</v>
      </c>
      <c r="C373" s="42" t="s">
        <v>1652</v>
      </c>
      <c r="D373" s="41" t="s">
        <v>1653</v>
      </c>
      <c r="E373" s="38" t="s">
        <v>1654</v>
      </c>
      <c r="F373" s="18"/>
      <c r="G373" s="41"/>
      <c r="H373" s="18"/>
      <c r="I373" s="18" t="s">
        <v>112</v>
      </c>
      <c r="K373" s="5" t="s">
        <v>652</v>
      </c>
      <c r="L373" t="str">
        <f t="shared" si="6"/>
        <v>amycampos_92@yahoo.com</v>
      </c>
    </row>
    <row r="374" spans="1:12">
      <c r="A374" t="str" cm="1">
        <f t="array" ref="A374">_xlfn.LET(_xlpm.e,L374,
IF(_xlpm.e="","",
"DOC-"&amp;TEXT(ROW()-ROW(tblMaster[#Headers]),"00000")
))</f>
        <v>DOC-00373</v>
      </c>
      <c r="B374" s="49">
        <v>45953</v>
      </c>
      <c r="C374" s="42" t="s">
        <v>1655</v>
      </c>
      <c r="D374" s="41" t="s">
        <v>1656</v>
      </c>
      <c r="E374" s="38" t="s">
        <v>1657</v>
      </c>
      <c r="F374" s="18" t="s">
        <v>1658</v>
      </c>
      <c r="G374" s="41" t="s">
        <v>1659</v>
      </c>
      <c r="H374" s="18" t="s">
        <v>1660</v>
      </c>
      <c r="I374" s="18" t="s">
        <v>339</v>
      </c>
      <c r="K374" s="5" t="s">
        <v>652</v>
      </c>
      <c r="L374" t="str">
        <f t="shared" si="6"/>
        <v>jessy.moon.lopez@gmail.com</v>
      </c>
    </row>
    <row r="375" spans="1:12">
      <c r="A375" t="str" cm="1">
        <f t="array" ref="A375">_xlfn.LET(_xlpm.e,L375,
IF(_xlpm.e="","",
"DOC-"&amp;TEXT(ROW()-ROW(tblMaster[#Headers]),"00000")
))</f>
        <v/>
      </c>
      <c r="B375" s="49">
        <v>45953</v>
      </c>
      <c r="C375" s="42" t="s">
        <v>1661</v>
      </c>
      <c r="D375" s="41" t="s">
        <v>1662</v>
      </c>
      <c r="E375" s="39"/>
      <c r="F375" s="18" t="s">
        <v>1663</v>
      </c>
      <c r="G375" s="41" t="s">
        <v>257</v>
      </c>
      <c r="H375" s="18"/>
      <c r="I375" s="18" t="s">
        <v>112</v>
      </c>
      <c r="K375" s="5" t="s">
        <v>652</v>
      </c>
      <c r="L375" t="str">
        <f t="shared" si="6"/>
        <v/>
      </c>
    </row>
    <row r="376" spans="1:12">
      <c r="A376" t="str" cm="1">
        <f t="array" ref="A376">_xlfn.LET(_xlpm.e,L376,
IF(_xlpm.e="","",
"DOC-"&amp;TEXT(ROW()-ROW(tblMaster[#Headers]),"00000")
))</f>
        <v>DOC-00375</v>
      </c>
      <c r="B376" s="49">
        <v>45953</v>
      </c>
      <c r="C376" s="42" t="s">
        <v>1664</v>
      </c>
      <c r="D376" s="41" t="s">
        <v>1665</v>
      </c>
      <c r="E376" s="38" t="s">
        <v>1666</v>
      </c>
      <c r="F376" s="18" t="s">
        <v>1667</v>
      </c>
      <c r="G376" s="41" t="s">
        <v>123</v>
      </c>
      <c r="H376" s="18" t="s">
        <v>60</v>
      </c>
      <c r="I376" s="18" t="s">
        <v>101</v>
      </c>
      <c r="K376" s="5" t="s">
        <v>652</v>
      </c>
      <c r="L376" t="str">
        <f t="shared" si="6"/>
        <v>phillipcrichlow@gmail.com</v>
      </c>
    </row>
    <row r="377" spans="1:12">
      <c r="A377" t="str" cm="1">
        <f t="array" ref="A377">_xlfn.LET(_xlpm.e,L377,
IF(_xlpm.e="","",
"DOC-"&amp;TEXT(ROW()-ROW(tblMaster[#Headers]),"00000")
))</f>
        <v>DOC-00376</v>
      </c>
      <c r="B377" s="49">
        <v>45953</v>
      </c>
      <c r="C377" s="42" t="s">
        <v>1668</v>
      </c>
      <c r="D377" s="41" t="s">
        <v>1669</v>
      </c>
      <c r="E377" s="38" t="s">
        <v>1670</v>
      </c>
      <c r="F377" s="18" t="s">
        <v>1671</v>
      </c>
      <c r="G377" s="41" t="s">
        <v>257</v>
      </c>
      <c r="H377" s="18" t="s">
        <v>17</v>
      </c>
      <c r="I377" s="18" t="s">
        <v>101</v>
      </c>
      <c r="K377" s="5" t="s">
        <v>652</v>
      </c>
      <c r="L377" t="str">
        <f t="shared" si="6"/>
        <v>tishonjfortes@gmail.com</v>
      </c>
    </row>
    <row r="378" spans="1:12">
      <c r="A378" t="str" cm="1">
        <f t="array" ref="A378">_xlfn.LET(_xlpm.e,L378,
IF(_xlpm.e="","",
"DOC-"&amp;TEXT(ROW()-ROW(tblMaster[#Headers]),"00000")
))</f>
        <v>DOC-00377</v>
      </c>
      <c r="B378" s="49">
        <v>45953</v>
      </c>
      <c r="C378" s="42" t="s">
        <v>1672</v>
      </c>
      <c r="D378" s="41" t="s">
        <v>1673</v>
      </c>
      <c r="E378" s="38" t="s">
        <v>1674</v>
      </c>
      <c r="F378" s="18" t="s">
        <v>1675</v>
      </c>
      <c r="G378" s="41" t="s">
        <v>1676</v>
      </c>
      <c r="H378" s="18" t="s">
        <v>17</v>
      </c>
      <c r="I378" s="18" t="s">
        <v>101</v>
      </c>
      <c r="J378" s="99" t="s">
        <v>23</v>
      </c>
      <c r="K378" s="5" t="s">
        <v>652</v>
      </c>
      <c r="L378" t="str">
        <f t="shared" si="6"/>
        <v>jpb9786@yahoo.com</v>
      </c>
    </row>
    <row r="379" spans="1:12">
      <c r="A379" t="str" cm="1">
        <f t="array" ref="A379">_xlfn.LET(_xlpm.e,L379,
IF(_xlpm.e="","",
"DOC-"&amp;TEXT(ROW()-ROW(tblMaster[#Headers]),"00000")
))</f>
        <v>DOC-00378</v>
      </c>
      <c r="B379" s="49">
        <v>45953</v>
      </c>
      <c r="C379" s="42" t="s">
        <v>1677</v>
      </c>
      <c r="D379" s="41" t="s">
        <v>1678</v>
      </c>
      <c r="E379" s="38" t="s">
        <v>1679</v>
      </c>
      <c r="F379" s="18" t="s">
        <v>1680</v>
      </c>
      <c r="G379" s="41" t="s">
        <v>1681</v>
      </c>
      <c r="H379" s="18" t="s">
        <v>17</v>
      </c>
      <c r="I379" s="18" t="s">
        <v>54</v>
      </c>
      <c r="K379" s="5" t="s">
        <v>652</v>
      </c>
      <c r="L379" t="str">
        <f t="shared" si="6"/>
        <v>dreablake01@gmail.com</v>
      </c>
    </row>
    <row r="380" spans="1:12">
      <c r="A380" t="str" cm="1">
        <f t="array" ref="A380">_xlfn.LET(_xlpm.e,L380,
IF(_xlpm.e="","",
"DOC-"&amp;TEXT(ROW()-ROW(tblMaster[#Headers]),"00000")
))</f>
        <v>DOC-00379</v>
      </c>
      <c r="B380" s="49">
        <v>45953</v>
      </c>
      <c r="C380" s="42" t="s">
        <v>783</v>
      </c>
      <c r="D380" s="41" t="s">
        <v>1682</v>
      </c>
      <c r="E380" s="38" t="s">
        <v>1683</v>
      </c>
      <c r="F380" s="18" t="s">
        <v>1684</v>
      </c>
      <c r="G380" s="41" t="s">
        <v>1502</v>
      </c>
      <c r="H380" s="18" t="s">
        <v>17</v>
      </c>
      <c r="I380" s="18" t="s">
        <v>54</v>
      </c>
      <c r="K380" s="5" t="s">
        <v>652</v>
      </c>
      <c r="L380" t="str">
        <f t="shared" si="6"/>
        <v>john0878@icloud.com</v>
      </c>
    </row>
    <row r="381" spans="1:12">
      <c r="A381" t="str" cm="1">
        <f t="array" ref="A381">_xlfn.LET(_xlpm.e,L381,
IF(_xlpm.e="","",
"DOC-"&amp;TEXT(ROW()-ROW(tblMaster[#Headers]),"00000")
))</f>
        <v>DOC-00380</v>
      </c>
      <c r="B381" s="49">
        <v>45953</v>
      </c>
      <c r="C381" s="42" t="s">
        <v>1685</v>
      </c>
      <c r="D381" s="41" t="s">
        <v>1686</v>
      </c>
      <c r="E381" s="38" t="s">
        <v>1687</v>
      </c>
      <c r="F381" s="18" t="s">
        <v>1688</v>
      </c>
      <c r="G381" s="41" t="s">
        <v>544</v>
      </c>
      <c r="H381" s="18" t="s">
        <v>17</v>
      </c>
      <c r="I381" s="18" t="s">
        <v>54</v>
      </c>
      <c r="J381" s="99" t="s">
        <v>66</v>
      </c>
      <c r="K381" s="5" t="s">
        <v>652</v>
      </c>
      <c r="L381" t="str">
        <f t="shared" si="6"/>
        <v>ferdibirdi777@gmail.com</v>
      </c>
    </row>
    <row r="382" spans="1:12">
      <c r="A382" t="str" cm="1">
        <f t="array" ref="A382">_xlfn.LET(_xlpm.e,L382,
IF(_xlpm.e="","",
"DOC-"&amp;TEXT(ROW()-ROW(tblMaster[#Headers]),"00000")
))</f>
        <v>DOC-00381</v>
      </c>
      <c r="B382" s="49">
        <v>45953</v>
      </c>
      <c r="C382" s="42" t="s">
        <v>1689</v>
      </c>
      <c r="D382" s="41" t="s">
        <v>1690</v>
      </c>
      <c r="E382" s="38" t="s">
        <v>1691</v>
      </c>
      <c r="F382" s="18" t="s">
        <v>1692</v>
      </c>
      <c r="G382" s="41" t="s">
        <v>1693</v>
      </c>
      <c r="H382" s="18" t="s">
        <v>17</v>
      </c>
      <c r="I382" s="18" t="s">
        <v>54</v>
      </c>
      <c r="K382" s="5" t="s">
        <v>652</v>
      </c>
      <c r="L382" t="str">
        <f t="shared" si="6"/>
        <v>escott5555@hotmail.com</v>
      </c>
    </row>
    <row r="383" spans="1:12">
      <c r="A383" t="str" cm="1">
        <f t="array" ref="A383">_xlfn.LET(_xlpm.e,L383,
IF(_xlpm.e="","",
"DOC-"&amp;TEXT(ROW()-ROW(tblMaster[#Headers]),"00000")
))</f>
        <v>DOC-00382</v>
      </c>
      <c r="B383" s="49">
        <v>45953</v>
      </c>
      <c r="C383" s="42" t="s">
        <v>1694</v>
      </c>
      <c r="D383" s="41" t="s">
        <v>1695</v>
      </c>
      <c r="E383" s="38" t="s">
        <v>1696</v>
      </c>
      <c r="F383" s="18" t="s">
        <v>1697</v>
      </c>
      <c r="G383" s="41" t="s">
        <v>1584</v>
      </c>
      <c r="H383" s="18" t="s">
        <v>17</v>
      </c>
      <c r="I383" s="18" t="s">
        <v>54</v>
      </c>
      <c r="J383" s="99" t="s">
        <v>23</v>
      </c>
      <c r="K383" s="5" t="s">
        <v>652</v>
      </c>
      <c r="L383" t="str">
        <f t="shared" si="6"/>
        <v>daltonjcox26@gmail.com</v>
      </c>
    </row>
    <row r="384" spans="1:12">
      <c r="A384" t="str" cm="1">
        <f t="array" ref="A384">_xlfn.LET(_xlpm.e,L384,
IF(_xlpm.e="","",
"DOC-"&amp;TEXT(ROW()-ROW(tblMaster[#Headers]),"00000")
))</f>
        <v>DOC-00383</v>
      </c>
      <c r="B384" s="49">
        <v>45953</v>
      </c>
      <c r="C384" s="42" t="s">
        <v>1698</v>
      </c>
      <c r="D384" s="41" t="s">
        <v>1699</v>
      </c>
      <c r="E384" s="38" t="s">
        <v>1700</v>
      </c>
      <c r="F384" s="18" t="s">
        <v>1701</v>
      </c>
      <c r="G384" s="41" t="s">
        <v>123</v>
      </c>
      <c r="H384" s="18" t="s">
        <v>60</v>
      </c>
      <c r="I384" s="18" t="s">
        <v>54</v>
      </c>
      <c r="K384" s="5" t="s">
        <v>652</v>
      </c>
      <c r="L384" t="str">
        <f t="shared" si="6"/>
        <v>othni.lindor@gmail.com</v>
      </c>
    </row>
    <row r="385" spans="1:12">
      <c r="A385" t="str" cm="1">
        <f t="array" ref="A385">_xlfn.LET(_xlpm.e,L385,
IF(_xlpm.e="","",
"DOC-"&amp;TEXT(ROW()-ROW(tblMaster[#Headers]),"00000")
))</f>
        <v>DOC-00384</v>
      </c>
      <c r="B385" s="49">
        <v>45953</v>
      </c>
      <c r="C385" s="42" t="s">
        <v>1702</v>
      </c>
      <c r="D385" s="41" t="s">
        <v>1703</v>
      </c>
      <c r="E385" s="38" t="s">
        <v>1704</v>
      </c>
      <c r="F385" s="18" t="s">
        <v>1705</v>
      </c>
      <c r="G385" s="41" t="s">
        <v>79</v>
      </c>
      <c r="H385" s="18" t="s">
        <v>17</v>
      </c>
      <c r="I385" s="18"/>
      <c r="K385" s="5" t="s">
        <v>652</v>
      </c>
      <c r="L385" t="str">
        <f t="shared" si="6"/>
        <v>aleksialeksi705@gmail.com</v>
      </c>
    </row>
    <row r="386" spans="1:12">
      <c r="A386" t="str" cm="1">
        <f t="array" ref="A386">_xlfn.LET(_xlpm.e,L386,
IF(_xlpm.e="","",
"DOC-"&amp;TEXT(ROW()-ROW(tblMaster[#Headers]),"00000")
))</f>
        <v>DOC-00385</v>
      </c>
      <c r="B386" s="49">
        <v>45953</v>
      </c>
      <c r="C386" s="42" t="s">
        <v>1706</v>
      </c>
      <c r="D386" s="41" t="s">
        <v>1707</v>
      </c>
      <c r="E386" s="38" t="s">
        <v>1708</v>
      </c>
      <c r="F386" s="18" t="s">
        <v>1709</v>
      </c>
      <c r="G386" s="41" t="s">
        <v>52</v>
      </c>
      <c r="H386" s="18" t="s">
        <v>17</v>
      </c>
      <c r="I386" s="18" t="s">
        <v>112</v>
      </c>
      <c r="K386" s="5" t="s">
        <v>652</v>
      </c>
      <c r="L386" t="str">
        <f t="shared" si="6"/>
        <v>jennpas85@gmail.com</v>
      </c>
    </row>
    <row r="387" spans="1:12">
      <c r="A387" t="str" cm="1">
        <f t="array" ref="A387">_xlfn.LET(_xlpm.e,L387,
IF(_xlpm.e="","",
"DOC-"&amp;TEXT(ROW()-ROW(tblMaster[#Headers]),"00000")
))</f>
        <v>DOC-00386</v>
      </c>
      <c r="B387" s="49">
        <v>45953</v>
      </c>
      <c r="C387" s="42" t="s">
        <v>1710</v>
      </c>
      <c r="D387" s="41" t="s">
        <v>1711</v>
      </c>
      <c r="E387" s="38" t="s">
        <v>1712</v>
      </c>
      <c r="F387" s="18" t="s">
        <v>1713</v>
      </c>
      <c r="G387" s="41" t="s">
        <v>128</v>
      </c>
      <c r="H387" s="18" t="s">
        <v>17</v>
      </c>
      <c r="I387" s="18" t="s">
        <v>112</v>
      </c>
      <c r="K387" s="5" t="s">
        <v>652</v>
      </c>
      <c r="L387" t="str">
        <f t="shared" si="6"/>
        <v>sondypricila@gmail.com</v>
      </c>
    </row>
    <row r="388" spans="1:12">
      <c r="A388" t="str" cm="1">
        <f t="array" ref="A388">_xlfn.LET(_xlpm.e,L388,
IF(_xlpm.e="","",
"DOC-"&amp;TEXT(ROW()-ROW(tblMaster[#Headers]),"00000")
))</f>
        <v>DOC-00387</v>
      </c>
      <c r="B388" s="49">
        <v>45953</v>
      </c>
      <c r="C388" s="42" t="s">
        <v>1714</v>
      </c>
      <c r="D388" s="41" t="s">
        <v>945</v>
      </c>
      <c r="E388" s="38" t="s">
        <v>1715</v>
      </c>
      <c r="F388" s="18" t="s">
        <v>1716</v>
      </c>
      <c r="G388" s="41" t="s">
        <v>257</v>
      </c>
      <c r="H388" s="18" t="s">
        <v>17</v>
      </c>
      <c r="I388" s="18" t="s">
        <v>112</v>
      </c>
      <c r="K388" s="5" t="s">
        <v>652</v>
      </c>
      <c r="L388" t="str">
        <f t="shared" si="6"/>
        <v>nijonwilliams882@gmail.com</v>
      </c>
    </row>
    <row r="389" spans="1:12">
      <c r="A389" t="str" cm="1">
        <f t="array" ref="A389">_xlfn.LET(_xlpm.e,L389,
IF(_xlpm.e="","",
"DOC-"&amp;TEXT(ROW()-ROW(tblMaster[#Headers]),"00000")
))</f>
        <v>DOC-00388</v>
      </c>
      <c r="B389" s="49">
        <v>45953</v>
      </c>
      <c r="C389" s="42" t="s">
        <v>1717</v>
      </c>
      <c r="D389" s="41" t="s">
        <v>1718</v>
      </c>
      <c r="E389" s="38" t="s">
        <v>1719</v>
      </c>
      <c r="F389" s="18" t="s">
        <v>1720</v>
      </c>
      <c r="G389" s="41" t="s">
        <v>596</v>
      </c>
      <c r="H389" s="18" t="s">
        <v>17</v>
      </c>
      <c r="I389" s="18" t="s">
        <v>112</v>
      </c>
      <c r="K389" s="5" t="s">
        <v>652</v>
      </c>
      <c r="L389" t="str">
        <f t="shared" si="6"/>
        <v>tjohnleytermitus@gmail.com</v>
      </c>
    </row>
    <row r="390" spans="1:12">
      <c r="A390" t="str" cm="1">
        <f t="array" ref="A390">_xlfn.LET(_xlpm.e,L390,
IF(_xlpm.e="","",
"DOC-"&amp;TEXT(ROW()-ROW(tblMaster[#Headers]),"00000")
))</f>
        <v>DOC-00389</v>
      </c>
      <c r="B390" s="49">
        <v>45953</v>
      </c>
      <c r="C390" s="42" t="s">
        <v>1721</v>
      </c>
      <c r="D390" s="41" t="s">
        <v>1722</v>
      </c>
      <c r="E390" s="38" t="s">
        <v>1723</v>
      </c>
      <c r="F390" s="18" t="s">
        <v>1724</v>
      </c>
      <c r="G390" s="41" t="s">
        <v>128</v>
      </c>
      <c r="H390" s="18" t="s">
        <v>17</v>
      </c>
      <c r="I390" s="18" t="s">
        <v>112</v>
      </c>
      <c r="J390" s="99" t="s">
        <v>23</v>
      </c>
      <c r="K390" s="5" t="s">
        <v>652</v>
      </c>
      <c r="L390" t="str">
        <f t="shared" ref="L390:L453" si="7">_xlfn.LET(_xlpm.x,E390,
_xlpm.y,TRIM(CLEAN(SUBSTITUTE(_xlpm.x,CHAR(160)," "))),
LOWER(_xlpm.y))</f>
        <v>ltuitt@icloud.com</v>
      </c>
    </row>
    <row r="391" spans="1:12">
      <c r="A391" t="str" cm="1">
        <f t="array" ref="A391">_xlfn.LET(_xlpm.e,L391,
IF(_xlpm.e="","",
"DOC-"&amp;TEXT(ROW()-ROW(tblMaster[#Headers]),"00000")
))</f>
        <v>DOC-00390</v>
      </c>
      <c r="B391" s="49">
        <v>45953</v>
      </c>
      <c r="C391" s="42" t="s">
        <v>1725</v>
      </c>
      <c r="D391" s="41" t="s">
        <v>1726</v>
      </c>
      <c r="E391" s="38" t="s">
        <v>1727</v>
      </c>
      <c r="F391" s="18" t="s">
        <v>1728</v>
      </c>
      <c r="G391" s="41" t="s">
        <v>257</v>
      </c>
      <c r="H391" s="18" t="s">
        <v>17</v>
      </c>
      <c r="I391" s="18" t="s">
        <v>112</v>
      </c>
      <c r="K391" s="5" t="s">
        <v>652</v>
      </c>
      <c r="L391" t="str">
        <f t="shared" si="7"/>
        <v>georgiagriffiths482@gmail.com</v>
      </c>
    </row>
    <row r="392" spans="1:12">
      <c r="A392" t="str" cm="1">
        <f t="array" ref="A392">_xlfn.LET(_xlpm.e,L392,
IF(_xlpm.e="","",
"DOC-"&amp;TEXT(ROW()-ROW(tblMaster[#Headers]),"00000")
))</f>
        <v>DOC-00391</v>
      </c>
      <c r="B392" s="49">
        <v>45953</v>
      </c>
      <c r="C392" s="42" t="s">
        <v>55</v>
      </c>
      <c r="D392" s="41" t="s">
        <v>1729</v>
      </c>
      <c r="E392" s="38" t="s">
        <v>1730</v>
      </c>
      <c r="F392" s="18" t="s">
        <v>1731</v>
      </c>
      <c r="G392" s="41" t="s">
        <v>1732</v>
      </c>
      <c r="H392" s="18" t="s">
        <v>17</v>
      </c>
      <c r="I392" s="18" t="s">
        <v>112</v>
      </c>
      <c r="K392" s="5" t="s">
        <v>652</v>
      </c>
      <c r="L392" t="str">
        <f t="shared" si="7"/>
        <v>michael.lyons117@gmail.com</v>
      </c>
    </row>
    <row r="393" spans="1:12">
      <c r="A393" t="str" cm="1">
        <f t="array" ref="A393">_xlfn.LET(_xlpm.e,L393,
IF(_xlpm.e="","",
"DOC-"&amp;TEXT(ROW()-ROW(tblMaster[#Headers]),"00000")
))</f>
        <v>DOC-00392</v>
      </c>
      <c r="B393" s="49">
        <v>45953</v>
      </c>
      <c r="C393" s="42" t="s">
        <v>602</v>
      </c>
      <c r="D393" s="41" t="s">
        <v>1733</v>
      </c>
      <c r="E393" s="38" t="s">
        <v>1734</v>
      </c>
      <c r="F393" s="18" t="s">
        <v>1735</v>
      </c>
      <c r="G393" s="41" t="s">
        <v>33</v>
      </c>
      <c r="H393" s="18" t="s">
        <v>17</v>
      </c>
      <c r="I393" s="18" t="s">
        <v>101</v>
      </c>
      <c r="K393" s="5" t="s">
        <v>652</v>
      </c>
      <c r="L393" t="str">
        <f t="shared" si="7"/>
        <v>lestram1@yahoo.com</v>
      </c>
    </row>
    <row r="394" spans="1:12">
      <c r="A394" t="str" cm="1">
        <f t="array" ref="A394">_xlfn.LET(_xlpm.e,L394,
IF(_xlpm.e="","",
"DOC-"&amp;TEXT(ROW()-ROW(tblMaster[#Headers]),"00000")
))</f>
        <v>DOC-00393</v>
      </c>
      <c r="B394" s="49">
        <v>45953</v>
      </c>
      <c r="C394" s="42" t="s">
        <v>1277</v>
      </c>
      <c r="D394" s="41" t="s">
        <v>1736</v>
      </c>
      <c r="E394" s="38" t="s">
        <v>1737</v>
      </c>
      <c r="F394" s="18" t="s">
        <v>1738</v>
      </c>
      <c r="G394" s="41" t="s">
        <v>123</v>
      </c>
      <c r="H394" s="18" t="s">
        <v>17</v>
      </c>
      <c r="I394" s="18" t="s">
        <v>101</v>
      </c>
      <c r="K394" s="5" t="s">
        <v>652</v>
      </c>
      <c r="L394" t="str">
        <f t="shared" si="7"/>
        <v>philodorlove@yahoo.com</v>
      </c>
    </row>
    <row r="395" spans="1:12">
      <c r="A395" t="str" cm="1">
        <f t="array" ref="A395">_xlfn.LET(_xlpm.e,L395,
IF(_xlpm.e="","",
"DOC-"&amp;TEXT(ROW()-ROW(tblMaster[#Headers]),"00000")
))</f>
        <v>DOC-00394</v>
      </c>
      <c r="B395" s="49">
        <v>45953</v>
      </c>
      <c r="C395" s="42" t="s">
        <v>1739</v>
      </c>
      <c r="D395" s="41" t="s">
        <v>1740</v>
      </c>
      <c r="E395" s="38" t="s">
        <v>1741</v>
      </c>
      <c r="F395" s="18" t="s">
        <v>1742</v>
      </c>
      <c r="G395" s="41" t="s">
        <v>1232</v>
      </c>
      <c r="H395" s="18" t="s">
        <v>17</v>
      </c>
      <c r="I395" s="18" t="s">
        <v>101</v>
      </c>
      <c r="J395" s="99" t="s">
        <v>23</v>
      </c>
      <c r="K395" s="5" t="s">
        <v>652</v>
      </c>
      <c r="L395" t="str">
        <f t="shared" si="7"/>
        <v>gmensah0906@gmail.com</v>
      </c>
    </row>
    <row r="396" spans="1:12">
      <c r="A396" t="str" cm="1">
        <f t="array" ref="A396">_xlfn.LET(_xlpm.e,L396,
IF(_xlpm.e="","",
"DOC-"&amp;TEXT(ROW()-ROW(tblMaster[#Headers]),"00000")
))</f>
        <v>DOC-00395</v>
      </c>
      <c r="B396" s="49">
        <v>45953</v>
      </c>
      <c r="C396" s="42" t="s">
        <v>1743</v>
      </c>
      <c r="D396" s="41" t="s">
        <v>1744</v>
      </c>
      <c r="E396" s="38" t="s">
        <v>1745</v>
      </c>
      <c r="F396" s="18" t="s">
        <v>1746</v>
      </c>
      <c r="G396" s="41" t="s">
        <v>1747</v>
      </c>
      <c r="H396" s="18" t="s">
        <v>17</v>
      </c>
      <c r="I396" s="18" t="s">
        <v>101</v>
      </c>
      <c r="K396" s="5" t="s">
        <v>652</v>
      </c>
      <c r="L396" t="str">
        <f t="shared" si="7"/>
        <v>wknijia@gmail.com</v>
      </c>
    </row>
    <row r="397" spans="1:12">
      <c r="A397" t="str" cm="1">
        <f t="array" ref="A397">_xlfn.LET(_xlpm.e,L397,
IF(_xlpm.e="","",
"DOC-"&amp;TEXT(ROW()-ROW(tblMaster[#Headers]),"00000")
))</f>
        <v>DOC-00396</v>
      </c>
      <c r="B397" s="49">
        <v>45953</v>
      </c>
      <c r="C397" s="42" t="s">
        <v>1748</v>
      </c>
      <c r="D397" s="41" t="s">
        <v>1749</v>
      </c>
      <c r="E397" s="38" t="s">
        <v>1750</v>
      </c>
      <c r="F397" s="18" t="s">
        <v>1751</v>
      </c>
      <c r="G397" s="41" t="s">
        <v>1109</v>
      </c>
      <c r="H397" s="18" t="s">
        <v>17</v>
      </c>
      <c r="I397" s="18" t="s">
        <v>101</v>
      </c>
      <c r="K397" s="5" t="s">
        <v>652</v>
      </c>
      <c r="L397" t="str">
        <f t="shared" si="7"/>
        <v>brennan.fortes@yahoo.com</v>
      </c>
    </row>
    <row r="398" spans="1:12">
      <c r="A398" t="str" cm="1">
        <f t="array" ref="A398">_xlfn.LET(_xlpm.e,L398,
IF(_xlpm.e="","",
"DOC-"&amp;TEXT(ROW()-ROW(tblMaster[#Headers]),"00000")
))</f>
        <v>DOC-00397</v>
      </c>
      <c r="B398" s="49">
        <v>45953</v>
      </c>
      <c r="C398" s="42" t="s">
        <v>1752</v>
      </c>
      <c r="D398" s="41" t="s">
        <v>1753</v>
      </c>
      <c r="E398" s="38" t="s">
        <v>1754</v>
      </c>
      <c r="F398" s="18" t="s">
        <v>1755</v>
      </c>
      <c r="G398" s="41" t="s">
        <v>1756</v>
      </c>
      <c r="H398" s="18" t="s">
        <v>17</v>
      </c>
      <c r="I398" s="18" t="s">
        <v>54</v>
      </c>
      <c r="K398" s="5" t="s">
        <v>652</v>
      </c>
      <c r="L398" t="str">
        <f t="shared" si="7"/>
        <v>gelielpena937@icloud.com</v>
      </c>
    </row>
    <row r="399" spans="1:12">
      <c r="A399" t="str" cm="1">
        <f t="array" ref="A399">_xlfn.LET(_xlpm.e,L399,
IF(_xlpm.e="","",
"DOC-"&amp;TEXT(ROW()-ROW(tblMaster[#Headers]),"00000")
))</f>
        <v>DOC-00398</v>
      </c>
      <c r="B399" s="49">
        <v>45953</v>
      </c>
      <c r="C399" s="42" t="s">
        <v>1757</v>
      </c>
      <c r="D399" s="41" t="s">
        <v>1758</v>
      </c>
      <c r="E399" s="38" t="s">
        <v>1759</v>
      </c>
      <c r="F399" s="18" t="s">
        <v>1760</v>
      </c>
      <c r="G399" s="41" t="s">
        <v>517</v>
      </c>
      <c r="H399" s="18" t="s">
        <v>17</v>
      </c>
      <c r="I399" s="18" t="s">
        <v>54</v>
      </c>
      <c r="K399" s="5" t="s">
        <v>226</v>
      </c>
      <c r="L399" t="str">
        <f t="shared" si="7"/>
        <v>k.gousby12@gmail.com</v>
      </c>
    </row>
    <row r="400" spans="1:12">
      <c r="A400" t="str" cm="1">
        <f t="array" ref="A400">_xlfn.LET(_xlpm.e,L400,
IF(_xlpm.e="","",
"DOC-"&amp;TEXT(ROW()-ROW(tblMaster[#Headers]),"00000")
))</f>
        <v>DOC-00399</v>
      </c>
      <c r="B400" s="49">
        <v>45953</v>
      </c>
      <c r="C400" s="42" t="s">
        <v>1761</v>
      </c>
      <c r="D400" s="41" t="s">
        <v>1762</v>
      </c>
      <c r="E400" s="38" t="s">
        <v>1763</v>
      </c>
      <c r="F400" s="18" t="s">
        <v>1764</v>
      </c>
      <c r="G400" s="41" t="s">
        <v>182</v>
      </c>
      <c r="H400" s="18" t="s">
        <v>17</v>
      </c>
      <c r="I400" s="18"/>
      <c r="J400" s="99" t="s">
        <v>23</v>
      </c>
      <c r="K400" s="5" t="s">
        <v>652</v>
      </c>
      <c r="L400" t="str">
        <f t="shared" si="7"/>
        <v>mamitanisha1@icloud.com</v>
      </c>
    </row>
    <row r="401" spans="1:12">
      <c r="A401" t="str" cm="1">
        <f t="array" ref="A401">_xlfn.LET(_xlpm.e,L401,
IF(_xlpm.e="","",
"DOC-"&amp;TEXT(ROW()-ROW(tblMaster[#Headers]),"00000")
))</f>
        <v>DOC-00400</v>
      </c>
      <c r="B401" s="49">
        <v>45953</v>
      </c>
      <c r="C401" s="42" t="s">
        <v>1765</v>
      </c>
      <c r="D401" s="41" t="s">
        <v>945</v>
      </c>
      <c r="E401" s="38" t="s">
        <v>1766</v>
      </c>
      <c r="F401" s="18" t="s">
        <v>1767</v>
      </c>
      <c r="G401" s="41" t="s">
        <v>257</v>
      </c>
      <c r="H401" s="18" t="s">
        <v>17</v>
      </c>
      <c r="I401" s="18" t="s">
        <v>339</v>
      </c>
      <c r="K401" s="5" t="s">
        <v>652</v>
      </c>
      <c r="L401" t="str">
        <f t="shared" si="7"/>
        <v>danchelwilliams1@gmail.com</v>
      </c>
    </row>
    <row r="402" spans="1:12">
      <c r="A402" t="str" cm="1">
        <f t="array" ref="A402">_xlfn.LET(_xlpm.e,L402,
IF(_xlpm.e="","",
"DOC-"&amp;TEXT(ROW()-ROW(tblMaster[#Headers]),"00000")
))</f>
        <v>DOC-00401</v>
      </c>
      <c r="B402" s="49">
        <v>45953</v>
      </c>
      <c r="C402" s="42" t="s">
        <v>1768</v>
      </c>
      <c r="D402" s="41" t="s">
        <v>1769</v>
      </c>
      <c r="E402" s="38" t="s">
        <v>1770</v>
      </c>
      <c r="F402" s="18" t="s">
        <v>1771</v>
      </c>
      <c r="G402" s="41" t="s">
        <v>1772</v>
      </c>
      <c r="H402" s="18" t="s">
        <v>267</v>
      </c>
      <c r="I402" s="18"/>
      <c r="K402" s="5" t="s">
        <v>652</v>
      </c>
      <c r="L402" t="str">
        <f t="shared" si="7"/>
        <v>fbest1186@gmail.com</v>
      </c>
    </row>
    <row r="403" spans="1:12">
      <c r="A403" t="str" cm="1">
        <f t="array" ref="A403">_xlfn.LET(_xlpm.e,L403,
IF(_xlpm.e="","",
"DOC-"&amp;TEXT(ROW()-ROW(tblMaster[#Headers]),"00000")
))</f>
        <v>DOC-00402</v>
      </c>
      <c r="B403" s="49">
        <v>45953</v>
      </c>
      <c r="C403" s="42" t="s">
        <v>1773</v>
      </c>
      <c r="D403" s="41" t="s">
        <v>1774</v>
      </c>
      <c r="E403" s="38" t="s">
        <v>1775</v>
      </c>
      <c r="F403" s="18" t="s">
        <v>1776</v>
      </c>
      <c r="G403" s="41" t="s">
        <v>1777</v>
      </c>
      <c r="H403" s="18" t="s">
        <v>17</v>
      </c>
      <c r="I403" s="18" t="s">
        <v>112</v>
      </c>
      <c r="K403" s="5" t="s">
        <v>652</v>
      </c>
      <c r="L403" t="str">
        <f t="shared" si="7"/>
        <v>mnicolemurph@gmail.com</v>
      </c>
    </row>
    <row r="404" spans="1:12">
      <c r="A404" t="str" cm="1">
        <f t="array" ref="A404">_xlfn.LET(_xlpm.e,L404,
IF(_xlpm.e="","",
"DOC-"&amp;TEXT(ROW()-ROW(tblMaster[#Headers]),"00000")
))</f>
        <v>DOC-00403</v>
      </c>
      <c r="B404" s="49">
        <v>45953</v>
      </c>
      <c r="C404" s="42" t="s">
        <v>1277</v>
      </c>
      <c r="D404" s="41" t="s">
        <v>1778</v>
      </c>
      <c r="E404" s="38" t="s">
        <v>1779</v>
      </c>
      <c r="F404" s="18" t="s">
        <v>1780</v>
      </c>
      <c r="G404" s="41" t="s">
        <v>257</v>
      </c>
      <c r="H404" s="18" t="s">
        <v>17</v>
      </c>
      <c r="I404" s="18" t="s">
        <v>112</v>
      </c>
      <c r="K404" s="5" t="s">
        <v>652</v>
      </c>
      <c r="L404" t="str">
        <f t="shared" si="7"/>
        <v>jsmithhowell21@gmail.com</v>
      </c>
    </row>
    <row r="405" spans="1:12">
      <c r="A405" t="str" cm="1">
        <f t="array" ref="A405">_xlfn.LET(_xlpm.e,L405,
IF(_xlpm.e="","",
"DOC-"&amp;TEXT(ROW()-ROW(tblMaster[#Headers]),"00000")
))</f>
        <v>DOC-00404</v>
      </c>
      <c r="B405" s="49">
        <v>45953</v>
      </c>
      <c r="C405" s="42" t="s">
        <v>934</v>
      </c>
      <c r="D405" s="41" t="s">
        <v>1781</v>
      </c>
      <c r="E405" s="38" t="s">
        <v>1782</v>
      </c>
      <c r="F405" s="18" t="s">
        <v>1783</v>
      </c>
      <c r="G405" s="41" t="s">
        <v>1784</v>
      </c>
      <c r="H405" s="18" t="s">
        <v>17</v>
      </c>
      <c r="I405" s="18" t="s">
        <v>54</v>
      </c>
      <c r="K405" s="5" t="s">
        <v>652</v>
      </c>
      <c r="L405" t="str">
        <f t="shared" si="7"/>
        <v>mustbedavid1@aol.com</v>
      </c>
    </row>
    <row r="406" spans="1:12">
      <c r="A406" t="str" cm="1">
        <f t="array" ref="A406">_xlfn.LET(_xlpm.e,L406,
IF(_xlpm.e="","",
"DOC-"&amp;TEXT(ROW()-ROW(tblMaster[#Headers]),"00000")
))</f>
        <v>DOC-00405</v>
      </c>
      <c r="B406" s="49">
        <v>45953</v>
      </c>
      <c r="C406" s="42" t="s">
        <v>1785</v>
      </c>
      <c r="D406" s="41" t="s">
        <v>1786</v>
      </c>
      <c r="E406" s="38" t="s">
        <v>1787</v>
      </c>
      <c r="F406" s="18" t="s">
        <v>1788</v>
      </c>
      <c r="G406" s="41" t="s">
        <v>1789</v>
      </c>
      <c r="H406" s="18" t="s">
        <v>60</v>
      </c>
      <c r="I406" s="18" t="s">
        <v>54</v>
      </c>
      <c r="J406" s="99" t="s">
        <v>23</v>
      </c>
      <c r="K406" s="5" t="s">
        <v>652</v>
      </c>
      <c r="L406" t="str">
        <f t="shared" si="7"/>
        <v>elijahlavoie24@gmail.com</v>
      </c>
    </row>
    <row r="407" spans="1:12">
      <c r="A407" t="str" cm="1">
        <f t="array" ref="A407">_xlfn.LET(_xlpm.e,L407,
IF(_xlpm.e="","",
"DOC-"&amp;TEXT(ROW()-ROW(tblMaster[#Headers]),"00000")
))</f>
        <v>DOC-00406</v>
      </c>
      <c r="B407" s="49">
        <v>45953</v>
      </c>
      <c r="C407" s="42" t="s">
        <v>1790</v>
      </c>
      <c r="D407" s="41" t="s">
        <v>1791</v>
      </c>
      <c r="E407" s="38" t="s">
        <v>1792</v>
      </c>
      <c r="F407" s="18" t="s">
        <v>1793</v>
      </c>
      <c r="G407" s="41" t="s">
        <v>79</v>
      </c>
      <c r="H407" s="18" t="s">
        <v>17</v>
      </c>
      <c r="I407" s="18" t="s">
        <v>54</v>
      </c>
      <c r="K407" s="5" t="s">
        <v>652</v>
      </c>
      <c r="L407" t="str">
        <f t="shared" si="7"/>
        <v>kamjesh2005@gmail.com</v>
      </c>
    </row>
    <row r="408" spans="1:12">
      <c r="A408" t="str" cm="1">
        <f t="array" ref="A408">_xlfn.LET(_xlpm.e,L408,
IF(_xlpm.e="","",
"DOC-"&amp;TEXT(ROW()-ROW(tblMaster[#Headers]),"00000")
))</f>
        <v>DOC-00407</v>
      </c>
      <c r="B408" s="49">
        <v>45953</v>
      </c>
      <c r="C408" s="42" t="s">
        <v>1794</v>
      </c>
      <c r="D408" s="41" t="s">
        <v>1795</v>
      </c>
      <c r="E408" s="38" t="s">
        <v>1796</v>
      </c>
      <c r="F408" s="18" t="s">
        <v>1797</v>
      </c>
      <c r="G408" s="41" t="s">
        <v>728</v>
      </c>
      <c r="H408" s="18" t="s">
        <v>17</v>
      </c>
      <c r="I408" s="18" t="s">
        <v>54</v>
      </c>
      <c r="K408" s="5" t="s">
        <v>652</v>
      </c>
      <c r="L408" t="str">
        <f t="shared" si="7"/>
        <v>kelimarhernandez123@gmail.com</v>
      </c>
    </row>
    <row r="409" spans="1:12">
      <c r="A409" t="str" cm="1">
        <f t="array" ref="A409">_xlfn.LET(_xlpm.e,L409,
IF(_xlpm.e="","",
"DOC-"&amp;TEXT(ROW()-ROW(tblMaster[#Headers]),"00000")
))</f>
        <v>DOC-00408</v>
      </c>
      <c r="B409" s="49">
        <v>45953</v>
      </c>
      <c r="C409" s="42" t="s">
        <v>1798</v>
      </c>
      <c r="D409" s="41" t="s">
        <v>897</v>
      </c>
      <c r="E409" s="38" t="s">
        <v>1799</v>
      </c>
      <c r="F409" s="18" t="s">
        <v>1800</v>
      </c>
      <c r="G409" s="41" t="s">
        <v>79</v>
      </c>
      <c r="H409" s="18" t="s">
        <v>17</v>
      </c>
      <c r="I409" s="18" t="s">
        <v>54</v>
      </c>
      <c r="K409" s="5" t="s">
        <v>652</v>
      </c>
      <c r="L409" t="str">
        <f t="shared" si="7"/>
        <v>izyuh23@gmail.com</v>
      </c>
    </row>
    <row r="410" spans="1:12">
      <c r="A410" t="str" cm="1">
        <f t="array" ref="A410">_xlfn.LET(_xlpm.e,L410,
IF(_xlpm.e="","",
"DOC-"&amp;TEXT(ROW()-ROW(tblMaster[#Headers]),"00000")
))</f>
        <v>DOC-00409</v>
      </c>
      <c r="B410" s="49">
        <v>45953</v>
      </c>
      <c r="C410" s="42" t="s">
        <v>1801</v>
      </c>
      <c r="D410" s="41" t="s">
        <v>1802</v>
      </c>
      <c r="E410" s="38" t="s">
        <v>1803</v>
      </c>
      <c r="F410" s="18" t="s">
        <v>1804</v>
      </c>
      <c r="G410" s="41" t="s">
        <v>1805</v>
      </c>
      <c r="H410" s="18" t="s">
        <v>17</v>
      </c>
      <c r="I410" s="18" t="s">
        <v>112</v>
      </c>
      <c r="K410" s="5" t="s">
        <v>652</v>
      </c>
      <c r="L410" t="str">
        <f t="shared" si="7"/>
        <v>cleanfreak629@gmail.com</v>
      </c>
    </row>
    <row r="411" spans="1:12">
      <c r="A411" t="str" cm="1">
        <f t="array" ref="A411">_xlfn.LET(_xlpm.e,L411,
IF(_xlpm.e="","",
"DOC-"&amp;TEXT(ROW()-ROW(tblMaster[#Headers]),"00000")
))</f>
        <v>DOC-00410</v>
      </c>
      <c r="B411" s="49">
        <v>45953</v>
      </c>
      <c r="C411" s="42" t="s">
        <v>1806</v>
      </c>
      <c r="D411" s="41" t="s">
        <v>603</v>
      </c>
      <c r="E411" s="38" t="s">
        <v>1807</v>
      </c>
      <c r="F411" s="18" t="s">
        <v>1808</v>
      </c>
      <c r="G411" s="41" t="s">
        <v>257</v>
      </c>
      <c r="H411" s="18" t="s">
        <v>17</v>
      </c>
      <c r="I411" s="18" t="s">
        <v>54</v>
      </c>
      <c r="K411" s="5" t="s">
        <v>652</v>
      </c>
      <c r="L411" t="str">
        <f t="shared" si="7"/>
        <v>pdesir1994@gmail.com</v>
      </c>
    </row>
    <row r="412" spans="1:12">
      <c r="A412" t="str" cm="1">
        <f t="array" ref="A412">_xlfn.LET(_xlpm.e,L412,
IF(_xlpm.e="","",
"DOC-"&amp;TEXT(ROW()-ROW(tblMaster[#Headers]),"00000")
))</f>
        <v>DOC-00411</v>
      </c>
      <c r="B412" s="49">
        <v>45953</v>
      </c>
      <c r="C412" s="42" t="s">
        <v>1809</v>
      </c>
      <c r="D412" s="41" t="s">
        <v>1810</v>
      </c>
      <c r="E412" s="38" t="s">
        <v>1811</v>
      </c>
      <c r="F412" s="18" t="s">
        <v>1812</v>
      </c>
      <c r="G412" s="41" t="s">
        <v>544</v>
      </c>
      <c r="H412" s="18" t="s">
        <v>17</v>
      </c>
      <c r="I412" s="18" t="s">
        <v>54</v>
      </c>
      <c r="J412" s="99" t="s">
        <v>23</v>
      </c>
      <c r="K412" s="5" t="s">
        <v>652</v>
      </c>
      <c r="L412" t="str">
        <f t="shared" si="7"/>
        <v>krsmith13@comcast.net</v>
      </c>
    </row>
    <row r="413" spans="1:12">
      <c r="A413" t="str" cm="1">
        <f t="array" ref="A413">_xlfn.LET(_xlpm.e,L413,
IF(_xlpm.e="","",
"DOC-"&amp;TEXT(ROW()-ROW(tblMaster[#Headers]),"00000")
))</f>
        <v>DOC-00412</v>
      </c>
      <c r="B413" s="49">
        <v>45953</v>
      </c>
      <c r="C413" s="42" t="s">
        <v>1813</v>
      </c>
      <c r="D413" s="41" t="s">
        <v>504</v>
      </c>
      <c r="E413" s="38" t="s">
        <v>1814</v>
      </c>
      <c r="F413" s="18" t="s">
        <v>1815</v>
      </c>
      <c r="G413" s="41" t="s">
        <v>1816</v>
      </c>
      <c r="H413" s="18" t="s">
        <v>17</v>
      </c>
      <c r="I413" s="18" t="s">
        <v>54</v>
      </c>
      <c r="K413" s="5" t="s">
        <v>652</v>
      </c>
      <c r="L413" t="str">
        <f t="shared" si="7"/>
        <v>cedricteixeira11@aim.com</v>
      </c>
    </row>
    <row r="414" spans="1:12">
      <c r="A414" t="str" cm="1">
        <f t="array" ref="A414">_xlfn.LET(_xlpm.e,L414,
IF(_xlpm.e="","",
"DOC-"&amp;TEXT(ROW()-ROW(tblMaster[#Headers]),"00000")
))</f>
        <v>DOC-00413</v>
      </c>
      <c r="B414" s="49">
        <v>45953</v>
      </c>
      <c r="C414" s="42" t="s">
        <v>1817</v>
      </c>
      <c r="D414" s="41" t="s">
        <v>1818</v>
      </c>
      <c r="E414" s="38" t="s">
        <v>1819</v>
      </c>
      <c r="F414" s="18" t="s">
        <v>1820</v>
      </c>
      <c r="G414" s="41" t="s">
        <v>1361</v>
      </c>
      <c r="H414" s="18" t="s">
        <v>17</v>
      </c>
      <c r="I414" s="18" t="s">
        <v>54</v>
      </c>
      <c r="K414" s="5" t="s">
        <v>652</v>
      </c>
      <c r="L414" t="str">
        <f t="shared" si="7"/>
        <v>heartofwalmart@gmail.com</v>
      </c>
    </row>
    <row r="415" spans="1:12">
      <c r="A415" t="str" cm="1">
        <f t="array" ref="A415">_xlfn.LET(_xlpm.e,L415,
IF(_xlpm.e="","",
"DOC-"&amp;TEXT(ROW()-ROW(tblMaster[#Headers]),"00000")
))</f>
        <v>DOC-00414</v>
      </c>
      <c r="B415" s="49">
        <v>45953</v>
      </c>
      <c r="C415" s="42" t="s">
        <v>1821</v>
      </c>
      <c r="D415" s="41" t="s">
        <v>1822</v>
      </c>
      <c r="E415" s="38" t="s">
        <v>1823</v>
      </c>
      <c r="F415" s="18" t="s">
        <v>1824</v>
      </c>
      <c r="G415" s="41" t="s">
        <v>1361</v>
      </c>
      <c r="H415" s="18" t="s">
        <v>17</v>
      </c>
      <c r="I415" s="18" t="s">
        <v>54</v>
      </c>
      <c r="K415" s="5" t="s">
        <v>652</v>
      </c>
      <c r="L415" t="str">
        <f t="shared" si="7"/>
        <v>jarrod.camerer@gmail.com</v>
      </c>
    </row>
    <row r="416" spans="1:12">
      <c r="A416" t="str" cm="1">
        <f t="array" ref="A416">_xlfn.LET(_xlpm.e,L416,
IF(_xlpm.e="","",
"DOC-"&amp;TEXT(ROW()-ROW(tblMaster[#Headers]),"00000")
))</f>
        <v>DOC-00415</v>
      </c>
      <c r="B416" s="49">
        <v>45953</v>
      </c>
      <c r="C416" s="42" t="s">
        <v>1825</v>
      </c>
      <c r="D416" s="41" t="s">
        <v>1826</v>
      </c>
      <c r="E416" s="38" t="s">
        <v>1827</v>
      </c>
      <c r="F416" s="18" t="s">
        <v>1828</v>
      </c>
      <c r="G416" s="41" t="s">
        <v>704</v>
      </c>
      <c r="H416" s="18" t="s">
        <v>17</v>
      </c>
      <c r="I416" s="18" t="s">
        <v>101</v>
      </c>
      <c r="K416" s="5" t="s">
        <v>652</v>
      </c>
      <c r="L416" t="str">
        <f t="shared" si="7"/>
        <v>jocelynbrooks123@yahoo.com</v>
      </c>
    </row>
    <row r="417" spans="1:12">
      <c r="A417" t="str" cm="1">
        <f t="array" ref="A417">_xlfn.LET(_xlpm.e,L417,
IF(_xlpm.e="","",
"DOC-"&amp;TEXT(ROW()-ROW(tblMaster[#Headers]),"00000")
))</f>
        <v>DOC-00416</v>
      </c>
      <c r="B417" s="49">
        <v>45953</v>
      </c>
      <c r="C417" s="42" t="s">
        <v>1829</v>
      </c>
      <c r="D417" s="41" t="s">
        <v>1830</v>
      </c>
      <c r="E417" s="38" t="s">
        <v>1831</v>
      </c>
      <c r="F417" s="18"/>
      <c r="G417" s="41" t="s">
        <v>728</v>
      </c>
      <c r="H417" s="18" t="s">
        <v>17</v>
      </c>
      <c r="I417" s="18" t="s">
        <v>101</v>
      </c>
      <c r="K417" s="5" t="s">
        <v>652</v>
      </c>
      <c r="L417" t="str">
        <f t="shared" si="7"/>
        <v>pashem35@iclound.com</v>
      </c>
    </row>
    <row r="418" spans="1:12">
      <c r="A418" t="str" cm="1">
        <f t="array" ref="A418">_xlfn.LET(_xlpm.e,L418,
IF(_xlpm.e="","",
"DOC-"&amp;TEXT(ROW()-ROW(tblMaster[#Headers]),"00000")
))</f>
        <v>DOC-00417</v>
      </c>
      <c r="B418" s="49">
        <v>45953</v>
      </c>
      <c r="C418" s="42" t="s">
        <v>1832</v>
      </c>
      <c r="D418" s="41" t="s">
        <v>1833</v>
      </c>
      <c r="E418" s="38" t="s">
        <v>1834</v>
      </c>
      <c r="F418" s="18" t="s">
        <v>1835</v>
      </c>
      <c r="G418" s="41" t="s">
        <v>1361</v>
      </c>
      <c r="H418" s="18" t="s">
        <v>17</v>
      </c>
      <c r="I418" s="18" t="s">
        <v>101</v>
      </c>
      <c r="K418" s="5" t="s">
        <v>652</v>
      </c>
      <c r="L418" t="str">
        <f t="shared" si="7"/>
        <v>sandrellisenovia@yahoo.com</v>
      </c>
    </row>
    <row r="419" spans="1:12">
      <c r="A419" t="str" cm="1">
        <f t="array" ref="A419">_xlfn.LET(_xlpm.e,L419,
IF(_xlpm.e="","",
"DOC-"&amp;TEXT(ROW()-ROW(tblMaster[#Headers]),"00000")
))</f>
        <v>DOC-00418</v>
      </c>
      <c r="B419" s="49">
        <v>45953</v>
      </c>
      <c r="C419" s="42" t="s">
        <v>1836</v>
      </c>
      <c r="D419" s="41" t="s">
        <v>1837</v>
      </c>
      <c r="E419" s="38" t="s">
        <v>1838</v>
      </c>
      <c r="F419" s="18" t="s">
        <v>1839</v>
      </c>
      <c r="G419" s="41" t="s">
        <v>549</v>
      </c>
      <c r="H419" s="18" t="s">
        <v>17</v>
      </c>
      <c r="I419" s="18" t="s">
        <v>112</v>
      </c>
      <c r="K419" s="5" t="s">
        <v>226</v>
      </c>
      <c r="L419" t="str">
        <f t="shared" si="7"/>
        <v>kyaralavallee9@gmail.com</v>
      </c>
    </row>
    <row r="420" spans="1:12">
      <c r="A420" t="str" cm="1">
        <f t="array" ref="A420">_xlfn.LET(_xlpm.e,L420,
IF(_xlpm.e="","",
"DOC-"&amp;TEXT(ROW()-ROW(tblMaster[#Headers]),"00000")
))</f>
        <v>DOC-00419</v>
      </c>
      <c r="B420" s="49">
        <v>45953</v>
      </c>
      <c r="C420" s="42" t="s">
        <v>1840</v>
      </c>
      <c r="D420" s="41" t="s">
        <v>1841</v>
      </c>
      <c r="E420" s="38" t="s">
        <v>1842</v>
      </c>
      <c r="F420" s="18" t="s">
        <v>1843</v>
      </c>
      <c r="G420" s="41" t="s">
        <v>257</v>
      </c>
      <c r="H420" s="18" t="s">
        <v>17</v>
      </c>
      <c r="I420" s="18" t="s">
        <v>54</v>
      </c>
      <c r="J420" s="99" t="s">
        <v>23</v>
      </c>
      <c r="K420" s="5" t="s">
        <v>652</v>
      </c>
      <c r="L420" t="str">
        <f t="shared" si="7"/>
        <v>tommyjones0001vb@gmail.com</v>
      </c>
    </row>
    <row r="421" spans="1:12">
      <c r="A421" t="str" cm="1">
        <f t="array" ref="A421">_xlfn.LET(_xlpm.e,L421,
IF(_xlpm.e="","",
"DOC-"&amp;TEXT(ROW()-ROW(tblMaster[#Headers]),"00000")
))</f>
        <v>DOC-00420</v>
      </c>
      <c r="B421" s="49">
        <v>45953</v>
      </c>
      <c r="C421" s="42" t="s">
        <v>1844</v>
      </c>
      <c r="D421" s="41" t="s">
        <v>1845</v>
      </c>
      <c r="E421" s="38" t="s">
        <v>1846</v>
      </c>
      <c r="F421" s="18" t="s">
        <v>1847</v>
      </c>
      <c r="G421" s="41" t="s">
        <v>1848</v>
      </c>
      <c r="H421" s="18" t="s">
        <v>1590</v>
      </c>
      <c r="I421" s="18" t="s">
        <v>54</v>
      </c>
      <c r="K421" s="5" t="s">
        <v>652</v>
      </c>
      <c r="L421" t="str">
        <f t="shared" si="7"/>
        <v>troydmckenzie@myyahoo.com</v>
      </c>
    </row>
    <row r="422" spans="1:12">
      <c r="A422" t="str" cm="1">
        <f t="array" ref="A422">_xlfn.LET(_xlpm.e,L422,
IF(_xlpm.e="","",
"DOC-"&amp;TEXT(ROW()-ROW(tblMaster[#Headers]),"00000")
))</f>
        <v>DOC-00421</v>
      </c>
      <c r="B422" s="49">
        <v>45953</v>
      </c>
      <c r="C422" s="42" t="s">
        <v>1849</v>
      </c>
      <c r="D422" s="41" t="s">
        <v>1850</v>
      </c>
      <c r="E422" s="38" t="s">
        <v>1851</v>
      </c>
      <c r="F422" s="18" t="s">
        <v>1852</v>
      </c>
      <c r="G422" s="41" t="s">
        <v>1853</v>
      </c>
      <c r="H422" s="18" t="s">
        <v>267</v>
      </c>
      <c r="I422" s="18" t="s">
        <v>112</v>
      </c>
      <c r="K422" s="5" t="s">
        <v>652</v>
      </c>
      <c r="L422" t="str">
        <f t="shared" si="7"/>
        <v>leahbuckland9@gmail.com</v>
      </c>
    </row>
    <row r="423" spans="1:12">
      <c r="A423" t="str" cm="1">
        <f t="array" ref="A423">_xlfn.LET(_xlpm.e,L423,
IF(_xlpm.e="","",
"DOC-"&amp;TEXT(ROW()-ROW(tblMaster[#Headers]),"00000")
))</f>
        <v>DOC-00422</v>
      </c>
      <c r="B423" s="49">
        <v>45953</v>
      </c>
      <c r="C423" s="42" t="s">
        <v>1854</v>
      </c>
      <c r="D423" s="41" t="s">
        <v>1855</v>
      </c>
      <c r="E423" s="38" t="s">
        <v>1856</v>
      </c>
      <c r="F423" s="18" t="s">
        <v>1857</v>
      </c>
      <c r="G423" s="41" t="s">
        <v>606</v>
      </c>
      <c r="H423" s="18" t="s">
        <v>60</v>
      </c>
      <c r="I423" s="18" t="s">
        <v>54</v>
      </c>
      <c r="K423" s="5" t="s">
        <v>652</v>
      </c>
      <c r="L423" t="str">
        <f t="shared" si="7"/>
        <v>kolisasammi@gmail.com</v>
      </c>
    </row>
    <row r="424" spans="1:12">
      <c r="A424" t="str" cm="1">
        <f t="array" ref="A424">_xlfn.LET(_xlpm.e,L424,
IF(_xlpm.e="","",
"DOC-"&amp;TEXT(ROW()-ROW(tblMaster[#Headers]),"00000")
))</f>
        <v>DOC-00423</v>
      </c>
      <c r="B424" s="49">
        <v>45953</v>
      </c>
      <c r="C424" s="42" t="s">
        <v>1858</v>
      </c>
      <c r="D424" s="41" t="s">
        <v>1859</v>
      </c>
      <c r="E424" s="38" t="s">
        <v>1860</v>
      </c>
      <c r="F424" s="18" t="s">
        <v>1861</v>
      </c>
      <c r="G424" s="41" t="s">
        <v>79</v>
      </c>
      <c r="H424" s="18" t="s">
        <v>17</v>
      </c>
      <c r="I424" s="18" t="s">
        <v>54</v>
      </c>
      <c r="K424" s="5" t="s">
        <v>652</v>
      </c>
      <c r="L424" t="str">
        <f t="shared" si="7"/>
        <v>katerinadisho10@gmail.com</v>
      </c>
    </row>
    <row r="425" spans="1:12">
      <c r="A425" t="str" cm="1">
        <f t="array" ref="A425">_xlfn.LET(_xlpm.e,L425,
IF(_xlpm.e="","",
"DOC-"&amp;TEXT(ROW()-ROW(tblMaster[#Headers]),"00000")
))</f>
        <v>DOC-00424</v>
      </c>
      <c r="B425" s="49">
        <v>45953</v>
      </c>
      <c r="C425" s="42" t="s">
        <v>1862</v>
      </c>
      <c r="D425" s="41" t="s">
        <v>1863</v>
      </c>
      <c r="E425" s="38" t="s">
        <v>1864</v>
      </c>
      <c r="F425" s="18" t="s">
        <v>1865</v>
      </c>
      <c r="G425" s="41" t="s">
        <v>433</v>
      </c>
      <c r="H425" s="18" t="s">
        <v>17</v>
      </c>
      <c r="I425" s="18" t="s">
        <v>54</v>
      </c>
      <c r="J425" s="99" t="s">
        <v>497</v>
      </c>
      <c r="K425" s="5" t="s">
        <v>652</v>
      </c>
      <c r="L425" t="str">
        <f t="shared" si="7"/>
        <v>djely.rubes@gmail.com</v>
      </c>
    </row>
    <row r="426" spans="1:12">
      <c r="A426" t="str" cm="1">
        <f t="array" ref="A426">_xlfn.LET(_xlpm.e,L426,
IF(_xlpm.e="","",
"DOC-"&amp;TEXT(ROW()-ROW(tblMaster[#Headers]),"00000")
))</f>
        <v>DOC-00425</v>
      </c>
      <c r="B426" s="49">
        <v>45953</v>
      </c>
      <c r="C426" s="42" t="s">
        <v>1866</v>
      </c>
      <c r="D426" s="41" t="s">
        <v>1867</v>
      </c>
      <c r="E426" s="38" t="s">
        <v>1868</v>
      </c>
      <c r="F426" s="18" t="s">
        <v>1869</v>
      </c>
      <c r="G426" s="41" t="s">
        <v>1870</v>
      </c>
      <c r="H426" s="18" t="s">
        <v>1156</v>
      </c>
      <c r="I426" s="18" t="s">
        <v>112</v>
      </c>
      <c r="K426" s="5" t="s">
        <v>652</v>
      </c>
      <c r="L426" t="str">
        <f t="shared" si="7"/>
        <v>louiservena@yahoo.ca</v>
      </c>
    </row>
    <row r="427" spans="1:12">
      <c r="A427" t="str" cm="1">
        <f t="array" ref="A427">_xlfn.LET(_xlpm.e,L427,
IF(_xlpm.e="","",
"DOC-"&amp;TEXT(ROW()-ROW(tblMaster[#Headers]),"00000")
))</f>
        <v>DOC-00426</v>
      </c>
      <c r="B427" s="49">
        <v>45953</v>
      </c>
      <c r="C427" s="42" t="s">
        <v>1871</v>
      </c>
      <c r="D427" s="41" t="s">
        <v>1872</v>
      </c>
      <c r="E427" s="38" t="s">
        <v>1873</v>
      </c>
      <c r="F427" s="18" t="s">
        <v>1874</v>
      </c>
      <c r="G427" s="41" t="s">
        <v>675</v>
      </c>
      <c r="H427" s="18" t="s">
        <v>1875</v>
      </c>
      <c r="I427" s="18" t="s">
        <v>112</v>
      </c>
      <c r="J427" s="99" t="s">
        <v>23</v>
      </c>
      <c r="K427" s="5" t="s">
        <v>652</v>
      </c>
      <c r="L427" t="str">
        <f t="shared" si="7"/>
        <v>nicholasgohson@gmail.com</v>
      </c>
    </row>
    <row r="428" spans="1:12">
      <c r="A428" t="str" cm="1">
        <f t="array" ref="A428">_xlfn.LET(_xlpm.e,L428,
IF(_xlpm.e="","",
"DOC-"&amp;TEXT(ROW()-ROW(tblMaster[#Headers]),"00000")
))</f>
        <v>DOC-00427</v>
      </c>
      <c r="B428" s="49">
        <v>45953</v>
      </c>
      <c r="C428" s="42" t="s">
        <v>1876</v>
      </c>
      <c r="D428" s="41" t="s">
        <v>1877</v>
      </c>
      <c r="E428" s="38" t="s">
        <v>1878</v>
      </c>
      <c r="F428" s="18" t="s">
        <v>1879</v>
      </c>
      <c r="G428" s="41" t="s">
        <v>1880</v>
      </c>
      <c r="H428" s="18" t="s">
        <v>60</v>
      </c>
      <c r="I428" s="18" t="s">
        <v>54</v>
      </c>
      <c r="K428" s="5" t="s">
        <v>652</v>
      </c>
      <c r="L428" t="str">
        <f t="shared" si="7"/>
        <v>mlafouquet41@gmail.com</v>
      </c>
    </row>
    <row r="429" spans="1:12">
      <c r="A429" t="str" cm="1">
        <f t="array" ref="A429">_xlfn.LET(_xlpm.e,L429,
IF(_xlpm.e="","",
"DOC-"&amp;TEXT(ROW()-ROW(tblMaster[#Headers]),"00000")
))</f>
        <v>DOC-00428</v>
      </c>
      <c r="B429" s="49">
        <v>45953</v>
      </c>
      <c r="C429" s="42" t="s">
        <v>1881</v>
      </c>
      <c r="D429" s="41" t="s">
        <v>1882</v>
      </c>
      <c r="E429" s="38" t="s">
        <v>1883</v>
      </c>
      <c r="F429" s="18" t="s">
        <v>1884</v>
      </c>
      <c r="G429" s="41" t="s">
        <v>1885</v>
      </c>
      <c r="H429" s="18" t="s">
        <v>1886</v>
      </c>
      <c r="I429" s="18" t="s">
        <v>112</v>
      </c>
      <c r="K429" s="5" t="s">
        <v>652</v>
      </c>
      <c r="L429" t="str">
        <f t="shared" si="7"/>
        <v>areegalmajed@gmail.com</v>
      </c>
    </row>
    <row r="430" spans="1:12">
      <c r="A430" t="str" cm="1">
        <f t="array" ref="A430">_xlfn.LET(_xlpm.e,L430,
IF(_xlpm.e="","",
"DOC-"&amp;TEXT(ROW()-ROW(tblMaster[#Headers]),"00000")
))</f>
        <v>DOC-00429</v>
      </c>
      <c r="B430" s="49">
        <v>45953</v>
      </c>
      <c r="C430" s="42" t="s">
        <v>1887</v>
      </c>
      <c r="D430" s="41" t="s">
        <v>1888</v>
      </c>
      <c r="E430" s="38" t="s">
        <v>1889</v>
      </c>
      <c r="F430" s="18"/>
      <c r="G430" s="41" t="s">
        <v>74</v>
      </c>
      <c r="H430" s="18" t="s">
        <v>17</v>
      </c>
      <c r="I430" s="18" t="s">
        <v>54</v>
      </c>
      <c r="K430" s="5" t="s">
        <v>652</v>
      </c>
      <c r="L430" t="str">
        <f t="shared" si="7"/>
        <v>andres.falero@yahoo.com</v>
      </c>
    </row>
    <row r="431" spans="1:12">
      <c r="A431" t="str" cm="1">
        <f t="array" ref="A431">_xlfn.LET(_xlpm.e,L431,
IF(_xlpm.e="","",
"DOC-"&amp;TEXT(ROW()-ROW(tblMaster[#Headers]),"00000")
))</f>
        <v>DOC-00430</v>
      </c>
      <c r="B431" s="49">
        <v>45953</v>
      </c>
      <c r="C431" s="42" t="s">
        <v>102</v>
      </c>
      <c r="D431" s="41" t="s">
        <v>1890</v>
      </c>
      <c r="E431" s="38" t="s">
        <v>1891</v>
      </c>
      <c r="F431" s="18" t="s">
        <v>1892</v>
      </c>
      <c r="G431" s="41" t="s">
        <v>1893</v>
      </c>
      <c r="H431" s="18" t="s">
        <v>1894</v>
      </c>
      <c r="I431" s="18" t="s">
        <v>54</v>
      </c>
      <c r="K431" s="5" t="s">
        <v>652</v>
      </c>
      <c r="L431" t="str">
        <f t="shared" si="7"/>
        <v>abdiel_rivera05@icloud.com</v>
      </c>
    </row>
    <row r="432" spans="1:12">
      <c r="A432" t="str" cm="1">
        <f t="array" ref="A432">_xlfn.LET(_xlpm.e,L432,
IF(_xlpm.e="","",
"DOC-"&amp;TEXT(ROW()-ROW(tblMaster[#Headers]),"00000")
))</f>
        <v>DOC-00431</v>
      </c>
      <c r="B432" s="49">
        <v>45953</v>
      </c>
      <c r="C432" s="42" t="s">
        <v>1895</v>
      </c>
      <c r="D432" s="41" t="s">
        <v>1896</v>
      </c>
      <c r="E432" s="38" t="s">
        <v>1897</v>
      </c>
      <c r="F432" s="18" t="s">
        <v>1898</v>
      </c>
      <c r="G432" s="41" t="s">
        <v>74</v>
      </c>
      <c r="H432" s="18" t="s">
        <v>17</v>
      </c>
      <c r="I432" s="18" t="s">
        <v>101</v>
      </c>
      <c r="J432" s="99" t="s">
        <v>23</v>
      </c>
      <c r="K432" s="5" t="s">
        <v>652</v>
      </c>
      <c r="L432" t="str">
        <f t="shared" si="7"/>
        <v>frankedward703@gmail.com</v>
      </c>
    </row>
    <row r="433" spans="1:12">
      <c r="A433" t="str" cm="1">
        <f t="array" ref="A433">_xlfn.LET(_xlpm.e,L433,
IF(_xlpm.e="","",
"DOC-"&amp;TEXT(ROW()-ROW(tblMaster[#Headers]),"00000")
))</f>
        <v>DOC-00432</v>
      </c>
      <c r="B433" s="49">
        <v>45953</v>
      </c>
      <c r="C433" s="42" t="s">
        <v>1899</v>
      </c>
      <c r="D433" s="41" t="s">
        <v>1900</v>
      </c>
      <c r="E433" s="38" t="s">
        <v>1901</v>
      </c>
      <c r="F433" s="18" t="s">
        <v>1902</v>
      </c>
      <c r="G433" s="41" t="s">
        <v>52</v>
      </c>
      <c r="H433" s="18" t="s">
        <v>17</v>
      </c>
      <c r="I433" s="18" t="s">
        <v>54</v>
      </c>
      <c r="K433" s="5" t="s">
        <v>652</v>
      </c>
      <c r="L433" t="str">
        <f t="shared" si="7"/>
        <v>smithjudah17@gmail.com</v>
      </c>
    </row>
    <row r="434" spans="1:12">
      <c r="A434" t="str" cm="1">
        <f t="array" ref="A434">_xlfn.LET(_xlpm.e,L434,
IF(_xlpm.e="","",
"DOC-"&amp;TEXT(ROW()-ROW(tblMaster[#Headers]),"00000")
))</f>
        <v>DOC-00433</v>
      </c>
      <c r="B434" s="49">
        <v>45953</v>
      </c>
      <c r="C434" s="42" t="s">
        <v>1903</v>
      </c>
      <c r="D434" s="41" t="s">
        <v>1904</v>
      </c>
      <c r="E434" s="38" t="s">
        <v>1905</v>
      </c>
      <c r="F434" s="18" t="s">
        <v>1906</v>
      </c>
      <c r="G434" s="41"/>
      <c r="H434" s="18"/>
      <c r="I434" s="18" t="s">
        <v>54</v>
      </c>
      <c r="K434" s="5" t="s">
        <v>652</v>
      </c>
      <c r="L434" t="str">
        <f t="shared" si="7"/>
        <v>dr.ahmed.b.h.aqel@gmail.com</v>
      </c>
    </row>
    <row r="435" spans="1:12">
      <c r="A435" t="str" cm="1">
        <f t="array" ref="A435">_xlfn.LET(_xlpm.e,L435,
IF(_xlpm.e="","",
"DOC-"&amp;TEXT(ROW()-ROW(tblMaster[#Headers]),"00000")
))</f>
        <v>DOC-00434</v>
      </c>
      <c r="B435" s="49">
        <v>45953</v>
      </c>
      <c r="C435" s="42" t="s">
        <v>1257</v>
      </c>
      <c r="D435" s="41" t="s">
        <v>1907</v>
      </c>
      <c r="E435" s="38" t="s">
        <v>1908</v>
      </c>
      <c r="F435" s="18" t="s">
        <v>1909</v>
      </c>
      <c r="G435" s="41" t="s">
        <v>1324</v>
      </c>
      <c r="H435" s="18" t="s">
        <v>17</v>
      </c>
      <c r="I435" s="18" t="s">
        <v>54</v>
      </c>
      <c r="K435" s="5" t="s">
        <v>652</v>
      </c>
      <c r="L435" t="str">
        <f t="shared" si="7"/>
        <v>alexcarbo349@gmail.com</v>
      </c>
    </row>
    <row r="436" spans="1:12">
      <c r="A436" t="str" cm="1">
        <f t="array" ref="A436">_xlfn.LET(_xlpm.e,L436,
IF(_xlpm.e="","",
"DOC-"&amp;TEXT(ROW()-ROW(tblMaster[#Headers]),"00000")
))</f>
        <v>DOC-00435</v>
      </c>
      <c r="B436" s="49">
        <v>45953</v>
      </c>
      <c r="C436" s="42" t="s">
        <v>1910</v>
      </c>
      <c r="D436" s="41" t="s">
        <v>1911</v>
      </c>
      <c r="E436" s="38" t="s">
        <v>1912</v>
      </c>
      <c r="F436" s="18" t="s">
        <v>1913</v>
      </c>
      <c r="G436" s="41" t="s">
        <v>596</v>
      </c>
      <c r="H436" s="18" t="s">
        <v>17</v>
      </c>
      <c r="I436" s="18"/>
      <c r="K436" s="5" t="s">
        <v>652</v>
      </c>
      <c r="L436" t="str">
        <f t="shared" si="7"/>
        <v>steevesidney2@gmail.com</v>
      </c>
    </row>
    <row r="437" spans="1:12">
      <c r="A437" t="str" cm="1">
        <f t="array" ref="A437">_xlfn.LET(_xlpm.e,L437,
IF(_xlpm.e="","",
"DOC-"&amp;TEXT(ROW()-ROW(tblMaster[#Headers]),"00000")
))</f>
        <v>DOC-00436</v>
      </c>
      <c r="B437" s="49">
        <v>45953</v>
      </c>
      <c r="C437" s="42" t="s">
        <v>1914</v>
      </c>
      <c r="D437" s="41" t="s">
        <v>1915</v>
      </c>
      <c r="E437" s="38" t="s">
        <v>1916</v>
      </c>
      <c r="F437" s="18"/>
      <c r="G437" s="41" t="s">
        <v>410</v>
      </c>
      <c r="H437" s="18" t="s">
        <v>17</v>
      </c>
      <c r="I437" s="18" t="s">
        <v>54</v>
      </c>
      <c r="K437" s="5" t="s">
        <v>652</v>
      </c>
      <c r="L437" t="str">
        <f t="shared" si="7"/>
        <v>salem77estime@yahoo.com</v>
      </c>
    </row>
    <row r="438" spans="1:12">
      <c r="A438" t="str" cm="1">
        <f t="array" ref="A438">_xlfn.LET(_xlpm.e,L438,
IF(_xlpm.e="","",
"DOC-"&amp;TEXT(ROW()-ROW(tblMaster[#Headers]),"00000")
))</f>
        <v>DOC-00437</v>
      </c>
      <c r="B438" s="49">
        <v>45953</v>
      </c>
      <c r="C438" s="42" t="s">
        <v>1917</v>
      </c>
      <c r="D438" s="41" t="s">
        <v>196</v>
      </c>
      <c r="E438" s="38" t="s">
        <v>1918</v>
      </c>
      <c r="F438" s="18" t="s">
        <v>1919</v>
      </c>
      <c r="G438" s="41" t="s">
        <v>634</v>
      </c>
      <c r="H438" s="18" t="s">
        <v>17</v>
      </c>
      <c r="I438" s="18" t="s">
        <v>54</v>
      </c>
      <c r="J438" s="99" t="s">
        <v>23</v>
      </c>
      <c r="K438" s="5" t="s">
        <v>652</v>
      </c>
      <c r="L438" t="str">
        <f t="shared" si="7"/>
        <v>cassidymelendez413@gmail.com</v>
      </c>
    </row>
    <row r="439" spans="1:12">
      <c r="A439" t="str" cm="1">
        <f t="array" ref="A439">_xlfn.LET(_xlpm.e,L439,
IF(_xlpm.e="","",
"DOC-"&amp;TEXT(ROW()-ROW(tblMaster[#Headers]),"00000")
))</f>
        <v>DOC-00438</v>
      </c>
      <c r="B439" s="49">
        <v>45953</v>
      </c>
      <c r="C439" s="42" t="s">
        <v>1920</v>
      </c>
      <c r="D439" s="41" t="s">
        <v>1921</v>
      </c>
      <c r="E439" s="38" t="s">
        <v>1922</v>
      </c>
      <c r="F439" s="18" t="s">
        <v>1923</v>
      </c>
      <c r="G439" s="41" t="s">
        <v>1924</v>
      </c>
      <c r="H439" s="18" t="s">
        <v>17</v>
      </c>
      <c r="I439" s="18" t="s">
        <v>54</v>
      </c>
      <c r="K439" s="5" t="s">
        <v>652</v>
      </c>
      <c r="L439" t="str">
        <f t="shared" si="7"/>
        <v>bigtexas19999@gmail.com</v>
      </c>
    </row>
    <row r="440" spans="1:12">
      <c r="A440" t="str" cm="1">
        <f t="array" ref="A440">_xlfn.LET(_xlpm.e,L440,
IF(_xlpm.e="","",
"DOC-"&amp;TEXT(ROW()-ROW(tblMaster[#Headers]),"00000")
))</f>
        <v>DOC-00439</v>
      </c>
      <c r="B440" s="49">
        <v>45953</v>
      </c>
      <c r="C440" s="42" t="s">
        <v>1925</v>
      </c>
      <c r="D440" s="41" t="s">
        <v>1926</v>
      </c>
      <c r="E440" s="38" t="s">
        <v>1927</v>
      </c>
      <c r="F440" s="18" t="s">
        <v>1928</v>
      </c>
      <c r="G440" s="41" t="s">
        <v>1929</v>
      </c>
      <c r="H440" s="18" t="s">
        <v>17</v>
      </c>
      <c r="I440" s="18" t="s">
        <v>101</v>
      </c>
      <c r="K440" s="5" t="s">
        <v>652</v>
      </c>
      <c r="L440" t="str">
        <f t="shared" si="7"/>
        <v>tgalvin733@gmail.com</v>
      </c>
    </row>
    <row r="441" spans="1:12">
      <c r="A441" t="str" cm="1">
        <f t="array" ref="A441">_xlfn.LET(_xlpm.e,L441,
IF(_xlpm.e="","",
"DOC-"&amp;TEXT(ROW()-ROW(tblMaster[#Headers]),"00000")
))</f>
        <v>DOC-00440</v>
      </c>
      <c r="B441" s="49">
        <v>45953</v>
      </c>
      <c r="C441" s="42" t="s">
        <v>1930</v>
      </c>
      <c r="D441" s="41" t="s">
        <v>602</v>
      </c>
      <c r="E441" s="38" t="s">
        <v>1931</v>
      </c>
      <c r="F441" s="18" t="s">
        <v>1932</v>
      </c>
      <c r="G441" s="41" t="s">
        <v>1074</v>
      </c>
      <c r="H441" s="18" t="s">
        <v>17</v>
      </c>
      <c r="I441" s="18" t="s">
        <v>54</v>
      </c>
      <c r="K441" s="5" t="s">
        <v>652</v>
      </c>
      <c r="L441" t="str">
        <f t="shared" si="7"/>
        <v>jovenelpierre7@gmail.com</v>
      </c>
    </row>
    <row r="442" spans="1:12">
      <c r="A442" t="str" cm="1">
        <f t="array" ref="A442">_xlfn.LET(_xlpm.e,L442,
IF(_xlpm.e="","",
"DOC-"&amp;TEXT(ROW()-ROW(tblMaster[#Headers]),"00000")
))</f>
        <v>DOC-00441</v>
      </c>
      <c r="B442" s="49">
        <v>45953</v>
      </c>
      <c r="C442" s="42" t="s">
        <v>1933</v>
      </c>
      <c r="D442" s="41" t="s">
        <v>1934</v>
      </c>
      <c r="E442" s="38" t="s">
        <v>1935</v>
      </c>
      <c r="F442" s="18" t="s">
        <v>1936</v>
      </c>
      <c r="G442" s="41" t="s">
        <v>1937</v>
      </c>
      <c r="H442" s="18" t="s">
        <v>153</v>
      </c>
      <c r="I442" s="18" t="s">
        <v>101</v>
      </c>
      <c r="K442" s="5" t="s">
        <v>652</v>
      </c>
      <c r="L442" t="str">
        <f t="shared" si="7"/>
        <v>pedrorodriguez060200@gmail.com</v>
      </c>
    </row>
    <row r="443" spans="1:12">
      <c r="A443" t="str" cm="1">
        <f t="array" ref="A443">_xlfn.LET(_xlpm.e,L443,
IF(_xlpm.e="","",
"DOC-"&amp;TEXT(ROW()-ROW(tblMaster[#Headers]),"00000")
))</f>
        <v>DOC-00442</v>
      </c>
      <c r="B443" s="49">
        <v>45953</v>
      </c>
      <c r="C443" s="42" t="s">
        <v>1938</v>
      </c>
      <c r="D443" s="41" t="s">
        <v>1939</v>
      </c>
      <c r="E443" s="38" t="s">
        <v>1940</v>
      </c>
      <c r="F443" s="18"/>
      <c r="G443" s="41" t="s">
        <v>1941</v>
      </c>
      <c r="H443" s="18" t="s">
        <v>17</v>
      </c>
      <c r="I443" s="18" t="s">
        <v>101</v>
      </c>
      <c r="K443" s="5" t="s">
        <v>652</v>
      </c>
      <c r="L443" t="str">
        <f t="shared" si="7"/>
        <v>mattymac91@hotmail.com</v>
      </c>
    </row>
    <row r="444" spans="1:12">
      <c r="A444" t="str" cm="1">
        <f t="array" ref="A444">_xlfn.LET(_xlpm.e,L444,
IF(_xlpm.e="","",
"DOC-"&amp;TEXT(ROW()-ROW(tblMaster[#Headers]),"00000")
))</f>
        <v>DOC-00443</v>
      </c>
      <c r="B444" s="49">
        <v>45953</v>
      </c>
      <c r="C444" s="42" t="s">
        <v>1942</v>
      </c>
      <c r="D444" s="41" t="s">
        <v>1943</v>
      </c>
      <c r="E444" s="38" t="s">
        <v>1944</v>
      </c>
      <c r="F444" s="18" t="s">
        <v>1945</v>
      </c>
      <c r="G444" s="41" t="s">
        <v>1880</v>
      </c>
      <c r="H444" s="18" t="s">
        <v>60</v>
      </c>
      <c r="I444" s="18" t="s">
        <v>54</v>
      </c>
      <c r="J444" s="99" t="s">
        <v>23</v>
      </c>
      <c r="K444" s="5" t="s">
        <v>652</v>
      </c>
      <c r="L444" t="str">
        <f t="shared" si="7"/>
        <v>tatyanalopez20@icloud.com</v>
      </c>
    </row>
    <row r="445" spans="1:12">
      <c r="A445" t="str" cm="1">
        <f t="array" ref="A445">_xlfn.LET(_xlpm.e,L445,
IF(_xlpm.e="","",
"DOC-"&amp;TEXT(ROW()-ROW(tblMaster[#Headers]),"00000")
))</f>
        <v>DOC-00444</v>
      </c>
      <c r="B445" s="49">
        <v>45953</v>
      </c>
      <c r="C445" s="42" t="s">
        <v>1946</v>
      </c>
      <c r="D445" s="41" t="s">
        <v>1947</v>
      </c>
      <c r="E445" s="38" t="s">
        <v>1948</v>
      </c>
      <c r="F445" s="18" t="s">
        <v>1949</v>
      </c>
      <c r="G445" s="41" t="s">
        <v>142</v>
      </c>
      <c r="H445" s="18" t="s">
        <v>17</v>
      </c>
      <c r="I445" s="18" t="s">
        <v>54</v>
      </c>
      <c r="K445" s="5" t="s">
        <v>652</v>
      </c>
      <c r="L445" t="str">
        <f t="shared" si="7"/>
        <v>richm71197@gmail.com</v>
      </c>
    </row>
    <row r="446" spans="1:12">
      <c r="A446" t="str" cm="1">
        <f t="array" ref="A446">_xlfn.LET(_xlpm.e,L446,
IF(_xlpm.e="","",
"DOC-"&amp;TEXT(ROW()-ROW(tblMaster[#Headers]),"00000")
))</f>
        <v>DOC-00445</v>
      </c>
      <c r="B446" s="49">
        <v>45953</v>
      </c>
      <c r="C446" s="42" t="s">
        <v>1950</v>
      </c>
      <c r="D446" s="41" t="s">
        <v>1951</v>
      </c>
      <c r="E446" s="38" t="s">
        <v>1952</v>
      </c>
      <c r="F446" s="18" t="s">
        <v>1953</v>
      </c>
      <c r="G446" s="41" t="s">
        <v>1954</v>
      </c>
      <c r="H446" s="18" t="s">
        <v>17</v>
      </c>
      <c r="I446" s="18" t="s">
        <v>101</v>
      </c>
      <c r="K446" s="5" t="s">
        <v>652</v>
      </c>
      <c r="L446" t="str">
        <f t="shared" si="7"/>
        <v>pergress@yahoo.com</v>
      </c>
    </row>
    <row r="447" spans="1:12">
      <c r="A447" t="str" cm="1">
        <f t="array" ref="A447">_xlfn.LET(_xlpm.e,L447,
IF(_xlpm.e="","",
"DOC-"&amp;TEXT(ROW()-ROW(tblMaster[#Headers]),"00000")
))</f>
        <v>DOC-00446</v>
      </c>
      <c r="B447" s="49">
        <v>45953</v>
      </c>
      <c r="C447" s="42" t="s">
        <v>1955</v>
      </c>
      <c r="D447" s="41" t="s">
        <v>1956</v>
      </c>
      <c r="E447" s="38" t="s">
        <v>1957</v>
      </c>
      <c r="F447" s="18" t="s">
        <v>1958</v>
      </c>
      <c r="G447" s="41" t="s">
        <v>1387</v>
      </c>
      <c r="H447" s="18" t="s">
        <v>17</v>
      </c>
      <c r="I447" s="18" t="s">
        <v>112</v>
      </c>
      <c r="K447" s="5" t="s">
        <v>652</v>
      </c>
      <c r="L447" t="str">
        <f t="shared" si="7"/>
        <v>romeond7@gmail.com</v>
      </c>
    </row>
    <row r="448" spans="1:12">
      <c r="A448" t="str" cm="1">
        <f t="array" ref="A448">_xlfn.LET(_xlpm.e,L448,
IF(_xlpm.e="","",
"DOC-"&amp;TEXT(ROW()-ROW(tblMaster[#Headers]),"00000")
))</f>
        <v>DOC-00447</v>
      </c>
      <c r="B448" s="49">
        <v>45953</v>
      </c>
      <c r="C448" s="42" t="s">
        <v>1959</v>
      </c>
      <c r="D448" s="41" t="s">
        <v>1960</v>
      </c>
      <c r="E448" s="38" t="s">
        <v>1961</v>
      </c>
      <c r="F448" s="18" t="s">
        <v>1962</v>
      </c>
      <c r="G448" s="41" t="s">
        <v>1963</v>
      </c>
      <c r="H448" s="18" t="s">
        <v>496</v>
      </c>
      <c r="I448" s="18" t="s">
        <v>54</v>
      </c>
      <c r="K448" s="5" t="s">
        <v>652</v>
      </c>
      <c r="L448" t="str">
        <f t="shared" si="7"/>
        <v>flavorgh@yahoo.com</v>
      </c>
    </row>
    <row r="449" spans="1:12">
      <c r="A449" t="str" cm="1">
        <f t="array" ref="A449">_xlfn.LET(_xlpm.e,L449,
IF(_xlpm.e="","",
"DOC-"&amp;TEXT(ROW()-ROW(tblMaster[#Headers]),"00000")
))</f>
        <v>DOC-00448</v>
      </c>
      <c r="B449" s="49">
        <v>45953</v>
      </c>
      <c r="C449" s="42" t="s">
        <v>1964</v>
      </c>
      <c r="D449" s="41" t="s">
        <v>1965</v>
      </c>
      <c r="E449" s="38" t="s">
        <v>1966</v>
      </c>
      <c r="F449" s="18" t="s">
        <v>1967</v>
      </c>
      <c r="G449" s="41" t="s">
        <v>147</v>
      </c>
      <c r="H449" s="18" t="s">
        <v>17</v>
      </c>
      <c r="I449" s="18" t="s">
        <v>54</v>
      </c>
      <c r="K449" s="5" t="s">
        <v>652</v>
      </c>
      <c r="L449" t="str">
        <f t="shared" si="7"/>
        <v>v4769815@gmail.com</v>
      </c>
    </row>
    <row r="450" spans="1:12">
      <c r="A450" t="str" cm="1">
        <f t="array" ref="A450">_xlfn.LET(_xlpm.e,L450,
IF(_xlpm.e="","",
"DOC-"&amp;TEXT(ROW()-ROW(tblMaster[#Headers]),"00000")
))</f>
        <v>DOC-00449</v>
      </c>
      <c r="B450" s="49">
        <v>45953</v>
      </c>
      <c r="C450" s="42" t="s">
        <v>1968</v>
      </c>
      <c r="D450" s="41" t="s">
        <v>1969</v>
      </c>
      <c r="E450" s="38" t="s">
        <v>1970</v>
      </c>
      <c r="F450" s="18" t="s">
        <v>1971</v>
      </c>
      <c r="G450" s="41" t="s">
        <v>142</v>
      </c>
      <c r="H450" s="18" t="s">
        <v>17</v>
      </c>
      <c r="I450" s="18" t="s">
        <v>54</v>
      </c>
      <c r="J450" s="99" t="s">
        <v>23</v>
      </c>
      <c r="K450" s="5" t="s">
        <v>652</v>
      </c>
      <c r="L450" t="str">
        <f t="shared" si="7"/>
        <v>rosiebelizaire@yahoo.fr</v>
      </c>
    </row>
    <row r="451" spans="1:12">
      <c r="A451" t="str" cm="1">
        <f t="array" ref="A451">_xlfn.LET(_xlpm.e,L451,
IF(_xlpm.e="","",
"DOC-"&amp;TEXT(ROW()-ROW(tblMaster[#Headers]),"00000")
))</f>
        <v>DOC-00450</v>
      </c>
      <c r="B451" s="49">
        <v>45953</v>
      </c>
      <c r="C451" s="42" t="s">
        <v>1972</v>
      </c>
      <c r="D451" s="41" t="s">
        <v>1973</v>
      </c>
      <c r="E451" s="38" t="s">
        <v>1974</v>
      </c>
      <c r="F451" s="18" t="s">
        <v>332</v>
      </c>
      <c r="G451" s="41" t="s">
        <v>1975</v>
      </c>
      <c r="H451" s="18" t="s">
        <v>267</v>
      </c>
      <c r="I451" s="18" t="s">
        <v>54</v>
      </c>
      <c r="K451" s="5" t="s">
        <v>652</v>
      </c>
      <c r="L451" t="str">
        <f t="shared" si="7"/>
        <v>fadmabea@yahoo.co.uk</v>
      </c>
    </row>
    <row r="452" spans="1:12">
      <c r="A452" t="str" cm="1">
        <f t="array" ref="A452">_xlfn.LET(_xlpm.e,L452,
IF(_xlpm.e="","",
"DOC-"&amp;TEXT(ROW()-ROW(tblMaster[#Headers]),"00000")
))</f>
        <v>DOC-00451</v>
      </c>
      <c r="B452" s="49">
        <v>45953</v>
      </c>
      <c r="C452" s="42" t="s">
        <v>1976</v>
      </c>
      <c r="D452" s="41" t="s">
        <v>1977</v>
      </c>
      <c r="E452" s="38" t="s">
        <v>1978</v>
      </c>
      <c r="F452" s="18" t="s">
        <v>1979</v>
      </c>
      <c r="G452" s="41" t="s">
        <v>257</v>
      </c>
      <c r="H452" s="18" t="s">
        <v>17</v>
      </c>
      <c r="I452" s="18" t="s">
        <v>112</v>
      </c>
      <c r="K452" s="5" t="s">
        <v>652</v>
      </c>
      <c r="L452" t="str">
        <f t="shared" si="7"/>
        <v>andrianasilva14@gmail.com</v>
      </c>
    </row>
    <row r="453" spans="1:12">
      <c r="A453" t="str" cm="1">
        <f t="array" ref="A453">_xlfn.LET(_xlpm.e,L453,
IF(_xlpm.e="","",
"DOC-"&amp;TEXT(ROW()-ROW(tblMaster[#Headers]),"00000")
))</f>
        <v/>
      </c>
      <c r="B453" s="49">
        <v>45953</v>
      </c>
      <c r="C453" s="42" t="s">
        <v>1980</v>
      </c>
      <c r="D453" s="41" t="s">
        <v>1981</v>
      </c>
      <c r="E453" s="39"/>
      <c r="F453" s="18" t="s">
        <v>1982</v>
      </c>
      <c r="G453" s="41" t="s">
        <v>979</v>
      </c>
      <c r="H453" s="18" t="s">
        <v>17</v>
      </c>
      <c r="I453" s="18" t="s">
        <v>112</v>
      </c>
      <c r="K453" s="5" t="s">
        <v>652</v>
      </c>
      <c r="L453" t="str">
        <f t="shared" si="7"/>
        <v/>
      </c>
    </row>
    <row r="454" spans="1:12">
      <c r="A454" t="str" cm="1">
        <f t="array" ref="A454">_xlfn.LET(_xlpm.e,L454,
IF(_xlpm.e="","",
"DOC-"&amp;TEXT(ROW()-ROW(tblMaster[#Headers]),"00000")
))</f>
        <v>DOC-00453</v>
      </c>
      <c r="B454" s="49">
        <v>45953</v>
      </c>
      <c r="C454" s="42" t="s">
        <v>1983</v>
      </c>
      <c r="D454" s="41" t="s">
        <v>1984</v>
      </c>
      <c r="E454" s="38" t="s">
        <v>1985</v>
      </c>
      <c r="F454" s="18" t="s">
        <v>1986</v>
      </c>
      <c r="G454" s="41"/>
      <c r="H454" s="18"/>
      <c r="I454" s="18" t="s">
        <v>112</v>
      </c>
      <c r="K454" s="5" t="s">
        <v>652</v>
      </c>
      <c r="L454" t="str">
        <f t="shared" ref="L454:L517" si="8">_xlfn.LET(_xlpm.x,E454,
_xlpm.y,TRIM(CLEAN(SUBSTITUTE(_xlpm.x,CHAR(160)," "))),
LOWER(_xlpm.y))</f>
        <v>junasubba60@gmail.com</v>
      </c>
    </row>
    <row r="455" spans="1:12">
      <c r="A455" t="str" cm="1">
        <f t="array" ref="A455">_xlfn.LET(_xlpm.e,L455,
IF(_xlpm.e="","",
"DOC-"&amp;TEXT(ROW()-ROW(tblMaster[#Headers]),"00000")
))</f>
        <v>DOC-00454</v>
      </c>
      <c r="B455" s="49">
        <v>45953</v>
      </c>
      <c r="C455" s="42" t="s">
        <v>1987</v>
      </c>
      <c r="D455" s="41" t="s">
        <v>1988</v>
      </c>
      <c r="E455" s="38" t="s">
        <v>1989</v>
      </c>
      <c r="F455" s="18" t="s">
        <v>1990</v>
      </c>
      <c r="G455" s="41" t="s">
        <v>1991</v>
      </c>
      <c r="H455" s="18" t="s">
        <v>267</v>
      </c>
      <c r="I455" s="18" t="s">
        <v>112</v>
      </c>
      <c r="K455" s="5" t="s">
        <v>652</v>
      </c>
      <c r="L455" t="str">
        <f t="shared" si="8"/>
        <v>frankiec1124@gmail.com</v>
      </c>
    </row>
    <row r="456" spans="1:12">
      <c r="A456" t="str" cm="1">
        <f t="array" ref="A456">_xlfn.LET(_xlpm.e,L456,
IF(_xlpm.e="","",
"DOC-"&amp;TEXT(ROW()-ROW(tblMaster[#Headers]),"00000")
))</f>
        <v>DOC-00455</v>
      </c>
      <c r="B456" s="49">
        <v>45953</v>
      </c>
      <c r="C456" s="42" t="s">
        <v>1992</v>
      </c>
      <c r="D456" s="41" t="s">
        <v>1993</v>
      </c>
      <c r="E456" s="38" t="s">
        <v>1994</v>
      </c>
      <c r="F456" s="18" t="s">
        <v>1995</v>
      </c>
      <c r="G456" s="41" t="s">
        <v>1416</v>
      </c>
      <c r="H456" s="18" t="s">
        <v>17</v>
      </c>
      <c r="I456" s="18" t="s">
        <v>112</v>
      </c>
      <c r="K456" s="5" t="s">
        <v>652</v>
      </c>
      <c r="L456" t="str">
        <f t="shared" si="8"/>
        <v>gonzalezm0599@gmail.com</v>
      </c>
    </row>
    <row r="457" spans="1:12">
      <c r="A457" t="str" cm="1">
        <f t="array" ref="A457">_xlfn.LET(_xlpm.e,L457,
IF(_xlpm.e="","",
"DOC-"&amp;TEXT(ROW()-ROW(tblMaster[#Headers]),"00000")
))</f>
        <v>DOC-00456</v>
      </c>
      <c r="B457" s="49">
        <v>45953</v>
      </c>
      <c r="C457" s="42" t="s">
        <v>719</v>
      </c>
      <c r="D457" s="41" t="s">
        <v>1996</v>
      </c>
      <c r="E457" s="38" t="s">
        <v>1997</v>
      </c>
      <c r="F457" s="18" t="s">
        <v>1998</v>
      </c>
      <c r="G457" s="41" t="s">
        <v>596</v>
      </c>
      <c r="H457" s="18" t="s">
        <v>17</v>
      </c>
      <c r="I457" s="18" t="s">
        <v>101</v>
      </c>
      <c r="J457" s="99" t="s">
        <v>23</v>
      </c>
      <c r="K457" s="5" t="s">
        <v>652</v>
      </c>
      <c r="L457" t="str">
        <f t="shared" si="8"/>
        <v>vanessajeanlouis03@gmail.com</v>
      </c>
    </row>
    <row r="458" spans="1:12">
      <c r="A458" t="str" cm="1">
        <f t="array" ref="A458">_xlfn.LET(_xlpm.e,L458,
IF(_xlpm.e="","",
"DOC-"&amp;TEXT(ROW()-ROW(tblMaster[#Headers]),"00000")
))</f>
        <v>DOC-00457</v>
      </c>
      <c r="B458" s="49">
        <v>45953</v>
      </c>
      <c r="C458" s="42" t="s">
        <v>1999</v>
      </c>
      <c r="D458" s="41" t="s">
        <v>2000</v>
      </c>
      <c r="E458" s="38" t="s">
        <v>2001</v>
      </c>
      <c r="F458" s="18" t="s">
        <v>2002</v>
      </c>
      <c r="G458" s="41" t="s">
        <v>369</v>
      </c>
      <c r="H458" s="18" t="s">
        <v>17</v>
      </c>
      <c r="I458" s="18" t="s">
        <v>101</v>
      </c>
      <c r="K458" s="5" t="s">
        <v>652</v>
      </c>
      <c r="L458" t="str">
        <f t="shared" si="8"/>
        <v>cassiethc4201@gmail.com</v>
      </c>
    </row>
    <row r="459" spans="1:12">
      <c r="A459" t="str" cm="1">
        <f t="array" ref="A459">_xlfn.LET(_xlpm.e,L459,
IF(_xlpm.e="","",
"DOC-"&amp;TEXT(ROW()-ROW(tblMaster[#Headers]),"00000")
))</f>
        <v>DOC-00458</v>
      </c>
      <c r="B459" s="49">
        <v>45953</v>
      </c>
      <c r="C459" s="42" t="s">
        <v>2003</v>
      </c>
      <c r="D459" s="41" t="s">
        <v>2004</v>
      </c>
      <c r="E459" s="38" t="s">
        <v>2005</v>
      </c>
      <c r="F459" s="18" t="s">
        <v>2006</v>
      </c>
      <c r="G459" s="41" t="s">
        <v>257</v>
      </c>
      <c r="H459" s="18" t="s">
        <v>17</v>
      </c>
      <c r="I459" s="18" t="s">
        <v>112</v>
      </c>
      <c r="K459" s="5" t="s">
        <v>652</v>
      </c>
      <c r="L459" t="str">
        <f t="shared" si="8"/>
        <v>pricetikia@icloud.com</v>
      </c>
    </row>
    <row r="460" spans="1:12">
      <c r="A460" t="str" cm="1">
        <f t="array" ref="A460">_xlfn.LET(_xlpm.e,L460,
IF(_xlpm.e="","",
"DOC-"&amp;TEXT(ROW()-ROW(tblMaster[#Headers]),"00000")
))</f>
        <v>DOC-00459</v>
      </c>
      <c r="B460" s="49">
        <v>45953</v>
      </c>
      <c r="C460" s="42" t="s">
        <v>2007</v>
      </c>
      <c r="D460" s="41" t="s">
        <v>2008</v>
      </c>
      <c r="E460" s="38" t="s">
        <v>2009</v>
      </c>
      <c r="F460" s="18" t="s">
        <v>2010</v>
      </c>
      <c r="G460" s="41" t="s">
        <v>281</v>
      </c>
      <c r="H460" s="18" t="s">
        <v>17</v>
      </c>
      <c r="I460" s="18" t="s">
        <v>54</v>
      </c>
      <c r="K460" s="5" t="s">
        <v>652</v>
      </c>
      <c r="L460" t="str">
        <f t="shared" si="8"/>
        <v>jania85dye@yahoo.com</v>
      </c>
    </row>
    <row r="461" spans="1:12">
      <c r="A461" t="str" cm="1">
        <f t="array" ref="A461">_xlfn.LET(_xlpm.e,L461,
IF(_xlpm.e="","",
"DOC-"&amp;TEXT(ROW()-ROW(tblMaster[#Headers]),"00000")
))</f>
        <v>DOC-00460</v>
      </c>
      <c r="B461" s="49">
        <v>45953</v>
      </c>
      <c r="C461" s="42" t="s">
        <v>283</v>
      </c>
      <c r="D461" s="41" t="s">
        <v>2011</v>
      </c>
      <c r="E461" s="38" t="s">
        <v>2012</v>
      </c>
      <c r="F461" s="18" t="s">
        <v>2013</v>
      </c>
      <c r="G461" s="41" t="s">
        <v>74</v>
      </c>
      <c r="H461" s="18" t="s">
        <v>17</v>
      </c>
      <c r="I461" s="18" t="s">
        <v>112</v>
      </c>
      <c r="K461" s="5" t="s">
        <v>652</v>
      </c>
      <c r="L461" t="str">
        <f t="shared" si="8"/>
        <v>baystatebuc59@gmail.com</v>
      </c>
    </row>
    <row r="462" spans="1:12">
      <c r="A462" t="str" cm="1">
        <f t="array" ref="A462">_xlfn.LET(_xlpm.e,L462,
IF(_xlpm.e="","",
"DOC-"&amp;TEXT(ROW()-ROW(tblMaster[#Headers]),"00000")
))</f>
        <v>DOC-00461</v>
      </c>
      <c r="B462" s="49">
        <v>45953</v>
      </c>
      <c r="C462" s="42" t="s">
        <v>2014</v>
      </c>
      <c r="D462" s="41" t="s">
        <v>2015</v>
      </c>
      <c r="E462" s="38" t="s">
        <v>2016</v>
      </c>
      <c r="F462" s="18" t="s">
        <v>2017</v>
      </c>
      <c r="G462" s="41" t="s">
        <v>2018</v>
      </c>
      <c r="H462" s="18" t="s">
        <v>17</v>
      </c>
      <c r="I462" s="18" t="s">
        <v>54</v>
      </c>
      <c r="J462" s="99" t="s">
        <v>23</v>
      </c>
      <c r="K462" s="5" t="s">
        <v>652</v>
      </c>
      <c r="L462" t="str">
        <f t="shared" si="8"/>
        <v>matosysoo@gmail.com</v>
      </c>
    </row>
    <row r="463" spans="1:12">
      <c r="A463" t="str" cm="1">
        <f t="array" ref="A463">_xlfn.LET(_xlpm.e,L463,
IF(_xlpm.e="","",
"DOC-"&amp;TEXT(ROW()-ROW(tblMaster[#Headers]),"00000")
))</f>
        <v>DOC-00462</v>
      </c>
      <c r="B463" s="49">
        <v>45953</v>
      </c>
      <c r="C463" s="42" t="s">
        <v>2019</v>
      </c>
      <c r="D463" s="41" t="s">
        <v>2020</v>
      </c>
      <c r="E463" s="38" t="s">
        <v>2021</v>
      </c>
      <c r="F463" s="18" t="s">
        <v>2022</v>
      </c>
      <c r="G463" s="41" t="s">
        <v>997</v>
      </c>
      <c r="H463" s="18" t="s">
        <v>267</v>
      </c>
      <c r="I463" s="18" t="s">
        <v>54</v>
      </c>
      <c r="K463" s="5" t="s">
        <v>652</v>
      </c>
      <c r="L463" t="str">
        <f t="shared" si="8"/>
        <v>rasrudine@gmail.com</v>
      </c>
    </row>
    <row r="464" spans="1:12">
      <c r="A464" t="str" cm="1">
        <f t="array" ref="A464">_xlfn.LET(_xlpm.e,L464,
IF(_xlpm.e="","",
"DOC-"&amp;TEXT(ROW()-ROW(tblMaster[#Headers]),"00000")
))</f>
        <v>DOC-00463</v>
      </c>
      <c r="B464" s="49">
        <v>45953</v>
      </c>
      <c r="C464" s="42" t="s">
        <v>2023</v>
      </c>
      <c r="D464" s="41" t="s">
        <v>2024</v>
      </c>
      <c r="E464" s="38" t="s">
        <v>2025</v>
      </c>
      <c r="F464" s="18" t="s">
        <v>2026</v>
      </c>
      <c r="G464" s="41" t="s">
        <v>2027</v>
      </c>
      <c r="H464" s="18" t="s">
        <v>267</v>
      </c>
      <c r="I464" s="18" t="s">
        <v>112</v>
      </c>
      <c r="K464" s="5" t="s">
        <v>652</v>
      </c>
      <c r="L464" t="str">
        <f t="shared" si="8"/>
        <v>sw081598@gmail.com</v>
      </c>
    </row>
    <row r="465" spans="1:12">
      <c r="A465" t="str" cm="1">
        <f t="array" ref="A465">_xlfn.LET(_xlpm.e,L465,
IF(_xlpm.e="","",
"DOC-"&amp;TEXT(ROW()-ROW(tblMaster[#Headers]),"00000")
))</f>
        <v>DOC-00464</v>
      </c>
      <c r="B465" s="49">
        <v>45953</v>
      </c>
      <c r="C465" s="42" t="s">
        <v>2028</v>
      </c>
      <c r="D465" s="41" t="s">
        <v>2029</v>
      </c>
      <c r="E465" s="38" t="s">
        <v>2030</v>
      </c>
      <c r="F465" s="18" t="s">
        <v>2031</v>
      </c>
      <c r="G465" s="41" t="s">
        <v>2032</v>
      </c>
      <c r="H465" s="18" t="s">
        <v>60</v>
      </c>
      <c r="I465" s="18" t="s">
        <v>112</v>
      </c>
      <c r="K465" s="5" t="s">
        <v>652</v>
      </c>
      <c r="L465" t="str">
        <f t="shared" si="8"/>
        <v>stefan.duda2017@gmail.com</v>
      </c>
    </row>
    <row r="466" spans="1:12">
      <c r="A466" t="str" cm="1">
        <f t="array" ref="A466">_xlfn.LET(_xlpm.e,L466,
IF(_xlpm.e="","",
"DOC-"&amp;TEXT(ROW()-ROW(tblMaster[#Headers]),"00000")
))</f>
        <v>DOC-00465</v>
      </c>
      <c r="B466" s="49">
        <v>45953</v>
      </c>
      <c r="C466" s="42" t="s">
        <v>2033</v>
      </c>
      <c r="D466" s="41" t="s">
        <v>2034</v>
      </c>
      <c r="E466" s="38" t="s">
        <v>2035</v>
      </c>
      <c r="F466" s="18" t="s">
        <v>2036</v>
      </c>
      <c r="G466" s="41" t="s">
        <v>624</v>
      </c>
      <c r="H466" s="18" t="s">
        <v>17</v>
      </c>
      <c r="I466" s="18" t="s">
        <v>112</v>
      </c>
      <c r="K466" s="5" t="s">
        <v>652</v>
      </c>
      <c r="L466" t="str">
        <f t="shared" si="8"/>
        <v>delvinbrown781@yahoo.com</v>
      </c>
    </row>
    <row r="467" spans="1:12">
      <c r="A467" t="str" cm="1">
        <f t="array" ref="A467">_xlfn.LET(_xlpm.e,L467,
IF(_xlpm.e="","",
"DOC-"&amp;TEXT(ROW()-ROW(tblMaster[#Headers]),"00000")
))</f>
        <v>DOC-00466</v>
      </c>
      <c r="B467" s="49">
        <v>45953</v>
      </c>
      <c r="C467" s="42" t="s">
        <v>733</v>
      </c>
      <c r="D467" s="41" t="s">
        <v>2037</v>
      </c>
      <c r="E467" s="38" t="s">
        <v>2038</v>
      </c>
      <c r="F467" s="18" t="s">
        <v>2039</v>
      </c>
      <c r="G467" s="41" t="s">
        <v>1084</v>
      </c>
      <c r="H467" s="18" t="s">
        <v>17</v>
      </c>
      <c r="I467" s="18" t="s">
        <v>112</v>
      </c>
      <c r="K467" s="5" t="s">
        <v>652</v>
      </c>
      <c r="L467" t="str">
        <f t="shared" si="8"/>
        <v>dgomes1101@gmail.com</v>
      </c>
    </row>
    <row r="468" spans="1:12">
      <c r="A468" t="str" cm="1">
        <f t="array" ref="A468">_xlfn.LET(_xlpm.e,L468,
IF(_xlpm.e="","",
"DOC-"&amp;TEXT(ROW()-ROW(tblMaster[#Headers]),"00000")
))</f>
        <v>DOC-00467</v>
      </c>
      <c r="B468" s="49">
        <v>45953</v>
      </c>
      <c r="C468" s="42" t="s">
        <v>2040</v>
      </c>
      <c r="D468" s="41" t="s">
        <v>2041</v>
      </c>
      <c r="E468" s="38" t="s">
        <v>2042</v>
      </c>
      <c r="F468" s="18" t="s">
        <v>2043</v>
      </c>
      <c r="G468" s="41" t="s">
        <v>2044</v>
      </c>
      <c r="H468" s="18" t="s">
        <v>60</v>
      </c>
      <c r="I468" s="18" t="s">
        <v>112</v>
      </c>
      <c r="K468" s="5" t="s">
        <v>652</v>
      </c>
      <c r="L468" t="str">
        <f t="shared" si="8"/>
        <v>kazeemjimoh85@icloud.com</v>
      </c>
    </row>
    <row r="469" spans="1:12">
      <c r="A469" t="str" cm="1">
        <f t="array" ref="A469">_xlfn.LET(_xlpm.e,L469,
IF(_xlpm.e="","",
"DOC-"&amp;TEXT(ROW()-ROW(tblMaster[#Headers]),"00000")
))</f>
        <v>DOC-00468</v>
      </c>
      <c r="B469" s="49">
        <v>45953</v>
      </c>
      <c r="C469" s="42" t="s">
        <v>2045</v>
      </c>
      <c r="D469" s="41" t="s">
        <v>2046</v>
      </c>
      <c r="E469" s="38" t="s">
        <v>2047</v>
      </c>
      <c r="F469" s="18" t="s">
        <v>2048</v>
      </c>
      <c r="G469" s="41" t="s">
        <v>2049</v>
      </c>
      <c r="H469" s="18" t="s">
        <v>17</v>
      </c>
      <c r="I469" s="18" t="s">
        <v>54</v>
      </c>
      <c r="J469" s="99" t="s">
        <v>23</v>
      </c>
      <c r="K469" s="5" t="s">
        <v>652</v>
      </c>
      <c r="L469" t="str">
        <f t="shared" si="8"/>
        <v>darian.wood8@gmail.com</v>
      </c>
    </row>
    <row r="470" spans="1:12">
      <c r="A470" t="str" cm="1">
        <f t="array" ref="A470">_xlfn.LET(_xlpm.e,L470,
IF(_xlpm.e="","",
"DOC-"&amp;TEXT(ROW()-ROW(tblMaster[#Headers]),"00000")
))</f>
        <v>DOC-00469</v>
      </c>
      <c r="B470" s="49">
        <v>45953</v>
      </c>
      <c r="C470" s="42" t="s">
        <v>2050</v>
      </c>
      <c r="D470" s="41" t="s">
        <v>2051</v>
      </c>
      <c r="E470" s="38" t="s">
        <v>2052</v>
      </c>
      <c r="F470" s="18" t="s">
        <v>2053</v>
      </c>
      <c r="G470" s="41" t="s">
        <v>2054</v>
      </c>
      <c r="H470" s="18" t="s">
        <v>17</v>
      </c>
      <c r="I470" s="18" t="s">
        <v>54</v>
      </c>
      <c r="K470" s="5" t="s">
        <v>652</v>
      </c>
      <c r="L470" t="str">
        <f t="shared" si="8"/>
        <v>stanimir72@yahoo.com</v>
      </c>
    </row>
    <row r="471" spans="1:12">
      <c r="A471" t="str" cm="1">
        <f t="array" ref="A471">_xlfn.LET(_xlpm.e,L471,
IF(_xlpm.e="","",
"DOC-"&amp;TEXT(ROW()-ROW(tblMaster[#Headers]),"00000")
))</f>
        <v>DOC-00470</v>
      </c>
      <c r="B471" s="49">
        <v>45953</v>
      </c>
      <c r="C471" s="42" t="s">
        <v>2055</v>
      </c>
      <c r="D471" s="41" t="s">
        <v>2056</v>
      </c>
      <c r="E471" s="38" t="s">
        <v>2057</v>
      </c>
      <c r="F471" s="18" t="s">
        <v>2058</v>
      </c>
      <c r="G471" s="41" t="s">
        <v>1403</v>
      </c>
      <c r="H471" s="18" t="s">
        <v>60</v>
      </c>
      <c r="I471" s="18" t="s">
        <v>54</v>
      </c>
      <c r="K471" s="5" t="s">
        <v>652</v>
      </c>
      <c r="L471" t="str">
        <f t="shared" si="8"/>
        <v>bradf333@outlook.com</v>
      </c>
    </row>
    <row r="472" spans="1:12">
      <c r="A472" t="str" cm="1">
        <f t="array" ref="A472">_xlfn.LET(_xlpm.e,L472,
IF(_xlpm.e="","",
"DOC-"&amp;TEXT(ROW()-ROW(tblMaster[#Headers]),"00000")
))</f>
        <v>DOC-00471</v>
      </c>
      <c r="B472" s="49">
        <v>45953</v>
      </c>
      <c r="C472" s="42" t="s">
        <v>2059</v>
      </c>
      <c r="D472" s="41" t="s">
        <v>2060</v>
      </c>
      <c r="E472" s="38" t="s">
        <v>2061</v>
      </c>
      <c r="F472" s="18" t="s">
        <v>2062</v>
      </c>
      <c r="G472" s="41" t="s">
        <v>1100</v>
      </c>
      <c r="H472" s="18" t="s">
        <v>60</v>
      </c>
      <c r="I472" s="18" t="s">
        <v>54</v>
      </c>
      <c r="K472" s="5" t="s">
        <v>652</v>
      </c>
      <c r="L472" t="str">
        <f t="shared" si="8"/>
        <v>ksrollins515@gmail.com</v>
      </c>
    </row>
    <row r="473" spans="1:12">
      <c r="A473" t="str" cm="1">
        <f t="array" ref="A473">_xlfn.LET(_xlpm.e,L473,
IF(_xlpm.e="","",
"DOC-"&amp;TEXT(ROW()-ROW(tblMaster[#Headers]),"00000")
))</f>
        <v>DOC-00472</v>
      </c>
      <c r="B473" s="49">
        <v>45953</v>
      </c>
      <c r="C473" s="42" t="s">
        <v>2063</v>
      </c>
      <c r="D473" s="41" t="s">
        <v>2064</v>
      </c>
      <c r="E473" s="38" t="s">
        <v>2065</v>
      </c>
      <c r="F473" s="18" t="s">
        <v>2066</v>
      </c>
      <c r="G473" s="41" t="s">
        <v>2067</v>
      </c>
      <c r="H473" s="18" t="s">
        <v>17</v>
      </c>
      <c r="I473" s="18" t="s">
        <v>54</v>
      </c>
      <c r="K473" s="5" t="s">
        <v>652</v>
      </c>
      <c r="L473" t="str">
        <f t="shared" si="8"/>
        <v>lexik539@gmail.com</v>
      </c>
    </row>
    <row r="474" spans="1:12">
      <c r="A474" t="str" cm="1">
        <f t="array" ref="A474">_xlfn.LET(_xlpm.e,L474,
IF(_xlpm.e="","",
"DOC-"&amp;TEXT(ROW()-ROW(tblMaster[#Headers]),"00000")
))</f>
        <v>DOC-00473</v>
      </c>
      <c r="B474" s="49">
        <v>45953</v>
      </c>
      <c r="C474" s="42" t="s">
        <v>1721</v>
      </c>
      <c r="D474" s="41" t="s">
        <v>2068</v>
      </c>
      <c r="E474" s="38" t="s">
        <v>2069</v>
      </c>
      <c r="F474" s="18" t="s">
        <v>2070</v>
      </c>
      <c r="G474" s="41" t="s">
        <v>2071</v>
      </c>
      <c r="H474" s="18" t="s">
        <v>17</v>
      </c>
      <c r="I474" s="18" t="s">
        <v>54</v>
      </c>
      <c r="K474" s="5" t="s">
        <v>652</v>
      </c>
      <c r="L474" t="str">
        <f t="shared" si="8"/>
        <v>earslen1977@gmail.com</v>
      </c>
    </row>
    <row r="475" spans="1:12">
      <c r="A475" t="str" cm="1">
        <f t="array" ref="A475">_xlfn.LET(_xlpm.e,L475,
IF(_xlpm.e="","",
"DOC-"&amp;TEXT(ROW()-ROW(tblMaster[#Headers]),"00000")
))</f>
        <v>DOC-00474</v>
      </c>
      <c r="B475" s="49">
        <v>45953</v>
      </c>
      <c r="C475" s="42" t="s">
        <v>2072</v>
      </c>
      <c r="D475" s="41" t="s">
        <v>2073</v>
      </c>
      <c r="E475" s="38" t="s">
        <v>2074</v>
      </c>
      <c r="F475" s="18" t="s">
        <v>2075</v>
      </c>
      <c r="G475" s="41" t="s">
        <v>1361</v>
      </c>
      <c r="H475" s="18" t="s">
        <v>17</v>
      </c>
      <c r="I475" s="18" t="s">
        <v>54</v>
      </c>
      <c r="J475" s="99" t="s">
        <v>23</v>
      </c>
      <c r="K475" s="5" t="s">
        <v>652</v>
      </c>
      <c r="L475" t="str">
        <f t="shared" si="8"/>
        <v>lleger5650@gmail.com</v>
      </c>
    </row>
    <row r="476" spans="1:12">
      <c r="A476" t="str" cm="1">
        <f t="array" ref="A476">_xlfn.LET(_xlpm.e,L476,
IF(_xlpm.e="","",
"DOC-"&amp;TEXT(ROW()-ROW(tblMaster[#Headers]),"00000")
))</f>
        <v>DOC-00475</v>
      </c>
      <c r="B476" s="49">
        <v>45953</v>
      </c>
      <c r="C476" s="42" t="s">
        <v>2076</v>
      </c>
      <c r="D476" s="41" t="s">
        <v>2077</v>
      </c>
      <c r="E476" s="38" t="s">
        <v>2078</v>
      </c>
      <c r="F476" s="18" t="s">
        <v>2079</v>
      </c>
      <c r="G476" s="41" t="s">
        <v>2080</v>
      </c>
      <c r="H476" s="18" t="s">
        <v>17</v>
      </c>
      <c r="I476" s="18" t="s">
        <v>54</v>
      </c>
      <c r="K476" s="5" t="s">
        <v>652</v>
      </c>
      <c r="L476" t="str">
        <f t="shared" si="8"/>
        <v>midderice@gmail.com</v>
      </c>
    </row>
    <row r="477" spans="1:12">
      <c r="A477" t="str" cm="1">
        <f t="array" ref="A477">_xlfn.LET(_xlpm.e,L477,
IF(_xlpm.e="","",
"DOC-"&amp;TEXT(ROW()-ROW(tblMaster[#Headers]),"00000")
))</f>
        <v>DOC-00476</v>
      </c>
      <c r="B477" s="49">
        <v>45953</v>
      </c>
      <c r="C477" s="17" t="s">
        <v>55</v>
      </c>
      <c r="D477" s="18" t="s">
        <v>2081</v>
      </c>
      <c r="E477" s="123" t="s">
        <v>2082</v>
      </c>
      <c r="F477" s="18" t="s">
        <v>2083</v>
      </c>
      <c r="G477" s="18" t="s">
        <v>369</v>
      </c>
      <c r="H477" s="18" t="s">
        <v>17</v>
      </c>
      <c r="I477" s="18" t="s">
        <v>54</v>
      </c>
      <c r="J477" s="99" t="s">
        <v>560</v>
      </c>
      <c r="K477" s="5" t="s">
        <v>652</v>
      </c>
      <c r="L477" t="str">
        <f t="shared" si="8"/>
        <v>michael.ciaramicoli@aol.com</v>
      </c>
    </row>
    <row r="478" spans="1:12">
      <c r="A478" t="str" cm="1">
        <f t="array" ref="A478">_xlfn.LET(_xlpm.e,L478,
IF(_xlpm.e="","",
"DOC-"&amp;TEXT(ROW()-ROW(tblMaster[#Headers]),"00000")
))</f>
        <v>DOC-00477</v>
      </c>
      <c r="B478" s="49">
        <v>45953</v>
      </c>
      <c r="C478" s="42" t="s">
        <v>2084</v>
      </c>
      <c r="D478" s="41" t="s">
        <v>2085</v>
      </c>
      <c r="E478" s="38" t="s">
        <v>2086</v>
      </c>
      <c r="F478" s="18" t="s">
        <v>2087</v>
      </c>
      <c r="G478" s="41" t="s">
        <v>2088</v>
      </c>
      <c r="H478" s="18" t="s">
        <v>17</v>
      </c>
      <c r="I478" s="18"/>
      <c r="K478" s="5" t="s">
        <v>652</v>
      </c>
      <c r="L478" t="str">
        <f t="shared" si="8"/>
        <v>brace450@gmail.com</v>
      </c>
    </row>
    <row r="479" spans="1:12">
      <c r="A479" t="str" cm="1">
        <f t="array" ref="A479">_xlfn.LET(_xlpm.e,L479,
IF(_xlpm.e="","",
"DOC-"&amp;TEXT(ROW()-ROW(tblMaster[#Headers]),"00000")
))</f>
        <v>DOC-00478</v>
      </c>
      <c r="B479" s="49">
        <v>45953</v>
      </c>
      <c r="C479" s="42" t="s">
        <v>2089</v>
      </c>
      <c r="D479" s="41" t="s">
        <v>2090</v>
      </c>
      <c r="E479" s="38" t="s">
        <v>2091</v>
      </c>
      <c r="F479" s="18" t="s">
        <v>2092</v>
      </c>
      <c r="G479" s="41" t="s">
        <v>2093</v>
      </c>
      <c r="H479" s="18" t="s">
        <v>17</v>
      </c>
      <c r="I479" s="18" t="s">
        <v>112</v>
      </c>
      <c r="K479" s="5" t="s">
        <v>652</v>
      </c>
      <c r="L479" t="str">
        <f t="shared" si="8"/>
        <v>tprvn28@gmail.com</v>
      </c>
    </row>
    <row r="480" spans="1:12">
      <c r="A480" t="str" cm="1">
        <f t="array" ref="A480">_xlfn.LET(_xlpm.e,L480,
IF(_xlpm.e="","",
"DOC-"&amp;TEXT(ROW()-ROW(tblMaster[#Headers]),"00000")
))</f>
        <v>DOC-00479</v>
      </c>
      <c r="B480" s="49">
        <v>45953</v>
      </c>
      <c r="C480" s="42" t="s">
        <v>2094</v>
      </c>
      <c r="D480" s="41" t="s">
        <v>2095</v>
      </c>
      <c r="E480" s="38" t="s">
        <v>2096</v>
      </c>
      <c r="F480" s="18" t="s">
        <v>2097</v>
      </c>
      <c r="G480" s="41" t="s">
        <v>2098</v>
      </c>
      <c r="H480" s="18" t="s">
        <v>17</v>
      </c>
      <c r="I480" s="18" t="s">
        <v>101</v>
      </c>
      <c r="K480" s="5" t="s">
        <v>652</v>
      </c>
      <c r="L480" t="str">
        <f t="shared" si="8"/>
        <v>wilgardmonumar35@gmail.com</v>
      </c>
    </row>
    <row r="481" spans="1:12">
      <c r="A481" t="str" cm="1">
        <f t="array" ref="A481">_xlfn.LET(_xlpm.e,L481,
IF(_xlpm.e="","",
"DOC-"&amp;TEXT(ROW()-ROW(tblMaster[#Headers]),"00000")
))</f>
        <v>DOC-00480</v>
      </c>
      <c r="B481" s="49">
        <v>45953</v>
      </c>
      <c r="C481" s="42" t="s">
        <v>2099</v>
      </c>
      <c r="D481" s="41" t="s">
        <v>2100</v>
      </c>
      <c r="E481" s="38" t="s">
        <v>2101</v>
      </c>
      <c r="F481" s="18" t="s">
        <v>2102</v>
      </c>
      <c r="G481" s="41" t="s">
        <v>2103</v>
      </c>
      <c r="H481" s="18" t="s">
        <v>17</v>
      </c>
      <c r="I481" s="18"/>
      <c r="J481" s="99" t="s">
        <v>497</v>
      </c>
      <c r="K481" s="5" t="s">
        <v>652</v>
      </c>
      <c r="L481" t="str">
        <f t="shared" si="8"/>
        <v>ecodinikaeze@gmail.com</v>
      </c>
    </row>
    <row r="482" spans="1:12">
      <c r="A482" t="str" cm="1">
        <f t="array" ref="A482">_xlfn.LET(_xlpm.e,L482,
IF(_xlpm.e="","",
"DOC-"&amp;TEXT(ROW()-ROW(tblMaster[#Headers]),"00000")
))</f>
        <v>DOC-00481</v>
      </c>
      <c r="B482" s="49">
        <v>45953</v>
      </c>
      <c r="C482" s="42" t="s">
        <v>2104</v>
      </c>
      <c r="D482" s="41" t="s">
        <v>2105</v>
      </c>
      <c r="E482" s="38" t="s">
        <v>2106</v>
      </c>
      <c r="F482" s="18" t="s">
        <v>2107</v>
      </c>
      <c r="G482" s="41" t="s">
        <v>2080</v>
      </c>
      <c r="H482" s="18" t="s">
        <v>17</v>
      </c>
      <c r="I482" s="18" t="s">
        <v>101</v>
      </c>
      <c r="K482" s="5" t="s">
        <v>652</v>
      </c>
      <c r="L482" t="str">
        <f t="shared" si="8"/>
        <v>franklinefonanjei@gmail.com</v>
      </c>
    </row>
    <row r="483" spans="1:12">
      <c r="A483" t="str" cm="1">
        <f t="array" ref="A483">_xlfn.LET(_xlpm.e,L483,
IF(_xlpm.e="","",
"DOC-"&amp;TEXT(ROW()-ROW(tblMaster[#Headers]),"00000")
))</f>
        <v>DOC-00482</v>
      </c>
      <c r="B483" s="49">
        <v>45953</v>
      </c>
      <c r="C483" s="42" t="s">
        <v>2063</v>
      </c>
      <c r="D483" s="41" t="s">
        <v>2108</v>
      </c>
      <c r="E483" s="38" t="s">
        <v>2109</v>
      </c>
      <c r="F483" s="18" t="s">
        <v>2110</v>
      </c>
      <c r="G483" s="41" t="s">
        <v>2111</v>
      </c>
      <c r="H483" s="18" t="s">
        <v>17</v>
      </c>
      <c r="I483" s="18" t="s">
        <v>112</v>
      </c>
      <c r="K483" s="5" t="s">
        <v>652</v>
      </c>
      <c r="L483" t="str">
        <f t="shared" si="8"/>
        <v>lexik539@gmail.com</v>
      </c>
    </row>
    <row r="484" spans="1:12">
      <c r="A484" t="str" cm="1">
        <f t="array" ref="A484">_xlfn.LET(_xlpm.e,L484,
IF(_xlpm.e="","",
"DOC-"&amp;TEXT(ROW()-ROW(tblMaster[#Headers]),"00000")
))</f>
        <v>DOC-00483</v>
      </c>
      <c r="B484" s="49">
        <v>45953</v>
      </c>
      <c r="C484" s="42" t="s">
        <v>2112</v>
      </c>
      <c r="D484" s="41" t="s">
        <v>2113</v>
      </c>
      <c r="E484" s="38" t="s">
        <v>2114</v>
      </c>
      <c r="F484" s="18" t="s">
        <v>2115</v>
      </c>
      <c r="G484" s="41" t="s">
        <v>1472</v>
      </c>
      <c r="H484" s="18" t="s">
        <v>17</v>
      </c>
      <c r="I484" s="18" t="s">
        <v>112</v>
      </c>
      <c r="K484" s="5" t="s">
        <v>652</v>
      </c>
      <c r="L484" t="str">
        <f t="shared" si="8"/>
        <v>zacharyrogers278@gmail.com</v>
      </c>
    </row>
    <row r="485" spans="1:12">
      <c r="A485" t="str" cm="1">
        <f t="array" ref="A485">_xlfn.LET(_xlpm.e,L485,
IF(_xlpm.e="","",
"DOC-"&amp;TEXT(ROW()-ROW(tblMaster[#Headers]),"00000")
))</f>
        <v>DOC-00484</v>
      </c>
      <c r="B485" s="49">
        <v>45953</v>
      </c>
      <c r="C485" s="17" t="s">
        <v>2116</v>
      </c>
      <c r="D485" s="18" t="s">
        <v>2117</v>
      </c>
      <c r="E485" s="123" t="s">
        <v>2118</v>
      </c>
      <c r="F485" s="18" t="s">
        <v>2119</v>
      </c>
      <c r="G485" s="18" t="s">
        <v>666</v>
      </c>
      <c r="H485" s="18" t="s">
        <v>17</v>
      </c>
      <c r="I485" s="18" t="s">
        <v>54</v>
      </c>
      <c r="J485" s="99" t="s">
        <v>560</v>
      </c>
      <c r="K485" s="5" t="s">
        <v>652</v>
      </c>
      <c r="L485" t="str">
        <f t="shared" si="8"/>
        <v>sdurst810@gmail.com</v>
      </c>
    </row>
    <row r="486" spans="1:12">
      <c r="A486" t="str" cm="1">
        <f t="array" ref="A486">_xlfn.LET(_xlpm.e,L486,
IF(_xlpm.e="","",
"DOC-"&amp;TEXT(ROW()-ROW(tblMaster[#Headers]),"00000")
))</f>
        <v>DOC-00485</v>
      </c>
      <c r="B486" s="49">
        <v>45953</v>
      </c>
      <c r="C486" s="42" t="s">
        <v>2120</v>
      </c>
      <c r="D486" s="41" t="s">
        <v>2121</v>
      </c>
      <c r="E486" s="38" t="s">
        <v>2122</v>
      </c>
      <c r="F486" s="18" t="s">
        <v>2123</v>
      </c>
      <c r="G486" s="41" t="s">
        <v>2124</v>
      </c>
      <c r="H486" s="18" t="s">
        <v>267</v>
      </c>
      <c r="I486" s="18" t="s">
        <v>54</v>
      </c>
      <c r="K486" s="5" t="s">
        <v>652</v>
      </c>
      <c r="L486" t="str">
        <f t="shared" si="8"/>
        <v>ybultes@gmail.com</v>
      </c>
    </row>
    <row r="487" spans="1:12">
      <c r="A487" t="str" cm="1">
        <f t="array" ref="A487">_xlfn.LET(_xlpm.e,L487,
IF(_xlpm.e="","",
"DOC-"&amp;TEXT(ROW()-ROW(tblMaster[#Headers]),"00000")
))</f>
        <v>DOC-00486</v>
      </c>
      <c r="B487" s="49">
        <v>45953</v>
      </c>
      <c r="C487" s="42" t="s">
        <v>2125</v>
      </c>
      <c r="D487" s="41" t="s">
        <v>2126</v>
      </c>
      <c r="E487" s="38" t="s">
        <v>2127</v>
      </c>
      <c r="F487" s="18" t="s">
        <v>2128</v>
      </c>
      <c r="G487" s="41" t="s">
        <v>2088</v>
      </c>
      <c r="H487" s="18" t="s">
        <v>17</v>
      </c>
      <c r="I487" s="18" t="s">
        <v>54</v>
      </c>
      <c r="J487" s="99" t="s">
        <v>23</v>
      </c>
      <c r="K487" s="5" t="s">
        <v>652</v>
      </c>
      <c r="L487" t="str">
        <f t="shared" si="8"/>
        <v>yadriel.dj@gmail.com</v>
      </c>
    </row>
    <row r="488" spans="1:12">
      <c r="A488" t="str" cm="1">
        <f t="array" ref="A488">_xlfn.LET(_xlpm.e,L488,
IF(_xlpm.e="","",
"DOC-"&amp;TEXT(ROW()-ROW(tblMaster[#Headers]),"00000")
))</f>
        <v>DOC-00487</v>
      </c>
      <c r="B488" s="49">
        <v>45953</v>
      </c>
      <c r="C488" s="42" t="s">
        <v>2129</v>
      </c>
      <c r="D488" s="41" t="s">
        <v>2130</v>
      </c>
      <c r="E488" s="38" t="s">
        <v>2131</v>
      </c>
      <c r="F488" s="18" t="s">
        <v>2132</v>
      </c>
      <c r="G488" s="41" t="s">
        <v>2133</v>
      </c>
      <c r="H488" s="18" t="s">
        <v>17</v>
      </c>
      <c r="I488" s="18" t="s">
        <v>54</v>
      </c>
      <c r="K488" s="5" t="s">
        <v>652</v>
      </c>
      <c r="L488" t="str">
        <f t="shared" si="8"/>
        <v>kervensmeritus09@gmail.com</v>
      </c>
    </row>
    <row r="489" spans="1:12">
      <c r="A489" t="str" cm="1">
        <f t="array" ref="A489">_xlfn.LET(_xlpm.e,L489,
IF(_xlpm.e="","",
"DOC-"&amp;TEXT(ROW()-ROW(tblMaster[#Headers]),"00000")
))</f>
        <v>DOC-00488</v>
      </c>
      <c r="B489" s="49">
        <v>45953</v>
      </c>
      <c r="C489" s="42" t="s">
        <v>2134</v>
      </c>
      <c r="D489" s="41" t="s">
        <v>2135</v>
      </c>
      <c r="E489" s="38" t="s">
        <v>2136</v>
      </c>
      <c r="F489" s="18" t="s">
        <v>2137</v>
      </c>
      <c r="G489" s="41" t="s">
        <v>2138</v>
      </c>
      <c r="H489" s="18" t="s">
        <v>153</v>
      </c>
      <c r="I489" s="18" t="s">
        <v>54</v>
      </c>
      <c r="K489" s="5" t="s">
        <v>652</v>
      </c>
      <c r="L489" t="str">
        <f t="shared" si="8"/>
        <v>rasheedwunmi@gmail.com</v>
      </c>
    </row>
    <row r="490" spans="1:12">
      <c r="A490" t="str" cm="1">
        <f t="array" ref="A490">_xlfn.LET(_xlpm.e,L490,
IF(_xlpm.e="","",
"DOC-"&amp;TEXT(ROW()-ROW(tblMaster[#Headers]),"00000")
))</f>
        <v>DOC-00489</v>
      </c>
      <c r="B490" s="49">
        <v>45953</v>
      </c>
      <c r="C490" s="42" t="s">
        <v>2139</v>
      </c>
      <c r="D490" s="41" t="s">
        <v>2140</v>
      </c>
      <c r="E490" s="38" t="s">
        <v>2141</v>
      </c>
      <c r="F490" s="18" t="s">
        <v>2142</v>
      </c>
      <c r="G490" s="41" t="s">
        <v>79</v>
      </c>
      <c r="H490" s="18" t="s">
        <v>17</v>
      </c>
      <c r="I490" s="18"/>
      <c r="J490" s="99" t="s">
        <v>194</v>
      </c>
      <c r="K490" s="5" t="s">
        <v>652</v>
      </c>
      <c r="L490" t="str">
        <f t="shared" si="8"/>
        <v>ijonbiba@outlook.com</v>
      </c>
    </row>
    <row r="491" spans="1:12">
      <c r="A491" t="str" cm="1">
        <f t="array" ref="A491">_xlfn.LET(_xlpm.e,L491,
IF(_xlpm.e="","",
"DOC-"&amp;TEXT(ROW()-ROW(tblMaster[#Headers]),"00000")
))</f>
        <v>DOC-00490</v>
      </c>
      <c r="B491" s="49">
        <v>45953</v>
      </c>
      <c r="C491" s="42" t="s">
        <v>2143</v>
      </c>
      <c r="D491" s="41" t="s">
        <v>2144</v>
      </c>
      <c r="E491" s="38" t="s">
        <v>2145</v>
      </c>
      <c r="F491" s="18" t="s">
        <v>2146</v>
      </c>
      <c r="G491" s="41" t="s">
        <v>2147</v>
      </c>
      <c r="H491" s="18" t="s">
        <v>17</v>
      </c>
      <c r="I491" s="18" t="s">
        <v>101</v>
      </c>
      <c r="J491" s="99" t="s">
        <v>497</v>
      </c>
      <c r="K491" s="5" t="s">
        <v>652</v>
      </c>
      <c r="L491" t="str">
        <f t="shared" si="8"/>
        <v>zander1812@yahoo.com</v>
      </c>
    </row>
    <row r="492" spans="1:12">
      <c r="A492" t="str" cm="1">
        <f t="array" ref="A492">_xlfn.LET(_xlpm.e,L492,
IF(_xlpm.e="","",
"DOC-"&amp;TEXT(ROW()-ROW(tblMaster[#Headers]),"00000")
))</f>
        <v>DOC-00491</v>
      </c>
      <c r="B492" s="49">
        <v>45953</v>
      </c>
      <c r="C492" s="42" t="s">
        <v>2148</v>
      </c>
      <c r="D492" s="41" t="s">
        <v>2149</v>
      </c>
      <c r="E492" s="38" t="s">
        <v>2150</v>
      </c>
      <c r="F492" s="18" t="s">
        <v>2151</v>
      </c>
      <c r="G492" s="41" t="s">
        <v>596</v>
      </c>
      <c r="H492" s="18" t="s">
        <v>17</v>
      </c>
      <c r="I492" s="18" t="s">
        <v>112</v>
      </c>
      <c r="J492" s="99" t="s">
        <v>118</v>
      </c>
      <c r="K492" s="5" t="s">
        <v>652</v>
      </c>
      <c r="L492" t="str">
        <f t="shared" si="8"/>
        <v>alissaraalexis9@gmail.com</v>
      </c>
    </row>
    <row r="493" spans="1:12">
      <c r="A493" t="str" cm="1">
        <f t="array" ref="A493">_xlfn.LET(_xlpm.e,L493,
IF(_xlpm.e="","",
"DOC-"&amp;TEXT(ROW()-ROW(tblMaster[#Headers]),"00000")
))</f>
        <v>DOC-00492</v>
      </c>
      <c r="B493" s="49">
        <v>45953</v>
      </c>
      <c r="C493" s="42" t="s">
        <v>2152</v>
      </c>
      <c r="D493" s="41" t="s">
        <v>2153</v>
      </c>
      <c r="E493" s="38" t="s">
        <v>2154</v>
      </c>
      <c r="F493" s="18" t="s">
        <v>2155</v>
      </c>
      <c r="G493" s="41" t="s">
        <v>837</v>
      </c>
      <c r="H493" s="18" t="s">
        <v>17</v>
      </c>
      <c r="I493" s="18" t="s">
        <v>101</v>
      </c>
      <c r="K493" s="5" t="s">
        <v>652</v>
      </c>
      <c r="L493" t="str">
        <f t="shared" si="8"/>
        <v>jarviskoundong@yahoo.com</v>
      </c>
    </row>
    <row r="494" spans="1:12">
      <c r="A494" t="str" cm="1">
        <f t="array" ref="A494">_xlfn.LET(_xlpm.e,L494,
IF(_xlpm.e="","",
"DOC-"&amp;TEXT(ROW()-ROW(tblMaster[#Headers]),"00000")
))</f>
        <v>DOC-00493</v>
      </c>
      <c r="B494" s="49">
        <v>45953</v>
      </c>
      <c r="C494" s="42" t="s">
        <v>2156</v>
      </c>
      <c r="D494" s="41" t="s">
        <v>2157</v>
      </c>
      <c r="E494" s="38" t="s">
        <v>2158</v>
      </c>
      <c r="F494" s="18" t="s">
        <v>2159</v>
      </c>
      <c r="G494" s="41" t="s">
        <v>1079</v>
      </c>
      <c r="H494" s="18" t="s">
        <v>17</v>
      </c>
      <c r="I494" s="18" t="s">
        <v>101</v>
      </c>
      <c r="K494" s="5" t="s">
        <v>652</v>
      </c>
      <c r="L494" t="str">
        <f t="shared" si="8"/>
        <v>neivalopes4@gmail.com</v>
      </c>
    </row>
    <row r="495" spans="1:12">
      <c r="A495" t="str" cm="1">
        <f t="array" ref="A495">_xlfn.LET(_xlpm.e,L495,
IF(_xlpm.e="","",
"DOC-"&amp;TEXT(ROW()-ROW(tblMaster[#Headers]),"00000")
))</f>
        <v>DOC-00494</v>
      </c>
      <c r="B495" s="49">
        <v>45953</v>
      </c>
      <c r="C495" s="42" t="s">
        <v>2160</v>
      </c>
      <c r="D495" s="41" t="s">
        <v>2161</v>
      </c>
      <c r="E495" s="38" t="s">
        <v>2162</v>
      </c>
      <c r="F495" s="18" t="s">
        <v>2163</v>
      </c>
      <c r="G495" s="41" t="s">
        <v>2164</v>
      </c>
      <c r="H495" s="18" t="s">
        <v>17</v>
      </c>
      <c r="I495" s="18" t="s">
        <v>112</v>
      </c>
      <c r="J495" s="99" t="s">
        <v>23</v>
      </c>
      <c r="K495" s="5" t="s">
        <v>652</v>
      </c>
      <c r="L495" t="str">
        <f t="shared" si="8"/>
        <v>sullivanc0204@gmail.com</v>
      </c>
    </row>
    <row r="496" spans="1:12">
      <c r="A496" t="str" cm="1">
        <f t="array" ref="A496">_xlfn.LET(_xlpm.e,L496,
IF(_xlpm.e="","",
"DOC-"&amp;TEXT(ROW()-ROW(tblMaster[#Headers]),"00000")
))</f>
        <v>DOC-00495</v>
      </c>
      <c r="B496" s="49">
        <v>45953</v>
      </c>
      <c r="C496" s="42" t="s">
        <v>2165</v>
      </c>
      <c r="D496" s="41" t="s">
        <v>2166</v>
      </c>
      <c r="E496" s="38" t="s">
        <v>2167</v>
      </c>
      <c r="F496" s="18" t="s">
        <v>2168</v>
      </c>
      <c r="G496" s="41" t="s">
        <v>837</v>
      </c>
      <c r="H496" s="18" t="s">
        <v>17</v>
      </c>
      <c r="I496" s="18" t="s">
        <v>54</v>
      </c>
      <c r="J496" s="99" t="s">
        <v>497</v>
      </c>
      <c r="K496" s="5" t="s">
        <v>652</v>
      </c>
      <c r="L496" t="str">
        <f t="shared" si="8"/>
        <v>kayr217@gmail.com</v>
      </c>
    </row>
    <row r="497" spans="1:12">
      <c r="A497" t="str" cm="1">
        <f t="array" ref="A497">_xlfn.LET(_xlpm.e,L497,
IF(_xlpm.e="","",
"DOC-"&amp;TEXT(ROW()-ROW(tblMaster[#Headers]),"00000")
))</f>
        <v>DOC-00496</v>
      </c>
      <c r="B497" s="49">
        <v>45953</v>
      </c>
      <c r="C497" s="42" t="s">
        <v>2169</v>
      </c>
      <c r="D497" s="41" t="s">
        <v>2170</v>
      </c>
      <c r="E497" s="38" t="s">
        <v>2171</v>
      </c>
      <c r="F497" s="18" t="s">
        <v>2172</v>
      </c>
      <c r="G497" s="41" t="s">
        <v>596</v>
      </c>
      <c r="H497" s="18" t="s">
        <v>17</v>
      </c>
      <c r="I497" s="18" t="s">
        <v>54</v>
      </c>
      <c r="K497" s="5" t="s">
        <v>652</v>
      </c>
      <c r="L497" t="str">
        <f t="shared" si="8"/>
        <v>mengual1280@yahoo.fr</v>
      </c>
    </row>
    <row r="498" spans="1:12">
      <c r="A498" t="str" cm="1">
        <f t="array" ref="A498">_xlfn.LET(_xlpm.e,L498,
IF(_xlpm.e="","",
"DOC-"&amp;TEXT(ROW()-ROW(tblMaster[#Headers]),"00000")
))</f>
        <v>DOC-00497</v>
      </c>
      <c r="B498" s="49">
        <v>45953</v>
      </c>
      <c r="C498" s="42" t="s">
        <v>535</v>
      </c>
      <c r="D498" s="41" t="s">
        <v>2173</v>
      </c>
      <c r="E498" s="38" t="s">
        <v>2174</v>
      </c>
      <c r="F498" s="18" t="s">
        <v>2175</v>
      </c>
      <c r="G498" s="41"/>
      <c r="H498" s="18"/>
      <c r="I498" s="18" t="s">
        <v>54</v>
      </c>
      <c r="K498" s="5" t="s">
        <v>652</v>
      </c>
      <c r="L498" t="str">
        <f t="shared" si="8"/>
        <v>cheahangc@gmail.com</v>
      </c>
    </row>
    <row r="499" spans="1:12">
      <c r="A499" t="str" cm="1">
        <f t="array" ref="A499">_xlfn.LET(_xlpm.e,L499,
IF(_xlpm.e="","",
"DOC-"&amp;TEXT(ROW()-ROW(tblMaster[#Headers]),"00000")
))</f>
        <v>DOC-00498</v>
      </c>
      <c r="B499" s="49">
        <v>45953</v>
      </c>
      <c r="C499" s="42" t="s">
        <v>2176</v>
      </c>
      <c r="D499" s="41" t="s">
        <v>2177</v>
      </c>
      <c r="E499" s="38" t="s">
        <v>2178</v>
      </c>
      <c r="F499" s="18" t="s">
        <v>2179</v>
      </c>
      <c r="G499" s="41" t="s">
        <v>33</v>
      </c>
      <c r="H499" s="18" t="s">
        <v>17</v>
      </c>
      <c r="I499" s="18" t="s">
        <v>54</v>
      </c>
      <c r="K499" s="5" t="s">
        <v>652</v>
      </c>
      <c r="L499" t="str">
        <f t="shared" si="8"/>
        <v>blaquedhn@yahoo.com</v>
      </c>
    </row>
    <row r="500" spans="1:12">
      <c r="A500" t="str" cm="1">
        <f t="array" ref="A500">_xlfn.LET(_xlpm.e,L500,
IF(_xlpm.e="","",
"DOC-"&amp;TEXT(ROW()-ROW(tblMaster[#Headers]),"00000")
))</f>
        <v>DOC-00499</v>
      </c>
      <c r="B500" s="49">
        <v>45953</v>
      </c>
      <c r="C500" s="42" t="s">
        <v>2180</v>
      </c>
      <c r="D500" s="41" t="s">
        <v>2181</v>
      </c>
      <c r="E500" s="38" t="s">
        <v>2182</v>
      </c>
      <c r="F500" s="18" t="s">
        <v>2183</v>
      </c>
      <c r="G500" s="41" t="s">
        <v>2184</v>
      </c>
      <c r="H500" s="18" t="s">
        <v>496</v>
      </c>
      <c r="I500" s="18" t="s">
        <v>54</v>
      </c>
      <c r="K500" s="5" t="s">
        <v>652</v>
      </c>
      <c r="L500" t="str">
        <f t="shared" si="8"/>
        <v>ecenat2011@yahoo.com</v>
      </c>
    </row>
    <row r="501" spans="1:12">
      <c r="A501" t="str" cm="1">
        <f t="array" ref="A501">_xlfn.LET(_xlpm.e,L501,
IF(_xlpm.e="","",
"DOC-"&amp;TEXT(ROW()-ROW(tblMaster[#Headers]),"00000")
))</f>
        <v>DOC-00500</v>
      </c>
      <c r="B501" s="49">
        <v>45953</v>
      </c>
      <c r="C501" s="42" t="s">
        <v>1739</v>
      </c>
      <c r="D501" s="41" t="s">
        <v>2185</v>
      </c>
      <c r="E501" s="38" t="s">
        <v>2186</v>
      </c>
      <c r="F501" s="18" t="s">
        <v>2187</v>
      </c>
      <c r="G501" s="41" t="s">
        <v>79</v>
      </c>
      <c r="H501" s="18" t="s">
        <v>17</v>
      </c>
      <c r="I501" s="18" t="s">
        <v>54</v>
      </c>
      <c r="J501" s="99" t="s">
        <v>23</v>
      </c>
      <c r="K501" s="5" t="s">
        <v>652</v>
      </c>
      <c r="L501" t="str">
        <f t="shared" si="8"/>
        <v>adomako_george@yahoo.com</v>
      </c>
    </row>
    <row r="502" spans="1:12">
      <c r="A502" t="str" cm="1">
        <f t="array" ref="A502">_xlfn.LET(_xlpm.e,L502,
IF(_xlpm.e="","",
"DOC-"&amp;TEXT(ROW()-ROW(tblMaster[#Headers]),"00000")
))</f>
        <v>DOC-00501</v>
      </c>
      <c r="B502" s="49">
        <v>45953</v>
      </c>
      <c r="C502" s="42" t="s">
        <v>1946</v>
      </c>
      <c r="D502" s="41" t="s">
        <v>2188</v>
      </c>
      <c r="E502" s="38" t="s">
        <v>2189</v>
      </c>
      <c r="F502" s="18" t="s">
        <v>2190</v>
      </c>
      <c r="G502" s="41" t="s">
        <v>276</v>
      </c>
      <c r="H502" s="18" t="s">
        <v>17</v>
      </c>
      <c r="I502" s="18" t="s">
        <v>54</v>
      </c>
      <c r="K502" s="5" t="s">
        <v>652</v>
      </c>
      <c r="L502" t="str">
        <f t="shared" si="8"/>
        <v>wyman.rich@gmail.com</v>
      </c>
    </row>
    <row r="503" spans="1:12">
      <c r="A503" t="str" cm="1">
        <f t="array" ref="A503">_xlfn.LET(_xlpm.e,L503,
IF(_xlpm.e="","",
"DOC-"&amp;TEXT(ROW()-ROW(tblMaster[#Headers]),"00000")
))</f>
        <v>DOC-00502</v>
      </c>
      <c r="B503" s="49">
        <v>45953</v>
      </c>
      <c r="C503" s="42" t="s">
        <v>2191</v>
      </c>
      <c r="D503" s="41" t="s">
        <v>2192</v>
      </c>
      <c r="E503" s="38" t="s">
        <v>2193</v>
      </c>
      <c r="F503" s="18" t="s">
        <v>2194</v>
      </c>
      <c r="G503" s="41" t="s">
        <v>419</v>
      </c>
      <c r="H503" s="18" t="s">
        <v>17</v>
      </c>
      <c r="I503" s="18" t="s">
        <v>101</v>
      </c>
      <c r="K503" s="5" t="s">
        <v>652</v>
      </c>
      <c r="L503" t="str">
        <f t="shared" si="8"/>
        <v>ceddycuz@gmail.com</v>
      </c>
    </row>
    <row r="504" spans="1:12">
      <c r="A504" t="str" cm="1">
        <f t="array" ref="A504">_xlfn.LET(_xlpm.e,L504,
IF(_xlpm.e="","",
"DOC-"&amp;TEXT(ROW()-ROW(tblMaster[#Headers]),"00000")
))</f>
        <v>DOC-00503</v>
      </c>
      <c r="B504" s="49">
        <v>45953</v>
      </c>
      <c r="C504" s="42" t="s">
        <v>2195</v>
      </c>
      <c r="D504" s="41" t="s">
        <v>2196</v>
      </c>
      <c r="E504" s="38" t="s">
        <v>2197</v>
      </c>
      <c r="F504" s="18" t="s">
        <v>2198</v>
      </c>
      <c r="G504" s="41" t="s">
        <v>1109</v>
      </c>
      <c r="H504" s="18" t="s">
        <v>17</v>
      </c>
      <c r="I504" s="18" t="s">
        <v>112</v>
      </c>
      <c r="J504" s="99" t="s">
        <v>118</v>
      </c>
      <c r="K504" s="5" t="s">
        <v>652</v>
      </c>
      <c r="L504" t="str">
        <f t="shared" si="8"/>
        <v>amber.mellman.depina@icloud.com</v>
      </c>
    </row>
    <row r="505" spans="1:12">
      <c r="A505" t="str" cm="1">
        <f t="array" ref="A505">_xlfn.LET(_xlpm.e,L505,
IF(_xlpm.e="","",
"DOC-"&amp;TEXT(ROW()-ROW(tblMaster[#Headers]),"00000")
))</f>
        <v>DOC-00504</v>
      </c>
      <c r="B505" s="49">
        <v>45953</v>
      </c>
      <c r="C505" s="42" t="s">
        <v>75</v>
      </c>
      <c r="D505" s="41" t="s">
        <v>1943</v>
      </c>
      <c r="E505" s="38" t="s">
        <v>2199</v>
      </c>
      <c r="F505" s="18" t="s">
        <v>2200</v>
      </c>
      <c r="G505" s="41" t="s">
        <v>410</v>
      </c>
      <c r="H505" s="18" t="s">
        <v>17</v>
      </c>
      <c r="I505" s="18" t="s">
        <v>54</v>
      </c>
      <c r="J505" s="99" t="s">
        <v>118</v>
      </c>
      <c r="K505" s="5" t="s">
        <v>652</v>
      </c>
      <c r="L505" t="str">
        <f t="shared" si="8"/>
        <v>aetreix@gmail.com</v>
      </c>
    </row>
    <row r="506" spans="1:12">
      <c r="A506" t="str" cm="1">
        <f t="array" ref="A506">_xlfn.LET(_xlpm.e,L506,
IF(_xlpm.e="","",
"DOC-"&amp;TEXT(ROW()-ROW(tblMaster[#Headers]),"00000")
))</f>
        <v>DOC-00505</v>
      </c>
      <c r="B506" s="49">
        <v>45953</v>
      </c>
      <c r="C506" s="42" t="s">
        <v>2201</v>
      </c>
      <c r="D506" s="41" t="s">
        <v>2202</v>
      </c>
      <c r="E506" s="38" t="s">
        <v>2203</v>
      </c>
      <c r="F506" s="18" t="s">
        <v>2204</v>
      </c>
      <c r="G506" s="41" t="s">
        <v>2205</v>
      </c>
      <c r="H506" s="18" t="s">
        <v>17</v>
      </c>
      <c r="I506" s="18" t="s">
        <v>101</v>
      </c>
      <c r="K506" s="5" t="s">
        <v>652</v>
      </c>
      <c r="L506" t="str">
        <f t="shared" si="8"/>
        <v>rudyorozco51@gmail.com</v>
      </c>
    </row>
    <row r="507" spans="1:12">
      <c r="A507" t="str" cm="1">
        <f t="array" ref="A507">_xlfn.LET(_xlpm.e,L507,
IF(_xlpm.e="","",
"DOC-"&amp;TEXT(ROW()-ROW(tblMaster[#Headers]),"00000")
))</f>
        <v>DOC-00506</v>
      </c>
      <c r="B507" s="49">
        <v>45953</v>
      </c>
      <c r="C507" s="42" t="s">
        <v>2206</v>
      </c>
      <c r="D507" s="41" t="s">
        <v>2207</v>
      </c>
      <c r="E507" s="38" t="s">
        <v>2208</v>
      </c>
      <c r="F507" s="18" t="s">
        <v>2209</v>
      </c>
      <c r="G507" s="41" t="s">
        <v>2210</v>
      </c>
      <c r="H507" s="18" t="s">
        <v>17</v>
      </c>
      <c r="I507" s="18"/>
      <c r="J507" s="99" t="s">
        <v>23</v>
      </c>
      <c r="K507" s="5" t="s">
        <v>652</v>
      </c>
      <c r="L507" t="str">
        <f t="shared" si="8"/>
        <v>jareddavidnault@gmail.com</v>
      </c>
    </row>
    <row r="508" spans="1:12">
      <c r="A508" t="str" cm="1">
        <f t="array" ref="A508">_xlfn.LET(_xlpm.e,L508,
IF(_xlpm.e="","",
"DOC-"&amp;TEXT(ROW()-ROW(tblMaster[#Headers]),"00000")
))</f>
        <v>DOC-00507</v>
      </c>
      <c r="B508" s="49">
        <v>45953</v>
      </c>
      <c r="C508" s="42" t="s">
        <v>2211</v>
      </c>
      <c r="D508" s="41" t="s">
        <v>2212</v>
      </c>
      <c r="E508" s="38" t="s">
        <v>2213</v>
      </c>
      <c r="F508" s="18" t="s">
        <v>2214</v>
      </c>
      <c r="G508" s="41" t="s">
        <v>2215</v>
      </c>
      <c r="H508" s="18" t="s">
        <v>17</v>
      </c>
      <c r="I508" s="18"/>
      <c r="K508" s="5" t="s">
        <v>652</v>
      </c>
      <c r="L508" t="str">
        <f t="shared" si="8"/>
        <v>deanamy175@gmail.com</v>
      </c>
    </row>
    <row r="509" spans="1:12">
      <c r="A509" t="str" cm="1">
        <f t="array" ref="A509">_xlfn.LET(_xlpm.e,L509,
IF(_xlpm.e="","",
"DOC-"&amp;TEXT(ROW()-ROW(tblMaster[#Headers]),"00000")
))</f>
        <v>DOC-00508</v>
      </c>
      <c r="B509" s="49">
        <v>45953</v>
      </c>
      <c r="C509" s="42" t="s">
        <v>1895</v>
      </c>
      <c r="D509" s="41" t="s">
        <v>2216</v>
      </c>
      <c r="E509" s="38" t="s">
        <v>2217</v>
      </c>
      <c r="F509" s="18" t="s">
        <v>2218</v>
      </c>
      <c r="G509" s="41" t="s">
        <v>79</v>
      </c>
      <c r="H509" s="18" t="s">
        <v>17</v>
      </c>
      <c r="I509" s="18" t="s">
        <v>112</v>
      </c>
      <c r="K509" s="5" t="s">
        <v>652</v>
      </c>
      <c r="L509" t="str">
        <f t="shared" si="8"/>
        <v>edwardtwumbarimah@yahoo.com</v>
      </c>
    </row>
    <row r="510" spans="1:12">
      <c r="A510" t="str" cm="1">
        <f t="array" ref="A510">_xlfn.LET(_xlpm.e,L510,
IF(_xlpm.e="","",
"DOC-"&amp;TEXT(ROW()-ROW(tblMaster[#Headers]),"00000")
))</f>
        <v>DOC-00509</v>
      </c>
      <c r="B510" s="49">
        <v>45953</v>
      </c>
      <c r="C510" s="42" t="s">
        <v>2219</v>
      </c>
      <c r="D510" s="41" t="s">
        <v>2220</v>
      </c>
      <c r="E510" s="38" t="s">
        <v>2221</v>
      </c>
      <c r="F510" s="18" t="s">
        <v>2222</v>
      </c>
      <c r="G510" s="41" t="s">
        <v>2223</v>
      </c>
      <c r="H510" s="18" t="s">
        <v>1590</v>
      </c>
      <c r="I510" s="18"/>
      <c r="K510" s="5" t="s">
        <v>652</v>
      </c>
      <c r="L510" t="str">
        <f t="shared" si="8"/>
        <v>neosavarese@gmail.com</v>
      </c>
    </row>
    <row r="511" spans="1:12">
      <c r="A511" t="str" cm="1">
        <f t="array" ref="A511">_xlfn.LET(_xlpm.e,L511,
IF(_xlpm.e="","",
"DOC-"&amp;TEXT(ROW()-ROW(tblMaster[#Headers]),"00000")
))</f>
        <v>DOC-00510</v>
      </c>
      <c r="B511" s="49">
        <v>45953</v>
      </c>
      <c r="C511" s="42" t="s">
        <v>75</v>
      </c>
      <c r="D511" s="41" t="s">
        <v>2166</v>
      </c>
      <c r="E511" s="38" t="s">
        <v>2224</v>
      </c>
      <c r="F511" s="18" t="s">
        <v>2225</v>
      </c>
      <c r="G511" s="41" t="s">
        <v>544</v>
      </c>
      <c r="H511" s="18" t="s">
        <v>17</v>
      </c>
      <c r="I511" s="18" t="s">
        <v>112</v>
      </c>
      <c r="K511" s="5" t="s">
        <v>652</v>
      </c>
      <c r="L511" t="str">
        <f t="shared" si="8"/>
        <v>rivera.joshua1015@gmail.com</v>
      </c>
    </row>
    <row r="512" spans="1:12">
      <c r="A512" t="str" cm="1">
        <f t="array" ref="A512">_xlfn.LET(_xlpm.e,L512,
IF(_xlpm.e="","",
"DOC-"&amp;TEXT(ROW()-ROW(tblMaster[#Headers]),"00000")
))</f>
        <v>DOC-00511</v>
      </c>
      <c r="B512" s="49">
        <v>45953</v>
      </c>
      <c r="C512" s="42" t="s">
        <v>164</v>
      </c>
      <c r="D512" s="41" t="s">
        <v>2226</v>
      </c>
      <c r="E512" s="38" t="s">
        <v>2227</v>
      </c>
      <c r="F512" s="18" t="s">
        <v>2228</v>
      </c>
      <c r="G512" s="41"/>
      <c r="H512" s="18"/>
      <c r="I512" s="18" t="s">
        <v>54</v>
      </c>
      <c r="K512" s="5" t="s">
        <v>652</v>
      </c>
      <c r="L512" t="str">
        <f t="shared" si="8"/>
        <v>tylerjones2913@yahoo.com</v>
      </c>
    </row>
    <row r="513" spans="1:12">
      <c r="A513" t="str" cm="1">
        <f t="array" ref="A513">_xlfn.LET(_xlpm.e,L513,
IF(_xlpm.e="","",
"DOC-"&amp;TEXT(ROW()-ROW(tblMaster[#Headers]),"00000")
))</f>
        <v>DOC-00512</v>
      </c>
      <c r="B513" s="49">
        <v>45953</v>
      </c>
      <c r="C513" s="42" t="s">
        <v>2063</v>
      </c>
      <c r="D513" s="41" t="s">
        <v>2229</v>
      </c>
      <c r="E513" s="38" t="s">
        <v>2230</v>
      </c>
      <c r="F513" s="18" t="s">
        <v>2231</v>
      </c>
      <c r="G513" s="41" t="s">
        <v>634</v>
      </c>
      <c r="H513" s="18" t="s">
        <v>17</v>
      </c>
      <c r="I513" s="18" t="s">
        <v>112</v>
      </c>
      <c r="J513" s="99" t="s">
        <v>23</v>
      </c>
      <c r="K513" s="5" t="s">
        <v>652</v>
      </c>
      <c r="L513" t="str">
        <f t="shared" si="8"/>
        <v>alexis.j5715@gmail.com</v>
      </c>
    </row>
    <row r="514" spans="1:12">
      <c r="A514" t="str" cm="1">
        <f t="array" ref="A514">_xlfn.LET(_xlpm.e,L514,
IF(_xlpm.e="","",
"DOC-"&amp;TEXT(ROW()-ROW(tblMaster[#Headers]),"00000")
))</f>
        <v>DOC-00513</v>
      </c>
      <c r="B514" s="49">
        <v>45953</v>
      </c>
      <c r="C514" s="42" t="s">
        <v>2232</v>
      </c>
      <c r="D514" s="41" t="s">
        <v>2233</v>
      </c>
      <c r="E514" s="38" t="s">
        <v>2234</v>
      </c>
      <c r="F514" s="18" t="s">
        <v>2235</v>
      </c>
      <c r="G514" s="41" t="s">
        <v>1610</v>
      </c>
      <c r="H514" s="18" t="s">
        <v>17</v>
      </c>
      <c r="I514" s="18" t="s">
        <v>54</v>
      </c>
      <c r="K514" s="5" t="s">
        <v>652</v>
      </c>
      <c r="L514" t="str">
        <f t="shared" si="8"/>
        <v>krice107@gmail.com</v>
      </c>
    </row>
    <row r="515" spans="1:12">
      <c r="A515" t="str" cm="1">
        <f t="array" ref="A515">_xlfn.LET(_xlpm.e,L515,
IF(_xlpm.e="","",
"DOC-"&amp;TEXT(ROW()-ROW(tblMaster[#Headers]),"00000")
))</f>
        <v>DOC-00514</v>
      </c>
      <c r="B515" s="49">
        <v>45953</v>
      </c>
      <c r="C515" s="42" t="s">
        <v>2236</v>
      </c>
      <c r="D515" s="41" t="s">
        <v>2237</v>
      </c>
      <c r="E515" s="38" t="s">
        <v>2238</v>
      </c>
      <c r="F515" s="18" t="s">
        <v>2239</v>
      </c>
      <c r="G515" s="41" t="s">
        <v>2240</v>
      </c>
      <c r="H515" s="18" t="s">
        <v>17</v>
      </c>
      <c r="I515" s="18" t="s">
        <v>54</v>
      </c>
      <c r="K515" s="5" t="s">
        <v>652</v>
      </c>
      <c r="L515" t="str">
        <f t="shared" si="8"/>
        <v>jeremylopez2393@gmail.com</v>
      </c>
    </row>
    <row r="516" spans="1:12">
      <c r="A516" t="str" cm="1">
        <f t="array" ref="A516">_xlfn.LET(_xlpm.e,L516,
IF(_xlpm.e="","",
"DOC-"&amp;TEXT(ROW()-ROW(tblMaster[#Headers]),"00000")
))</f>
        <v>DOC-00515</v>
      </c>
      <c r="B516" s="49">
        <v>45953</v>
      </c>
      <c r="C516" s="42" t="s">
        <v>654</v>
      </c>
      <c r="D516" s="41" t="s">
        <v>2241</v>
      </c>
      <c r="E516" s="38" t="s">
        <v>2242</v>
      </c>
      <c r="F516" s="18" t="s">
        <v>2243</v>
      </c>
      <c r="G516" s="41" t="s">
        <v>2244</v>
      </c>
      <c r="H516" s="18" t="s">
        <v>17</v>
      </c>
      <c r="I516" s="18" t="s">
        <v>54</v>
      </c>
      <c r="K516" s="5" t="s">
        <v>226</v>
      </c>
      <c r="L516" t="str">
        <f t="shared" si="8"/>
        <v>paulkimani26@gmail.com</v>
      </c>
    </row>
    <row r="517" spans="1:12">
      <c r="A517" t="str" cm="1">
        <f t="array" ref="A517">_xlfn.LET(_xlpm.e,L517,
IF(_xlpm.e="","",
"DOC-"&amp;TEXT(ROW()-ROW(tblMaster[#Headers]),"00000")
))</f>
        <v>DOC-00516</v>
      </c>
      <c r="B517" s="49">
        <v>45953</v>
      </c>
      <c r="C517" s="42" t="s">
        <v>2245</v>
      </c>
      <c r="D517" s="41" t="s">
        <v>2246</v>
      </c>
      <c r="E517" s="38" t="s">
        <v>2247</v>
      </c>
      <c r="F517" s="18" t="s">
        <v>2248</v>
      </c>
      <c r="G517" s="41" t="s">
        <v>2249</v>
      </c>
      <c r="H517" s="18" t="s">
        <v>17</v>
      </c>
      <c r="I517" s="18" t="s">
        <v>54</v>
      </c>
      <c r="K517" s="5" t="s">
        <v>652</v>
      </c>
      <c r="L517" t="str">
        <f t="shared" si="8"/>
        <v>bouchernick44@gmail.com</v>
      </c>
    </row>
    <row r="518" spans="1:12">
      <c r="A518" t="str" cm="1">
        <f t="array" ref="A518">_xlfn.LET(_xlpm.e,L518,
IF(_xlpm.e="","",
"DOC-"&amp;TEXT(ROW()-ROW(tblMaster[#Headers]),"00000")
))</f>
        <v>DOC-00517</v>
      </c>
      <c r="B518" s="49">
        <v>45953</v>
      </c>
      <c r="C518" s="42" t="s">
        <v>2250</v>
      </c>
      <c r="D518" s="41" t="s">
        <v>2251</v>
      </c>
      <c r="E518" s="38" t="s">
        <v>2252</v>
      </c>
      <c r="F518" s="18" t="s">
        <v>2253</v>
      </c>
      <c r="G518" s="41" t="s">
        <v>2254</v>
      </c>
      <c r="H518" s="18" t="s">
        <v>17</v>
      </c>
      <c r="I518" s="18" t="s">
        <v>54</v>
      </c>
      <c r="K518" s="5" t="s">
        <v>652</v>
      </c>
      <c r="L518" t="str">
        <f t="shared" ref="L518:L581" si="9">_xlfn.LET(_xlpm.x,E518,
_xlpm.y,TRIM(CLEAN(SUBSTITUTE(_xlpm.x,CHAR(160)," "))),
LOWER(_xlpm.y))</f>
        <v>jorjaraneo@gmail.com</v>
      </c>
    </row>
    <row r="519" spans="1:12">
      <c r="A519" t="str" cm="1">
        <f t="array" ref="A519">_xlfn.LET(_xlpm.e,L519,
IF(_xlpm.e="","",
"DOC-"&amp;TEXT(ROW()-ROW(tblMaster[#Headers]),"00000")
))</f>
        <v>DOC-00518</v>
      </c>
      <c r="B519" s="49">
        <v>45953</v>
      </c>
      <c r="C519" s="42" t="s">
        <v>2255</v>
      </c>
      <c r="D519" s="41" t="s">
        <v>2256</v>
      </c>
      <c r="E519" s="38" t="s">
        <v>2257</v>
      </c>
      <c r="F519" s="18" t="s">
        <v>2258</v>
      </c>
      <c r="G519" s="41" t="s">
        <v>2259</v>
      </c>
      <c r="H519" s="18" t="s">
        <v>17</v>
      </c>
      <c r="I519" s="18" t="s">
        <v>54</v>
      </c>
      <c r="J519" s="99" t="s">
        <v>23</v>
      </c>
      <c r="K519" s="5" t="s">
        <v>652</v>
      </c>
      <c r="L519" t="str">
        <f t="shared" si="9"/>
        <v>ssedivy1149@westfield.ma.edu</v>
      </c>
    </row>
    <row r="520" spans="1:12">
      <c r="A520" t="str" cm="1">
        <f t="array" ref="A520">_xlfn.LET(_xlpm.e,L520,
IF(_xlpm.e="","",
"DOC-"&amp;TEXT(ROW()-ROW(tblMaster[#Headers]),"00000")
))</f>
        <v>DOC-00519</v>
      </c>
      <c r="B520" s="49">
        <v>45953</v>
      </c>
      <c r="C520" s="42" t="s">
        <v>545</v>
      </c>
      <c r="D520" s="41" t="s">
        <v>2260</v>
      </c>
      <c r="E520" s="38" t="s">
        <v>2261</v>
      </c>
      <c r="F520" s="18" t="s">
        <v>2262</v>
      </c>
      <c r="G520" s="41" t="s">
        <v>2263</v>
      </c>
      <c r="H520" s="18" t="s">
        <v>17</v>
      </c>
      <c r="I520" s="18" t="s">
        <v>54</v>
      </c>
      <c r="K520" s="5" t="s">
        <v>652</v>
      </c>
      <c r="L520" t="str">
        <f t="shared" si="9"/>
        <v>jbpharlee@gmail.com</v>
      </c>
    </row>
    <row r="521" spans="1:12">
      <c r="A521" t="str" cm="1">
        <f t="array" ref="A521">_xlfn.LET(_xlpm.e,L521,
IF(_xlpm.e="","",
"DOC-"&amp;TEXT(ROW()-ROW(tblMaster[#Headers]),"00000")
))</f>
        <v/>
      </c>
      <c r="B521" s="49">
        <v>45953</v>
      </c>
      <c r="C521" s="42"/>
      <c r="D521" s="41"/>
      <c r="E521" s="38"/>
      <c r="F521" s="18"/>
      <c r="G521" s="41"/>
      <c r="H521" s="18" t="s">
        <v>17</v>
      </c>
      <c r="I521" s="18" t="s">
        <v>54</v>
      </c>
      <c r="K521" s="5" t="s">
        <v>652</v>
      </c>
      <c r="L521" t="str">
        <f t="shared" si="9"/>
        <v/>
      </c>
    </row>
    <row r="522" spans="1:12">
      <c r="A522" t="str" cm="1">
        <f t="array" ref="A522">_xlfn.LET(_xlpm.e,L522,
IF(_xlpm.e="","",
"DOC-"&amp;TEXT(ROW()-ROW(tblMaster[#Headers]),"00000")
))</f>
        <v>DOC-00521</v>
      </c>
      <c r="B522" s="49">
        <v>45953</v>
      </c>
      <c r="C522" s="42" t="s">
        <v>2264</v>
      </c>
      <c r="D522" s="41" t="s">
        <v>2265</v>
      </c>
      <c r="E522" s="38" t="s">
        <v>2266</v>
      </c>
      <c r="F522" s="18" t="s">
        <v>2267</v>
      </c>
      <c r="G522" s="41" t="s">
        <v>2268</v>
      </c>
      <c r="H522" s="18" t="s">
        <v>17</v>
      </c>
      <c r="I522" s="18" t="s">
        <v>112</v>
      </c>
      <c r="K522" s="5" t="s">
        <v>652</v>
      </c>
      <c r="L522" t="str">
        <f t="shared" si="9"/>
        <v>briemariani@gmail.com</v>
      </c>
    </row>
    <row r="523" spans="1:12">
      <c r="A523" t="str" cm="1">
        <f t="array" ref="A523">_xlfn.LET(_xlpm.e,L523,
IF(_xlpm.e="","",
"DOC-"&amp;TEXT(ROW()-ROW(tblMaster[#Headers]),"00000")
))</f>
        <v>DOC-00522</v>
      </c>
      <c r="B523" s="49">
        <v>45953</v>
      </c>
      <c r="C523" s="42" t="s">
        <v>243</v>
      </c>
      <c r="D523" s="41" t="s">
        <v>2269</v>
      </c>
      <c r="E523" s="38" t="s">
        <v>2270</v>
      </c>
      <c r="F523" s="18" t="s">
        <v>2271</v>
      </c>
      <c r="G523" s="41" t="s">
        <v>2272</v>
      </c>
      <c r="H523" s="18" t="s">
        <v>17</v>
      </c>
      <c r="I523" s="18" t="s">
        <v>112</v>
      </c>
      <c r="J523" s="99" t="s">
        <v>194</v>
      </c>
      <c r="K523" s="5" t="s">
        <v>652</v>
      </c>
      <c r="L523" t="str">
        <f t="shared" si="9"/>
        <v>william.l4rgy@outlook.com</v>
      </c>
    </row>
    <row r="524" spans="1:12">
      <c r="A524" t="str" cm="1">
        <f t="array" ref="A524">_xlfn.LET(_xlpm.e,L524,
IF(_xlpm.e="","",
"DOC-"&amp;TEXT(ROW()-ROW(tblMaster[#Headers]),"00000")
))</f>
        <v>DOC-00523</v>
      </c>
      <c r="B524" s="49">
        <v>45953</v>
      </c>
      <c r="C524" s="42" t="s">
        <v>2273</v>
      </c>
      <c r="D524" s="41" t="s">
        <v>480</v>
      </c>
      <c r="E524" s="38" t="s">
        <v>2274</v>
      </c>
      <c r="F524" s="18" t="s">
        <v>2275</v>
      </c>
      <c r="G524" s="41" t="s">
        <v>257</v>
      </c>
      <c r="H524" s="18" t="s">
        <v>17</v>
      </c>
      <c r="I524" s="18" t="s">
        <v>2276</v>
      </c>
      <c r="K524" s="5" t="s">
        <v>226</v>
      </c>
      <c r="L524" t="str">
        <f t="shared" si="9"/>
        <v>charlesmarie6@gmail.com</v>
      </c>
    </row>
    <row r="525" spans="1:12">
      <c r="A525" t="str" cm="1">
        <f t="array" ref="A525">_xlfn.LET(_xlpm.e,L525,
IF(_xlpm.e="","",
"DOC-"&amp;TEXT(ROW()-ROW(tblMaster[#Headers]),"00000")
))</f>
        <v>DOC-00524</v>
      </c>
      <c r="B525" s="49">
        <v>45953</v>
      </c>
      <c r="C525" s="42" t="s">
        <v>724</v>
      </c>
      <c r="D525" s="41" t="s">
        <v>2277</v>
      </c>
      <c r="E525" s="38" t="s">
        <v>2278</v>
      </c>
      <c r="F525" s="18" t="s">
        <v>2279</v>
      </c>
      <c r="G525" s="41" t="s">
        <v>2280</v>
      </c>
      <c r="H525" s="18" t="s">
        <v>888</v>
      </c>
      <c r="I525" s="18" t="s">
        <v>54</v>
      </c>
      <c r="J525" s="99" t="s">
        <v>23</v>
      </c>
      <c r="K525" s="5" t="s">
        <v>652</v>
      </c>
      <c r="L525" t="str">
        <f t="shared" si="9"/>
        <v>josephaburton0807@yahoo.com</v>
      </c>
    </row>
    <row r="526" spans="1:12">
      <c r="A526" t="str" cm="1">
        <f t="array" ref="A526">_xlfn.LET(_xlpm.e,L526,
IF(_xlpm.e="","",
"DOC-"&amp;TEXT(ROW()-ROW(tblMaster[#Headers]),"00000")
))</f>
        <v>DOC-00525</v>
      </c>
      <c r="B526" s="49">
        <v>45953</v>
      </c>
      <c r="C526" s="42" t="s">
        <v>1261</v>
      </c>
      <c r="D526" s="41" t="s">
        <v>2281</v>
      </c>
      <c r="E526" s="38" t="s">
        <v>2282</v>
      </c>
      <c r="F526" s="18" t="s">
        <v>2283</v>
      </c>
      <c r="G526" s="41" t="s">
        <v>2093</v>
      </c>
      <c r="H526" s="18" t="s">
        <v>17</v>
      </c>
      <c r="I526" s="18" t="s">
        <v>54</v>
      </c>
      <c r="J526" s="99" t="s">
        <v>194</v>
      </c>
      <c r="K526" s="5" t="s">
        <v>652</v>
      </c>
      <c r="L526" t="str">
        <f t="shared" si="9"/>
        <v>andrew.purington@yahoo.com</v>
      </c>
    </row>
    <row r="527" spans="1:12">
      <c r="A527" t="str" cm="1">
        <f t="array" ref="A527">_xlfn.LET(_xlpm.e,L527,
IF(_xlpm.e="","",
"DOC-"&amp;TEXT(ROW()-ROW(tblMaster[#Headers]),"00000")
))</f>
        <v>DOC-00526</v>
      </c>
      <c r="B527" s="49">
        <v>45953</v>
      </c>
      <c r="C527" s="42" t="s">
        <v>2284</v>
      </c>
      <c r="D527" s="41" t="s">
        <v>2285</v>
      </c>
      <c r="E527" s="38" t="s">
        <v>2286</v>
      </c>
      <c r="F527" s="18" t="s">
        <v>2287</v>
      </c>
      <c r="G527" s="41" t="s">
        <v>257</v>
      </c>
      <c r="H527" s="18" t="s">
        <v>17</v>
      </c>
      <c r="I527" s="18" t="s">
        <v>101</v>
      </c>
      <c r="K527" s="5" t="s">
        <v>652</v>
      </c>
      <c r="L527" t="str">
        <f t="shared" si="9"/>
        <v>shiannmubarak@gmail.com</v>
      </c>
    </row>
    <row r="528" spans="1:12">
      <c r="A528" t="str" cm="1">
        <f t="array" ref="A528">_xlfn.LET(_xlpm.e,L528,
IF(_xlpm.e="","",
"DOC-"&amp;TEXT(ROW()-ROW(tblMaster[#Headers]),"00000")
))</f>
        <v>DOC-00527</v>
      </c>
      <c r="B528" s="49">
        <v>45953</v>
      </c>
      <c r="C528" s="42" t="s">
        <v>2288</v>
      </c>
      <c r="D528" s="41" t="s">
        <v>2289</v>
      </c>
      <c r="E528" s="38" t="s">
        <v>2290</v>
      </c>
      <c r="F528" s="18" t="s">
        <v>2291</v>
      </c>
      <c r="G528" s="41"/>
      <c r="H528" s="18"/>
      <c r="I528" s="18" t="s">
        <v>101</v>
      </c>
      <c r="K528" s="5" t="s">
        <v>652</v>
      </c>
      <c r="L528" t="str">
        <f t="shared" si="9"/>
        <v>jainyahct@gmail.com</v>
      </c>
    </row>
    <row r="529" spans="1:12">
      <c r="A529" t="str" cm="1">
        <f t="array" ref="A529">_xlfn.LET(_xlpm.e,L529,
IF(_xlpm.e="","",
"DOC-"&amp;TEXT(ROW()-ROW(tblMaster[#Headers]),"00000")
))</f>
        <v>DOC-00528</v>
      </c>
      <c r="B529" s="49">
        <v>45953</v>
      </c>
      <c r="C529" s="42" t="s">
        <v>2292</v>
      </c>
      <c r="D529" s="41" t="s">
        <v>2293</v>
      </c>
      <c r="E529" s="38" t="s">
        <v>2294</v>
      </c>
      <c r="F529" s="18" t="s">
        <v>2295</v>
      </c>
      <c r="G529" s="41" t="s">
        <v>52</v>
      </c>
      <c r="H529" s="18" t="s">
        <v>17</v>
      </c>
      <c r="I529" s="18" t="s">
        <v>54</v>
      </c>
      <c r="K529" s="5" t="s">
        <v>652</v>
      </c>
      <c r="L529" t="str">
        <f t="shared" si="9"/>
        <v>dforrester45g@gmail.com</v>
      </c>
    </row>
    <row r="530" spans="1:12">
      <c r="A530" t="str" cm="1">
        <f t="array" ref="A530">_xlfn.LET(_xlpm.e,L530,
IF(_xlpm.e="","",
"DOC-"&amp;TEXT(ROW()-ROW(tblMaster[#Headers]),"00000")
))</f>
        <v>DOC-00529</v>
      </c>
      <c r="B530" s="49">
        <v>45953</v>
      </c>
      <c r="C530" s="42" t="s">
        <v>2296</v>
      </c>
      <c r="D530" s="41" t="s">
        <v>2297</v>
      </c>
      <c r="E530" s="38" t="s">
        <v>2298</v>
      </c>
      <c r="F530" s="18" t="s">
        <v>2299</v>
      </c>
      <c r="G530" s="41" t="s">
        <v>2300</v>
      </c>
      <c r="H530" s="18" t="s">
        <v>17</v>
      </c>
      <c r="I530" s="18" t="s">
        <v>54</v>
      </c>
      <c r="K530" s="5" t="s">
        <v>652</v>
      </c>
      <c r="L530" t="str">
        <f t="shared" si="9"/>
        <v>kingyoungroland@yahoo.com</v>
      </c>
    </row>
    <row r="531" spans="1:12">
      <c r="A531" t="str" cm="1">
        <f t="array" ref="A531">_xlfn.LET(_xlpm.e,L531,
IF(_xlpm.e="","",
"DOC-"&amp;TEXT(ROW()-ROW(tblMaster[#Headers]),"00000")
))</f>
        <v>DOC-00530</v>
      </c>
      <c r="B531" s="49">
        <v>45953</v>
      </c>
      <c r="C531" s="42" t="s">
        <v>2301</v>
      </c>
      <c r="D531" s="41" t="s">
        <v>2302</v>
      </c>
      <c r="E531" s="38" t="s">
        <v>2303</v>
      </c>
      <c r="F531" s="18" t="s">
        <v>2304</v>
      </c>
      <c r="G531" s="41"/>
      <c r="H531" s="18"/>
      <c r="I531" s="18" t="s">
        <v>54</v>
      </c>
      <c r="J531" s="99" t="s">
        <v>23</v>
      </c>
      <c r="K531" s="5" t="s">
        <v>652</v>
      </c>
      <c r="L531" t="str">
        <f t="shared" si="9"/>
        <v>kereczreagan@gmail.com</v>
      </c>
    </row>
    <row r="532" spans="1:12">
      <c r="A532" t="str" cm="1">
        <f t="array" ref="A532">_xlfn.LET(_xlpm.e,L532,
IF(_xlpm.e="","",
"DOC-"&amp;TEXT(ROW()-ROW(tblMaster[#Headers]),"00000")
))</f>
        <v>DOC-00531</v>
      </c>
      <c r="B532" s="49">
        <v>45953</v>
      </c>
      <c r="C532" s="42" t="s">
        <v>2305</v>
      </c>
      <c r="D532" s="41" t="s">
        <v>2306</v>
      </c>
      <c r="E532" s="38" t="s">
        <v>2307</v>
      </c>
      <c r="F532" s="18" t="s">
        <v>2308</v>
      </c>
      <c r="G532" s="41" t="s">
        <v>52</v>
      </c>
      <c r="H532" s="18" t="s">
        <v>17</v>
      </c>
      <c r="I532" s="18" t="s">
        <v>112</v>
      </c>
      <c r="K532" s="5" t="s">
        <v>652</v>
      </c>
      <c r="L532" t="str">
        <f t="shared" si="9"/>
        <v>johneshakennerly@gmail.com</v>
      </c>
    </row>
    <row r="533" spans="1:12">
      <c r="A533" t="str" cm="1">
        <f t="array" ref="A533">_xlfn.LET(_xlpm.e,L533,
IF(_xlpm.e="","",
"DOC-"&amp;TEXT(ROW()-ROW(tblMaster[#Headers]),"00000")
))</f>
        <v>DOC-00532</v>
      </c>
      <c r="B533" s="49">
        <v>45953</v>
      </c>
      <c r="C533" s="42" t="s">
        <v>2309</v>
      </c>
      <c r="D533" s="41" t="s">
        <v>2310</v>
      </c>
      <c r="E533" s="38" t="s">
        <v>2311</v>
      </c>
      <c r="F533" s="18" t="s">
        <v>2312</v>
      </c>
      <c r="G533" s="41" t="s">
        <v>1941</v>
      </c>
      <c r="H533" s="18" t="s">
        <v>17</v>
      </c>
      <c r="I533" s="18" t="s">
        <v>54</v>
      </c>
      <c r="K533" s="5" t="s">
        <v>652</v>
      </c>
      <c r="L533" t="str">
        <f t="shared" si="9"/>
        <v>mdelva56@gmail.com</v>
      </c>
    </row>
    <row r="534" spans="1:12">
      <c r="A534" t="str" cm="1">
        <f t="array" ref="A534">_xlfn.LET(_xlpm.e,L534,
IF(_xlpm.e="","",
"DOC-"&amp;TEXT(ROW()-ROW(tblMaster[#Headers]),"00000")
))</f>
        <v>DOC-00533</v>
      </c>
      <c r="B534" s="49">
        <v>45953</v>
      </c>
      <c r="C534" s="42" t="s">
        <v>2313</v>
      </c>
      <c r="D534" s="41" t="s">
        <v>2314</v>
      </c>
      <c r="E534" s="38" t="s">
        <v>2315</v>
      </c>
      <c r="F534" s="18" t="s">
        <v>2316</v>
      </c>
      <c r="G534" s="41" t="s">
        <v>163</v>
      </c>
      <c r="H534" s="18" t="s">
        <v>17</v>
      </c>
      <c r="I534" s="18" t="s">
        <v>54</v>
      </c>
      <c r="K534" s="5" t="s">
        <v>652</v>
      </c>
      <c r="L534" t="str">
        <f t="shared" si="9"/>
        <v>inlim39@gmail.com</v>
      </c>
    </row>
    <row r="535" spans="1:12">
      <c r="A535" t="str" cm="1">
        <f t="array" ref="A535">_xlfn.LET(_xlpm.e,L535,
IF(_xlpm.e="","",
"DOC-"&amp;TEXT(ROW()-ROW(tblMaster[#Headers]),"00000")
))</f>
        <v>DOC-00534</v>
      </c>
      <c r="B535" s="49">
        <v>45953</v>
      </c>
      <c r="C535" s="42" t="s">
        <v>2317</v>
      </c>
      <c r="D535" s="41" t="s">
        <v>2318</v>
      </c>
      <c r="E535" s="38" t="s">
        <v>2319</v>
      </c>
      <c r="F535" s="18" t="s">
        <v>2320</v>
      </c>
      <c r="G535" s="41" t="s">
        <v>2321</v>
      </c>
      <c r="H535" s="18" t="s">
        <v>17</v>
      </c>
      <c r="I535" s="18" t="s">
        <v>54</v>
      </c>
      <c r="K535" s="5" t="s">
        <v>652</v>
      </c>
      <c r="L535" t="str">
        <f t="shared" si="9"/>
        <v>heitorswankgy073310@gmail.com</v>
      </c>
    </row>
    <row r="536" spans="1:12">
      <c r="A536" t="str" cm="1">
        <f t="array" ref="A536">_xlfn.LET(_xlpm.e,L536,
IF(_xlpm.e="","",
"DOC-"&amp;TEXT(ROW()-ROW(tblMaster[#Headers]),"00000")
))</f>
        <v>DOC-00535</v>
      </c>
      <c r="B536" s="49">
        <v>45953</v>
      </c>
      <c r="C536" s="42" t="s">
        <v>1774</v>
      </c>
      <c r="D536" s="41" t="s">
        <v>2322</v>
      </c>
      <c r="E536" s="38" t="s">
        <v>2323</v>
      </c>
      <c r="F536" s="18" t="s">
        <v>2324</v>
      </c>
      <c r="G536" s="41" t="s">
        <v>2325</v>
      </c>
      <c r="H536" s="18" t="s">
        <v>17</v>
      </c>
      <c r="I536" s="18" t="s">
        <v>54</v>
      </c>
      <c r="K536" s="5" t="s">
        <v>652</v>
      </c>
      <c r="L536" t="str">
        <f t="shared" si="9"/>
        <v>paasewealexander@gmail.com</v>
      </c>
    </row>
    <row r="537" spans="1:12">
      <c r="A537" t="str" cm="1">
        <f t="array" ref="A537">_xlfn.LET(_xlpm.e,L537,
IF(_xlpm.e="","",
"DOC-"&amp;TEXT(ROW()-ROW(tblMaster[#Headers]),"00000")
))</f>
        <v>DOC-00536</v>
      </c>
      <c r="B537" s="49">
        <v>45953</v>
      </c>
      <c r="C537" s="42" t="s">
        <v>2326</v>
      </c>
      <c r="D537" s="41" t="s">
        <v>2327</v>
      </c>
      <c r="E537" s="38" t="s">
        <v>2328</v>
      </c>
      <c r="F537" s="18" t="s">
        <v>2329</v>
      </c>
      <c r="G537" s="41" t="s">
        <v>918</v>
      </c>
      <c r="H537" s="18" t="s">
        <v>17</v>
      </c>
      <c r="I537" s="18" t="s">
        <v>54</v>
      </c>
      <c r="J537" s="99" t="s">
        <v>23</v>
      </c>
      <c r="K537" s="5" t="s">
        <v>652</v>
      </c>
      <c r="L537" t="str">
        <f t="shared" si="9"/>
        <v>sjcdrummer47@gmail.com</v>
      </c>
    </row>
    <row r="538" spans="1:12">
      <c r="A538" t="str" cm="1">
        <f t="array" ref="A538">_xlfn.LET(_xlpm.e,L538,
IF(_xlpm.e="","",
"DOC-"&amp;TEXT(ROW()-ROW(tblMaster[#Headers]),"00000")
))</f>
        <v>DOC-00537</v>
      </c>
      <c r="B538" s="49">
        <v>45953</v>
      </c>
      <c r="C538" s="42" t="s">
        <v>2330</v>
      </c>
      <c r="D538" s="41" t="s">
        <v>2331</v>
      </c>
      <c r="E538" s="38" t="s">
        <v>2332</v>
      </c>
      <c r="F538" s="18" t="s">
        <v>2333</v>
      </c>
      <c r="G538" s="41" t="s">
        <v>2098</v>
      </c>
      <c r="H538" s="18" t="s">
        <v>17</v>
      </c>
      <c r="I538" s="18" t="s">
        <v>54</v>
      </c>
      <c r="K538" s="5" t="s">
        <v>652</v>
      </c>
      <c r="L538" t="str">
        <f t="shared" si="9"/>
        <v>fefeiler@icloud.com</v>
      </c>
    </row>
    <row r="539" spans="1:12">
      <c r="A539" t="str" cm="1">
        <f t="array" ref="A539">_xlfn.LET(_xlpm.e,L539,
IF(_xlpm.e="","",
"DOC-"&amp;TEXT(ROW()-ROW(tblMaster[#Headers]),"00000")
))</f>
        <v>DOC-00538</v>
      </c>
      <c r="B539" s="49">
        <v>45953</v>
      </c>
      <c r="C539" s="42" t="s">
        <v>2334</v>
      </c>
      <c r="D539" s="41" t="s">
        <v>2335</v>
      </c>
      <c r="E539" s="38" t="s">
        <v>2336</v>
      </c>
      <c r="F539" s="18" t="s">
        <v>2337</v>
      </c>
      <c r="G539" s="41" t="s">
        <v>276</v>
      </c>
      <c r="H539" s="18" t="s">
        <v>17</v>
      </c>
      <c r="I539" s="18" t="s">
        <v>54</v>
      </c>
      <c r="K539" s="5" t="s">
        <v>652</v>
      </c>
      <c r="L539" t="str">
        <f t="shared" si="9"/>
        <v>ninawells23@icloud.com</v>
      </c>
    </row>
    <row r="540" spans="1:12">
      <c r="A540" t="str" cm="1">
        <f t="array" ref="A540">_xlfn.LET(_xlpm.e,L540,
IF(_xlpm.e="","",
"DOC-"&amp;TEXT(ROW()-ROW(tblMaster[#Headers]),"00000")
))</f>
        <v>DOC-00539</v>
      </c>
      <c r="B540" s="49">
        <v>45953</v>
      </c>
      <c r="C540" s="42" t="s">
        <v>2338</v>
      </c>
      <c r="D540" s="41" t="s">
        <v>2339</v>
      </c>
      <c r="E540" s="38" t="s">
        <v>2340</v>
      </c>
      <c r="F540" s="18" t="s">
        <v>2341</v>
      </c>
      <c r="G540" s="41" t="s">
        <v>2027</v>
      </c>
      <c r="H540" s="18" t="s">
        <v>17</v>
      </c>
      <c r="I540" s="18" t="s">
        <v>54</v>
      </c>
      <c r="K540" s="5" t="s">
        <v>652</v>
      </c>
      <c r="L540" t="str">
        <f t="shared" si="9"/>
        <v>alanaguinagawork@outlook.com</v>
      </c>
    </row>
    <row r="541" spans="1:12">
      <c r="A541" t="str" cm="1">
        <f t="array" ref="A541">_xlfn.LET(_xlpm.e,L541,
IF(_xlpm.e="","",
"DOC-"&amp;TEXT(ROW()-ROW(tblMaster[#Headers]),"00000")
))</f>
        <v>DOC-00540</v>
      </c>
      <c r="B541" s="49">
        <v>45953</v>
      </c>
      <c r="C541" s="42" t="s">
        <v>2342</v>
      </c>
      <c r="D541" s="41" t="s">
        <v>144</v>
      </c>
      <c r="E541" s="38" t="s">
        <v>2343</v>
      </c>
      <c r="F541" s="18" t="s">
        <v>2344</v>
      </c>
      <c r="G541" s="41" t="s">
        <v>979</v>
      </c>
      <c r="H541" s="18" t="s">
        <v>17</v>
      </c>
      <c r="I541" s="18" t="s">
        <v>101</v>
      </c>
      <c r="K541" s="5" t="s">
        <v>652</v>
      </c>
      <c r="L541" t="str">
        <f t="shared" si="9"/>
        <v>deyanirasivanna@icloud.com</v>
      </c>
    </row>
    <row r="542" spans="1:12">
      <c r="A542" t="str" cm="1">
        <f t="array" ref="A542">_xlfn.LET(_xlpm.e,L542,
IF(_xlpm.e="","",
"DOC-"&amp;TEXT(ROW()-ROW(tblMaster[#Headers]),"00000")
))</f>
        <v/>
      </c>
      <c r="B542" s="49"/>
      <c r="C542" s="42"/>
      <c r="D542" s="41"/>
      <c r="E542" s="38"/>
      <c r="F542" s="18"/>
      <c r="G542" s="41"/>
      <c r="H542" s="18"/>
      <c r="I542" s="18"/>
      <c r="K542" s="5" t="s">
        <v>652</v>
      </c>
      <c r="L542" t="str">
        <f t="shared" si="9"/>
        <v/>
      </c>
    </row>
    <row r="543" spans="1:12">
      <c r="A543" t="str" cm="1">
        <f t="array" ref="A543">_xlfn.LET(_xlpm.e,L543,
IF(_xlpm.e="","",
"DOC-"&amp;TEXT(ROW()-ROW(tblMaster[#Headers]),"00000")
))</f>
        <v>DOC-00542</v>
      </c>
      <c r="B543" s="49">
        <v>45953</v>
      </c>
      <c r="C543" s="42" t="s">
        <v>1896</v>
      </c>
      <c r="D543" s="41" t="s">
        <v>2345</v>
      </c>
      <c r="E543" s="38" t="s">
        <v>2346</v>
      </c>
      <c r="F543" s="18" t="s">
        <v>2347</v>
      </c>
      <c r="G543" s="41" t="s">
        <v>2348</v>
      </c>
      <c r="H543" s="18" t="s">
        <v>17</v>
      </c>
      <c r="I543" s="18" t="s">
        <v>101</v>
      </c>
      <c r="J543" s="99" t="s">
        <v>23</v>
      </c>
      <c r="K543" s="5" t="s">
        <v>652</v>
      </c>
      <c r="L543" t="str">
        <f t="shared" si="9"/>
        <v>frankdsilva03@gmail.com</v>
      </c>
    </row>
    <row r="544" spans="1:12">
      <c r="A544" t="str" cm="1">
        <f t="array" ref="A544">_xlfn.LET(_xlpm.e,L544,
IF(_xlpm.e="","",
"DOC-"&amp;TEXT(ROW()-ROW(tblMaster[#Headers]),"00000")
))</f>
        <v>DOC-00543</v>
      </c>
      <c r="B544" s="49">
        <v>45953</v>
      </c>
      <c r="C544" s="42" t="s">
        <v>1438</v>
      </c>
      <c r="D544" s="41" t="s">
        <v>2349</v>
      </c>
      <c r="E544" s="38" t="s">
        <v>2350</v>
      </c>
      <c r="F544" s="18" t="s">
        <v>2351</v>
      </c>
      <c r="G544" s="41" t="s">
        <v>1184</v>
      </c>
      <c r="H544" s="18" t="s">
        <v>17</v>
      </c>
      <c r="I544" s="18" t="s">
        <v>101</v>
      </c>
      <c r="K544" s="5" t="s">
        <v>652</v>
      </c>
      <c r="L544" t="str">
        <f t="shared" si="9"/>
        <v>haidernoor9401@icloud.com</v>
      </c>
    </row>
    <row r="545" spans="1:12">
      <c r="A545" t="str" cm="1">
        <f t="array" ref="A545">_xlfn.LET(_xlpm.e,L545,
IF(_xlpm.e="","",
"DOC-"&amp;TEXT(ROW()-ROW(tblMaster[#Headers]),"00000")
))</f>
        <v>DOC-00544</v>
      </c>
      <c r="B545" s="49">
        <v>45953</v>
      </c>
      <c r="C545" s="42" t="s">
        <v>2352</v>
      </c>
      <c r="D545" s="41" t="s">
        <v>1193</v>
      </c>
      <c r="E545" s="38" t="s">
        <v>2353</v>
      </c>
      <c r="F545" s="18" t="s">
        <v>2354</v>
      </c>
      <c r="G545" s="41" t="s">
        <v>2355</v>
      </c>
      <c r="H545" s="18" t="s">
        <v>17</v>
      </c>
      <c r="I545" s="18" t="s">
        <v>112</v>
      </c>
      <c r="K545" s="5" t="s">
        <v>652</v>
      </c>
      <c r="L545" t="str">
        <f t="shared" si="9"/>
        <v>sabrynaryan6@gmail.com</v>
      </c>
    </row>
    <row r="546" spans="1:12">
      <c r="A546" t="str" cm="1">
        <f t="array" ref="A546">_xlfn.LET(_xlpm.e,L546,
IF(_xlpm.e="","",
"DOC-"&amp;TEXT(ROW()-ROW(tblMaster[#Headers]),"00000")
))</f>
        <v>DOC-00545</v>
      </c>
      <c r="B546" s="49">
        <v>45953</v>
      </c>
      <c r="C546" s="42" t="s">
        <v>2356</v>
      </c>
      <c r="D546" s="41" t="s">
        <v>2357</v>
      </c>
      <c r="E546" s="38" t="s">
        <v>2358</v>
      </c>
      <c r="F546" s="18" t="s">
        <v>2359</v>
      </c>
      <c r="G546" s="41" t="s">
        <v>281</v>
      </c>
      <c r="H546" s="18" t="s">
        <v>17</v>
      </c>
      <c r="I546" s="18" t="s">
        <v>112</v>
      </c>
      <c r="K546" s="5" t="s">
        <v>652</v>
      </c>
      <c r="L546" t="str">
        <f t="shared" si="9"/>
        <v>alaaalddin3@gmail.com</v>
      </c>
    </row>
    <row r="547" spans="1:12">
      <c r="A547" t="str" cm="1">
        <f t="array" ref="A547">_xlfn.LET(_xlpm.e,L547,
IF(_xlpm.e="","",
"DOC-"&amp;TEXT(ROW()-ROW(tblMaster[#Headers]),"00000")
))</f>
        <v>DOC-00546</v>
      </c>
      <c r="B547" s="49">
        <v>45953</v>
      </c>
      <c r="C547" s="42" t="s">
        <v>232</v>
      </c>
      <c r="D547" s="41" t="s">
        <v>2360</v>
      </c>
      <c r="E547" s="38" t="s">
        <v>2361</v>
      </c>
      <c r="F547" s="18" t="s">
        <v>2362</v>
      </c>
      <c r="G547" s="41"/>
      <c r="H547" s="18"/>
      <c r="I547" s="18" t="s">
        <v>112</v>
      </c>
      <c r="K547" s="5" t="s">
        <v>652</v>
      </c>
      <c r="L547" t="str">
        <f t="shared" si="9"/>
        <v>derekderek2525@yahoo.com</v>
      </c>
    </row>
    <row r="548" spans="1:12">
      <c r="A548" t="str" cm="1">
        <f t="array" ref="A548">_xlfn.LET(_xlpm.e,L548,
IF(_xlpm.e="","",
"DOC-"&amp;TEXT(ROW()-ROW(tblMaster[#Headers]),"00000")
))</f>
        <v>DOC-00547</v>
      </c>
      <c r="B548" s="49">
        <v>45953</v>
      </c>
      <c r="C548" s="42" t="s">
        <v>2363</v>
      </c>
      <c r="D548" s="41" t="s">
        <v>1397</v>
      </c>
      <c r="E548" s="38" t="s">
        <v>2364</v>
      </c>
      <c r="F548" s="18" t="s">
        <v>2365</v>
      </c>
      <c r="G548" s="41" t="s">
        <v>2366</v>
      </c>
      <c r="H548" s="18" t="s">
        <v>17</v>
      </c>
      <c r="I548" s="18" t="s">
        <v>339</v>
      </c>
      <c r="K548" s="5" t="s">
        <v>652</v>
      </c>
      <c r="L548" t="str">
        <f t="shared" si="9"/>
        <v>pedrobusiness1031@gmail.com</v>
      </c>
    </row>
    <row r="549" spans="1:12">
      <c r="A549" t="str" cm="1">
        <f t="array" ref="A549">_xlfn.LET(_xlpm.e,L549,
IF(_xlpm.e="","",
"DOC-"&amp;TEXT(ROW()-ROW(tblMaster[#Headers]),"00000")
))</f>
        <v>DOC-00548</v>
      </c>
      <c r="B549" s="49">
        <v>45953</v>
      </c>
      <c r="C549" s="42" t="s">
        <v>1871</v>
      </c>
      <c r="D549" s="41" t="s">
        <v>2367</v>
      </c>
      <c r="E549" s="38" t="s">
        <v>2368</v>
      </c>
      <c r="F549" s="18" t="s">
        <v>2369</v>
      </c>
      <c r="G549" s="70" t="s">
        <v>1693</v>
      </c>
      <c r="H549" s="18" t="s">
        <v>17</v>
      </c>
      <c r="I549" s="18" t="s">
        <v>54</v>
      </c>
      <c r="J549" s="99" t="s">
        <v>23</v>
      </c>
      <c r="K549" s="5" t="s">
        <v>652</v>
      </c>
      <c r="L549" t="str">
        <f t="shared" si="9"/>
        <v>n_burke2@salemstate.edu</v>
      </c>
    </row>
    <row r="550" spans="1:12">
      <c r="A550" t="str" cm="1">
        <f t="array" ref="A550">_xlfn.LET(_xlpm.e,L550,
IF(_xlpm.e="","",
"DOC-"&amp;TEXT(ROW()-ROW(tblMaster[#Headers]),"00000")
))</f>
        <v>DOC-00549</v>
      </c>
      <c r="B550" s="49">
        <v>45953</v>
      </c>
      <c r="C550" s="42" t="s">
        <v>2370</v>
      </c>
      <c r="D550" s="41" t="s">
        <v>2371</v>
      </c>
      <c r="E550" s="38" t="s">
        <v>2372</v>
      </c>
      <c r="F550" s="18" t="s">
        <v>2373</v>
      </c>
      <c r="G550" s="70" t="s">
        <v>2374</v>
      </c>
      <c r="H550" s="18" t="s">
        <v>474</v>
      </c>
      <c r="I550" s="18" t="s">
        <v>54</v>
      </c>
      <c r="K550" s="5" t="s">
        <v>652</v>
      </c>
      <c r="L550" t="str">
        <f t="shared" si="9"/>
        <v>avapanda190@icloud.com</v>
      </c>
    </row>
    <row r="551" spans="1:12">
      <c r="A551" t="str" cm="1">
        <f t="array" ref="A551">_xlfn.LET(_xlpm.e,L551,
IF(_xlpm.e="","",
"DOC-"&amp;TEXT(ROW()-ROW(tblMaster[#Headers]),"00000")
))</f>
        <v>DOC-00550</v>
      </c>
      <c r="B551" s="49">
        <v>45953</v>
      </c>
      <c r="C551" s="42" t="s">
        <v>2375</v>
      </c>
      <c r="D551" s="41" t="s">
        <v>2376</v>
      </c>
      <c r="E551" s="38" t="s">
        <v>2377</v>
      </c>
      <c r="F551" s="18" t="s">
        <v>2378</v>
      </c>
      <c r="G551" s="70" t="s">
        <v>544</v>
      </c>
      <c r="H551" s="18" t="s">
        <v>17</v>
      </c>
      <c r="I551" s="18" t="s">
        <v>54</v>
      </c>
      <c r="K551" s="5" t="s">
        <v>652</v>
      </c>
      <c r="L551" t="str">
        <f t="shared" si="9"/>
        <v>shannonelizabethdaly@icloud.com</v>
      </c>
    </row>
    <row r="552" spans="1:12">
      <c r="A552" t="str" cm="1">
        <f t="array" ref="A552">_xlfn.LET(_xlpm.e,L552,
IF(_xlpm.e="","",
"DOC-"&amp;TEXT(ROW()-ROW(tblMaster[#Headers]),"00000")
))</f>
        <v>DOC-00551</v>
      </c>
      <c r="B552" s="49">
        <v>45953</v>
      </c>
      <c r="C552" s="42" t="s">
        <v>175</v>
      </c>
      <c r="D552" s="41" t="s">
        <v>2379</v>
      </c>
      <c r="E552" s="38" t="s">
        <v>2380</v>
      </c>
      <c r="F552" s="18" t="s">
        <v>2381</v>
      </c>
      <c r="G552" s="70" t="s">
        <v>2382</v>
      </c>
      <c r="H552" s="18" t="s">
        <v>267</v>
      </c>
      <c r="I552" s="18" t="s">
        <v>112</v>
      </c>
      <c r="K552" s="5" t="s">
        <v>652</v>
      </c>
      <c r="L552" t="str">
        <f t="shared" si="9"/>
        <v>nicholas.dicocco@outlook.com</v>
      </c>
    </row>
    <row r="553" spans="1:12">
      <c r="A553" t="str" cm="1">
        <f t="array" ref="A553">_xlfn.LET(_xlpm.e,L553,
IF(_xlpm.e="","",
"DOC-"&amp;TEXT(ROW()-ROW(tblMaster[#Headers]),"00000")
))</f>
        <v>DOC-00552</v>
      </c>
      <c r="B553" s="49">
        <v>45953</v>
      </c>
      <c r="C553" s="42" t="s">
        <v>2383</v>
      </c>
      <c r="D553" s="41" t="s">
        <v>2384</v>
      </c>
      <c r="E553" s="39" t="s">
        <v>2385</v>
      </c>
      <c r="F553" s="18" t="s">
        <v>2386</v>
      </c>
      <c r="G553" s="70" t="s">
        <v>2387</v>
      </c>
      <c r="H553" s="18" t="s">
        <v>17</v>
      </c>
      <c r="I553" s="18" t="s">
        <v>54</v>
      </c>
      <c r="K553" s="5" t="s">
        <v>652</v>
      </c>
      <c r="L553" t="str">
        <f t="shared" si="9"/>
        <v>jordyn.holohan@icloud.com</v>
      </c>
    </row>
    <row r="554" spans="1:12">
      <c r="A554" t="str" cm="1">
        <f t="array" ref="A554">_xlfn.LET(_xlpm.e,L554,
IF(_xlpm.e="","",
"DOC-"&amp;TEXT(ROW()-ROW(tblMaster[#Headers]),"00000")
))</f>
        <v>DOC-00553</v>
      </c>
      <c r="B554" s="49">
        <v>45953</v>
      </c>
      <c r="C554" s="42" t="s">
        <v>2388</v>
      </c>
      <c r="D554" s="41" t="s">
        <v>2389</v>
      </c>
      <c r="E554" s="38" t="s">
        <v>2390</v>
      </c>
      <c r="F554" s="18" t="s">
        <v>2391</v>
      </c>
      <c r="G554" s="70" t="s">
        <v>2392</v>
      </c>
      <c r="H554" s="18" t="s">
        <v>267</v>
      </c>
      <c r="I554" s="18" t="s">
        <v>54</v>
      </c>
      <c r="K554" s="5" t="s">
        <v>652</v>
      </c>
      <c r="L554" t="str">
        <f t="shared" si="9"/>
        <v>opes</v>
      </c>
    </row>
    <row r="555" spans="1:12">
      <c r="A555" t="str" cm="1">
        <f t="array" ref="A555">_xlfn.LET(_xlpm.e,L555,
IF(_xlpm.e="","",
"DOC-"&amp;TEXT(ROW()-ROW(tblMaster[#Headers]),"00000")
))</f>
        <v>DOC-00554</v>
      </c>
      <c r="B555" s="49">
        <v>45953</v>
      </c>
      <c r="C555" s="42" t="s">
        <v>2393</v>
      </c>
      <c r="D555" s="41" t="s">
        <v>2394</v>
      </c>
      <c r="E555" s="38" t="s">
        <v>2395</v>
      </c>
      <c r="F555" s="18" t="s">
        <v>2396</v>
      </c>
      <c r="G555" s="70" t="s">
        <v>2397</v>
      </c>
      <c r="H555" s="18" t="s">
        <v>1875</v>
      </c>
      <c r="I555" s="18" t="s">
        <v>54</v>
      </c>
      <c r="J555" s="99" t="s">
        <v>23</v>
      </c>
      <c r="K555" s="5" t="s">
        <v>652</v>
      </c>
      <c r="L555" t="str">
        <f t="shared" si="9"/>
        <v>cerquozzi02@outlook.com</v>
      </c>
    </row>
    <row r="556" spans="1:12">
      <c r="A556" t="str" cm="1">
        <f t="array" ref="A556">_xlfn.LET(_xlpm.e,L556,
IF(_xlpm.e="","",
"DOC-"&amp;TEXT(ROW()-ROW(tblMaster[#Headers]),"00000")
))</f>
        <v>DOC-00555</v>
      </c>
      <c r="B556" s="49">
        <v>45953</v>
      </c>
      <c r="C556" s="42" t="s">
        <v>1999</v>
      </c>
      <c r="D556" s="41" t="s">
        <v>2398</v>
      </c>
      <c r="E556" s="38" t="s">
        <v>2399</v>
      </c>
      <c r="F556" s="18" t="s">
        <v>2400</v>
      </c>
      <c r="G556" s="70" t="s">
        <v>2401</v>
      </c>
      <c r="H556" s="18" t="s">
        <v>17</v>
      </c>
      <c r="I556" s="18" t="s">
        <v>54</v>
      </c>
      <c r="J556" s="99" t="s">
        <v>118</v>
      </c>
      <c r="K556" s="5" t="s">
        <v>652</v>
      </c>
      <c r="L556" t="str">
        <f t="shared" si="9"/>
        <v>cflo0709@gmail.com</v>
      </c>
    </row>
    <row r="557" spans="1:12">
      <c r="A557" t="str" cm="1">
        <f t="array" ref="A557">_xlfn.LET(_xlpm.e,L557,
IF(_xlpm.e="","",
"DOC-"&amp;TEXT(ROW()-ROW(tblMaster[#Headers]),"00000")
))</f>
        <v>DOC-00556</v>
      </c>
      <c r="B557" s="49">
        <v>45953</v>
      </c>
      <c r="C557" s="17" t="s">
        <v>2402</v>
      </c>
      <c r="D557" s="18" t="s">
        <v>1672</v>
      </c>
      <c r="E557" s="123" t="s">
        <v>2403</v>
      </c>
      <c r="F557" s="18" t="s">
        <v>2404</v>
      </c>
      <c r="G557" s="100" t="s">
        <v>281</v>
      </c>
      <c r="H557" s="18" t="s">
        <v>17</v>
      </c>
      <c r="I557" s="18" t="s">
        <v>101</v>
      </c>
      <c r="J557" s="99" t="s">
        <v>560</v>
      </c>
      <c r="K557" s="5" t="s">
        <v>652</v>
      </c>
      <c r="L557" t="str">
        <f t="shared" si="9"/>
        <v>fritzijean84@gmail.com</v>
      </c>
    </row>
    <row r="558" spans="1:12">
      <c r="A558" t="str" cm="1">
        <f t="array" ref="A558">_xlfn.LET(_xlpm.e,L558,
IF(_xlpm.e="","",
"DOC-"&amp;TEXT(ROW()-ROW(tblMaster[#Headers]),"00000")
))</f>
        <v>DOC-00557</v>
      </c>
      <c r="B558" s="49">
        <v>45953</v>
      </c>
      <c r="C558" s="42" t="s">
        <v>1193</v>
      </c>
      <c r="D558" s="41" t="s">
        <v>2405</v>
      </c>
      <c r="E558" s="38" t="s">
        <v>2406</v>
      </c>
      <c r="F558" s="18" t="s">
        <v>2407</v>
      </c>
      <c r="G558" s="70" t="s">
        <v>2408</v>
      </c>
      <c r="H558" s="18" t="s">
        <v>17</v>
      </c>
      <c r="I558" s="18" t="s">
        <v>101</v>
      </c>
      <c r="J558" s="99" t="s">
        <v>118</v>
      </c>
      <c r="K558" s="5" t="s">
        <v>652</v>
      </c>
      <c r="L558" t="str">
        <f t="shared" si="9"/>
        <v>rrosenthal2019@gmail.com</v>
      </c>
    </row>
    <row r="559" spans="1:12">
      <c r="A559" t="str" cm="1">
        <f t="array" ref="A559">_xlfn.LET(_xlpm.e,L559,
IF(_xlpm.e="","",
"DOC-"&amp;TEXT(ROW()-ROW(tblMaster[#Headers]),"00000")
))</f>
        <v>DOC-00558</v>
      </c>
      <c r="B559" s="49">
        <v>45953</v>
      </c>
      <c r="C559" s="17" t="s">
        <v>2409</v>
      </c>
      <c r="D559" s="18" t="s">
        <v>2410</v>
      </c>
      <c r="E559" s="123" t="s">
        <v>2411</v>
      </c>
      <c r="F559" s="18" t="s">
        <v>2412</v>
      </c>
      <c r="G559" s="100" t="s">
        <v>544</v>
      </c>
      <c r="H559" s="18" t="s">
        <v>17</v>
      </c>
      <c r="I559" s="18" t="s">
        <v>101</v>
      </c>
      <c r="J559" s="99" t="s">
        <v>560</v>
      </c>
      <c r="K559" s="5" t="s">
        <v>652</v>
      </c>
      <c r="L559" t="str">
        <f t="shared" si="9"/>
        <v>lopezyarian09@icloud.com</v>
      </c>
    </row>
    <row r="560" spans="1:12">
      <c r="A560" t="str" cm="1">
        <f t="array" ref="A560">_xlfn.LET(_xlpm.e,L560,
IF(_xlpm.e="","",
"DOC-"&amp;TEXT(ROW()-ROW(tblMaster[#Headers]),"00000")
))</f>
        <v>DOC-00559</v>
      </c>
      <c r="B560" s="49">
        <v>45953</v>
      </c>
      <c r="C560" s="42" t="s">
        <v>2413</v>
      </c>
      <c r="D560" s="41" t="s">
        <v>2414</v>
      </c>
      <c r="E560" s="38" t="s">
        <v>2415</v>
      </c>
      <c r="F560" s="18" t="s">
        <v>2416</v>
      </c>
      <c r="G560" s="70" t="s">
        <v>1416</v>
      </c>
      <c r="H560" s="18" t="s">
        <v>17</v>
      </c>
      <c r="I560" s="18" t="s">
        <v>101</v>
      </c>
      <c r="K560" s="5" t="s">
        <v>652</v>
      </c>
      <c r="L560" t="str">
        <f t="shared" si="9"/>
        <v>ramondjvega@gmail.com</v>
      </c>
    </row>
    <row r="561" spans="1:12">
      <c r="A561" t="str" cm="1">
        <f t="array" ref="A561">_xlfn.LET(_xlpm.e,L561,
IF(_xlpm.e="","",
"DOC-"&amp;TEXT(ROW()-ROW(tblMaster[#Headers]),"00000")
))</f>
        <v>DOC-00560</v>
      </c>
      <c r="B561" s="49">
        <v>45953</v>
      </c>
      <c r="C561" s="42" t="s">
        <v>2417</v>
      </c>
      <c r="D561" s="41" t="s">
        <v>2418</v>
      </c>
      <c r="E561" s="38" t="s">
        <v>2419</v>
      </c>
      <c r="F561" s="18" t="s">
        <v>2420</v>
      </c>
      <c r="G561" s="70" t="s">
        <v>74</v>
      </c>
      <c r="H561" s="18" t="s">
        <v>17</v>
      </c>
      <c r="I561" s="18" t="s">
        <v>54</v>
      </c>
      <c r="K561" s="5" t="s">
        <v>652</v>
      </c>
      <c r="L561" t="str">
        <f t="shared" si="9"/>
        <v>clintonofosuhene10@gmail.com</v>
      </c>
    </row>
    <row r="562" spans="1:12">
      <c r="A562" t="str" cm="1">
        <f t="array" ref="A562">_xlfn.LET(_xlpm.e,L562,
IF(_xlpm.e="","",
"DOC-"&amp;TEXT(ROW()-ROW(tblMaster[#Headers]),"00000")
))</f>
        <v/>
      </c>
      <c r="B562" s="49">
        <v>45953</v>
      </c>
      <c r="C562" s="42" t="s">
        <v>2421</v>
      </c>
      <c r="D562" s="41" t="s">
        <v>2422</v>
      </c>
      <c r="E562" s="39"/>
      <c r="F562" s="18" t="s">
        <v>2423</v>
      </c>
      <c r="G562" s="70" t="s">
        <v>344</v>
      </c>
      <c r="H562" s="18" t="s">
        <v>17</v>
      </c>
      <c r="I562" s="18" t="s">
        <v>112</v>
      </c>
      <c r="K562" s="5" t="s">
        <v>652</v>
      </c>
      <c r="L562" t="str">
        <f t="shared" si="9"/>
        <v/>
      </c>
    </row>
    <row r="563" spans="1:12">
      <c r="A563" t="str" cm="1">
        <f t="array" ref="A563">_xlfn.LET(_xlpm.e,L563,
IF(_xlpm.e="","",
"DOC-"&amp;TEXT(ROW()-ROW(tblMaster[#Headers]),"00000")
))</f>
        <v>DOC-00562</v>
      </c>
      <c r="B563" s="49">
        <v>45953</v>
      </c>
      <c r="C563" s="42" t="s">
        <v>724</v>
      </c>
      <c r="D563" s="41" t="s">
        <v>2424</v>
      </c>
      <c r="E563" s="38" t="s">
        <v>2425</v>
      </c>
      <c r="F563" s="18" t="s">
        <v>2426</v>
      </c>
      <c r="G563" s="70" t="s">
        <v>750</v>
      </c>
      <c r="H563" s="18" t="s">
        <v>17</v>
      </c>
      <c r="I563" s="18" t="s">
        <v>54</v>
      </c>
      <c r="J563" s="99" t="s">
        <v>23</v>
      </c>
      <c r="K563" s="5" t="s">
        <v>652</v>
      </c>
      <c r="L563" t="str">
        <f t="shared" si="9"/>
        <v>gamingemail1987@yahoo.com</v>
      </c>
    </row>
    <row r="564" spans="1:12">
      <c r="A564" t="str" cm="1">
        <f t="array" ref="A564">_xlfn.LET(_xlpm.e,L564,
IF(_xlpm.e="","",
"DOC-"&amp;TEXT(ROW()-ROW(tblMaster[#Headers]),"00000")
))</f>
        <v>DOC-00563</v>
      </c>
      <c r="B564" s="49">
        <v>45953</v>
      </c>
      <c r="C564" s="42" t="s">
        <v>2427</v>
      </c>
      <c r="D564" s="41" t="s">
        <v>2428</v>
      </c>
      <c r="E564" s="38" t="s">
        <v>2429</v>
      </c>
      <c r="F564" s="18" t="s">
        <v>2430</v>
      </c>
      <c r="G564" s="70" t="s">
        <v>52</v>
      </c>
      <c r="H564" s="18" t="s">
        <v>17</v>
      </c>
      <c r="I564" s="18" t="s">
        <v>54</v>
      </c>
      <c r="K564" s="5" t="s">
        <v>652</v>
      </c>
      <c r="L564" t="str">
        <f t="shared" si="9"/>
        <v>rafaelsil17@gmail.com</v>
      </c>
    </row>
    <row r="565" spans="1:12">
      <c r="A565" t="str" cm="1">
        <f t="array" ref="A565">_xlfn.LET(_xlpm.e,L565,
IF(_xlpm.e="","",
"DOC-"&amp;TEXT(ROW()-ROW(tblMaster[#Headers]),"00000")
))</f>
        <v>DOC-00564</v>
      </c>
      <c r="B565" s="49">
        <v>45953</v>
      </c>
      <c r="C565" s="42" t="s">
        <v>1721</v>
      </c>
      <c r="D565" s="41" t="s">
        <v>2431</v>
      </c>
      <c r="E565" s="38" t="s">
        <v>2432</v>
      </c>
      <c r="F565" s="18" t="s">
        <v>2433</v>
      </c>
      <c r="G565" s="41" t="s">
        <v>2434</v>
      </c>
      <c r="H565" s="18" t="s">
        <v>17</v>
      </c>
      <c r="I565" s="18" t="s">
        <v>54</v>
      </c>
      <c r="K565" s="5" t="s">
        <v>652</v>
      </c>
      <c r="L565" t="str">
        <f t="shared" si="9"/>
        <v>etortorici98@gmail.com</v>
      </c>
    </row>
    <row r="566" spans="1:12">
      <c r="A566" t="str" cm="1">
        <f t="array" ref="A566">_xlfn.LET(_xlpm.e,L566,
IF(_xlpm.e="","",
"DOC-"&amp;TEXT(ROW()-ROW(tblMaster[#Headers]),"00000")
))</f>
        <v>DOC-00565</v>
      </c>
      <c r="B566" s="49">
        <v>45953</v>
      </c>
      <c r="C566" s="42" t="s">
        <v>2435</v>
      </c>
      <c r="D566" s="41" t="s">
        <v>2436</v>
      </c>
      <c r="E566" s="38" t="s">
        <v>2437</v>
      </c>
      <c r="F566" s="18" t="s">
        <v>2438</v>
      </c>
      <c r="G566" s="41"/>
      <c r="H566" s="18" t="s">
        <v>17</v>
      </c>
      <c r="I566" s="18" t="s">
        <v>54</v>
      </c>
      <c r="K566" s="5" t="s">
        <v>652</v>
      </c>
      <c r="L566" t="str">
        <f t="shared" si="9"/>
        <v>alysoran@yahoo.com</v>
      </c>
    </row>
    <row r="567" spans="1:12">
      <c r="A567" t="str" cm="1">
        <f t="array" ref="A567">_xlfn.LET(_xlpm.e,L567,
IF(_xlpm.e="","",
"DOC-"&amp;TEXT(ROW()-ROW(tblMaster[#Headers]),"00000")
))</f>
        <v>DOC-00566</v>
      </c>
      <c r="B567" s="49">
        <v>45953</v>
      </c>
      <c r="C567" s="42" t="s">
        <v>934</v>
      </c>
      <c r="D567" s="41" t="s">
        <v>2439</v>
      </c>
      <c r="E567" s="38" t="s">
        <v>2440</v>
      </c>
      <c r="F567" s="18" t="s">
        <v>2441</v>
      </c>
      <c r="G567" s="41"/>
      <c r="H567" s="18" t="s">
        <v>17</v>
      </c>
      <c r="I567" s="18" t="s">
        <v>101</v>
      </c>
      <c r="K567" s="5" t="s">
        <v>652</v>
      </c>
      <c r="L567" t="str">
        <f t="shared" si="9"/>
        <v>davidyantang@gmail.com</v>
      </c>
    </row>
    <row r="568" spans="1:12">
      <c r="A568" t="str" cm="1">
        <f t="array" ref="A568">_xlfn.LET(_xlpm.e,L568,
IF(_xlpm.e="","",
"DOC-"&amp;TEXT(ROW()-ROW(tblMaster[#Headers]),"00000")
))</f>
        <v>DOC-00567</v>
      </c>
      <c r="B568" s="49">
        <v>45953</v>
      </c>
      <c r="C568" s="42" t="s">
        <v>2442</v>
      </c>
      <c r="D568" s="41" t="s">
        <v>2443</v>
      </c>
      <c r="E568" s="38" t="s">
        <v>2444</v>
      </c>
      <c r="F568" s="18" t="s">
        <v>2445</v>
      </c>
      <c r="G568" s="41" t="s">
        <v>281</v>
      </c>
      <c r="H568" s="18" t="s">
        <v>17</v>
      </c>
      <c r="I568" s="18" t="s">
        <v>112</v>
      </c>
      <c r="K568" s="5" t="s">
        <v>652</v>
      </c>
      <c r="L568" t="str">
        <f t="shared" si="9"/>
        <v>padronwendy03@gmail.com</v>
      </c>
    </row>
    <row r="569" spans="1:12">
      <c r="A569" t="str" cm="1">
        <f t="array" ref="A569">_xlfn.LET(_xlpm.e,L569,
IF(_xlpm.e="","",
"DOC-"&amp;TEXT(ROW()-ROW(tblMaster[#Headers]),"00000")
))</f>
        <v>DOC-00568</v>
      </c>
      <c r="B569" s="49">
        <v>45953</v>
      </c>
      <c r="C569" s="42" t="s">
        <v>1664</v>
      </c>
      <c r="D569" s="41" t="s">
        <v>1595</v>
      </c>
      <c r="E569" s="38" t="s">
        <v>2446</v>
      </c>
      <c r="F569" s="18" t="s">
        <v>2447</v>
      </c>
      <c r="G569" s="41" t="s">
        <v>2448</v>
      </c>
      <c r="H569" s="18" t="s">
        <v>1156</v>
      </c>
      <c r="I569" s="18" t="s">
        <v>54</v>
      </c>
      <c r="J569" s="99" t="s">
        <v>23</v>
      </c>
      <c r="K569" s="5" t="s">
        <v>652</v>
      </c>
      <c r="L569" t="str">
        <f t="shared" si="9"/>
        <v>philliptsmith12@gmail.com</v>
      </c>
    </row>
    <row r="570" spans="1:12">
      <c r="A570" t="str" cm="1">
        <f t="array" ref="A570">_xlfn.LET(_xlpm.e,L570,
IF(_xlpm.e="","",
"DOC-"&amp;TEXT(ROW()-ROW(tblMaster[#Headers]),"00000")
))</f>
        <v>DOC-00569</v>
      </c>
      <c r="B570" s="49">
        <v>45953</v>
      </c>
      <c r="C570" s="42" t="s">
        <v>93</v>
      </c>
      <c r="D570" s="41" t="s">
        <v>2449</v>
      </c>
      <c r="E570" s="38" t="s">
        <v>2450</v>
      </c>
      <c r="F570" s="18" t="s">
        <v>2451</v>
      </c>
      <c r="G570" s="41" t="s">
        <v>142</v>
      </c>
      <c r="H570" s="18" t="s">
        <v>17</v>
      </c>
      <c r="I570" s="18" t="s">
        <v>112</v>
      </c>
      <c r="K570" s="5" t="s">
        <v>652</v>
      </c>
      <c r="L570" t="str">
        <f t="shared" si="9"/>
        <v>jduponte64@gmail.com</v>
      </c>
    </row>
    <row r="571" spans="1:12">
      <c r="A571" t="str" cm="1">
        <f t="array" ref="A571">_xlfn.LET(_xlpm.e,L571,
IF(_xlpm.e="","",
"DOC-"&amp;TEXT(ROW()-ROW(tblMaster[#Headers]),"00000")
))</f>
        <v>DOC-00570</v>
      </c>
      <c r="B571" s="49">
        <v>45953</v>
      </c>
      <c r="C571" s="42" t="s">
        <v>2452</v>
      </c>
      <c r="D571" s="41" t="s">
        <v>2453</v>
      </c>
      <c r="E571" s="38" t="s">
        <v>2454</v>
      </c>
      <c r="F571" s="18" t="s">
        <v>2455</v>
      </c>
      <c r="G571" s="41" t="s">
        <v>2456</v>
      </c>
      <c r="H571" s="18" t="s">
        <v>17</v>
      </c>
      <c r="I571" s="18" t="s">
        <v>54</v>
      </c>
      <c r="K571" s="5" t="s">
        <v>652</v>
      </c>
      <c r="L571" t="str">
        <f t="shared" si="9"/>
        <v>akaupu26@gmail.com</v>
      </c>
    </row>
    <row r="572" spans="1:12">
      <c r="A572" t="str" cm="1">
        <f t="array" ref="A572">_xlfn.LET(_xlpm.e,L572,
IF(_xlpm.e="","",
"DOC-"&amp;TEXT(ROW()-ROW(tblMaster[#Headers]),"00000")
))</f>
        <v>DOC-00571</v>
      </c>
      <c r="B572" s="49">
        <v>45953</v>
      </c>
      <c r="C572" s="42" t="s">
        <v>75</v>
      </c>
      <c r="D572" s="41" t="s">
        <v>2457</v>
      </c>
      <c r="E572" s="38" t="s">
        <v>2458</v>
      </c>
      <c r="F572" s="18" t="s">
        <v>2459</v>
      </c>
      <c r="G572" s="41" t="s">
        <v>837</v>
      </c>
      <c r="H572" s="18" t="s">
        <v>17</v>
      </c>
      <c r="I572" s="18" t="s">
        <v>54</v>
      </c>
      <c r="K572" s="5" t="s">
        <v>652</v>
      </c>
      <c r="L572" t="str">
        <f t="shared" si="9"/>
        <v>joshcox1011@gmail.com</v>
      </c>
    </row>
    <row r="573" spans="1:12">
      <c r="A573" t="str" cm="1">
        <f t="array" ref="A573">_xlfn.LET(_xlpm.e,L573,
IF(_xlpm.e="","",
"DOC-"&amp;TEXT(ROW()-ROW(tblMaster[#Headers]),"00000")
))</f>
        <v>DOC-00572</v>
      </c>
      <c r="B573" s="49">
        <v>45953</v>
      </c>
      <c r="C573" s="42" t="s">
        <v>148</v>
      </c>
      <c r="D573" s="41" t="s">
        <v>2460</v>
      </c>
      <c r="E573" s="38" t="s">
        <v>2461</v>
      </c>
      <c r="F573" s="18" t="s">
        <v>2462</v>
      </c>
      <c r="G573" s="41" t="s">
        <v>257</v>
      </c>
      <c r="H573" s="18" t="s">
        <v>17</v>
      </c>
      <c r="I573" s="18" t="s">
        <v>112</v>
      </c>
      <c r="J573" s="99" t="s">
        <v>66</v>
      </c>
      <c r="K573" s="5" t="s">
        <v>652</v>
      </c>
      <c r="L573" t="str">
        <f t="shared" si="9"/>
        <v>adam.hakizimana@gmail.com</v>
      </c>
    </row>
    <row r="574" spans="1:12">
      <c r="A574" t="str" cm="1">
        <f t="array" ref="A574">_xlfn.LET(_xlpm.e,L574,
IF(_xlpm.e="","",
"DOC-"&amp;TEXT(ROW()-ROW(tblMaster[#Headers]),"00000")
))</f>
        <v>DOC-00573</v>
      </c>
      <c r="B574" s="49">
        <v>45953</v>
      </c>
      <c r="C574" s="42" t="s">
        <v>2463</v>
      </c>
      <c r="D574" s="41" t="s">
        <v>2464</v>
      </c>
      <c r="E574" s="38" t="s">
        <v>2465</v>
      </c>
      <c r="F574" s="18" t="s">
        <v>2466</v>
      </c>
      <c r="G574" s="41" t="s">
        <v>2467</v>
      </c>
      <c r="H574" s="18" t="s">
        <v>888</v>
      </c>
      <c r="I574" s="18" t="s">
        <v>101</v>
      </c>
      <c r="K574" s="5" t="s">
        <v>652</v>
      </c>
      <c r="L574" t="str">
        <f t="shared" si="9"/>
        <v>twelliever@gmail.com</v>
      </c>
    </row>
    <row r="575" spans="1:12">
      <c r="A575" t="str" cm="1">
        <f t="array" ref="A575">_xlfn.LET(_xlpm.e,L575,
IF(_xlpm.e="","",
"DOC-"&amp;TEXT(ROW()-ROW(tblMaster[#Headers]),"00000")
))</f>
        <v>DOC-00574</v>
      </c>
      <c r="B575" s="49">
        <v>45953</v>
      </c>
      <c r="C575" s="42" t="s">
        <v>2468</v>
      </c>
      <c r="D575" s="41" t="s">
        <v>2469</v>
      </c>
      <c r="E575" s="38" t="s">
        <v>2470</v>
      </c>
      <c r="F575" s="18" t="s">
        <v>2471</v>
      </c>
      <c r="G575" s="41" t="s">
        <v>2472</v>
      </c>
      <c r="H575" s="18" t="s">
        <v>17</v>
      </c>
      <c r="I575" s="18" t="s">
        <v>54</v>
      </c>
      <c r="J575" s="99" t="s">
        <v>66</v>
      </c>
      <c r="K575" s="5" t="s">
        <v>652</v>
      </c>
      <c r="L575" t="str">
        <f t="shared" si="9"/>
        <v>maloney.erik@yahoo.com</v>
      </c>
    </row>
    <row r="576" spans="1:12">
      <c r="A576" t="str" cm="1">
        <f t="array" ref="A576">_xlfn.LET(_xlpm.e,L576,
IF(_xlpm.e="","",
"DOC-"&amp;TEXT(ROW()-ROW(tblMaster[#Headers]),"00000")
))</f>
        <v>DOC-00575</v>
      </c>
      <c r="B576" s="49">
        <v>45953</v>
      </c>
      <c r="C576" s="42" t="s">
        <v>2473</v>
      </c>
      <c r="D576" s="41" t="s">
        <v>945</v>
      </c>
      <c r="E576" s="38" t="s">
        <v>2474</v>
      </c>
      <c r="F576" s="18" t="s">
        <v>2475</v>
      </c>
      <c r="G576" s="41" t="s">
        <v>2476</v>
      </c>
      <c r="H576" s="18" t="s">
        <v>17</v>
      </c>
      <c r="I576" s="17"/>
      <c r="K576" s="5" t="s">
        <v>652</v>
      </c>
      <c r="L576" t="str">
        <f t="shared" si="9"/>
        <v>monicia334@yahoo.com</v>
      </c>
    </row>
    <row r="577" spans="1:12">
      <c r="A577" t="str" cm="1">
        <f t="array" ref="A577">_xlfn.LET(_xlpm.e,L577,
IF(_xlpm.e="","",
"DOC-"&amp;TEXT(ROW()-ROW(tblMaster[#Headers]),"00000")
))</f>
        <v>DOC-00576</v>
      </c>
      <c r="B577" s="49">
        <v>45953</v>
      </c>
      <c r="C577" s="42" t="s">
        <v>2477</v>
      </c>
      <c r="D577" s="42" t="s">
        <v>2478</v>
      </c>
      <c r="E577" s="38" t="s">
        <v>2479</v>
      </c>
      <c r="F577" s="17" t="s">
        <v>2480</v>
      </c>
      <c r="G577" s="42" t="s">
        <v>2481</v>
      </c>
      <c r="H577" s="17" t="s">
        <v>1156</v>
      </c>
      <c r="I577" s="18" t="s">
        <v>54</v>
      </c>
      <c r="K577" s="5" t="s">
        <v>652</v>
      </c>
      <c r="L577" t="str">
        <f t="shared" si="9"/>
        <v>bc1319990@gmail.com</v>
      </c>
    </row>
    <row r="578" spans="1:12">
      <c r="A578" t="str" cm="1">
        <f t="array" ref="A578">_xlfn.LET(_xlpm.e,L578,
IF(_xlpm.e="","",
"DOC-"&amp;TEXT(ROW()-ROW(tblMaster[#Headers]),"00000")
))</f>
        <v>DOC-00577</v>
      </c>
      <c r="B578" s="49">
        <v>45953</v>
      </c>
      <c r="C578" s="42" t="s">
        <v>2482</v>
      </c>
      <c r="D578" s="42" t="s">
        <v>2483</v>
      </c>
      <c r="E578" s="38" t="s">
        <v>2484</v>
      </c>
      <c r="F578" s="17" t="s">
        <v>2485</v>
      </c>
      <c r="G578" s="42" t="s">
        <v>231</v>
      </c>
      <c r="H578" s="17" t="s">
        <v>17</v>
      </c>
      <c r="I578" s="17" t="s">
        <v>2486</v>
      </c>
      <c r="K578" s="5" t="s">
        <v>652</v>
      </c>
      <c r="L578" t="str">
        <f t="shared" si="9"/>
        <v>m12xgiggles@gmail.com</v>
      </c>
    </row>
    <row r="579" spans="1:12">
      <c r="A579" t="str" cm="1">
        <f t="array" ref="A579">_xlfn.LET(_xlpm.e,L579,
IF(_xlpm.e="","",
"DOC-"&amp;TEXT(ROW()-ROW(tblMaster[#Headers]),"00000")
))</f>
        <v>DOC-00578</v>
      </c>
      <c r="B579" s="49">
        <v>45954</v>
      </c>
      <c r="C579" s="42" t="s">
        <v>2487</v>
      </c>
      <c r="D579" s="42" t="s">
        <v>2488</v>
      </c>
      <c r="E579" s="38" t="s">
        <v>2489</v>
      </c>
      <c r="F579" s="17" t="s">
        <v>2490</v>
      </c>
      <c r="G579" s="42" t="s">
        <v>158</v>
      </c>
      <c r="H579" s="17" t="s">
        <v>17</v>
      </c>
      <c r="I579" s="18" t="s">
        <v>193</v>
      </c>
      <c r="K579" s="5" t="s">
        <v>652</v>
      </c>
      <c r="L579" t="str">
        <f t="shared" si="9"/>
        <v>jeremibrito150@gmail.com</v>
      </c>
    </row>
    <row r="580" spans="1:12">
      <c r="A580" t="str" cm="1">
        <f t="array" ref="A580">_xlfn.LET(_xlpm.e,L580,
IF(_xlpm.e="","",
"DOC-"&amp;TEXT(ROW()-ROW(tblMaster[#Headers]),"00000")
))</f>
        <v>DOC-00579</v>
      </c>
      <c r="B580" s="49">
        <v>45954</v>
      </c>
      <c r="C580" s="42" t="s">
        <v>2491</v>
      </c>
      <c r="D580" s="42" t="s">
        <v>2492</v>
      </c>
      <c r="E580" s="38" t="s">
        <v>2493</v>
      </c>
      <c r="F580" s="17" t="s">
        <v>2494</v>
      </c>
      <c r="G580" s="42"/>
      <c r="H580" s="17"/>
      <c r="I580" s="18" t="s">
        <v>193</v>
      </c>
      <c r="K580" s="5" t="s">
        <v>652</v>
      </c>
      <c r="L580" t="str">
        <f t="shared" si="9"/>
        <v>kristensheran@gmail.com</v>
      </c>
    </row>
    <row r="581" spans="1:12">
      <c r="A581" t="str" cm="1">
        <f t="array" ref="A581">_xlfn.LET(_xlpm.e,L581,
IF(_xlpm.e="","",
"DOC-"&amp;TEXT(ROW()-ROW(tblMaster[#Headers]),"00000")
))</f>
        <v>DOC-00580</v>
      </c>
      <c r="B581" s="49">
        <v>45954</v>
      </c>
      <c r="C581" s="42" t="s">
        <v>1070</v>
      </c>
      <c r="D581" s="42" t="s">
        <v>2495</v>
      </c>
      <c r="E581" s="38" t="s">
        <v>2496</v>
      </c>
      <c r="F581" s="17" t="s">
        <v>2497</v>
      </c>
      <c r="G581" s="42" t="s">
        <v>1502</v>
      </c>
      <c r="H581" s="17" t="s">
        <v>17</v>
      </c>
      <c r="I581" s="18" t="s">
        <v>54</v>
      </c>
      <c r="J581" s="99" t="s">
        <v>23</v>
      </c>
      <c r="K581" s="5" t="s">
        <v>652</v>
      </c>
      <c r="L581" t="str">
        <f t="shared" si="9"/>
        <v>jatkins0284@gmail.com</v>
      </c>
    </row>
    <row r="582" spans="1:12">
      <c r="A582" t="str" cm="1">
        <f t="array" ref="A582">_xlfn.LET(_xlpm.e,L582,
IF(_xlpm.e="","",
"DOC-"&amp;TEXT(ROW()-ROW(tblMaster[#Headers]),"00000")
))</f>
        <v>DOC-00581</v>
      </c>
      <c r="B582" s="49">
        <v>45954</v>
      </c>
      <c r="C582" s="42" t="s">
        <v>2498</v>
      </c>
      <c r="D582" s="42" t="s">
        <v>2499</v>
      </c>
      <c r="E582" s="38" t="s">
        <v>2500</v>
      </c>
      <c r="F582" s="17" t="s">
        <v>2501</v>
      </c>
      <c r="G582" s="42" t="s">
        <v>74</v>
      </c>
      <c r="H582" s="17" t="s">
        <v>17</v>
      </c>
      <c r="I582" s="18" t="s">
        <v>54</v>
      </c>
      <c r="K582" s="5" t="s">
        <v>652</v>
      </c>
      <c r="L582" t="str">
        <f t="shared" ref="L582:L645" si="10">_xlfn.LET(_xlpm.x,E582,
_xlpm.y,TRIM(CLEAN(SUBSTITUTE(_xlpm.x,CHAR(160)," "))),
LOWER(_xlpm.y))</f>
        <v>rodneybameek37@yahoo.com</v>
      </c>
    </row>
    <row r="583" spans="1:12">
      <c r="A583" t="str" cm="1">
        <f t="array" ref="A583">_xlfn.LET(_xlpm.e,L583,
IF(_xlpm.e="","",
"DOC-"&amp;TEXT(ROW()-ROW(tblMaster[#Headers]),"00000")
))</f>
        <v>DOC-00582</v>
      </c>
      <c r="B583" s="49">
        <v>45957</v>
      </c>
      <c r="C583" s="42" t="s">
        <v>2502</v>
      </c>
      <c r="D583" s="41" t="s">
        <v>2503</v>
      </c>
      <c r="E583" s="38" t="s">
        <v>2504</v>
      </c>
      <c r="F583" s="18" t="s">
        <v>2505</v>
      </c>
      <c r="G583" s="41" t="s">
        <v>2506</v>
      </c>
      <c r="H583" s="17" t="s">
        <v>17</v>
      </c>
      <c r="I583" s="18" t="s">
        <v>54</v>
      </c>
      <c r="J583" s="99" t="s">
        <v>118</v>
      </c>
      <c r="K583" s="5" t="s">
        <v>652</v>
      </c>
      <c r="L583" t="str">
        <f t="shared" si="10"/>
        <v>mugishaparker2@gmail.com</v>
      </c>
    </row>
    <row r="584" spans="1:12">
      <c r="A584" t="str" cm="1">
        <f t="array" ref="A584">_xlfn.LET(_xlpm.e,L584,
IF(_xlpm.e="","",
"DOC-"&amp;TEXT(ROW()-ROW(tblMaster[#Headers]),"00000")
))</f>
        <v>DOC-00583</v>
      </c>
      <c r="B584" s="49">
        <v>45957</v>
      </c>
      <c r="C584" s="42" t="s">
        <v>709</v>
      </c>
      <c r="D584" s="41" t="s">
        <v>2507</v>
      </c>
      <c r="E584" s="38" t="s">
        <v>2508</v>
      </c>
      <c r="F584" s="18" t="s">
        <v>2509</v>
      </c>
      <c r="G584" s="41" t="s">
        <v>52</v>
      </c>
      <c r="H584" s="17" t="s">
        <v>17</v>
      </c>
      <c r="I584" s="18" t="s">
        <v>54</v>
      </c>
      <c r="K584" s="5" t="s">
        <v>226</v>
      </c>
      <c r="L584" t="str">
        <f t="shared" si="10"/>
        <v>kelly.salesbatista@gmail.com</v>
      </c>
    </row>
    <row r="585" spans="1:12">
      <c r="A585" t="str" cm="1">
        <f t="array" ref="A585">_xlfn.LET(_xlpm.e,L585,
IF(_xlpm.e="","",
"DOC-"&amp;TEXT(ROW()-ROW(tblMaster[#Headers]),"00000")
))</f>
        <v>DOC-00584</v>
      </c>
      <c r="B585" s="49">
        <v>45957</v>
      </c>
      <c r="C585" s="17" t="s">
        <v>2510</v>
      </c>
      <c r="D585" s="18" t="s">
        <v>2511</v>
      </c>
      <c r="E585" s="123" t="s">
        <v>2512</v>
      </c>
      <c r="F585" s="18" t="s">
        <v>2513</v>
      </c>
      <c r="G585" s="18" t="s">
        <v>79</v>
      </c>
      <c r="H585" s="17" t="s">
        <v>17</v>
      </c>
      <c r="I585" s="18" t="s">
        <v>54</v>
      </c>
      <c r="J585" s="99" t="s">
        <v>560</v>
      </c>
      <c r="K585" s="5" t="s">
        <v>652</v>
      </c>
      <c r="L585" t="str">
        <f t="shared" si="10"/>
        <v>carlajoana2018@gmail.com</v>
      </c>
    </row>
    <row r="586" spans="1:12">
      <c r="A586" t="str" cm="1">
        <f t="array" ref="A586">_xlfn.LET(_xlpm.e,L586,
IF(_xlpm.e="","",
"DOC-"&amp;TEXT(ROW()-ROW(tblMaster[#Headers]),"00000")
))</f>
        <v>DOC-00585</v>
      </c>
      <c r="B586" s="49">
        <v>45957</v>
      </c>
      <c r="C586" s="42" t="s">
        <v>2514</v>
      </c>
      <c r="D586" s="41" t="s">
        <v>2515</v>
      </c>
      <c r="E586" s="38" t="s">
        <v>2516</v>
      </c>
      <c r="F586" s="18" t="s">
        <v>2517</v>
      </c>
      <c r="G586" s="41" t="s">
        <v>1954</v>
      </c>
      <c r="H586" s="17" t="s">
        <v>17</v>
      </c>
      <c r="I586" s="18" t="s">
        <v>54</v>
      </c>
      <c r="J586" s="99" t="s">
        <v>118</v>
      </c>
      <c r="K586" s="5" t="s">
        <v>652</v>
      </c>
      <c r="L586" t="str">
        <f t="shared" si="10"/>
        <v>oriakhidestiny@gmail.com</v>
      </c>
    </row>
    <row r="587" spans="1:12">
      <c r="A587" t="str" cm="1">
        <f t="array" ref="A587">_xlfn.LET(_xlpm.e,L587,
IF(_xlpm.e="","",
"DOC-"&amp;TEXT(ROW()-ROW(tblMaster[#Headers]),"00000")
))</f>
        <v>DOC-00586</v>
      </c>
      <c r="B587" s="49">
        <v>45957</v>
      </c>
      <c r="C587" s="42" t="s">
        <v>2518</v>
      </c>
      <c r="D587" s="41" t="s">
        <v>2519</v>
      </c>
      <c r="E587" s="38" t="s">
        <v>2520</v>
      </c>
      <c r="F587" s="18" t="s">
        <v>2521</v>
      </c>
      <c r="G587" s="41" t="s">
        <v>544</v>
      </c>
      <c r="H587" s="17" t="s">
        <v>17</v>
      </c>
      <c r="I587" s="18" t="s">
        <v>54</v>
      </c>
      <c r="J587" s="99" t="s">
        <v>497</v>
      </c>
      <c r="K587" s="5" t="s">
        <v>652</v>
      </c>
      <c r="L587" t="str">
        <f t="shared" si="10"/>
        <v>miajuliet1902@gmail.com</v>
      </c>
    </row>
    <row r="588" spans="1:12">
      <c r="A588" t="str" cm="1">
        <f t="array" ref="A588">_xlfn.LET(_xlpm.e,L588,
IF(_xlpm.e="","",
"DOC-"&amp;TEXT(ROW()-ROW(tblMaster[#Headers]),"00000")
))</f>
        <v>DOC-00587</v>
      </c>
      <c r="B588" s="49">
        <v>45957</v>
      </c>
      <c r="C588" s="17" t="s">
        <v>2522</v>
      </c>
      <c r="D588" s="18" t="s">
        <v>2523</v>
      </c>
      <c r="E588" s="123" t="s">
        <v>2524</v>
      </c>
      <c r="F588" s="18" t="s">
        <v>2525</v>
      </c>
      <c r="G588" s="18" t="s">
        <v>502</v>
      </c>
      <c r="H588" s="17" t="s">
        <v>17</v>
      </c>
      <c r="I588" s="18" t="s">
        <v>2276</v>
      </c>
      <c r="J588" s="99" t="s">
        <v>560</v>
      </c>
      <c r="K588" s="5" t="s">
        <v>652</v>
      </c>
      <c r="L588" t="str">
        <f t="shared" si="10"/>
        <v>alcidesgomes63@gmail.com</v>
      </c>
    </row>
    <row r="589" spans="1:12">
      <c r="A589" t="str" cm="1">
        <f t="array" ref="A589">_xlfn.LET(_xlpm.e,L589,
IF(_xlpm.e="","",
"DOC-"&amp;TEXT(ROW()-ROW(tblMaster[#Headers]),"00000")
))</f>
        <v/>
      </c>
      <c r="B589" s="49">
        <v>45957</v>
      </c>
      <c r="C589" s="42"/>
      <c r="D589" s="41"/>
      <c r="E589" s="38"/>
      <c r="F589" s="18"/>
      <c r="G589" s="41"/>
      <c r="H589" s="17"/>
      <c r="I589" s="18"/>
      <c r="K589" s="5" t="s">
        <v>652</v>
      </c>
      <c r="L589" t="str">
        <f t="shared" si="10"/>
        <v/>
      </c>
    </row>
    <row r="590" spans="1:12">
      <c r="A590" t="str" cm="1">
        <f t="array" ref="A590">_xlfn.LET(_xlpm.e,L590,
IF(_xlpm.e="","",
"DOC-"&amp;TEXT(ROW()-ROW(tblMaster[#Headers]),"00000")
))</f>
        <v>DOC-00589</v>
      </c>
      <c r="B590" s="49">
        <v>45957</v>
      </c>
      <c r="C590" s="42" t="s">
        <v>2526</v>
      </c>
      <c r="D590" s="41" t="s">
        <v>2527</v>
      </c>
      <c r="E590" s="38" t="s">
        <v>2528</v>
      </c>
      <c r="F590" s="18" t="s">
        <v>2529</v>
      </c>
      <c r="G590" s="41" t="s">
        <v>2530</v>
      </c>
      <c r="H590" s="17" t="s">
        <v>17</v>
      </c>
      <c r="I590" s="18" t="s">
        <v>101</v>
      </c>
      <c r="K590" s="5" t="s">
        <v>652</v>
      </c>
      <c r="L590" t="str">
        <f t="shared" si="10"/>
        <v>lhoga392@gmail.com</v>
      </c>
    </row>
    <row r="591" spans="1:12">
      <c r="A591" t="str" cm="1">
        <f t="array" ref="A591">_xlfn.LET(_xlpm.e,L591,
IF(_xlpm.e="","",
"DOC-"&amp;TEXT(ROW()-ROW(tblMaster[#Headers]),"00000")
))</f>
        <v>DOC-00590</v>
      </c>
      <c r="B591" s="49">
        <v>45957</v>
      </c>
      <c r="C591" s="42" t="s">
        <v>2531</v>
      </c>
      <c r="D591" s="41" t="s">
        <v>90</v>
      </c>
      <c r="E591" s="38" t="s">
        <v>2532</v>
      </c>
      <c r="F591" s="18" t="s">
        <v>2533</v>
      </c>
      <c r="G591" s="41" t="s">
        <v>544</v>
      </c>
      <c r="H591" s="17" t="s">
        <v>17</v>
      </c>
      <c r="I591" s="18" t="s">
        <v>2276</v>
      </c>
      <c r="K591" s="5" t="s">
        <v>652</v>
      </c>
      <c r="L591" t="str">
        <f t="shared" si="10"/>
        <v>genesis4135049012@gmail.com</v>
      </c>
    </row>
    <row r="592" spans="1:12">
      <c r="A592" t="str" cm="1">
        <f t="array" ref="A592">_xlfn.LET(_xlpm.e,L592,
IF(_xlpm.e="","",
"DOC-"&amp;TEXT(ROW()-ROW(tblMaster[#Headers]),"00000")
))</f>
        <v>DOC-00591</v>
      </c>
      <c r="B592" s="49">
        <v>45957</v>
      </c>
      <c r="C592" s="42" t="s">
        <v>2534</v>
      </c>
      <c r="D592" s="41" t="s">
        <v>2535</v>
      </c>
      <c r="E592" s="38" t="s">
        <v>2536</v>
      </c>
      <c r="F592" s="18" t="s">
        <v>2537</v>
      </c>
      <c r="G592" s="41" t="s">
        <v>52</v>
      </c>
      <c r="H592" s="17" t="s">
        <v>17</v>
      </c>
      <c r="I592" s="18" t="s">
        <v>101</v>
      </c>
      <c r="K592" s="5" t="s">
        <v>652</v>
      </c>
      <c r="L592" t="str">
        <f t="shared" si="10"/>
        <v>taihuynh280697@gmail.com</v>
      </c>
    </row>
    <row r="593" spans="1:12">
      <c r="A593" t="str" cm="1">
        <f t="array" ref="A593">_xlfn.LET(_xlpm.e,L593,
IF(_xlpm.e="","",
"DOC-"&amp;TEXT(ROW()-ROW(tblMaster[#Headers]),"00000")
))</f>
        <v>DOC-00592</v>
      </c>
      <c r="B593" s="49">
        <v>45957</v>
      </c>
      <c r="C593" s="42" t="s">
        <v>2538</v>
      </c>
      <c r="D593" s="41" t="s">
        <v>2539</v>
      </c>
      <c r="E593" s="38" t="s">
        <v>2540</v>
      </c>
      <c r="F593" s="18" t="s">
        <v>2541</v>
      </c>
      <c r="G593" s="41" t="s">
        <v>52</v>
      </c>
      <c r="H593" s="17" t="s">
        <v>17</v>
      </c>
      <c r="I593" s="18" t="s">
        <v>54</v>
      </c>
      <c r="J593" s="99" t="s">
        <v>23</v>
      </c>
      <c r="K593" s="5" t="s">
        <v>652</v>
      </c>
      <c r="L593" t="str">
        <f t="shared" si="10"/>
        <v>dinag1863@gmail.com</v>
      </c>
    </row>
    <row r="594" spans="1:12">
      <c r="A594" t="str" cm="1">
        <f t="array" ref="A594">_xlfn.LET(_xlpm.e,L594,
IF(_xlpm.e="","",
"DOC-"&amp;TEXT(ROW()-ROW(tblMaster[#Headers]),"00000")
))</f>
        <v>DOC-00593</v>
      </c>
      <c r="B594" s="49">
        <v>45957</v>
      </c>
      <c r="C594" s="42" t="s">
        <v>1043</v>
      </c>
      <c r="D594" s="41" t="s">
        <v>1044</v>
      </c>
      <c r="E594" s="38" t="s">
        <v>2542</v>
      </c>
      <c r="F594" s="18" t="s">
        <v>1046</v>
      </c>
      <c r="G594" s="41" t="s">
        <v>158</v>
      </c>
      <c r="H594" s="17" t="s">
        <v>17</v>
      </c>
      <c r="I594" s="18" t="s">
        <v>54</v>
      </c>
      <c r="K594" s="5" t="s">
        <v>652</v>
      </c>
      <c r="L594" t="str">
        <f t="shared" si="10"/>
        <v>julmicekerlin38@gmail.com</v>
      </c>
    </row>
    <row r="595" spans="1:12">
      <c r="A595" t="str" cm="1">
        <f t="array" ref="A595">_xlfn.LET(_xlpm.e,L595,
IF(_xlpm.e="","",
"DOC-"&amp;TEXT(ROW()-ROW(tblMaster[#Headers]),"00000")
))</f>
        <v>DOC-00594</v>
      </c>
      <c r="B595" s="49">
        <v>45957</v>
      </c>
      <c r="C595" s="42" t="s">
        <v>2543</v>
      </c>
      <c r="D595" s="41" t="s">
        <v>2544</v>
      </c>
      <c r="E595" s="108" t="s">
        <v>2545</v>
      </c>
      <c r="F595" s="18" t="s">
        <v>2546</v>
      </c>
      <c r="G595" s="41" t="s">
        <v>1236</v>
      </c>
      <c r="H595" s="17" t="s">
        <v>17</v>
      </c>
      <c r="I595" s="18" t="s">
        <v>54</v>
      </c>
      <c r="J595" s="99" t="s">
        <v>194</v>
      </c>
      <c r="K595" s="5" t="s">
        <v>652</v>
      </c>
      <c r="L595" t="str">
        <f t="shared" si="10"/>
        <v>svicent499@gmail.com</v>
      </c>
    </row>
    <row r="596" spans="1:12">
      <c r="A596" t="str" cm="1">
        <f t="array" ref="A596">_xlfn.LET(_xlpm.e,L596,
IF(_xlpm.e="","",
"DOC-"&amp;TEXT(ROW()-ROW(tblMaster[#Headers]),"00000")
))</f>
        <v>DOC-00595</v>
      </c>
      <c r="B596" s="49">
        <v>45957</v>
      </c>
      <c r="C596" s="42" t="s">
        <v>2547</v>
      </c>
      <c r="D596" s="41" t="s">
        <v>2548</v>
      </c>
      <c r="E596" s="38" t="s">
        <v>2549</v>
      </c>
      <c r="F596" s="18" t="s">
        <v>2550</v>
      </c>
      <c r="G596" s="41" t="s">
        <v>606</v>
      </c>
      <c r="H596" s="17" t="s">
        <v>60</v>
      </c>
      <c r="I596" s="18" t="s">
        <v>54</v>
      </c>
      <c r="K596" s="5" t="s">
        <v>652</v>
      </c>
      <c r="L596" t="str">
        <f t="shared" si="10"/>
        <v>aulgil0208@gmail.com</v>
      </c>
    </row>
    <row r="597" spans="1:12">
      <c r="A597" t="str" cm="1">
        <f t="array" ref="A597">_xlfn.LET(_xlpm.e,L597,
IF(_xlpm.e="","",
"DOC-"&amp;TEXT(ROW()-ROW(tblMaster[#Headers]),"00000")
))</f>
        <v>DOC-00596</v>
      </c>
      <c r="B597" s="49">
        <v>45957</v>
      </c>
      <c r="C597" s="42" t="s">
        <v>1689</v>
      </c>
      <c r="D597" s="41" t="s">
        <v>2551</v>
      </c>
      <c r="E597" s="38" t="s">
        <v>2552</v>
      </c>
      <c r="F597" s="18" t="s">
        <v>2553</v>
      </c>
      <c r="G597" s="41" t="s">
        <v>281</v>
      </c>
      <c r="H597" s="17" t="s">
        <v>17</v>
      </c>
      <c r="I597" s="18" t="s">
        <v>101</v>
      </c>
      <c r="K597" s="5" t="s">
        <v>652</v>
      </c>
      <c r="L597" t="str">
        <f t="shared" si="10"/>
        <v>scottmac218@gmail.com</v>
      </c>
    </row>
    <row r="598" spans="1:12">
      <c r="A598" t="str" cm="1">
        <f t="array" ref="A598">_xlfn.LET(_xlpm.e,L598,
IF(_xlpm.e="","",
"DOC-"&amp;TEXT(ROW()-ROW(tblMaster[#Headers]),"00000")
))</f>
        <v>DOC-00597</v>
      </c>
      <c r="B598" s="49">
        <v>45957</v>
      </c>
      <c r="C598" s="42" t="s">
        <v>1530</v>
      </c>
      <c r="D598" s="41" t="s">
        <v>1531</v>
      </c>
      <c r="E598" s="38" t="s">
        <v>2554</v>
      </c>
      <c r="F598" s="18" t="s">
        <v>2555</v>
      </c>
      <c r="G598" s="41" t="s">
        <v>74</v>
      </c>
      <c r="H598" s="17" t="s">
        <v>17</v>
      </c>
      <c r="I598" s="18" t="s">
        <v>2276</v>
      </c>
      <c r="J598" s="99" t="s">
        <v>118</v>
      </c>
      <c r="K598" s="5" t="s">
        <v>652</v>
      </c>
      <c r="L598" t="str">
        <f t="shared" si="10"/>
        <v>maxagriin@gmail.com</v>
      </c>
    </row>
    <row r="599" spans="1:12">
      <c r="A599" t="str" cm="1">
        <f t="array" ref="A599">_xlfn.LET(_xlpm.e,L599,
IF(_xlpm.e="","",
"DOC-"&amp;TEXT(ROW()-ROW(tblMaster[#Headers]),"00000")
))</f>
        <v>DOC-00598</v>
      </c>
      <c r="B599" s="49">
        <v>45957</v>
      </c>
      <c r="C599" s="17" t="s">
        <v>2556</v>
      </c>
      <c r="D599" s="18" t="s">
        <v>2557</v>
      </c>
      <c r="E599" s="123" t="s">
        <v>2558</v>
      </c>
      <c r="F599" s="18" t="s">
        <v>2559</v>
      </c>
      <c r="G599" s="18" t="s">
        <v>2560</v>
      </c>
      <c r="H599" s="17" t="s">
        <v>17</v>
      </c>
      <c r="I599" s="18" t="s">
        <v>2276</v>
      </c>
      <c r="J599" s="99" t="s">
        <v>560</v>
      </c>
      <c r="K599" s="5" t="s">
        <v>652</v>
      </c>
      <c r="L599" t="str">
        <f t="shared" si="10"/>
        <v>kayr217@gmail.com</v>
      </c>
    </row>
    <row r="600" spans="1:12">
      <c r="A600" t="str" cm="1">
        <f t="array" ref="A600">_xlfn.LET(_xlpm.e,L600,
IF(_xlpm.e="","",
"DOC-"&amp;TEXT(ROW()-ROW(tblMaster[#Headers]),"00000")
))</f>
        <v>DOC-00599</v>
      </c>
      <c r="B600" s="49">
        <v>45957</v>
      </c>
      <c r="C600" s="42" t="s">
        <v>2561</v>
      </c>
      <c r="D600" s="41" t="s">
        <v>2562</v>
      </c>
      <c r="E600" s="38" t="s">
        <v>2563</v>
      </c>
      <c r="F600" s="18" t="s">
        <v>2564</v>
      </c>
      <c r="G600" s="41" t="s">
        <v>2565</v>
      </c>
      <c r="H600" s="17" t="s">
        <v>1590</v>
      </c>
      <c r="I600" s="18" t="s">
        <v>101</v>
      </c>
      <c r="K600" s="5" t="s">
        <v>652</v>
      </c>
      <c r="L600" t="str">
        <f t="shared" si="10"/>
        <v>gmoder472@gmail.com</v>
      </c>
    </row>
    <row r="601" spans="1:12">
      <c r="A601" t="str" cm="1">
        <f t="array" ref="A601">_xlfn.LET(_xlpm.e,L601,
IF(_xlpm.e="","",
"DOC-"&amp;TEXT(ROW()-ROW(tblMaster[#Headers]),"00000")
))</f>
        <v>DOC-00600</v>
      </c>
      <c r="B601" s="49">
        <v>45957</v>
      </c>
      <c r="C601" s="42" t="s">
        <v>371</v>
      </c>
      <c r="D601" s="41" t="s">
        <v>2566</v>
      </c>
      <c r="E601" s="38" t="s">
        <v>2567</v>
      </c>
      <c r="F601" s="18" t="s">
        <v>374</v>
      </c>
      <c r="G601" s="41" t="s">
        <v>375</v>
      </c>
      <c r="H601" s="17" t="s">
        <v>17</v>
      </c>
      <c r="I601" s="18" t="s">
        <v>54</v>
      </c>
      <c r="K601" s="5" t="s">
        <v>226</v>
      </c>
      <c r="L601" t="str">
        <f t="shared" si="10"/>
        <v>dewaleajib1071@gmail.com</v>
      </c>
    </row>
    <row r="602" spans="1:12" ht="15.75">
      <c r="A602" t="str" cm="1">
        <f t="array" ref="A602">_xlfn.LET(_xlpm.e,L602,
IF(_xlpm.e="","",
"DOC-"&amp;TEXT(ROW()-ROW(tblMaster[#Headers]),"00000")
))</f>
        <v>DOC-00601</v>
      </c>
      <c r="B602" s="49">
        <v>45957</v>
      </c>
      <c r="C602" s="42" t="s">
        <v>2568</v>
      </c>
      <c r="D602" s="59" t="s">
        <v>2569</v>
      </c>
      <c r="E602" s="38" t="s">
        <v>2570</v>
      </c>
      <c r="F602" s="22" t="s">
        <v>2571</v>
      </c>
      <c r="G602" s="59" t="s">
        <v>581</v>
      </c>
      <c r="H602" s="17" t="s">
        <v>17</v>
      </c>
      <c r="I602" s="18" t="s">
        <v>54</v>
      </c>
      <c r="J602" s="99" t="s">
        <v>194</v>
      </c>
      <c r="K602" s="5" t="s">
        <v>652</v>
      </c>
      <c r="L602" t="str">
        <f t="shared" si="10"/>
        <v>probinson013@gmail.com</v>
      </c>
    </row>
    <row r="603" spans="1:12">
      <c r="A603" t="str" cm="1">
        <f t="array" ref="A603">_xlfn.LET(_xlpm.e,L603,
IF(_xlpm.e="","",
"DOC-"&amp;TEXT(ROW()-ROW(tblMaster[#Headers]),"00000")
))</f>
        <v/>
      </c>
      <c r="B603" s="49"/>
      <c r="C603" s="42"/>
      <c r="D603" s="41"/>
      <c r="E603" s="38"/>
      <c r="F603" s="18"/>
      <c r="G603" s="41"/>
      <c r="H603" s="17"/>
      <c r="I603" s="18"/>
      <c r="K603" s="5" t="s">
        <v>652</v>
      </c>
      <c r="L603" t="str">
        <f t="shared" si="10"/>
        <v/>
      </c>
    </row>
    <row r="604" spans="1:12">
      <c r="A604" t="str" cm="1">
        <f t="array" ref="A604">_xlfn.LET(_xlpm.e,L604,
IF(_xlpm.e="","",
"DOC-"&amp;TEXT(ROW()-ROW(tblMaster[#Headers]),"00000")
))</f>
        <v/>
      </c>
      <c r="B604" s="49"/>
      <c r="C604" s="42"/>
      <c r="D604" s="41"/>
      <c r="E604" s="38"/>
      <c r="F604" s="18"/>
      <c r="G604" s="41"/>
      <c r="H604" s="17"/>
      <c r="I604" s="18"/>
      <c r="K604" s="5" t="s">
        <v>652</v>
      </c>
      <c r="L604" t="str">
        <f t="shared" si="10"/>
        <v/>
      </c>
    </row>
    <row r="605" spans="1:12">
      <c r="A605" t="str" cm="1">
        <f t="array" ref="A605">_xlfn.LET(_xlpm.e,L605,
IF(_xlpm.e="","",
"DOC-"&amp;TEXT(ROW()-ROW(tblMaster[#Headers]),"00000")
))</f>
        <v/>
      </c>
      <c r="B605" s="49"/>
      <c r="C605" s="42"/>
      <c r="D605" s="41"/>
      <c r="E605" s="38"/>
      <c r="F605" s="18"/>
      <c r="G605" s="41"/>
      <c r="H605" s="17"/>
      <c r="I605" s="18"/>
      <c r="K605" s="5" t="s">
        <v>652</v>
      </c>
      <c r="L605" t="str">
        <f t="shared" si="10"/>
        <v/>
      </c>
    </row>
    <row r="606" spans="1:12">
      <c r="A606" t="str" cm="1">
        <f t="array" ref="A606">_xlfn.LET(_xlpm.e,L606,
IF(_xlpm.e="","",
"DOC-"&amp;TEXT(ROW()-ROW(tblMaster[#Headers]),"00000")
))</f>
        <v>DOC-00605</v>
      </c>
      <c r="B606" s="49">
        <v>45957</v>
      </c>
      <c r="C606" s="42" t="s">
        <v>2572</v>
      </c>
      <c r="D606" s="41" t="s">
        <v>2573</v>
      </c>
      <c r="E606" s="38" t="s">
        <v>2574</v>
      </c>
      <c r="F606" s="18" t="s">
        <v>2575</v>
      </c>
      <c r="G606" s="41" t="s">
        <v>295</v>
      </c>
      <c r="H606" s="17" t="s">
        <v>17</v>
      </c>
      <c r="I606" s="18" t="s">
        <v>54</v>
      </c>
      <c r="K606" s="5" t="s">
        <v>652</v>
      </c>
      <c r="L606" t="str">
        <f t="shared" si="10"/>
        <v>dustin6morales@yahoo.com</v>
      </c>
    </row>
    <row r="607" spans="1:12">
      <c r="A607" t="str" cm="1">
        <f t="array" ref="A607">_xlfn.LET(_xlpm.e,L607,
IF(_xlpm.e="","",
"DOC-"&amp;TEXT(ROW()-ROW(tblMaster[#Headers]),"00000")
))</f>
        <v/>
      </c>
      <c r="B607" s="49"/>
      <c r="C607" s="42"/>
      <c r="D607" s="41"/>
      <c r="E607" s="38"/>
      <c r="F607" s="18"/>
      <c r="G607" s="41"/>
      <c r="H607" s="17"/>
      <c r="I607" s="18"/>
      <c r="J607" s="99" t="s">
        <v>66</v>
      </c>
      <c r="K607" s="5" t="s">
        <v>226</v>
      </c>
      <c r="L607" t="str">
        <f t="shared" si="10"/>
        <v/>
      </c>
    </row>
    <row r="608" spans="1:12">
      <c r="A608" t="str" cm="1">
        <f t="array" ref="A608">_xlfn.LET(_xlpm.e,L608,
IF(_xlpm.e="","",
"DOC-"&amp;TEXT(ROW()-ROW(tblMaster[#Headers]),"00000")
))</f>
        <v/>
      </c>
      <c r="B608" s="49"/>
      <c r="C608" s="42"/>
      <c r="D608" s="41"/>
      <c r="E608" s="38"/>
      <c r="F608" s="18"/>
      <c r="G608" s="41"/>
      <c r="H608" s="17"/>
      <c r="I608" s="18"/>
      <c r="K608" s="5" t="s">
        <v>652</v>
      </c>
      <c r="L608" t="str">
        <f t="shared" si="10"/>
        <v/>
      </c>
    </row>
    <row r="609" spans="1:12">
      <c r="A609" t="str" cm="1">
        <f t="array" ref="A609">_xlfn.LET(_xlpm.e,L609,
IF(_xlpm.e="","",
"DOC-"&amp;TEXT(ROW()-ROW(tblMaster[#Headers]),"00000")
))</f>
        <v/>
      </c>
      <c r="B609" s="49"/>
      <c r="C609" s="42"/>
      <c r="D609" s="41"/>
      <c r="E609" s="38"/>
      <c r="F609" s="18"/>
      <c r="G609" s="41"/>
      <c r="H609" s="17"/>
      <c r="I609" s="18"/>
      <c r="K609" s="5" t="s">
        <v>652</v>
      </c>
      <c r="L609" t="str">
        <f t="shared" si="10"/>
        <v/>
      </c>
    </row>
    <row r="610" spans="1:12">
      <c r="A610" t="str" cm="1">
        <f t="array" ref="A610">_xlfn.LET(_xlpm.e,L610,
IF(_xlpm.e="","",
"DOC-"&amp;TEXT(ROW()-ROW(tblMaster[#Headers]),"00000")
))</f>
        <v>DOC-00609</v>
      </c>
      <c r="B610" s="49">
        <v>45957</v>
      </c>
      <c r="C610" s="42" t="s">
        <v>2576</v>
      </c>
      <c r="D610" s="41" t="s">
        <v>2577</v>
      </c>
      <c r="E610" s="38" t="s">
        <v>2578</v>
      </c>
      <c r="F610" s="18" t="s">
        <v>2579</v>
      </c>
      <c r="G610" s="41" t="s">
        <v>2580</v>
      </c>
      <c r="H610" s="17" t="s">
        <v>17</v>
      </c>
      <c r="I610" s="18" t="s">
        <v>54</v>
      </c>
      <c r="K610" s="5" t="s">
        <v>652</v>
      </c>
      <c r="L610" t="str">
        <f t="shared" si="10"/>
        <v>sam.mujjuzi@gmail.com</v>
      </c>
    </row>
    <row r="611" spans="1:12">
      <c r="A611" t="str" cm="1">
        <f t="array" ref="A611">_xlfn.LET(_xlpm.e,L611,
IF(_xlpm.e="","",
"DOC-"&amp;TEXT(ROW()-ROW(tblMaster[#Headers]),"00000")
))</f>
        <v>DOC-00610</v>
      </c>
      <c r="B611" s="49">
        <v>45957</v>
      </c>
      <c r="C611" s="42" t="s">
        <v>2581</v>
      </c>
      <c r="D611" s="41" t="s">
        <v>2226</v>
      </c>
      <c r="E611" s="38" t="s">
        <v>2582</v>
      </c>
      <c r="F611" s="18" t="s">
        <v>2583</v>
      </c>
      <c r="G611" s="41" t="s">
        <v>433</v>
      </c>
      <c r="H611" s="17" t="s">
        <v>17</v>
      </c>
      <c r="I611" s="18" t="s">
        <v>2276</v>
      </c>
      <c r="J611" s="99" t="s">
        <v>23</v>
      </c>
      <c r="K611" s="5" t="s">
        <v>652</v>
      </c>
      <c r="L611" t="str">
        <f t="shared" si="10"/>
        <v>jvickyana@gmail.com</v>
      </c>
    </row>
    <row r="612" spans="1:12">
      <c r="A612" t="str" cm="1">
        <f t="array" ref="A612">_xlfn.LET(_xlpm.e,L612,
IF(_xlpm.e="","",
"DOC-"&amp;TEXT(ROW()-ROW(tblMaster[#Headers]),"00000")
))</f>
        <v>DOC-00611</v>
      </c>
      <c r="B612" s="49">
        <v>45957</v>
      </c>
      <c r="C612" s="42" t="s">
        <v>2584</v>
      </c>
      <c r="D612" s="41" t="s">
        <v>2585</v>
      </c>
      <c r="E612" s="38" t="s">
        <v>2586</v>
      </c>
      <c r="F612" s="18" t="s">
        <v>2587</v>
      </c>
      <c r="G612" s="41" t="s">
        <v>79</v>
      </c>
      <c r="H612" s="17" t="s">
        <v>17</v>
      </c>
      <c r="I612" s="18" t="s">
        <v>2276</v>
      </c>
      <c r="K612" s="5" t="s">
        <v>652</v>
      </c>
      <c r="L612" t="str">
        <f t="shared" si="10"/>
        <v>gnonkaleandre@gmail.com</v>
      </c>
    </row>
    <row r="613" spans="1:12">
      <c r="A613" t="str" cm="1">
        <f t="array" ref="A613">_xlfn.LET(_xlpm.e,L613,
IF(_xlpm.e="","",
"DOC-"&amp;TEXT(ROW()-ROW(tblMaster[#Headers]),"00000")
))</f>
        <v/>
      </c>
      <c r="B613" s="49">
        <v>45957</v>
      </c>
      <c r="C613" s="42" t="s">
        <v>2588</v>
      </c>
      <c r="D613" s="41" t="s">
        <v>2589</v>
      </c>
      <c r="E613" s="38"/>
      <c r="F613" s="18" t="s">
        <v>2590</v>
      </c>
      <c r="G613" s="41" t="s">
        <v>247</v>
      </c>
      <c r="H613" s="17" t="s">
        <v>17</v>
      </c>
      <c r="I613" s="18" t="s">
        <v>2276</v>
      </c>
      <c r="K613" s="5" t="s">
        <v>652</v>
      </c>
      <c r="L613" t="str">
        <f t="shared" si="10"/>
        <v/>
      </c>
    </row>
    <row r="614" spans="1:12">
      <c r="A614" t="str" cm="1">
        <f t="array" ref="A614">_xlfn.LET(_xlpm.e,L614,
IF(_xlpm.e="","",
"DOC-"&amp;TEXT(ROW()-ROW(tblMaster[#Headers]),"00000")
))</f>
        <v>DOC-00613</v>
      </c>
      <c r="B614" s="49">
        <v>45957</v>
      </c>
      <c r="C614" s="42" t="s">
        <v>2591</v>
      </c>
      <c r="D614" s="41" t="s">
        <v>2592</v>
      </c>
      <c r="E614" s="38" t="s">
        <v>2593</v>
      </c>
      <c r="F614" s="18" t="s">
        <v>2594</v>
      </c>
      <c r="G614" s="41" t="s">
        <v>2595</v>
      </c>
      <c r="H614" s="17" t="s">
        <v>17</v>
      </c>
      <c r="I614" s="18" t="s">
        <v>54</v>
      </c>
      <c r="K614" s="5" t="s">
        <v>652</v>
      </c>
      <c r="L614" t="str">
        <f t="shared" si="10"/>
        <v>jessica4271997@gmail.com</v>
      </c>
    </row>
    <row r="615" spans="1:12">
      <c r="A615" t="str" cm="1">
        <f t="array" ref="A615">_xlfn.LET(_xlpm.e,L615,
IF(_xlpm.e="","",
"DOC-"&amp;TEXT(ROW()-ROW(tblMaster[#Headers]),"00000")
))</f>
        <v>DOC-00614</v>
      </c>
      <c r="B615" s="49">
        <v>45957</v>
      </c>
      <c r="C615" s="42" t="s">
        <v>2596</v>
      </c>
      <c r="D615" s="41" t="s">
        <v>2597</v>
      </c>
      <c r="E615" s="38" t="s">
        <v>2598</v>
      </c>
      <c r="F615" s="28" t="s">
        <v>2599</v>
      </c>
      <c r="G615" s="41" t="s">
        <v>1100</v>
      </c>
      <c r="H615" s="17" t="s">
        <v>60</v>
      </c>
      <c r="I615" s="18" t="s">
        <v>2276</v>
      </c>
      <c r="K615" s="5" t="s">
        <v>652</v>
      </c>
      <c r="L615" t="str">
        <f t="shared" si="10"/>
        <v>aaddaza000@gmail.com</v>
      </c>
    </row>
    <row r="616" spans="1:12">
      <c r="A616" t="str" cm="1">
        <f t="array" ref="A616">_xlfn.LET(_xlpm.e,L616,
IF(_xlpm.e="","",
"DOC-"&amp;TEXT(ROW()-ROW(tblMaster[#Headers]),"00000")
))</f>
        <v>DOC-00615</v>
      </c>
      <c r="B616" s="49">
        <v>45957</v>
      </c>
      <c r="C616" s="42" t="s">
        <v>934</v>
      </c>
      <c r="D616" s="41" t="s">
        <v>733</v>
      </c>
      <c r="E616" s="38" t="s">
        <v>2600</v>
      </c>
      <c r="F616" s="18" t="s">
        <v>2601</v>
      </c>
      <c r="G616" s="41" t="s">
        <v>33</v>
      </c>
      <c r="H616" s="17" t="s">
        <v>17</v>
      </c>
      <c r="I616" s="18" t="s">
        <v>2276</v>
      </c>
      <c r="K616" s="5" t="s">
        <v>652</v>
      </c>
      <c r="L616" t="str">
        <f t="shared" si="10"/>
        <v>davidvidendo@yahoo.fr</v>
      </c>
    </row>
    <row r="617" spans="1:12">
      <c r="A617" t="str" cm="1">
        <f t="array" ref="A617">_xlfn.LET(_xlpm.e,L617,
IF(_xlpm.e="","",
"DOC-"&amp;TEXT(ROW()-ROW(tblMaster[#Headers]),"00000")
))</f>
        <v/>
      </c>
      <c r="B617" s="49">
        <v>45957</v>
      </c>
      <c r="C617" s="42" t="s">
        <v>1113</v>
      </c>
      <c r="D617" s="41" t="s">
        <v>2602</v>
      </c>
      <c r="E617" s="38"/>
      <c r="F617" s="18"/>
      <c r="G617" s="41"/>
      <c r="H617" s="17"/>
      <c r="I617" s="18"/>
      <c r="K617" s="5" t="s">
        <v>652</v>
      </c>
      <c r="L617" t="str">
        <f t="shared" si="10"/>
        <v/>
      </c>
    </row>
    <row r="618" spans="1:12">
      <c r="A618" t="str" cm="1">
        <f t="array" ref="A618">_xlfn.LET(_xlpm.e,L618,
IF(_xlpm.e="","",
"DOC-"&amp;TEXT(ROW()-ROW(tblMaster[#Headers]),"00000")
))</f>
        <v/>
      </c>
      <c r="B618" s="49"/>
      <c r="C618" s="42"/>
      <c r="D618" s="41"/>
      <c r="E618" s="38"/>
      <c r="F618" s="18"/>
      <c r="G618" s="41"/>
      <c r="H618" s="17"/>
      <c r="I618" s="18"/>
      <c r="K618" s="5" t="s">
        <v>652</v>
      </c>
      <c r="L618" t="str">
        <f t="shared" si="10"/>
        <v/>
      </c>
    </row>
    <row r="619" spans="1:12">
      <c r="A619" t="str" cm="1">
        <f t="array" ref="A619">_xlfn.LET(_xlpm.e,L619,
IF(_xlpm.e="","",
"DOC-"&amp;TEXT(ROW()-ROW(tblMaster[#Headers]),"00000")
))</f>
        <v/>
      </c>
      <c r="B619" s="49">
        <v>45957</v>
      </c>
      <c r="C619" s="42" t="s">
        <v>1261</v>
      </c>
      <c r="D619" s="41" t="s">
        <v>2603</v>
      </c>
      <c r="E619" s="38"/>
      <c r="F619" s="18"/>
      <c r="G619" s="41"/>
      <c r="H619" s="17"/>
      <c r="I619" s="18"/>
      <c r="K619" s="5" t="s">
        <v>652</v>
      </c>
      <c r="L619" t="str">
        <f t="shared" si="10"/>
        <v/>
      </c>
    </row>
    <row r="620" spans="1:12">
      <c r="A620" t="str" cm="1">
        <f t="array" ref="A620">_xlfn.LET(_xlpm.e,L620,
IF(_xlpm.e="","",
"DOC-"&amp;TEXT(ROW()-ROW(tblMaster[#Headers]),"00000")
))</f>
        <v/>
      </c>
      <c r="B620" s="49">
        <v>45957</v>
      </c>
      <c r="C620" s="42" t="s">
        <v>2604</v>
      </c>
      <c r="D620" s="41" t="s">
        <v>2605</v>
      </c>
      <c r="E620" s="38"/>
      <c r="F620" s="18"/>
      <c r="G620" s="41"/>
      <c r="H620" s="17"/>
      <c r="I620" s="18"/>
      <c r="K620" s="5" t="s">
        <v>652</v>
      </c>
      <c r="L620" t="str">
        <f t="shared" si="10"/>
        <v/>
      </c>
    </row>
    <row r="621" spans="1:12">
      <c r="A621" t="str" cm="1">
        <f t="array" ref="A621">_xlfn.LET(_xlpm.e,L621,
IF(_xlpm.e="","",
"DOC-"&amp;TEXT(ROW()-ROW(tblMaster[#Headers]),"00000")
))</f>
        <v>DOC-00620</v>
      </c>
      <c r="B621" s="49">
        <v>45957</v>
      </c>
      <c r="C621" s="42" t="s">
        <v>2606</v>
      </c>
      <c r="D621" s="41" t="s">
        <v>2607</v>
      </c>
      <c r="E621" s="38" t="s">
        <v>2608</v>
      </c>
      <c r="F621" s="18" t="s">
        <v>2609</v>
      </c>
      <c r="G621" s="41" t="s">
        <v>842</v>
      </c>
      <c r="H621" s="17" t="s">
        <v>17</v>
      </c>
      <c r="I621" s="18" t="s">
        <v>54</v>
      </c>
      <c r="K621" s="5" t="s">
        <v>226</v>
      </c>
      <c r="L621" t="str">
        <f t="shared" si="10"/>
        <v>cruzjovanni508@gmail.com</v>
      </c>
    </row>
    <row r="622" spans="1:12">
      <c r="A622" t="str" cm="1">
        <f t="array" ref="A622">_xlfn.LET(_xlpm.e,L622,
IF(_xlpm.e="","",
"DOC-"&amp;TEXT(ROW()-ROW(tblMaster[#Headers]),"00000")
))</f>
        <v/>
      </c>
      <c r="B622" s="49">
        <v>45957</v>
      </c>
      <c r="C622" s="42"/>
      <c r="D622" s="41"/>
      <c r="E622" s="38"/>
      <c r="F622" s="18"/>
      <c r="G622" s="41"/>
      <c r="H622" s="17"/>
      <c r="I622" s="18"/>
      <c r="K622" s="5" t="s">
        <v>652</v>
      </c>
      <c r="L622" t="str">
        <f t="shared" si="10"/>
        <v/>
      </c>
    </row>
    <row r="623" spans="1:12">
      <c r="A623" t="str" cm="1">
        <f t="array" ref="A623">_xlfn.LET(_xlpm.e,L623,
IF(_xlpm.e="","",
"DOC-"&amp;TEXT(ROW()-ROW(tblMaster[#Headers]),"00000")
))</f>
        <v>DOC-00622</v>
      </c>
      <c r="B623" s="49">
        <v>45957</v>
      </c>
      <c r="C623" s="42" t="s">
        <v>2610</v>
      </c>
      <c r="D623" s="41" t="s">
        <v>2611</v>
      </c>
      <c r="E623" s="38" t="s">
        <v>2612</v>
      </c>
      <c r="F623" s="18" t="s">
        <v>2613</v>
      </c>
      <c r="G623" s="41" t="s">
        <v>2397</v>
      </c>
      <c r="H623" s="17" t="s">
        <v>1875</v>
      </c>
      <c r="I623" s="18" t="s">
        <v>101</v>
      </c>
      <c r="K623" s="5" t="s">
        <v>652</v>
      </c>
      <c r="L623" t="str">
        <f t="shared" si="10"/>
        <v>shebby.lizzette@gmail.com</v>
      </c>
    </row>
    <row r="624" spans="1:12">
      <c r="A624" t="str" cm="1">
        <f t="array" ref="A624">_xlfn.LET(_xlpm.e,L624,
IF(_xlpm.e="","",
"DOC-"&amp;TEXT(ROW()-ROW(tblMaster[#Headers]),"00000")
))</f>
        <v>DOC-00623</v>
      </c>
      <c r="B624" s="49">
        <v>45957</v>
      </c>
      <c r="C624" s="42" t="s">
        <v>2614</v>
      </c>
      <c r="D624" s="41" t="s">
        <v>2615</v>
      </c>
      <c r="E624" s="38" t="s">
        <v>2616</v>
      </c>
      <c r="F624" s="29" t="s">
        <v>2617</v>
      </c>
      <c r="G624" s="41" t="s">
        <v>74</v>
      </c>
      <c r="H624" s="17" t="s">
        <v>17</v>
      </c>
      <c r="I624" s="18" t="s">
        <v>101</v>
      </c>
      <c r="K624" s="5" t="s">
        <v>652</v>
      </c>
      <c r="L624" t="str">
        <f t="shared" si="10"/>
        <v>ohenebakduah2@gmail.com</v>
      </c>
    </row>
    <row r="625" spans="1:12">
      <c r="A625" t="str" cm="1">
        <f t="array" ref="A625">_xlfn.LET(_xlpm.e,L625,
IF(_xlpm.e="","",
"DOC-"&amp;TEXT(ROW()-ROW(tblMaster[#Headers]),"00000")
))</f>
        <v>DOC-00624</v>
      </c>
      <c r="B625" s="49">
        <v>45957</v>
      </c>
      <c r="C625" s="42" t="s">
        <v>2618</v>
      </c>
      <c r="D625" s="41" t="s">
        <v>2619</v>
      </c>
      <c r="E625" s="38" t="s">
        <v>2620</v>
      </c>
      <c r="F625" s="18" t="s">
        <v>2621</v>
      </c>
      <c r="G625" s="41" t="s">
        <v>2595</v>
      </c>
      <c r="H625" s="17" t="s">
        <v>17</v>
      </c>
      <c r="I625" s="18" t="s">
        <v>54</v>
      </c>
      <c r="J625" s="99" t="s">
        <v>23</v>
      </c>
      <c r="K625" s="5" t="s">
        <v>652</v>
      </c>
      <c r="L625" t="str">
        <f t="shared" si="10"/>
        <v>shanedetres12@outlook.com</v>
      </c>
    </row>
    <row r="626" spans="1:12" ht="15.75">
      <c r="A626" t="str" cm="1">
        <f t="array" ref="A626">_xlfn.LET(_xlpm.e,L626,
IF(_xlpm.e="","",
"DOC-"&amp;TEXT(ROW()-ROW(tblMaster[#Headers]),"00000")
))</f>
        <v>DOC-00625</v>
      </c>
      <c r="B626" s="49">
        <v>45957</v>
      </c>
      <c r="C626" s="42" t="s">
        <v>2622</v>
      </c>
      <c r="D626" s="53" t="s">
        <v>2623</v>
      </c>
      <c r="E626" s="38" t="s">
        <v>2624</v>
      </c>
      <c r="F626" s="18" t="s">
        <v>2625</v>
      </c>
      <c r="G626" s="41" t="s">
        <v>2626</v>
      </c>
      <c r="H626" s="17" t="s">
        <v>328</v>
      </c>
      <c r="I626" s="18" t="s">
        <v>2276</v>
      </c>
      <c r="K626" s="5" t="s">
        <v>652</v>
      </c>
      <c r="L626" t="str">
        <f t="shared" si="10"/>
        <v>micky16jay@gmail.com</v>
      </c>
    </row>
    <row r="627" spans="1:12" ht="15.75">
      <c r="A627" t="str" cm="1">
        <f t="array" ref="A627">_xlfn.LET(_xlpm.e,L627,
IF(_xlpm.e="","",
"DOC-"&amp;TEXT(ROW()-ROW(tblMaster[#Headers]),"00000")
))</f>
        <v>DOC-00626</v>
      </c>
      <c r="B627" s="49">
        <v>45957</v>
      </c>
      <c r="C627" s="42" t="s">
        <v>2627</v>
      </c>
      <c r="D627" s="41" t="s">
        <v>2628</v>
      </c>
      <c r="E627" s="38" t="s">
        <v>2629</v>
      </c>
      <c r="F627" s="21" t="s">
        <v>2630</v>
      </c>
      <c r="G627" s="41" t="s">
        <v>2631</v>
      </c>
      <c r="H627" s="17" t="s">
        <v>17</v>
      </c>
      <c r="I627" s="18" t="s">
        <v>54</v>
      </c>
      <c r="K627" s="5" t="s">
        <v>652</v>
      </c>
      <c r="L627" t="str">
        <f t="shared" si="10"/>
        <v>guimaraesdudu@hotmail.com</v>
      </c>
    </row>
    <row r="628" spans="1:12">
      <c r="A628" t="str" cm="1">
        <f t="array" ref="A628">_xlfn.LET(_xlpm.e,L628,
IF(_xlpm.e="","",
"DOC-"&amp;TEXT(ROW()-ROW(tblMaster[#Headers]),"00000")
))</f>
        <v/>
      </c>
      <c r="B628" s="49"/>
      <c r="C628" s="42"/>
      <c r="D628" s="41"/>
      <c r="E628" s="38"/>
      <c r="F628" s="18"/>
      <c r="G628" s="41"/>
      <c r="H628" s="17"/>
      <c r="I628" s="18"/>
      <c r="L628" t="str">
        <f t="shared" si="10"/>
        <v/>
      </c>
    </row>
    <row r="629" spans="1:12">
      <c r="A629" t="str" cm="1">
        <f t="array" ref="A629">_xlfn.LET(_xlpm.e,L629,
IF(_xlpm.e="","",
"DOC-"&amp;TEXT(ROW()-ROW(tblMaster[#Headers]),"00000")
))</f>
        <v>DOC-00628</v>
      </c>
      <c r="B629" s="49">
        <v>45957</v>
      </c>
      <c r="C629" s="42" t="s">
        <v>2632</v>
      </c>
      <c r="D629" s="41" t="s">
        <v>2633</v>
      </c>
      <c r="E629" s="38" t="s">
        <v>2634</v>
      </c>
      <c r="F629" s="18" t="s">
        <v>2635</v>
      </c>
      <c r="G629" s="41" t="s">
        <v>257</v>
      </c>
      <c r="H629" s="17" t="s">
        <v>17</v>
      </c>
      <c r="I629" s="18" t="s">
        <v>101</v>
      </c>
      <c r="K629" s="5" t="s">
        <v>652</v>
      </c>
      <c r="L629" t="str">
        <f t="shared" si="10"/>
        <v>nankya_annet@yahoo.com</v>
      </c>
    </row>
    <row r="630" spans="1:12">
      <c r="A630" t="str" cm="1">
        <f t="array" ref="A630">_xlfn.LET(_xlpm.e,L630,
IF(_xlpm.e="","",
"DOC-"&amp;TEXT(ROW()-ROW(tblMaster[#Headers]),"00000")
))</f>
        <v>DOC-00629</v>
      </c>
      <c r="B630" s="49">
        <v>45957</v>
      </c>
      <c r="C630" s="42" t="s">
        <v>2636</v>
      </c>
      <c r="D630" s="41" t="s">
        <v>2637</v>
      </c>
      <c r="E630" s="38" t="s">
        <v>2638</v>
      </c>
      <c r="F630" s="18" t="s">
        <v>2639</v>
      </c>
      <c r="G630" s="41" t="s">
        <v>220</v>
      </c>
      <c r="H630" s="17" t="s">
        <v>17</v>
      </c>
      <c r="I630" s="18" t="s">
        <v>193</v>
      </c>
      <c r="K630" s="5" t="s">
        <v>652</v>
      </c>
      <c r="L630" t="str">
        <f t="shared" si="10"/>
        <v>ronalddumel8@gmail.com</v>
      </c>
    </row>
    <row r="631" spans="1:12">
      <c r="A631" t="str" cm="1">
        <f t="array" ref="A631">_xlfn.LET(_xlpm.e,L631,
IF(_xlpm.e="","",
"DOC-"&amp;TEXT(ROW()-ROW(tblMaster[#Headers]),"00000")
))</f>
        <v>DOC-00630</v>
      </c>
      <c r="B631" s="49">
        <v>45957</v>
      </c>
      <c r="C631" s="42" t="s">
        <v>113</v>
      </c>
      <c r="D631" s="41" t="s">
        <v>2640</v>
      </c>
      <c r="E631" s="38" t="s">
        <v>2641</v>
      </c>
      <c r="F631" s="18" t="s">
        <v>2642</v>
      </c>
      <c r="G631" s="41" t="s">
        <v>2643</v>
      </c>
      <c r="H631" s="17" t="s">
        <v>17</v>
      </c>
      <c r="I631" s="18" t="s">
        <v>2644</v>
      </c>
      <c r="J631" s="99" t="s">
        <v>23</v>
      </c>
      <c r="K631" s="5" t="s">
        <v>652</v>
      </c>
      <c r="L631" t="str">
        <f t="shared" si="10"/>
        <v>brandongray@outlook.com</v>
      </c>
    </row>
    <row r="632" spans="1:12">
      <c r="A632" t="str" cm="1">
        <f t="array" ref="A632">_xlfn.LET(_xlpm.e,L632,
IF(_xlpm.e="","",
"DOC-"&amp;TEXT(ROW()-ROW(tblMaster[#Headers]),"00000")
))</f>
        <v>DOC-00631</v>
      </c>
      <c r="B632" s="49">
        <v>45957</v>
      </c>
      <c r="C632" s="42" t="s">
        <v>2645</v>
      </c>
      <c r="D632" s="41" t="s">
        <v>2646</v>
      </c>
      <c r="E632" s="38" t="s">
        <v>2647</v>
      </c>
      <c r="F632" s="18" t="s">
        <v>2648</v>
      </c>
      <c r="G632" s="41" t="s">
        <v>1100</v>
      </c>
      <c r="H632" s="17" t="s">
        <v>60</v>
      </c>
      <c r="I632" s="18" t="s">
        <v>2276</v>
      </c>
      <c r="K632" s="5" t="s">
        <v>652</v>
      </c>
      <c r="L632" t="str">
        <f t="shared" si="10"/>
        <v>scovais86@gmail.com</v>
      </c>
    </row>
    <row r="633" spans="1:12">
      <c r="A633" t="str" cm="1">
        <f t="array" ref="A633">_xlfn.LET(_xlpm.e,L633,
IF(_xlpm.e="","",
"DOC-"&amp;TEXT(ROW()-ROW(tblMaster[#Headers]),"00000")
))</f>
        <v>DOC-00632</v>
      </c>
      <c r="B633" s="49">
        <v>45957</v>
      </c>
      <c r="C633" s="42" t="s">
        <v>2649</v>
      </c>
      <c r="D633" s="41" t="s">
        <v>2650</v>
      </c>
      <c r="E633" s="38" t="s">
        <v>2651</v>
      </c>
      <c r="F633" s="18" t="s">
        <v>2652</v>
      </c>
      <c r="G633" s="41" t="s">
        <v>33</v>
      </c>
      <c r="H633" s="17" t="s">
        <v>17</v>
      </c>
      <c r="I633" s="18" t="s">
        <v>54</v>
      </c>
      <c r="K633" s="5" t="s">
        <v>652</v>
      </c>
      <c r="L633" t="str">
        <f t="shared" si="10"/>
        <v>garrylaguerre@yahoo.com</v>
      </c>
    </row>
    <row r="634" spans="1:12">
      <c r="A634" t="str" cm="1">
        <f t="array" ref="A634">_xlfn.LET(_xlpm.e,L634,
IF(_xlpm.e="","",
"DOC-"&amp;TEXT(ROW()-ROW(tblMaster[#Headers]),"00000")
))</f>
        <v>DOC-00633</v>
      </c>
      <c r="B634" s="49">
        <v>45957</v>
      </c>
      <c r="C634" s="42" t="s">
        <v>2653</v>
      </c>
      <c r="D634" s="41" t="s">
        <v>2650</v>
      </c>
      <c r="E634" s="38" t="s">
        <v>2654</v>
      </c>
      <c r="F634" s="18" t="s">
        <v>2655</v>
      </c>
      <c r="G634" s="41" t="s">
        <v>596</v>
      </c>
      <c r="H634" s="17" t="s">
        <v>17</v>
      </c>
      <c r="I634" s="18" t="s">
        <v>54</v>
      </c>
      <c r="K634" s="5" t="s">
        <v>652</v>
      </c>
      <c r="L634" t="str">
        <f t="shared" si="10"/>
        <v>morganlag2003@gmail.com</v>
      </c>
    </row>
    <row r="635" spans="1:12">
      <c r="A635" t="str" cm="1">
        <f t="array" ref="A635">_xlfn.LET(_xlpm.e,L635,
IF(_xlpm.e="","",
"DOC-"&amp;TEXT(ROW()-ROW(tblMaster[#Headers]),"00000")
))</f>
        <v/>
      </c>
      <c r="B635" s="49">
        <v>45957</v>
      </c>
      <c r="C635" s="42" t="s">
        <v>2656</v>
      </c>
      <c r="D635" s="41" t="s">
        <v>1900</v>
      </c>
      <c r="E635" s="38"/>
      <c r="F635" s="18"/>
      <c r="G635" s="41" t="s">
        <v>1084</v>
      </c>
      <c r="H635" s="17" t="s">
        <v>17</v>
      </c>
      <c r="I635" s="18" t="s">
        <v>54</v>
      </c>
      <c r="K635" s="5" t="s">
        <v>652</v>
      </c>
      <c r="L635" t="str">
        <f t="shared" si="10"/>
        <v/>
      </c>
    </row>
    <row r="636" spans="1:12">
      <c r="A636" t="str" cm="1">
        <f t="array" ref="A636">_xlfn.LET(_xlpm.e,L636,
IF(_xlpm.e="","",
"DOC-"&amp;TEXT(ROW()-ROW(tblMaster[#Headers]),"00000")
))</f>
        <v/>
      </c>
      <c r="B636" s="49">
        <v>45957</v>
      </c>
      <c r="C636" s="42" t="s">
        <v>2657</v>
      </c>
      <c r="D636" s="41" t="s">
        <v>2658</v>
      </c>
      <c r="E636" s="38"/>
      <c r="F636" s="18"/>
      <c r="G636" s="41" t="s">
        <v>74</v>
      </c>
      <c r="H636" s="17" t="s">
        <v>17</v>
      </c>
      <c r="I636" s="18" t="s">
        <v>54</v>
      </c>
      <c r="K636" s="5" t="s">
        <v>652</v>
      </c>
      <c r="L636" t="str">
        <f t="shared" si="10"/>
        <v/>
      </c>
    </row>
    <row r="637" spans="1:12">
      <c r="A637" t="str" cm="1">
        <f t="array" ref="A637">_xlfn.LET(_xlpm.e,L637,
IF(_xlpm.e="","",
"DOC-"&amp;TEXT(ROW()-ROW(tblMaster[#Headers]),"00000")
))</f>
        <v>DOC-00636</v>
      </c>
      <c r="B637" s="49">
        <v>45957</v>
      </c>
      <c r="C637" s="42" t="s">
        <v>2659</v>
      </c>
      <c r="D637" s="41" t="s">
        <v>2660</v>
      </c>
      <c r="E637" s="38" t="s">
        <v>2661</v>
      </c>
      <c r="F637" s="18" t="s">
        <v>2662</v>
      </c>
      <c r="G637" s="41" t="s">
        <v>410</v>
      </c>
      <c r="H637" s="17" t="s">
        <v>17</v>
      </c>
      <c r="I637" s="18" t="s">
        <v>54</v>
      </c>
      <c r="K637" s="5" t="s">
        <v>652</v>
      </c>
      <c r="L637" t="str">
        <f t="shared" si="10"/>
        <v>godlovekan@yahoo.com</v>
      </c>
    </row>
    <row r="638" spans="1:12">
      <c r="A638" t="str" cm="1">
        <f t="array" ref="A638">_xlfn.LET(_xlpm.e,L638,
IF(_xlpm.e="","",
"DOC-"&amp;TEXT(ROW()-ROW(tblMaster[#Headers]),"00000")
))</f>
        <v>DOC-00637</v>
      </c>
      <c r="B638" s="49">
        <v>45957</v>
      </c>
      <c r="C638" s="42" t="s">
        <v>2663</v>
      </c>
      <c r="D638" s="41" t="s">
        <v>2664</v>
      </c>
      <c r="E638" s="38" t="s">
        <v>2665</v>
      </c>
      <c r="F638" s="18" t="s">
        <v>2666</v>
      </c>
      <c r="G638" s="41" t="s">
        <v>1598</v>
      </c>
      <c r="H638" s="17" t="s">
        <v>17</v>
      </c>
      <c r="I638" s="18" t="s">
        <v>54</v>
      </c>
      <c r="J638" s="99" t="s">
        <v>194</v>
      </c>
      <c r="K638" s="5" t="s">
        <v>652</v>
      </c>
      <c r="L638" t="str">
        <f t="shared" si="10"/>
        <v>hclombardozzi@aol.com</v>
      </c>
    </row>
    <row r="639" spans="1:12">
      <c r="A639" t="str" cm="1">
        <f t="array" ref="A639">_xlfn.LET(_xlpm.e,L639,
IF(_xlpm.e="","",
"DOC-"&amp;TEXT(ROW()-ROW(tblMaster[#Headers]),"00000")
))</f>
        <v/>
      </c>
      <c r="B639" s="49">
        <v>45957</v>
      </c>
      <c r="C639" s="42" t="s">
        <v>2667</v>
      </c>
      <c r="D639" s="41" t="s">
        <v>2668</v>
      </c>
      <c r="E639" s="38"/>
      <c r="F639" s="18"/>
      <c r="G639" s="41" t="s">
        <v>2669</v>
      </c>
      <c r="H639" s="17" t="s">
        <v>267</v>
      </c>
      <c r="I639" s="18" t="s">
        <v>54</v>
      </c>
      <c r="K639" s="5" t="s">
        <v>652</v>
      </c>
      <c r="L639" t="str">
        <f t="shared" si="10"/>
        <v/>
      </c>
    </row>
    <row r="640" spans="1:12">
      <c r="A640" t="str" cm="1">
        <f t="array" ref="A640">_xlfn.LET(_xlpm.e,L640,
IF(_xlpm.e="","",
"DOC-"&amp;TEXT(ROW()-ROW(tblMaster[#Headers]),"00000")
))</f>
        <v/>
      </c>
      <c r="B640" s="49">
        <v>45957</v>
      </c>
      <c r="C640" s="42" t="s">
        <v>904</v>
      </c>
      <c r="D640" s="41" t="s">
        <v>2670</v>
      </c>
      <c r="E640" s="38"/>
      <c r="F640" s="18"/>
      <c r="G640" s="41" t="s">
        <v>2476</v>
      </c>
      <c r="H640" s="17" t="s">
        <v>17</v>
      </c>
      <c r="I640" s="17" t="s">
        <v>2276</v>
      </c>
      <c r="K640" s="5" t="s">
        <v>226</v>
      </c>
      <c r="L640" t="str">
        <f t="shared" si="10"/>
        <v/>
      </c>
    </row>
    <row r="641" spans="1:12">
      <c r="A641" t="str" cm="1">
        <f t="array" ref="A641">_xlfn.LET(_xlpm.e,L641,
IF(_xlpm.e="","",
"DOC-"&amp;TEXT(ROW()-ROW(tblMaster[#Headers]),"00000")
))</f>
        <v>DOC-00640</v>
      </c>
      <c r="B641" s="49">
        <v>45957</v>
      </c>
      <c r="C641" s="42" t="s">
        <v>2671</v>
      </c>
      <c r="D641" s="41" t="s">
        <v>2672</v>
      </c>
      <c r="E641" s="38" t="s">
        <v>2673</v>
      </c>
      <c r="F641" s="18" t="s">
        <v>2674</v>
      </c>
      <c r="G641" s="41" t="s">
        <v>74</v>
      </c>
      <c r="H641" s="17" t="s">
        <v>17</v>
      </c>
      <c r="I641" s="18" t="s">
        <v>54</v>
      </c>
      <c r="J641" s="99" t="s">
        <v>23</v>
      </c>
      <c r="K641" s="5" t="s">
        <v>652</v>
      </c>
      <c r="L641" t="str">
        <f t="shared" si="10"/>
        <v>mauriceafrancis82@gmail.com</v>
      </c>
    </row>
    <row r="642" spans="1:12">
      <c r="A642" t="str" cm="1">
        <f t="array" ref="A642">_xlfn.LET(_xlpm.e,L642,
IF(_xlpm.e="","",
"DOC-"&amp;TEXT(ROW()-ROW(tblMaster[#Headers]),"00000")
))</f>
        <v>DOC-00641</v>
      </c>
      <c r="B642" s="49">
        <v>45957</v>
      </c>
      <c r="C642" s="42" t="s">
        <v>2675</v>
      </c>
      <c r="D642" s="41" t="s">
        <v>1118</v>
      </c>
      <c r="E642" s="38" t="s">
        <v>2676</v>
      </c>
      <c r="F642" s="18" t="s">
        <v>2677</v>
      </c>
      <c r="G642" s="41"/>
      <c r="H642" s="17"/>
      <c r="I642" s="18" t="s">
        <v>54</v>
      </c>
      <c r="K642" s="5" t="s">
        <v>652</v>
      </c>
      <c r="L642" t="str">
        <f t="shared" si="10"/>
        <v>francescamarieh96@gmail.com</v>
      </c>
    </row>
    <row r="643" spans="1:12">
      <c r="A643" t="str" cm="1">
        <f t="array" ref="A643">_xlfn.LET(_xlpm.e,L643,
IF(_xlpm.e="","",
"DOC-"&amp;TEXT(ROW()-ROW(tblMaster[#Headers]),"00000")
))</f>
        <v/>
      </c>
      <c r="B643" s="49"/>
      <c r="C643" s="42"/>
      <c r="D643" s="41"/>
      <c r="E643" s="38"/>
      <c r="F643" s="18"/>
      <c r="G643" s="41"/>
      <c r="H643" s="17"/>
      <c r="I643" s="17"/>
      <c r="K643" s="5" t="s">
        <v>652</v>
      </c>
      <c r="L643" t="str">
        <f t="shared" si="10"/>
        <v/>
      </c>
    </row>
    <row r="644" spans="1:12">
      <c r="A644" t="str" cm="1">
        <f t="array" ref="A644">_xlfn.LET(_xlpm.e,L644,
IF(_xlpm.e="","",
"DOC-"&amp;TEXT(ROW()-ROW(tblMaster[#Headers]),"00000")
))</f>
        <v>DOC-00643</v>
      </c>
      <c r="B644" s="49">
        <v>45957</v>
      </c>
      <c r="C644" s="42" t="s">
        <v>2678</v>
      </c>
      <c r="D644" s="41" t="s">
        <v>2679</v>
      </c>
      <c r="E644" s="38" t="s">
        <v>2680</v>
      </c>
      <c r="F644" s="30" t="s">
        <v>2681</v>
      </c>
      <c r="G644" s="41" t="s">
        <v>2417</v>
      </c>
      <c r="H644" s="17" t="s">
        <v>17</v>
      </c>
      <c r="I644" s="17" t="s">
        <v>2276</v>
      </c>
      <c r="K644" s="5" t="s">
        <v>652</v>
      </c>
      <c r="L644" t="str">
        <f t="shared" si="10"/>
        <v>k.therrien@aol.com</v>
      </c>
    </row>
    <row r="645" spans="1:12">
      <c r="A645" t="str" cm="1">
        <f t="array" ref="A645">_xlfn.LET(_xlpm.e,L645,
IF(_xlpm.e="","",
"DOC-"&amp;TEXT(ROW()-ROW(tblMaster[#Headers]),"00000")
))</f>
        <v>DOC-00644</v>
      </c>
      <c r="B645" s="49">
        <v>45957</v>
      </c>
      <c r="C645" s="42" t="s">
        <v>2682</v>
      </c>
      <c r="D645" s="41" t="s">
        <v>2683</v>
      </c>
      <c r="E645" s="38" t="s">
        <v>2684</v>
      </c>
      <c r="F645" s="18" t="s">
        <v>2685</v>
      </c>
      <c r="G645" s="41" t="s">
        <v>2686</v>
      </c>
      <c r="H645" s="17" t="s">
        <v>17</v>
      </c>
      <c r="I645" s="18" t="s">
        <v>54</v>
      </c>
      <c r="K645" s="5" t="s">
        <v>652</v>
      </c>
      <c r="L645" t="str">
        <f t="shared" si="10"/>
        <v>malazarte07@gmail.com</v>
      </c>
    </row>
    <row r="646" spans="1:12" ht="15.75">
      <c r="A646" t="str" cm="1">
        <f t="array" ref="A646">_xlfn.LET(_xlpm.e,L646,
IF(_xlpm.e="","",
"DOC-"&amp;TEXT(ROW()-ROW(tblMaster[#Headers]),"00000")
))</f>
        <v/>
      </c>
      <c r="B646" s="49"/>
      <c r="C646" s="42"/>
      <c r="D646" s="53"/>
      <c r="E646" s="38"/>
      <c r="F646" s="19"/>
      <c r="G646" s="41"/>
      <c r="H646" s="17"/>
      <c r="I646" s="17"/>
      <c r="K646" s="5" t="s">
        <v>652</v>
      </c>
      <c r="L646" t="str">
        <f t="shared" ref="L646:L709" si="11">_xlfn.LET(_xlpm.x,E646,
_xlpm.y,TRIM(CLEAN(SUBSTITUTE(_xlpm.x,CHAR(160)," "))),
LOWER(_xlpm.y))</f>
        <v/>
      </c>
    </row>
    <row r="647" spans="1:12">
      <c r="A647" t="str" cm="1">
        <f t="array" ref="A647">_xlfn.LET(_xlpm.e,L647,
IF(_xlpm.e="","",
"DOC-"&amp;TEXT(ROW()-ROW(tblMaster[#Headers]),"00000")
))</f>
        <v/>
      </c>
      <c r="B647" s="49"/>
      <c r="C647" s="42"/>
      <c r="D647" s="41"/>
      <c r="E647" s="38"/>
      <c r="F647" s="18"/>
      <c r="G647" s="41"/>
      <c r="H647" s="17"/>
      <c r="I647" s="17"/>
      <c r="K647" s="5" t="s">
        <v>652</v>
      </c>
      <c r="L647" t="str">
        <f t="shared" si="11"/>
        <v/>
      </c>
    </row>
    <row r="648" spans="1:12">
      <c r="A648" t="str" cm="1">
        <f t="array" ref="A648">_xlfn.LET(_xlpm.e,L648,
IF(_xlpm.e="","",
"DOC-"&amp;TEXT(ROW()-ROW(tblMaster[#Headers]),"00000")
))</f>
        <v>DOC-00647</v>
      </c>
      <c r="B648" s="49">
        <v>45957</v>
      </c>
      <c r="C648" s="17" t="s">
        <v>2687</v>
      </c>
      <c r="D648" s="18" t="s">
        <v>976</v>
      </c>
      <c r="E648" s="123" t="s">
        <v>2688</v>
      </c>
      <c r="F648" s="18" t="s">
        <v>2689</v>
      </c>
      <c r="G648" s="18" t="s">
        <v>2476</v>
      </c>
      <c r="H648" s="17" t="s">
        <v>17</v>
      </c>
      <c r="I648" s="18" t="s">
        <v>54</v>
      </c>
      <c r="J648" s="99" t="s">
        <v>560</v>
      </c>
      <c r="K648" s="5" t="s">
        <v>652</v>
      </c>
      <c r="L648" t="str">
        <f t="shared" si="11"/>
        <v>thomasvan731@gmail.com</v>
      </c>
    </row>
    <row r="649" spans="1:12">
      <c r="A649" t="str" cm="1">
        <f t="array" ref="A649">_xlfn.LET(_xlpm.e,L649,
IF(_xlpm.e="","",
"DOC-"&amp;TEXT(ROW()-ROW(tblMaster[#Headers]),"00000")
))</f>
        <v>DOC-00648</v>
      </c>
      <c r="B649" s="49">
        <v>45957</v>
      </c>
      <c r="C649" s="17" t="s">
        <v>2690</v>
      </c>
      <c r="D649" s="18" t="s">
        <v>2691</v>
      </c>
      <c r="E649" s="123" t="s">
        <v>2692</v>
      </c>
      <c r="F649" s="18" t="s">
        <v>2693</v>
      </c>
      <c r="G649" s="18" t="s">
        <v>1232</v>
      </c>
      <c r="H649" s="17" t="s">
        <v>17</v>
      </c>
      <c r="I649" s="17" t="s">
        <v>2276</v>
      </c>
      <c r="J649" s="99" t="s">
        <v>560</v>
      </c>
      <c r="K649" s="5" t="s">
        <v>652</v>
      </c>
      <c r="L649" t="str">
        <f t="shared" si="11"/>
        <v>garvin1127@gmail.com</v>
      </c>
    </row>
    <row r="650" spans="1:12">
      <c r="A650" t="str" cm="1">
        <f t="array" ref="A650">_xlfn.LET(_xlpm.e,L650,
IF(_xlpm.e="","",
"DOC-"&amp;TEXT(ROW()-ROW(tblMaster[#Headers]),"00000")
))</f>
        <v>DOC-00649</v>
      </c>
      <c r="B650" s="49">
        <v>45957</v>
      </c>
      <c r="C650" s="42" t="s">
        <v>2694</v>
      </c>
      <c r="D650" s="41" t="s">
        <v>2695</v>
      </c>
      <c r="E650" s="38" t="s">
        <v>2696</v>
      </c>
      <c r="F650" s="18" t="s">
        <v>2697</v>
      </c>
      <c r="G650" s="41" t="s">
        <v>1941</v>
      </c>
      <c r="H650" s="17" t="s">
        <v>17</v>
      </c>
      <c r="I650" s="18" t="s">
        <v>54</v>
      </c>
      <c r="J650" s="99" t="s">
        <v>118</v>
      </c>
      <c r="K650" s="5" t="s">
        <v>652</v>
      </c>
      <c r="L650" t="str">
        <f t="shared" si="11"/>
        <v>jacquelinelyle@icloud.com</v>
      </c>
    </row>
    <row r="651" spans="1:12">
      <c r="A651" t="str" cm="1">
        <f t="array" ref="A651">_xlfn.LET(_xlpm.e,L651,
IF(_xlpm.e="","",
"DOC-"&amp;TEXT(ROW()-ROW(tblMaster[#Headers]),"00000")
))</f>
        <v>DOC-00650</v>
      </c>
      <c r="B651" s="49">
        <v>45957</v>
      </c>
      <c r="C651" s="42" t="s">
        <v>2698</v>
      </c>
      <c r="D651" s="41" t="s">
        <v>2699</v>
      </c>
      <c r="E651" s="38" t="s">
        <v>2700</v>
      </c>
      <c r="F651" s="18" t="s">
        <v>2701</v>
      </c>
      <c r="G651" s="41" t="s">
        <v>79</v>
      </c>
      <c r="H651" s="17" t="s">
        <v>17</v>
      </c>
      <c r="I651" s="17" t="s">
        <v>2276</v>
      </c>
      <c r="J651" s="99" t="s">
        <v>118</v>
      </c>
      <c r="K651" s="5" t="s">
        <v>652</v>
      </c>
      <c r="L651" t="str">
        <f t="shared" si="11"/>
        <v>yeboahernestct@gmail.com</v>
      </c>
    </row>
    <row r="652" spans="1:12">
      <c r="A652" t="str" cm="1">
        <f t="array" ref="A652">_xlfn.LET(_xlpm.e,L652,
IF(_xlpm.e="","",
"DOC-"&amp;TEXT(ROW()-ROW(tblMaster[#Headers]),"00000")
))</f>
        <v/>
      </c>
      <c r="B652" s="49">
        <v>45957</v>
      </c>
      <c r="C652" s="17" t="s">
        <v>2702</v>
      </c>
      <c r="D652" s="18" t="s">
        <v>700</v>
      </c>
      <c r="E652" s="123"/>
      <c r="F652" s="18" t="s">
        <v>2703</v>
      </c>
      <c r="G652" s="18" t="s">
        <v>2704</v>
      </c>
      <c r="H652" s="17" t="s">
        <v>17</v>
      </c>
      <c r="I652" s="17" t="s">
        <v>2276</v>
      </c>
      <c r="J652" s="99" t="s">
        <v>560</v>
      </c>
      <c r="K652" s="5" t="s">
        <v>652</v>
      </c>
      <c r="L652" t="str">
        <f t="shared" si="11"/>
        <v/>
      </c>
    </row>
    <row r="653" spans="1:12">
      <c r="A653" t="str" cm="1">
        <f t="array" ref="A653">_xlfn.LET(_xlpm.e,L653,
IF(_xlpm.e="","",
"DOC-"&amp;TEXT(ROW()-ROW(tblMaster[#Headers]),"00000")
))</f>
        <v>DOC-00652</v>
      </c>
      <c r="B653" s="49">
        <v>45957</v>
      </c>
      <c r="C653" s="17" t="s">
        <v>491</v>
      </c>
      <c r="D653" s="18" t="s">
        <v>2705</v>
      </c>
      <c r="E653" s="123" t="s">
        <v>2706</v>
      </c>
      <c r="F653" s="18" t="s">
        <v>2707</v>
      </c>
      <c r="G653" s="18" t="s">
        <v>2708</v>
      </c>
      <c r="H653" s="17" t="s">
        <v>17</v>
      </c>
      <c r="I653" s="18" t="s">
        <v>54</v>
      </c>
      <c r="J653" s="99" t="s">
        <v>560</v>
      </c>
      <c r="K653" s="5" t="s">
        <v>652</v>
      </c>
      <c r="L653" t="str">
        <f t="shared" si="11"/>
        <v>fishhook89@yahoo.com</v>
      </c>
    </row>
    <row r="654" spans="1:12">
      <c r="A654" t="str" cm="1">
        <f t="array" ref="A654">_xlfn.LET(_xlpm.e,L654,
IF(_xlpm.e="","",
"DOC-"&amp;TEXT(ROW()-ROW(tblMaster[#Headers]),"00000")
))</f>
        <v>DOC-00653</v>
      </c>
      <c r="B654" s="49">
        <v>45957</v>
      </c>
      <c r="C654" s="42" t="s">
        <v>2709</v>
      </c>
      <c r="D654" s="41" t="s">
        <v>2710</v>
      </c>
      <c r="E654" s="38" t="s">
        <v>2711</v>
      </c>
      <c r="F654" s="18" t="s">
        <v>2712</v>
      </c>
      <c r="G654" s="41" t="s">
        <v>596</v>
      </c>
      <c r="H654" s="17" t="s">
        <v>17</v>
      </c>
      <c r="I654" s="18" t="s">
        <v>101</v>
      </c>
      <c r="J654" s="99" t="s">
        <v>118</v>
      </c>
      <c r="K654" s="5" t="s">
        <v>652</v>
      </c>
      <c r="L654" t="str">
        <f t="shared" si="11"/>
        <v>garlensetienne@icloud.com</v>
      </c>
    </row>
    <row r="655" spans="1:12">
      <c r="A655" t="str" cm="1">
        <f t="array" ref="A655">_xlfn.LET(_xlpm.e,L655,
IF(_xlpm.e="","",
"DOC-"&amp;TEXT(ROW()-ROW(tblMaster[#Headers]),"00000")
))</f>
        <v>DOC-00654</v>
      </c>
      <c r="B655" s="49">
        <v>45957</v>
      </c>
      <c r="C655" s="42" t="s">
        <v>2547</v>
      </c>
      <c r="D655" s="41" t="s">
        <v>2548</v>
      </c>
      <c r="E655" s="38" t="s">
        <v>2713</v>
      </c>
      <c r="F655" s="18" t="s">
        <v>2550</v>
      </c>
      <c r="G655" s="41" t="s">
        <v>123</v>
      </c>
      <c r="H655" s="17" t="s">
        <v>60</v>
      </c>
      <c r="I655" s="18" t="s">
        <v>101</v>
      </c>
      <c r="J655" s="99" t="s">
        <v>118</v>
      </c>
      <c r="K655" s="5" t="s">
        <v>652</v>
      </c>
      <c r="L655" t="str">
        <f t="shared" si="11"/>
        <v>raulgil0208@gmail.com</v>
      </c>
    </row>
    <row r="656" spans="1:12">
      <c r="A656" t="str" cm="1">
        <f t="array" ref="A656">_xlfn.LET(_xlpm.e,L656,
IF(_xlpm.e="","",
"DOC-"&amp;TEXT(ROW()-ROW(tblMaster[#Headers]),"00000")
))</f>
        <v>DOC-00655</v>
      </c>
      <c r="B656" s="49">
        <v>45957</v>
      </c>
      <c r="C656" s="42" t="s">
        <v>2714</v>
      </c>
      <c r="D656" s="41" t="s">
        <v>2715</v>
      </c>
      <c r="E656" s="38" t="s">
        <v>2716</v>
      </c>
      <c r="F656" s="18" t="s">
        <v>2717</v>
      </c>
      <c r="G656" s="41" t="s">
        <v>2718</v>
      </c>
      <c r="H656" s="17" t="s">
        <v>17</v>
      </c>
      <c r="I656" s="18" t="s">
        <v>54</v>
      </c>
      <c r="K656" s="5" t="s">
        <v>652</v>
      </c>
      <c r="L656" t="str">
        <f t="shared" si="11"/>
        <v>asf.hamoudi@gmail.com</v>
      </c>
    </row>
    <row r="657" spans="1:12">
      <c r="A657" t="str" cm="1">
        <f t="array" ref="A657">_xlfn.LET(_xlpm.e,L657,
IF(_xlpm.e="","",
"DOC-"&amp;TEXT(ROW()-ROW(tblMaster[#Headers]),"00000")
))</f>
        <v>DOC-00656</v>
      </c>
      <c r="B657" s="49">
        <v>45957</v>
      </c>
      <c r="C657" s="17" t="s">
        <v>2719</v>
      </c>
      <c r="D657" s="18" t="s">
        <v>2720</v>
      </c>
      <c r="E657" s="123" t="s">
        <v>2721</v>
      </c>
      <c r="F657" s="18" t="s">
        <v>2722</v>
      </c>
      <c r="G657" s="18" t="s">
        <v>1409</v>
      </c>
      <c r="H657" s="17" t="s">
        <v>17</v>
      </c>
      <c r="I657" s="18" t="s">
        <v>54</v>
      </c>
      <c r="J657" s="99" t="s">
        <v>560</v>
      </c>
      <c r="K657" s="5" t="s">
        <v>652</v>
      </c>
      <c r="L657" t="str">
        <f t="shared" si="11"/>
        <v>gsavoie0312@icloud.com</v>
      </c>
    </row>
    <row r="658" spans="1:12">
      <c r="A658" t="str" cm="1">
        <f t="array" ref="A658">_xlfn.LET(_xlpm.e,L658,
IF(_xlpm.e="","",
"DOC-"&amp;TEXT(ROW()-ROW(tblMaster[#Headers]),"00000")
))</f>
        <v/>
      </c>
      <c r="B658" s="49">
        <v>45957</v>
      </c>
      <c r="C658" s="42" t="s">
        <v>2723</v>
      </c>
      <c r="D658" s="41" t="s">
        <v>2724</v>
      </c>
      <c r="E658" s="38"/>
      <c r="F658" s="18"/>
      <c r="G658" s="41" t="s">
        <v>257</v>
      </c>
      <c r="H658" s="17" t="s">
        <v>17</v>
      </c>
      <c r="I658" s="18" t="s">
        <v>101</v>
      </c>
      <c r="K658" s="5" t="s">
        <v>652</v>
      </c>
      <c r="L658" t="str">
        <f t="shared" si="11"/>
        <v/>
      </c>
    </row>
    <row r="659" spans="1:12">
      <c r="A659" t="str" cm="1">
        <f t="array" ref="A659">_xlfn.LET(_xlpm.e,L659,
IF(_xlpm.e="","",
"DOC-"&amp;TEXT(ROW()-ROW(tblMaster[#Headers]),"00000")
))</f>
        <v/>
      </c>
      <c r="B659" s="49">
        <v>45957</v>
      </c>
      <c r="C659" s="42" t="s">
        <v>2725</v>
      </c>
      <c r="D659" s="41" t="s">
        <v>2726</v>
      </c>
      <c r="E659" s="38"/>
      <c r="F659" s="18"/>
      <c r="G659" s="41" t="s">
        <v>606</v>
      </c>
      <c r="H659" s="17" t="s">
        <v>328</v>
      </c>
      <c r="I659" s="18" t="s">
        <v>54</v>
      </c>
      <c r="K659" s="5" t="s">
        <v>652</v>
      </c>
      <c r="L659" t="str">
        <f t="shared" si="11"/>
        <v/>
      </c>
    </row>
    <row r="660" spans="1:12">
      <c r="A660" t="str" cm="1">
        <f t="array" ref="A660">_xlfn.LET(_xlpm.e,L660,
IF(_xlpm.e="","",
"DOC-"&amp;TEXT(ROW()-ROW(tblMaster[#Headers]),"00000")
))</f>
        <v/>
      </c>
      <c r="B660" s="49">
        <v>45957</v>
      </c>
      <c r="C660" s="42" t="s">
        <v>2727</v>
      </c>
      <c r="D660" s="41" t="s">
        <v>1946</v>
      </c>
      <c r="E660" s="38"/>
      <c r="F660" s="18"/>
      <c r="G660" s="41" t="s">
        <v>837</v>
      </c>
      <c r="H660" s="17" t="s">
        <v>17</v>
      </c>
      <c r="I660" s="18" t="s">
        <v>54</v>
      </c>
      <c r="K660" s="5" t="s">
        <v>652</v>
      </c>
      <c r="L660" t="str">
        <f t="shared" si="11"/>
        <v/>
      </c>
    </row>
    <row r="661" spans="1:12">
      <c r="A661" t="str" cm="1">
        <f t="array" ref="A661">_xlfn.LET(_xlpm.e,L661,
IF(_xlpm.e="","",
"DOC-"&amp;TEXT(ROW()-ROW(tblMaster[#Headers]),"00000")
))</f>
        <v>DOC-00660</v>
      </c>
      <c r="B661" s="49">
        <v>45957</v>
      </c>
      <c r="C661" s="42" t="s">
        <v>2728</v>
      </c>
      <c r="D661" s="41" t="s">
        <v>2729</v>
      </c>
      <c r="E661" s="38" t="s">
        <v>2730</v>
      </c>
      <c r="F661" s="18" t="s">
        <v>2731</v>
      </c>
      <c r="G661" s="41" t="s">
        <v>410</v>
      </c>
      <c r="H661" s="17" t="s">
        <v>17</v>
      </c>
      <c r="I661" s="17"/>
      <c r="J661" s="99" t="s">
        <v>23</v>
      </c>
      <c r="K661" s="5" t="s">
        <v>652</v>
      </c>
      <c r="L661" t="str">
        <f t="shared" si="11"/>
        <v>xashy160@gmail.com</v>
      </c>
    </row>
    <row r="662" spans="1:12">
      <c r="A662" t="str" cm="1">
        <f t="array" ref="A662">_xlfn.LET(_xlpm.e,L662,
IF(_xlpm.e="","",
"DOC-"&amp;TEXT(ROW()-ROW(tblMaster[#Headers]),"00000")
))</f>
        <v>DOC-00661</v>
      </c>
      <c r="B662" s="49">
        <v>45957</v>
      </c>
      <c r="C662" s="42" t="s">
        <v>1307</v>
      </c>
      <c r="D662" s="41" t="s">
        <v>2732</v>
      </c>
      <c r="E662" s="38" t="s">
        <v>2733</v>
      </c>
      <c r="F662" s="18" t="s">
        <v>2734</v>
      </c>
      <c r="G662" s="41" t="s">
        <v>2735</v>
      </c>
      <c r="H662" s="17" t="s">
        <v>474</v>
      </c>
      <c r="I662" s="17"/>
      <c r="J662" s="99" t="s">
        <v>194</v>
      </c>
      <c r="K662" s="5" t="s">
        <v>226</v>
      </c>
      <c r="L662" t="str">
        <f t="shared" si="11"/>
        <v>apl2k14@gmail.com</v>
      </c>
    </row>
    <row r="663" spans="1:12">
      <c r="A663" t="str" cm="1">
        <f t="array" ref="A663">_xlfn.LET(_xlpm.e,L663,
IF(_xlpm.e="","",
"DOC-"&amp;TEXT(ROW()-ROW(tblMaster[#Headers]),"00000")
))</f>
        <v/>
      </c>
      <c r="B663" s="49">
        <v>45957</v>
      </c>
      <c r="C663" s="42" t="s">
        <v>2736</v>
      </c>
      <c r="D663" s="60" t="s">
        <v>2737</v>
      </c>
      <c r="E663" s="38"/>
      <c r="F663" s="18"/>
      <c r="G663" s="41" t="s">
        <v>74</v>
      </c>
      <c r="H663" s="17" t="s">
        <v>53</v>
      </c>
      <c r="I663" s="17"/>
      <c r="K663" s="5" t="s">
        <v>652</v>
      </c>
      <c r="L663" t="str">
        <f t="shared" si="11"/>
        <v/>
      </c>
    </row>
    <row r="664" spans="1:12" ht="15.75">
      <c r="A664" t="str" cm="1">
        <f t="array" ref="A664">_xlfn.LET(_xlpm.e,L664,
IF(_xlpm.e="","",
"DOC-"&amp;TEXT(ROW()-ROW(tblMaster[#Headers]),"00000")
))</f>
        <v>DOC-00663</v>
      </c>
      <c r="B664" s="49">
        <v>45957</v>
      </c>
      <c r="C664" s="42" t="s">
        <v>2738</v>
      </c>
      <c r="D664" s="53" t="s">
        <v>2739</v>
      </c>
      <c r="E664" s="38" t="s">
        <v>2740</v>
      </c>
      <c r="F664" s="19" t="s">
        <v>2741</v>
      </c>
      <c r="G664" s="41" t="s">
        <v>33</v>
      </c>
      <c r="H664" s="17" t="s">
        <v>17</v>
      </c>
      <c r="I664" s="17"/>
      <c r="K664" s="5" t="s">
        <v>652</v>
      </c>
      <c r="L664" t="str">
        <f t="shared" si="11"/>
        <v>armanic96@outlook.com</v>
      </c>
    </row>
    <row r="665" spans="1:12">
      <c r="A665" t="str" cm="1">
        <f t="array" ref="A665">_xlfn.LET(_xlpm.e,L665,
IF(_xlpm.e="","",
"DOC-"&amp;TEXT(ROW()-ROW(tblMaster[#Headers]),"00000")
))</f>
        <v/>
      </c>
      <c r="B665" s="49">
        <v>45957</v>
      </c>
      <c r="C665" s="42" t="s">
        <v>2742</v>
      </c>
      <c r="D665" s="41" t="s">
        <v>2743</v>
      </c>
      <c r="E665" s="38"/>
      <c r="F665" s="18"/>
      <c r="G665" s="41" t="s">
        <v>970</v>
      </c>
      <c r="H665" s="17" t="s">
        <v>2744</v>
      </c>
      <c r="I665" s="17"/>
      <c r="K665" s="5" t="s">
        <v>652</v>
      </c>
      <c r="L665" t="str">
        <f t="shared" si="11"/>
        <v/>
      </c>
    </row>
    <row r="666" spans="1:12">
      <c r="A666" t="str" cm="1">
        <f t="array" ref="A666">_xlfn.LET(_xlpm.e,L666,
IF(_xlpm.e="","",
"DOC-"&amp;TEXT(ROW()-ROW(tblMaster[#Headers]),"00000")
))</f>
        <v/>
      </c>
      <c r="B666" s="49">
        <v>45957</v>
      </c>
      <c r="C666" s="42" t="s">
        <v>2745</v>
      </c>
      <c r="D666" s="41" t="s">
        <v>2746</v>
      </c>
      <c r="E666" s="38"/>
      <c r="F666" s="18"/>
      <c r="G666" s="41" t="s">
        <v>2747</v>
      </c>
      <c r="H666" s="17" t="s">
        <v>17</v>
      </c>
      <c r="I666" s="17"/>
      <c r="K666" s="5" t="s">
        <v>652</v>
      </c>
      <c r="L666" t="str">
        <f t="shared" si="11"/>
        <v/>
      </c>
    </row>
    <row r="667" spans="1:12" ht="15.75">
      <c r="A667" t="str" cm="1">
        <f t="array" ref="A667">_xlfn.LET(_xlpm.e,L667,
IF(_xlpm.e="","",
"DOC-"&amp;TEXT(ROW()-ROW(tblMaster[#Headers]),"00000")
))</f>
        <v>DOC-00666</v>
      </c>
      <c r="B667" s="49">
        <v>45957</v>
      </c>
      <c r="C667" s="42" t="s">
        <v>243</v>
      </c>
      <c r="D667" s="58" t="s">
        <v>2748</v>
      </c>
      <c r="E667" s="38" t="s">
        <v>2749</v>
      </c>
      <c r="F667" s="21" t="s">
        <v>2750</v>
      </c>
      <c r="G667" s="41" t="s">
        <v>33</v>
      </c>
      <c r="H667" s="17" t="s">
        <v>17</v>
      </c>
      <c r="I667" s="17"/>
      <c r="J667" s="99" t="s">
        <v>23</v>
      </c>
      <c r="K667" s="5" t="s">
        <v>652</v>
      </c>
      <c r="L667" t="str">
        <f t="shared" si="11"/>
        <v>willysanu20@gmail.com</v>
      </c>
    </row>
    <row r="668" spans="1:12">
      <c r="A668" t="str" cm="1">
        <f t="array" ref="A668">_xlfn.LET(_xlpm.e,L668,
IF(_xlpm.e="","",
"DOC-"&amp;TEXT(ROW()-ROW(tblMaster[#Headers]),"00000")
))</f>
        <v>DOC-00667</v>
      </c>
      <c r="B668" s="49">
        <v>45957</v>
      </c>
      <c r="C668" s="42" t="s">
        <v>929</v>
      </c>
      <c r="D668" s="41" t="s">
        <v>2751</v>
      </c>
      <c r="E668" s="38" t="s">
        <v>2752</v>
      </c>
      <c r="F668" s="18" t="s">
        <v>2753</v>
      </c>
      <c r="G668" s="41" t="s">
        <v>581</v>
      </c>
      <c r="H668" s="17" t="s">
        <v>53</v>
      </c>
      <c r="I668" s="17"/>
      <c r="K668" s="5" t="s">
        <v>652</v>
      </c>
      <c r="L668" t="str">
        <f t="shared" si="11"/>
        <v>kevincasimir331@gmail.com</v>
      </c>
    </row>
    <row r="669" spans="1:12">
      <c r="A669" t="str" cm="1">
        <f t="array" ref="A669">_xlfn.LET(_xlpm.e,L669,
IF(_xlpm.e="","",
"DOC-"&amp;TEXT(ROW()-ROW(tblMaster[#Headers]),"00000")
))</f>
        <v/>
      </c>
      <c r="B669" s="49">
        <v>45957</v>
      </c>
      <c r="C669" s="42" t="s">
        <v>2754</v>
      </c>
      <c r="D669" s="41" t="s">
        <v>2755</v>
      </c>
      <c r="E669" s="38"/>
      <c r="F669" s="18"/>
      <c r="G669" s="41" t="s">
        <v>16</v>
      </c>
      <c r="H669" s="17" t="s">
        <v>17</v>
      </c>
      <c r="I669" s="17"/>
      <c r="K669" s="5" t="s">
        <v>652</v>
      </c>
      <c r="L669" t="str">
        <f t="shared" si="11"/>
        <v/>
      </c>
    </row>
    <row r="670" spans="1:12" ht="15.75">
      <c r="A670" t="str" cm="1">
        <f t="array" ref="A670">_xlfn.LET(_xlpm.e,L670,
IF(_xlpm.e="","",
"DOC-"&amp;TEXT(ROW()-ROW(tblMaster[#Headers]),"00000")
))</f>
        <v>DOC-00669</v>
      </c>
      <c r="B670" s="49">
        <v>45957</v>
      </c>
      <c r="C670" s="42" t="s">
        <v>203</v>
      </c>
      <c r="D670" s="61" t="s">
        <v>2756</v>
      </c>
      <c r="E670" s="38" t="s">
        <v>2757</v>
      </c>
      <c r="F670" s="23" t="s">
        <v>2758</v>
      </c>
      <c r="G670" s="41" t="s">
        <v>52</v>
      </c>
      <c r="H670" s="17" t="s">
        <v>17</v>
      </c>
      <c r="I670" s="17"/>
      <c r="K670" s="5" t="s">
        <v>652</v>
      </c>
      <c r="L670" t="str">
        <f t="shared" si="11"/>
        <v>joebizarre61@gmail.com</v>
      </c>
    </row>
    <row r="671" spans="1:12" ht="15.75">
      <c r="A671" t="str" cm="1">
        <f t="array" ref="A671">_xlfn.LET(_xlpm.e,L671,
IF(_xlpm.e="","",
"DOC-"&amp;TEXT(ROW()-ROW(tblMaster[#Headers]),"00000")
))</f>
        <v/>
      </c>
      <c r="B671" s="49">
        <v>45957</v>
      </c>
      <c r="C671" s="42" t="s">
        <v>796</v>
      </c>
      <c r="D671" s="61" t="s">
        <v>2759</v>
      </c>
      <c r="E671" s="38"/>
      <c r="F671" s="23"/>
      <c r="G671" s="41" t="s">
        <v>1463</v>
      </c>
      <c r="H671" s="17" t="s">
        <v>17</v>
      </c>
      <c r="I671" s="17" t="s">
        <v>2276</v>
      </c>
      <c r="K671" s="5" t="s">
        <v>652</v>
      </c>
      <c r="L671" t="str">
        <f t="shared" si="11"/>
        <v/>
      </c>
    </row>
    <row r="672" spans="1:12" ht="15.75">
      <c r="A672" t="str" cm="1">
        <f t="array" ref="A672">_xlfn.LET(_xlpm.e,L672,
IF(_xlpm.e="","",
"DOC-"&amp;TEXT(ROW()-ROW(tblMaster[#Headers]),"00000")
))</f>
        <v/>
      </c>
      <c r="B672" s="49">
        <v>45957</v>
      </c>
      <c r="C672" s="42" t="s">
        <v>2760</v>
      </c>
      <c r="D672" s="61" t="s">
        <v>2761</v>
      </c>
      <c r="E672" s="38"/>
      <c r="F672" s="23"/>
      <c r="G672" s="41" t="s">
        <v>257</v>
      </c>
      <c r="H672" s="17" t="s">
        <v>17</v>
      </c>
      <c r="I672" s="18" t="s">
        <v>54</v>
      </c>
      <c r="K672" s="5" t="s">
        <v>652</v>
      </c>
      <c r="L672" t="str">
        <f t="shared" si="11"/>
        <v/>
      </c>
    </row>
    <row r="673" spans="1:12" ht="15.75">
      <c r="A673" t="str" cm="1">
        <f t="array" ref="A673">_xlfn.LET(_xlpm.e,L673,
IF(_xlpm.e="","",
"DOC-"&amp;TEXT(ROW()-ROW(tblMaster[#Headers]),"00000")
))</f>
        <v>DOC-00672</v>
      </c>
      <c r="B673" s="49">
        <v>45957</v>
      </c>
      <c r="C673" s="42" t="s">
        <v>2762</v>
      </c>
      <c r="D673" s="62" t="s">
        <v>2763</v>
      </c>
      <c r="E673" s="38" t="s">
        <v>2764</v>
      </c>
      <c r="F673" s="23" t="s">
        <v>2765</v>
      </c>
      <c r="G673" s="41" t="s">
        <v>257</v>
      </c>
      <c r="H673" s="17" t="s">
        <v>17</v>
      </c>
      <c r="I673" s="18" t="s">
        <v>54</v>
      </c>
      <c r="K673" s="5" t="s">
        <v>652</v>
      </c>
      <c r="L673" t="str">
        <f t="shared" si="11"/>
        <v>petionricardo6@gmail.com</v>
      </c>
    </row>
    <row r="674" spans="1:12" ht="15.75">
      <c r="A674" t="str" cm="1">
        <f t="array" ref="A674">_xlfn.LET(_xlpm.e,L674,
IF(_xlpm.e="","",
"DOC-"&amp;TEXT(ROW()-ROW(tblMaster[#Headers]),"00000")
))</f>
        <v>DOC-00673</v>
      </c>
      <c r="B674" s="49">
        <v>45957</v>
      </c>
      <c r="C674" s="42" t="s">
        <v>2766</v>
      </c>
      <c r="D674" s="62" t="s">
        <v>2767</v>
      </c>
      <c r="E674" s="38" t="s">
        <v>2768</v>
      </c>
      <c r="F674" s="23" t="s">
        <v>2769</v>
      </c>
      <c r="G674" s="41" t="s">
        <v>2770</v>
      </c>
      <c r="H674" s="17" t="s">
        <v>17</v>
      </c>
      <c r="I674" s="18" t="s">
        <v>54</v>
      </c>
      <c r="J674" s="99" t="s">
        <v>23</v>
      </c>
      <c r="K674" s="5" t="s">
        <v>652</v>
      </c>
      <c r="L674" t="str">
        <f t="shared" si="11"/>
        <v>chrix.m2003@gmail.com</v>
      </c>
    </row>
    <row r="675" spans="1:12" ht="15.75">
      <c r="A675" t="str" cm="1">
        <f t="array" ref="A675">_xlfn.LET(_xlpm.e,L675,
IF(_xlpm.e="","",
"DOC-"&amp;TEXT(ROW()-ROW(tblMaster[#Headers]),"00000")
))</f>
        <v>DOC-00674</v>
      </c>
      <c r="B675" s="49">
        <v>45957</v>
      </c>
      <c r="C675" s="42" t="s">
        <v>2116</v>
      </c>
      <c r="D675" s="61" t="s">
        <v>2771</v>
      </c>
      <c r="E675" s="38" t="s">
        <v>2772</v>
      </c>
      <c r="F675" s="23" t="s">
        <v>2773</v>
      </c>
      <c r="G675" s="41" t="s">
        <v>2774</v>
      </c>
      <c r="H675" s="17" t="s">
        <v>17</v>
      </c>
      <c r="I675" s="18" t="s">
        <v>54</v>
      </c>
      <c r="K675" s="5" t="s">
        <v>652</v>
      </c>
      <c r="L675" t="str">
        <f t="shared" si="11"/>
        <v>shollandhj@gmail.com</v>
      </c>
    </row>
    <row r="676" spans="1:12" ht="15.75">
      <c r="A676" t="str" cm="1">
        <f t="array" ref="A676">_xlfn.LET(_xlpm.e,L676,
IF(_xlpm.e="","",
"DOC-"&amp;TEXT(ROW()-ROW(tblMaster[#Headers]),"00000")
))</f>
        <v>DOC-00675</v>
      </c>
      <c r="B676" s="49">
        <v>45957</v>
      </c>
      <c r="C676" s="42" t="s">
        <v>2775</v>
      </c>
      <c r="D676" s="61" t="s">
        <v>2776</v>
      </c>
      <c r="E676" s="38" t="s">
        <v>2777</v>
      </c>
      <c r="F676" s="23" t="s">
        <v>2778</v>
      </c>
      <c r="G676" s="41" t="s">
        <v>2779</v>
      </c>
      <c r="H676" s="17" t="s">
        <v>17</v>
      </c>
      <c r="I676" s="17" t="s">
        <v>2276</v>
      </c>
      <c r="K676" s="5" t="s">
        <v>652</v>
      </c>
      <c r="L676" t="str">
        <f t="shared" si="11"/>
        <v>dezmenduarte@yahoo.com</v>
      </c>
    </row>
    <row r="677" spans="1:12" ht="15.75">
      <c r="A677" t="str" cm="1">
        <f t="array" ref="A677">_xlfn.LET(_xlpm.e,L677,
IF(_xlpm.e="","",
"DOC-"&amp;TEXT(ROW()-ROW(tblMaster[#Headers]),"00000")
))</f>
        <v>DOC-00676</v>
      </c>
      <c r="B677" s="49">
        <v>45957</v>
      </c>
      <c r="C677" s="42" t="s">
        <v>29</v>
      </c>
      <c r="D677" s="61" t="s">
        <v>2780</v>
      </c>
      <c r="E677" s="38" t="s">
        <v>2781</v>
      </c>
      <c r="F677" s="23" t="s">
        <v>2782</v>
      </c>
      <c r="G677" s="41" t="s">
        <v>2783</v>
      </c>
      <c r="H677" s="17" t="s">
        <v>17</v>
      </c>
      <c r="I677" s="17" t="s">
        <v>2276</v>
      </c>
      <c r="K677" s="5" t="s">
        <v>652</v>
      </c>
      <c r="L677" t="str">
        <f t="shared" si="11"/>
        <v>benjamin.merk@gmail.com</v>
      </c>
    </row>
    <row r="678" spans="1:12" ht="15.75">
      <c r="A678" t="str" cm="1">
        <f t="array" ref="A678">_xlfn.LET(_xlpm.e,L678,
IF(_xlpm.e="","",
"DOC-"&amp;TEXT(ROW()-ROW(tblMaster[#Headers]),"00000")
))</f>
        <v>DOC-00677</v>
      </c>
      <c r="B678" s="49">
        <v>45957</v>
      </c>
      <c r="C678" s="42" t="s">
        <v>55</v>
      </c>
      <c r="D678" s="61" t="s">
        <v>2784</v>
      </c>
      <c r="E678" s="38" t="s">
        <v>2785</v>
      </c>
      <c r="F678" s="23" t="s">
        <v>2786</v>
      </c>
      <c r="G678" s="41" t="s">
        <v>2787</v>
      </c>
      <c r="H678" s="17" t="s">
        <v>17</v>
      </c>
      <c r="I678" s="17" t="s">
        <v>2276</v>
      </c>
      <c r="K678" s="5" t="s">
        <v>652</v>
      </c>
      <c r="L678" t="str">
        <f t="shared" si="11"/>
        <v>bigmikecoop17@gmail.com</v>
      </c>
    </row>
    <row r="679" spans="1:12" ht="15.75">
      <c r="A679" t="str" cm="1">
        <f t="array" ref="A679">_xlfn.LET(_xlpm.e,L679,
IF(_xlpm.e="","",
"DOC-"&amp;TEXT(ROW()-ROW(tblMaster[#Headers]),"00000")
))</f>
        <v/>
      </c>
      <c r="B679" s="49">
        <v>45957</v>
      </c>
      <c r="C679" s="42" t="s">
        <v>2788</v>
      </c>
      <c r="D679" s="61" t="s">
        <v>2789</v>
      </c>
      <c r="E679" s="38"/>
      <c r="F679" s="23"/>
      <c r="G679" s="41" t="s">
        <v>1232</v>
      </c>
      <c r="H679" s="17" t="s">
        <v>17</v>
      </c>
      <c r="I679" s="17" t="s">
        <v>2276</v>
      </c>
      <c r="K679" s="5" t="s">
        <v>652</v>
      </c>
      <c r="L679" t="str">
        <f t="shared" si="11"/>
        <v/>
      </c>
    </row>
    <row r="680" spans="1:12" ht="15.75">
      <c r="A680" t="str" cm="1">
        <f t="array" ref="A680">_xlfn.LET(_xlpm.e,L680,
IF(_xlpm.e="","",
"DOC-"&amp;TEXT(ROW()-ROW(tblMaster[#Headers]),"00000")
))</f>
        <v>DOC-00679</v>
      </c>
      <c r="B680" s="49">
        <v>45957</v>
      </c>
      <c r="C680" s="42" t="s">
        <v>2790</v>
      </c>
      <c r="D680" s="61" t="s">
        <v>2791</v>
      </c>
      <c r="E680" s="38" t="s">
        <v>2792</v>
      </c>
      <c r="F680" s="23" t="s">
        <v>2793</v>
      </c>
      <c r="G680" s="41" t="s">
        <v>2794</v>
      </c>
      <c r="H680" s="17" t="s">
        <v>17</v>
      </c>
      <c r="I680" s="18" t="s">
        <v>54</v>
      </c>
      <c r="K680" s="5" t="s">
        <v>652</v>
      </c>
      <c r="L680" t="str">
        <f t="shared" si="11"/>
        <v>ayodejiomotayo25@gmail.com</v>
      </c>
    </row>
    <row r="681" spans="1:12" ht="15.75">
      <c r="A681" t="str" cm="1">
        <f t="array" ref="A681">_xlfn.LET(_xlpm.e,L681,
IF(_xlpm.e="","",
"DOC-"&amp;TEXT(ROW()-ROW(tblMaster[#Headers]),"00000")
))</f>
        <v>DOC-00680</v>
      </c>
      <c r="B681" s="49">
        <v>45957</v>
      </c>
      <c r="C681" s="42" t="s">
        <v>2795</v>
      </c>
      <c r="D681" s="63" t="s">
        <v>2796</v>
      </c>
      <c r="E681" s="38" t="s">
        <v>2797</v>
      </c>
      <c r="F681" s="25" t="s">
        <v>2798</v>
      </c>
      <c r="G681" s="41" t="s">
        <v>79</v>
      </c>
      <c r="H681" s="17" t="s">
        <v>17</v>
      </c>
      <c r="I681" s="17" t="s">
        <v>2799</v>
      </c>
      <c r="K681" s="5" t="s">
        <v>652</v>
      </c>
      <c r="L681" t="str">
        <f t="shared" si="11"/>
        <v>mpov24@gmail.com</v>
      </c>
    </row>
    <row r="682" spans="1:12" ht="15.75">
      <c r="A682" t="str" cm="1">
        <f t="array" ref="A682">_xlfn.LET(_xlpm.e,L682,
IF(_xlpm.e="","",
"DOC-"&amp;TEXT(ROW()-ROW(tblMaster[#Headers]),"00000")
))</f>
        <v>DOC-00681</v>
      </c>
      <c r="B682" s="49">
        <v>45957</v>
      </c>
      <c r="C682" s="42" t="s">
        <v>2800</v>
      </c>
      <c r="D682" s="61" t="s">
        <v>2801</v>
      </c>
      <c r="E682" s="38" t="s">
        <v>2802</v>
      </c>
      <c r="F682" s="23" t="s">
        <v>2803</v>
      </c>
      <c r="G682" s="41" t="s">
        <v>2210</v>
      </c>
      <c r="H682" s="17" t="s">
        <v>1590</v>
      </c>
      <c r="I682" s="18" t="s">
        <v>54</v>
      </c>
      <c r="J682" s="99" t="s">
        <v>23</v>
      </c>
      <c r="K682" s="5" t="s">
        <v>652</v>
      </c>
      <c r="L682" t="str">
        <f t="shared" si="11"/>
        <v>amp1248@plymouth.edu</v>
      </c>
    </row>
    <row r="683" spans="1:12" ht="15.75">
      <c r="A683" t="str" cm="1">
        <f t="array" ref="A683">_xlfn.LET(_xlpm.e,L683,
IF(_xlpm.e="","",
"DOC-"&amp;TEXT(ROW()-ROW(tblMaster[#Headers]),"00000")
))</f>
        <v>DOC-00682</v>
      </c>
      <c r="B683" s="49">
        <v>45957</v>
      </c>
      <c r="C683" s="42" t="s">
        <v>733</v>
      </c>
      <c r="D683" s="62" t="s">
        <v>2804</v>
      </c>
      <c r="E683" s="38" t="s">
        <v>2805</v>
      </c>
      <c r="F683" s="24" t="s">
        <v>2806</v>
      </c>
      <c r="G683" s="41" t="s">
        <v>74</v>
      </c>
      <c r="H683" s="17" t="s">
        <v>17</v>
      </c>
      <c r="I683" s="18" t="s">
        <v>54</v>
      </c>
      <c r="K683" s="5" t="s">
        <v>652</v>
      </c>
      <c r="L683" t="str">
        <f t="shared" si="11"/>
        <v>greatdan95@gmail.com</v>
      </c>
    </row>
    <row r="684" spans="1:12" ht="15.75">
      <c r="A684" t="str" cm="1">
        <f t="array" ref="A684">_xlfn.LET(_xlpm.e,L684,
IF(_xlpm.e="","",
"DOC-"&amp;TEXT(ROW()-ROW(tblMaster[#Headers]),"00000")
))</f>
        <v>DOC-00683</v>
      </c>
      <c r="B684" s="49">
        <v>45957</v>
      </c>
      <c r="C684" s="42" t="s">
        <v>2807</v>
      </c>
      <c r="D684" s="64" t="s">
        <v>2808</v>
      </c>
      <c r="E684" s="38" t="s">
        <v>2809</v>
      </c>
      <c r="F684" s="26" t="s">
        <v>2810</v>
      </c>
      <c r="G684" s="41" t="s">
        <v>2811</v>
      </c>
      <c r="H684" s="17" t="s">
        <v>17</v>
      </c>
      <c r="I684" s="17" t="s">
        <v>2276</v>
      </c>
      <c r="K684" s="5" t="s">
        <v>652</v>
      </c>
      <c r="L684" t="str">
        <f t="shared" si="11"/>
        <v>mirville10@gmail.com</v>
      </c>
    </row>
    <row r="685" spans="1:12">
      <c r="A685" t="str" cm="1">
        <f t="array" ref="A685">_xlfn.LET(_xlpm.e,L685,
IF(_xlpm.e="","",
"DOC-"&amp;TEXT(ROW()-ROW(tblMaster[#Headers]),"00000")
))</f>
        <v/>
      </c>
      <c r="B685" s="49">
        <v>45957</v>
      </c>
      <c r="C685" s="42" t="s">
        <v>2812</v>
      </c>
      <c r="D685" s="41" t="s">
        <v>2813</v>
      </c>
      <c r="E685" s="38"/>
      <c r="F685" s="18"/>
      <c r="G685" s="41" t="s">
        <v>52</v>
      </c>
      <c r="H685" s="17" t="s">
        <v>17</v>
      </c>
      <c r="I685" s="17" t="s">
        <v>2814</v>
      </c>
      <c r="K685" s="5" t="s">
        <v>652</v>
      </c>
      <c r="L685" t="str">
        <f t="shared" si="11"/>
        <v/>
      </c>
    </row>
    <row r="686" spans="1:12">
      <c r="A686" t="str" cm="1">
        <f t="array" ref="A686">_xlfn.LET(_xlpm.e,L686,
IF(_xlpm.e="","",
"DOC-"&amp;TEXT(ROW()-ROW(tblMaster[#Headers]),"00000")
))</f>
        <v>DOC-00685</v>
      </c>
      <c r="B686" s="49">
        <v>45957</v>
      </c>
      <c r="C686" s="42" t="s">
        <v>2815</v>
      </c>
      <c r="D686" s="41" t="s">
        <v>2816</v>
      </c>
      <c r="E686" s="38" t="s">
        <v>2817</v>
      </c>
      <c r="F686" s="18" t="s">
        <v>2818</v>
      </c>
      <c r="G686" s="41" t="s">
        <v>369</v>
      </c>
      <c r="H686" s="17" t="s">
        <v>17</v>
      </c>
      <c r="I686" s="18" t="s">
        <v>193</v>
      </c>
      <c r="K686" s="5" t="s">
        <v>652</v>
      </c>
      <c r="L686" t="str">
        <f t="shared" si="11"/>
        <v>leomara59@icloud.com</v>
      </c>
    </row>
    <row r="687" spans="1:12">
      <c r="A687" t="str" cm="1">
        <f t="array" ref="A687">_xlfn.LET(_xlpm.e,L687,
IF(_xlpm.e="","",
"DOC-"&amp;TEXT(ROW()-ROW(tblMaster[#Headers]),"00000")
))</f>
        <v/>
      </c>
      <c r="B687" s="49">
        <v>45957</v>
      </c>
      <c r="C687" s="42" t="s">
        <v>2819</v>
      </c>
      <c r="D687" s="41" t="s">
        <v>2820</v>
      </c>
      <c r="E687" s="38"/>
      <c r="F687" s="18"/>
      <c r="G687" s="41" t="s">
        <v>74</v>
      </c>
      <c r="H687" s="17" t="s">
        <v>17</v>
      </c>
      <c r="I687" s="18" t="s">
        <v>54</v>
      </c>
      <c r="K687" s="5" t="s">
        <v>652</v>
      </c>
      <c r="L687" t="str">
        <f t="shared" si="11"/>
        <v/>
      </c>
    </row>
    <row r="688" spans="1:12">
      <c r="A688" t="str" cm="1">
        <f t="array" ref="A688">_xlfn.LET(_xlpm.e,L688,
IF(_xlpm.e="","",
"DOC-"&amp;TEXT(ROW()-ROW(tblMaster[#Headers]),"00000")
))</f>
        <v/>
      </c>
      <c r="B688" s="49">
        <v>45957</v>
      </c>
      <c r="C688" s="42" t="s">
        <v>2821</v>
      </c>
      <c r="D688" s="41" t="s">
        <v>2822</v>
      </c>
      <c r="E688" s="38"/>
      <c r="F688" s="18"/>
      <c r="G688" s="41" t="s">
        <v>74</v>
      </c>
      <c r="H688" s="17" t="s">
        <v>17</v>
      </c>
      <c r="I688" s="18" t="s">
        <v>54</v>
      </c>
      <c r="K688" s="5" t="s">
        <v>652</v>
      </c>
      <c r="L688" t="str">
        <f t="shared" si="11"/>
        <v/>
      </c>
    </row>
    <row r="689" spans="1:12">
      <c r="A689" t="str" cm="1">
        <f t="array" ref="A689">_xlfn.LET(_xlpm.e,L689,
IF(_xlpm.e="","",
"DOC-"&amp;TEXT(ROW()-ROW(tblMaster[#Headers]),"00000")
))</f>
        <v>DOC-00688</v>
      </c>
      <c r="B689" s="49">
        <v>45957</v>
      </c>
      <c r="C689" s="42" t="s">
        <v>1225</v>
      </c>
      <c r="D689" s="42" t="s">
        <v>2823</v>
      </c>
      <c r="E689" s="38" t="s">
        <v>2824</v>
      </c>
      <c r="F689" s="17" t="s">
        <v>2825</v>
      </c>
      <c r="G689" s="42" t="s">
        <v>16</v>
      </c>
      <c r="H689" s="17" t="s">
        <v>17</v>
      </c>
      <c r="I689" s="18" t="s">
        <v>54</v>
      </c>
      <c r="J689" s="99" t="s">
        <v>23</v>
      </c>
      <c r="K689" s="5" t="s">
        <v>652</v>
      </c>
      <c r="L689" t="str">
        <f t="shared" si="11"/>
        <v>shireling1380@gmail.com</v>
      </c>
    </row>
    <row r="690" spans="1:12">
      <c r="A690" t="str" cm="1">
        <f t="array" ref="A690">_xlfn.LET(_xlpm.e,L690,
IF(_xlpm.e="","",
"DOC-"&amp;TEXT(ROW()-ROW(tblMaster[#Headers]),"00000")
))</f>
        <v>DOC-00689</v>
      </c>
      <c r="B690" s="49">
        <v>45957</v>
      </c>
      <c r="C690" s="42" t="s">
        <v>2826</v>
      </c>
      <c r="D690" s="42" t="s">
        <v>2827</v>
      </c>
      <c r="E690" s="38" t="s">
        <v>2828</v>
      </c>
      <c r="F690" s="17" t="s">
        <v>2829</v>
      </c>
      <c r="G690" s="42" t="s">
        <v>2779</v>
      </c>
      <c r="H690" s="17" t="s">
        <v>17</v>
      </c>
      <c r="I690" s="18" t="s">
        <v>54</v>
      </c>
      <c r="K690" s="5" t="s">
        <v>652</v>
      </c>
      <c r="L690" t="str">
        <f t="shared" si="11"/>
        <v>deseraypina87@yahoo.com</v>
      </c>
    </row>
    <row r="691" spans="1:12">
      <c r="A691" t="str" cm="1">
        <f t="array" ref="A691">_xlfn.LET(_xlpm.e,L691,
IF(_xlpm.e="","",
"DOC-"&amp;TEXT(ROW()-ROW(tblMaster[#Headers]),"00000")
))</f>
        <v>DOC-00690</v>
      </c>
      <c r="B691" s="49">
        <v>45957</v>
      </c>
      <c r="C691" s="42" t="s">
        <v>2245</v>
      </c>
      <c r="D691" s="42" t="s">
        <v>2830</v>
      </c>
      <c r="E691" s="38" t="s">
        <v>2831</v>
      </c>
      <c r="F691" s="17" t="s">
        <v>2832</v>
      </c>
      <c r="G691" s="42" t="s">
        <v>79</v>
      </c>
      <c r="H691" s="17" t="s">
        <v>17</v>
      </c>
      <c r="I691" s="18" t="s">
        <v>101</v>
      </c>
      <c r="K691" s="5" t="s">
        <v>652</v>
      </c>
      <c r="L691" t="str">
        <f t="shared" si="11"/>
        <v>nwradcliffe10@gmail.com</v>
      </c>
    </row>
    <row r="692" spans="1:12">
      <c r="A692" t="str" cm="1">
        <f t="array" ref="A692">_xlfn.LET(_xlpm.e,L692,
IF(_xlpm.e="","",
"DOC-"&amp;TEXT(ROW()-ROW(tblMaster[#Headers]),"00000")
))</f>
        <v>DOC-00691</v>
      </c>
      <c r="B692" s="49">
        <v>45957</v>
      </c>
      <c r="C692" s="42" t="s">
        <v>2833</v>
      </c>
      <c r="D692" s="42" t="s">
        <v>2834</v>
      </c>
      <c r="E692" s="38" t="s">
        <v>2835</v>
      </c>
      <c r="F692" s="17"/>
      <c r="G692" s="42"/>
      <c r="H692" s="17"/>
      <c r="I692" s="18" t="s">
        <v>101</v>
      </c>
      <c r="K692" s="5" t="s">
        <v>652</v>
      </c>
      <c r="L692" t="str">
        <f t="shared" si="11"/>
        <v>ndemanuoivolongtse@gmail.com</v>
      </c>
    </row>
    <row r="693" spans="1:12">
      <c r="A693" t="str" cm="1">
        <f t="array" ref="A693">_xlfn.LET(_xlpm.e,L693,
IF(_xlpm.e="","",
"DOC-"&amp;TEXT(ROW()-ROW(tblMaster[#Headers]),"00000")
))</f>
        <v>DOC-00692</v>
      </c>
      <c r="B693" s="49">
        <v>45957</v>
      </c>
      <c r="C693" s="42" t="s">
        <v>2836</v>
      </c>
      <c r="D693" s="42" t="s">
        <v>2837</v>
      </c>
      <c r="E693" s="38" t="s">
        <v>2838</v>
      </c>
      <c r="F693" s="17" t="s">
        <v>2839</v>
      </c>
      <c r="G693" s="42" t="s">
        <v>2840</v>
      </c>
      <c r="H693" s="17" t="s">
        <v>1156</v>
      </c>
      <c r="I693" s="18" t="s">
        <v>101</v>
      </c>
      <c r="K693" s="5" t="s">
        <v>652</v>
      </c>
      <c r="L693" t="str">
        <f t="shared" si="11"/>
        <v>endray19@gmail.com</v>
      </c>
    </row>
    <row r="694" spans="1:12">
      <c r="A694" t="str" cm="1">
        <f t="array" ref="A694">_xlfn.LET(_xlpm.e,L694,
IF(_xlpm.e="","",
"DOC-"&amp;TEXT(ROW()-ROW(tblMaster[#Headers]),"00000")
))</f>
        <v>DOC-00693</v>
      </c>
      <c r="B694" s="49">
        <v>45957</v>
      </c>
      <c r="C694" s="42" t="s">
        <v>700</v>
      </c>
      <c r="D694" s="42" t="s">
        <v>1854</v>
      </c>
      <c r="E694" s="38" t="s">
        <v>2841</v>
      </c>
      <c r="F694" s="17" t="s">
        <v>2842</v>
      </c>
      <c r="G694" s="42" t="s">
        <v>220</v>
      </c>
      <c r="H694" s="17" t="s">
        <v>17</v>
      </c>
      <c r="I694" s="18" t="s">
        <v>101</v>
      </c>
      <c r="K694" s="5" t="s">
        <v>652</v>
      </c>
      <c r="L694" t="str">
        <f t="shared" si="11"/>
        <v>samyjean1982@gmail.com</v>
      </c>
    </row>
    <row r="695" spans="1:12">
      <c r="A695" t="str" cm="1">
        <f t="array" ref="A695">_xlfn.LET(_xlpm.e,L695,
IF(_xlpm.e="","",
"DOC-"&amp;TEXT(ROW()-ROW(tblMaster[#Headers]),"00000")
))</f>
        <v>DOC-00694</v>
      </c>
      <c r="B695" s="49">
        <v>45958</v>
      </c>
      <c r="C695" s="41" t="s">
        <v>2843</v>
      </c>
      <c r="D695" s="41" t="s">
        <v>2844</v>
      </c>
      <c r="E695" s="38" t="s">
        <v>2845</v>
      </c>
      <c r="F695" s="18" t="s">
        <v>2846</v>
      </c>
      <c r="G695" s="41" t="s">
        <v>2847</v>
      </c>
      <c r="H695" s="17" t="s">
        <v>17</v>
      </c>
      <c r="I695" s="18" t="s">
        <v>101</v>
      </c>
      <c r="K695" s="5" t="s">
        <v>652</v>
      </c>
      <c r="L695" t="str">
        <f t="shared" si="11"/>
        <v>nadeige1989@gmail.com</v>
      </c>
    </row>
    <row r="696" spans="1:12">
      <c r="A696" t="str" cm="1">
        <f t="array" ref="A696">_xlfn.LET(_xlpm.e,L696,
IF(_xlpm.e="","",
"DOC-"&amp;TEXT(ROW()-ROW(tblMaster[#Headers]),"00000")
))</f>
        <v>DOC-00695</v>
      </c>
      <c r="B696" s="49">
        <v>45958</v>
      </c>
      <c r="C696" s="42" t="s">
        <v>2848</v>
      </c>
      <c r="D696" s="41" t="s">
        <v>2849</v>
      </c>
      <c r="E696" s="38" t="s">
        <v>2850</v>
      </c>
      <c r="F696" s="18" t="s">
        <v>2851</v>
      </c>
      <c r="G696" s="41" t="s">
        <v>728</v>
      </c>
      <c r="H696" s="17" t="s">
        <v>17</v>
      </c>
      <c r="I696" s="18" t="s">
        <v>2276</v>
      </c>
      <c r="J696" s="99" t="s">
        <v>66</v>
      </c>
      <c r="K696" s="5" t="s">
        <v>652</v>
      </c>
      <c r="L696" t="str">
        <f t="shared" si="11"/>
        <v>andrehph@yahoo.com</v>
      </c>
    </row>
    <row r="697" spans="1:12">
      <c r="A697" t="str" cm="1">
        <f t="array" ref="A697">_xlfn.LET(_xlpm.e,L697,
IF(_xlpm.e="","",
"DOC-"&amp;TEXT(ROW()-ROW(tblMaster[#Headers]),"00000")
))</f>
        <v/>
      </c>
      <c r="B697" s="49"/>
      <c r="C697" s="42"/>
      <c r="D697" s="41"/>
      <c r="E697" s="41"/>
      <c r="F697" s="18"/>
      <c r="G697" s="41"/>
      <c r="H697" s="17"/>
      <c r="I697" s="18"/>
      <c r="K697" s="5" t="s">
        <v>652</v>
      </c>
      <c r="L697" t="str">
        <f t="shared" si="11"/>
        <v/>
      </c>
    </row>
    <row r="698" spans="1:12">
      <c r="A698" t="str" cm="1">
        <f t="array" ref="A698">_xlfn.LET(_xlpm.e,L698,
IF(_xlpm.e="","",
"DOC-"&amp;TEXT(ROW()-ROW(tblMaster[#Headers]),"00000")
))</f>
        <v>DOC-00697</v>
      </c>
      <c r="B698" s="49">
        <v>45958</v>
      </c>
      <c r="C698" s="42" t="s">
        <v>2852</v>
      </c>
      <c r="D698" s="41" t="s">
        <v>2853</v>
      </c>
      <c r="E698" s="38" t="s">
        <v>2854</v>
      </c>
      <c r="F698" s="18" t="s">
        <v>2855</v>
      </c>
      <c r="G698" s="41" t="s">
        <v>1184</v>
      </c>
      <c r="H698" s="17" t="s">
        <v>17</v>
      </c>
      <c r="I698" s="18" t="s">
        <v>2276</v>
      </c>
      <c r="J698" s="99" t="s">
        <v>23</v>
      </c>
      <c r="K698" s="5" t="s">
        <v>652</v>
      </c>
      <c r="L698" t="str">
        <f t="shared" si="11"/>
        <v>jahurtado.m@outlook.com</v>
      </c>
    </row>
    <row r="699" spans="1:12">
      <c r="A699" t="str" cm="1">
        <f t="array" ref="A699">_xlfn.LET(_xlpm.e,L699,
IF(_xlpm.e="","",
"DOC-"&amp;TEXT(ROW()-ROW(tblMaster[#Headers]),"00000")
))</f>
        <v>DOC-00698</v>
      </c>
      <c r="B699" s="49">
        <v>45958</v>
      </c>
      <c r="C699" s="42" t="s">
        <v>2856</v>
      </c>
      <c r="D699" s="41" t="s">
        <v>2857</v>
      </c>
      <c r="E699" s="38" t="s">
        <v>2858</v>
      </c>
      <c r="F699" s="18" t="s">
        <v>2859</v>
      </c>
      <c r="G699" s="41" t="s">
        <v>1197</v>
      </c>
      <c r="H699" s="17" t="s">
        <v>17</v>
      </c>
      <c r="I699" s="18" t="s">
        <v>101</v>
      </c>
      <c r="K699" s="5" t="s">
        <v>652</v>
      </c>
      <c r="L699" t="str">
        <f t="shared" si="11"/>
        <v>elijahnganda87@gmail.com</v>
      </c>
    </row>
    <row r="700" spans="1:12">
      <c r="A700" t="str" cm="1">
        <f t="array" ref="A700">_xlfn.LET(_xlpm.e,L700,
IF(_xlpm.e="","",
"DOC-"&amp;TEXT(ROW()-ROW(tblMaster[#Headers]),"00000")
))</f>
        <v>DOC-00699</v>
      </c>
      <c r="B700" s="49">
        <v>45958</v>
      </c>
      <c r="C700" s="42" t="s">
        <v>2860</v>
      </c>
      <c r="D700" s="41" t="s">
        <v>2861</v>
      </c>
      <c r="E700" s="38" t="s">
        <v>2862</v>
      </c>
      <c r="F700" s="18" t="s">
        <v>2863</v>
      </c>
      <c r="G700" s="41" t="s">
        <v>2864</v>
      </c>
      <c r="H700" s="17" t="s">
        <v>1590</v>
      </c>
      <c r="I700" s="18" t="s">
        <v>2276</v>
      </c>
      <c r="K700" s="5" t="s">
        <v>652</v>
      </c>
      <c r="L700" t="str">
        <f t="shared" si="11"/>
        <v>brayden.shumate@yahoo.com</v>
      </c>
    </row>
    <row r="701" spans="1:12">
      <c r="A701" t="str" cm="1">
        <f t="array" ref="A701">_xlfn.LET(_xlpm.e,L701,
IF(_xlpm.e="","",
"DOC-"&amp;TEXT(ROW()-ROW(tblMaster[#Headers]),"00000")
))</f>
        <v>DOC-00700</v>
      </c>
      <c r="B701" s="49">
        <v>45958</v>
      </c>
      <c r="C701" s="17" t="s">
        <v>2865</v>
      </c>
      <c r="D701" s="18" t="s">
        <v>2866</v>
      </c>
      <c r="E701" s="123" t="s">
        <v>2867</v>
      </c>
      <c r="F701" s="18" t="s">
        <v>2868</v>
      </c>
      <c r="G701" s="18" t="s">
        <v>2869</v>
      </c>
      <c r="H701" s="17" t="s">
        <v>17</v>
      </c>
      <c r="I701" s="18" t="s">
        <v>2276</v>
      </c>
      <c r="J701" s="99" t="s">
        <v>560</v>
      </c>
      <c r="K701" s="5" t="s">
        <v>652</v>
      </c>
      <c r="L701" t="str">
        <f t="shared" si="11"/>
        <v>caseytsaunders@gmail.com</v>
      </c>
    </row>
    <row r="702" spans="1:12">
      <c r="A702" t="str" cm="1">
        <f t="array" ref="A702">_xlfn.LET(_xlpm.e,L702,
IF(_xlpm.e="","",
"DOC-"&amp;TEXT(ROW()-ROW(tblMaster[#Headers]),"00000")
))</f>
        <v>DOC-00701</v>
      </c>
      <c r="B702" s="49">
        <v>45958</v>
      </c>
      <c r="C702" s="17" t="s">
        <v>2870</v>
      </c>
      <c r="D702" s="18" t="s">
        <v>2871</v>
      </c>
      <c r="E702" s="123" t="s">
        <v>2872</v>
      </c>
      <c r="F702" s="18" t="s">
        <v>2873</v>
      </c>
      <c r="G702" s="18" t="s">
        <v>2874</v>
      </c>
      <c r="H702" s="17" t="s">
        <v>17</v>
      </c>
      <c r="I702" s="18" t="s">
        <v>54</v>
      </c>
      <c r="J702" s="99" t="s">
        <v>560</v>
      </c>
      <c r="K702" s="5" t="s">
        <v>652</v>
      </c>
      <c r="L702" t="str">
        <f t="shared" si="11"/>
        <v>21tjwalker@gmail.colm</v>
      </c>
    </row>
    <row r="703" spans="1:12">
      <c r="A703" t="str" cm="1">
        <f t="array" ref="A703">_xlfn.LET(_xlpm.e,L703,
IF(_xlpm.e="","",
"DOC-"&amp;TEXT(ROW()-ROW(tblMaster[#Headers]),"00000")
))</f>
        <v>DOC-00702</v>
      </c>
      <c r="B703" s="49">
        <v>45958</v>
      </c>
      <c r="C703" s="17" t="s">
        <v>2875</v>
      </c>
      <c r="D703" s="18" t="s">
        <v>2876</v>
      </c>
      <c r="E703" s="123" t="s">
        <v>2877</v>
      </c>
      <c r="F703" s="18" t="s">
        <v>2878</v>
      </c>
      <c r="G703" s="18" t="s">
        <v>2879</v>
      </c>
      <c r="H703" s="17" t="s">
        <v>17</v>
      </c>
      <c r="I703" s="18" t="s">
        <v>54</v>
      </c>
      <c r="J703" s="99" t="s">
        <v>560</v>
      </c>
      <c r="K703" s="5" t="s">
        <v>652</v>
      </c>
      <c r="L703" t="str">
        <f t="shared" si="11"/>
        <v>jordanalbert2002@gmail.com</v>
      </c>
    </row>
    <row r="704" spans="1:12">
      <c r="A704" t="str" cm="1">
        <f t="array" ref="A704">_xlfn.LET(_xlpm.e,L704,
IF(_xlpm.e="","",
"DOC-"&amp;TEXT(ROW()-ROW(tblMaster[#Headers]),"00000")
))</f>
        <v>DOC-00703</v>
      </c>
      <c r="B704" s="49">
        <v>45958</v>
      </c>
      <c r="C704" s="17" t="s">
        <v>1774</v>
      </c>
      <c r="D704" s="18" t="s">
        <v>2880</v>
      </c>
      <c r="E704" s="123" t="s">
        <v>2881</v>
      </c>
      <c r="F704" s="18" t="s">
        <v>2882</v>
      </c>
      <c r="G704" s="18" t="s">
        <v>2883</v>
      </c>
      <c r="H704" s="17" t="s">
        <v>17</v>
      </c>
      <c r="I704" s="18" t="s">
        <v>54</v>
      </c>
      <c r="J704" s="99" t="s">
        <v>560</v>
      </c>
      <c r="K704" s="5" t="s">
        <v>652</v>
      </c>
      <c r="L704" t="str">
        <f t="shared" si="11"/>
        <v>wontac_kpodi@yahoo.com</v>
      </c>
    </row>
    <row r="705" spans="1:12">
      <c r="A705" t="str" cm="1">
        <f t="array" ref="A705">_xlfn.LET(_xlpm.e,L705,
IF(_xlpm.e="","",
"DOC-"&amp;TEXT(ROW()-ROW(tblMaster[#Headers]),"00000")
))</f>
        <v>DOC-00704</v>
      </c>
      <c r="B705" s="49">
        <v>45958</v>
      </c>
      <c r="C705" s="17" t="s">
        <v>2884</v>
      </c>
      <c r="D705" s="18" t="s">
        <v>2885</v>
      </c>
      <c r="E705" s="123" t="s">
        <v>2886</v>
      </c>
      <c r="F705" s="18" t="s">
        <v>2887</v>
      </c>
      <c r="G705" s="18" t="s">
        <v>1281</v>
      </c>
      <c r="H705" s="17" t="s">
        <v>17</v>
      </c>
      <c r="I705" s="18" t="s">
        <v>54</v>
      </c>
      <c r="J705" s="99" t="s">
        <v>560</v>
      </c>
      <c r="K705" s="5" t="s">
        <v>652</v>
      </c>
      <c r="L705" t="str">
        <f t="shared" si="11"/>
        <v>carrascojennifer222@gmail.com</v>
      </c>
    </row>
    <row r="706" spans="1:12">
      <c r="A706" t="str" cm="1">
        <f t="array" ref="A706">_xlfn.LET(_xlpm.e,L706,
IF(_xlpm.e="","",
"DOC-"&amp;TEXT(ROW()-ROW(tblMaster[#Headers]),"00000")
))</f>
        <v>DOC-00705</v>
      </c>
      <c r="B706" s="49">
        <v>45958</v>
      </c>
      <c r="C706" s="42" t="s">
        <v>2888</v>
      </c>
      <c r="D706" s="41" t="s">
        <v>2889</v>
      </c>
      <c r="E706" s="38" t="s">
        <v>2890</v>
      </c>
      <c r="F706" s="18" t="s">
        <v>2891</v>
      </c>
      <c r="G706" s="41" t="s">
        <v>842</v>
      </c>
      <c r="H706" s="17" t="s">
        <v>17</v>
      </c>
      <c r="I706" s="18" t="s">
        <v>54</v>
      </c>
      <c r="J706" s="99" t="s">
        <v>118</v>
      </c>
      <c r="K706" s="5" t="s">
        <v>652</v>
      </c>
      <c r="L706" t="str">
        <f t="shared" si="11"/>
        <v>kdavisnba98@gmail.com</v>
      </c>
    </row>
    <row r="707" spans="1:12">
      <c r="A707" t="str" cm="1">
        <f t="array" ref="A707">_xlfn.LET(_xlpm.e,L707,
IF(_xlpm.e="","",
"DOC-"&amp;TEXT(ROW()-ROW(tblMaster[#Headers]),"00000")
))</f>
        <v>DOC-00706</v>
      </c>
      <c r="B707" s="49">
        <v>45958</v>
      </c>
      <c r="C707" s="42" t="s">
        <v>2892</v>
      </c>
      <c r="D707" s="41" t="s">
        <v>1152</v>
      </c>
      <c r="E707" s="38" t="s">
        <v>2893</v>
      </c>
      <c r="F707" s="18" t="s">
        <v>2894</v>
      </c>
      <c r="G707" s="41" t="s">
        <v>2895</v>
      </c>
      <c r="H707" s="17" t="s">
        <v>1156</v>
      </c>
      <c r="I707" s="18" t="s">
        <v>54</v>
      </c>
      <c r="J707" s="99" t="s">
        <v>118</v>
      </c>
      <c r="K707" s="5" t="s">
        <v>652</v>
      </c>
      <c r="L707" t="str">
        <f t="shared" si="11"/>
        <v>zackareethunter@icloud.com</v>
      </c>
    </row>
    <row r="708" spans="1:12">
      <c r="A708" t="str" cm="1">
        <f t="array" ref="A708">_xlfn.LET(_xlpm.e,L708,
IF(_xlpm.e="","",
"DOC-"&amp;TEXT(ROW()-ROW(tblMaster[#Headers]),"00000")
))</f>
        <v>DOC-00707</v>
      </c>
      <c r="B708" s="49">
        <v>45958</v>
      </c>
      <c r="C708" s="42" t="s">
        <v>2896</v>
      </c>
      <c r="D708" s="41" t="s">
        <v>2897</v>
      </c>
      <c r="E708" s="38" t="s">
        <v>2898</v>
      </c>
      <c r="F708" s="18" t="s">
        <v>2899</v>
      </c>
      <c r="G708" s="41" t="s">
        <v>74</v>
      </c>
      <c r="H708" s="17" t="s">
        <v>17</v>
      </c>
      <c r="I708" s="18" t="s">
        <v>101</v>
      </c>
      <c r="J708" s="99" t="s">
        <v>118</v>
      </c>
      <c r="K708" s="5" t="s">
        <v>652</v>
      </c>
      <c r="L708" t="str">
        <f t="shared" si="11"/>
        <v>sasare072@gmail.com</v>
      </c>
    </row>
    <row r="709" spans="1:12">
      <c r="A709" t="str" cm="1">
        <f t="array" ref="A709">_xlfn.LET(_xlpm.e,L709,
IF(_xlpm.e="","",
"DOC-"&amp;TEXT(ROW()-ROW(tblMaster[#Headers]),"00000")
))</f>
        <v>DOC-00708</v>
      </c>
      <c r="B709" s="49">
        <v>45958</v>
      </c>
      <c r="C709" s="42" t="s">
        <v>2900</v>
      </c>
      <c r="D709" s="41" t="s">
        <v>2901</v>
      </c>
      <c r="E709" s="38" t="s">
        <v>2902</v>
      </c>
      <c r="F709" s="18" t="s">
        <v>2903</v>
      </c>
      <c r="G709" s="41" t="s">
        <v>1306</v>
      </c>
      <c r="H709" s="17" t="s">
        <v>17</v>
      </c>
      <c r="I709" s="18" t="s">
        <v>2644</v>
      </c>
      <c r="J709" s="99" t="s">
        <v>118</v>
      </c>
      <c r="K709" s="5" t="s">
        <v>226</v>
      </c>
      <c r="L709" t="str">
        <f t="shared" si="11"/>
        <v>oheneamankwah95@gmail.com</v>
      </c>
    </row>
    <row r="710" spans="1:12">
      <c r="A710" t="str" cm="1">
        <f t="array" ref="A710">_xlfn.LET(_xlpm.e,L710,
IF(_xlpm.e="","",
"DOC-"&amp;TEXT(ROW()-ROW(tblMaster[#Headers]),"00000")
))</f>
        <v>DOC-00709</v>
      </c>
      <c r="B710" s="49">
        <v>45958</v>
      </c>
      <c r="C710" s="42" t="s">
        <v>2904</v>
      </c>
      <c r="D710" s="41" t="s">
        <v>2905</v>
      </c>
      <c r="E710" s="38" t="s">
        <v>2906</v>
      </c>
      <c r="F710" s="18" t="s">
        <v>2907</v>
      </c>
      <c r="G710" s="41" t="s">
        <v>2908</v>
      </c>
      <c r="H710" s="17" t="s">
        <v>17</v>
      </c>
      <c r="I710" s="18" t="s">
        <v>101</v>
      </c>
      <c r="J710" s="99" t="s">
        <v>118</v>
      </c>
      <c r="K710" s="5" t="s">
        <v>652</v>
      </c>
      <c r="L710" t="str">
        <f t="shared" ref="L710:L773" si="12">_xlfn.LET(_xlpm.x,E710,
_xlpm.y,TRIM(CLEAN(SUBSTITUTE(_xlpm.x,CHAR(160)," "))),
LOWER(_xlpm.y))</f>
        <v>setienne0961@gmail.com</v>
      </c>
    </row>
    <row r="711" spans="1:12">
      <c r="A711" t="str" cm="1">
        <f t="array" ref="A711">_xlfn.LET(_xlpm.e,L711,
IF(_xlpm.e="","",
"DOC-"&amp;TEXT(ROW()-ROW(tblMaster[#Headers]),"00000")
))</f>
        <v>DOC-00710</v>
      </c>
      <c r="B711" s="49">
        <v>45958</v>
      </c>
      <c r="C711" s="42" t="s">
        <v>2909</v>
      </c>
      <c r="D711" s="41" t="s">
        <v>2910</v>
      </c>
      <c r="E711" s="38" t="s">
        <v>2911</v>
      </c>
      <c r="F711" s="18" t="s">
        <v>2912</v>
      </c>
      <c r="G711" s="41" t="s">
        <v>549</v>
      </c>
      <c r="H711" s="17" t="s">
        <v>17</v>
      </c>
      <c r="I711" s="18" t="s">
        <v>101</v>
      </c>
      <c r="K711" s="5" t="s">
        <v>226</v>
      </c>
      <c r="L711" t="str">
        <f t="shared" si="12"/>
        <v>ronellwatson1993@icloud.com</v>
      </c>
    </row>
    <row r="712" spans="1:12">
      <c r="A712" t="str" cm="1">
        <f t="array" ref="A712">_xlfn.LET(_xlpm.e,L712,
IF(_xlpm.e="","",
"DOC-"&amp;TEXT(ROW()-ROW(tblMaster[#Headers]),"00000")
))</f>
        <v>DOC-00711</v>
      </c>
      <c r="B712" s="49">
        <v>45958</v>
      </c>
      <c r="C712" s="42" t="s">
        <v>2913</v>
      </c>
      <c r="D712" s="41" t="s">
        <v>2914</v>
      </c>
      <c r="E712" s="38" t="s">
        <v>2915</v>
      </c>
      <c r="F712" s="18" t="s">
        <v>2916</v>
      </c>
      <c r="G712" s="41" t="s">
        <v>74</v>
      </c>
      <c r="H712" s="17" t="s">
        <v>17</v>
      </c>
      <c r="I712" s="18" t="s">
        <v>2276</v>
      </c>
      <c r="K712" s="5" t="s">
        <v>652</v>
      </c>
      <c r="L712" t="str">
        <f t="shared" si="12"/>
        <v>brothervv84@gmail.com</v>
      </c>
    </row>
    <row r="713" spans="1:12">
      <c r="A713" t="str" cm="1">
        <f t="array" ref="A713">_xlfn.LET(_xlpm.e,L713,
IF(_xlpm.e="","",
"DOC-"&amp;TEXT(ROW()-ROW(tblMaster[#Headers]),"00000")
))</f>
        <v>DOC-00712</v>
      </c>
      <c r="B713" s="49">
        <v>45958</v>
      </c>
      <c r="C713" s="42" t="s">
        <v>2917</v>
      </c>
      <c r="D713" s="41" t="s">
        <v>2918</v>
      </c>
      <c r="E713" s="38" t="s">
        <v>2919</v>
      </c>
      <c r="F713" s="18" t="s">
        <v>2920</v>
      </c>
      <c r="G713" s="41" t="s">
        <v>1232</v>
      </c>
      <c r="H713" s="17" t="s">
        <v>17</v>
      </c>
      <c r="I713" s="18" t="s">
        <v>2276</v>
      </c>
      <c r="K713" s="5" t="s">
        <v>652</v>
      </c>
      <c r="L713" t="str">
        <f t="shared" si="12"/>
        <v>omfrancoeur@gmail.com</v>
      </c>
    </row>
    <row r="714" spans="1:12">
      <c r="A714" t="str" cm="1">
        <f t="array" ref="A714">_xlfn.LET(_xlpm.e,L714,
IF(_xlpm.e="","",
"DOC-"&amp;TEXT(ROW()-ROW(tblMaster[#Headers]),"00000")
))</f>
        <v>DOC-00713</v>
      </c>
      <c r="B714" s="49">
        <v>45958</v>
      </c>
      <c r="C714" s="42" t="s">
        <v>2921</v>
      </c>
      <c r="D714" s="41" t="s">
        <v>1744</v>
      </c>
      <c r="E714" s="38" t="s">
        <v>2922</v>
      </c>
      <c r="F714" s="18" t="s">
        <v>2923</v>
      </c>
      <c r="G714" s="41" t="s">
        <v>74</v>
      </c>
      <c r="H714" s="17" t="s">
        <v>17</v>
      </c>
      <c r="I714" s="18" t="s">
        <v>2276</v>
      </c>
      <c r="K714" s="5" t="s">
        <v>652</v>
      </c>
      <c r="L714" t="str">
        <f t="shared" si="12"/>
        <v>travonwilliams0248@gmail.com</v>
      </c>
    </row>
    <row r="715" spans="1:12">
      <c r="A715" t="str" cm="1">
        <f t="array" ref="A715">_xlfn.LET(_xlpm.e,L715,
IF(_xlpm.e="","",
"DOC-"&amp;TEXT(ROW()-ROW(tblMaster[#Headers]),"00000")
))</f>
        <v/>
      </c>
      <c r="B715" s="49">
        <v>45958</v>
      </c>
      <c r="C715" s="42" t="s">
        <v>2924</v>
      </c>
      <c r="D715" s="41" t="s">
        <v>2925</v>
      </c>
      <c r="E715" s="41"/>
      <c r="F715" s="18" t="s">
        <v>2926</v>
      </c>
      <c r="G715" s="41" t="s">
        <v>410</v>
      </c>
      <c r="H715" s="17" t="s">
        <v>17</v>
      </c>
      <c r="I715" s="18" t="s">
        <v>2276</v>
      </c>
      <c r="J715" s="99" t="s">
        <v>23</v>
      </c>
      <c r="K715" s="5" t="s">
        <v>652</v>
      </c>
      <c r="L715" t="str">
        <f t="shared" si="12"/>
        <v/>
      </c>
    </row>
    <row r="716" spans="1:12">
      <c r="A716" t="str" cm="1">
        <f t="array" ref="A716">_xlfn.LET(_xlpm.e,L716,
IF(_xlpm.e="","",
"DOC-"&amp;TEXT(ROW()-ROW(tblMaster[#Headers]),"00000")
))</f>
        <v>DOC-00715</v>
      </c>
      <c r="B716" s="49">
        <v>45958</v>
      </c>
      <c r="C716" s="17" t="s">
        <v>2927</v>
      </c>
      <c r="D716" s="18" t="s">
        <v>2928</v>
      </c>
      <c r="E716" s="123" t="s">
        <v>2929</v>
      </c>
      <c r="F716" s="18" t="s">
        <v>2930</v>
      </c>
      <c r="G716" s="18" t="s">
        <v>59</v>
      </c>
      <c r="H716" s="17" t="s">
        <v>60</v>
      </c>
      <c r="I716" s="18" t="s">
        <v>2276</v>
      </c>
      <c r="J716" s="99" t="s">
        <v>560</v>
      </c>
      <c r="K716" s="5" t="s">
        <v>652</v>
      </c>
      <c r="L716" t="str">
        <f t="shared" si="12"/>
        <v>dwayneperson4@gmail.com</v>
      </c>
    </row>
    <row r="717" spans="1:12">
      <c r="A717" t="str" cm="1">
        <f t="array" ref="A717">_xlfn.LET(_xlpm.e,L717,
IF(_xlpm.e="","",
"DOC-"&amp;TEXT(ROW()-ROW(tblMaster[#Headers]),"00000")
))</f>
        <v>DOC-00716</v>
      </c>
      <c r="B717" s="49">
        <v>45958</v>
      </c>
      <c r="C717" s="17" t="s">
        <v>733</v>
      </c>
      <c r="D717" s="18" t="s">
        <v>2931</v>
      </c>
      <c r="E717" s="123" t="s">
        <v>2932</v>
      </c>
      <c r="F717" s="18" t="s">
        <v>2933</v>
      </c>
      <c r="G717" s="18" t="s">
        <v>1023</v>
      </c>
      <c r="H717" s="17" t="s">
        <v>17</v>
      </c>
      <c r="I717" s="18" t="s">
        <v>2276</v>
      </c>
      <c r="J717" s="99" t="s">
        <v>560</v>
      </c>
      <c r="K717" s="5" t="s">
        <v>652</v>
      </c>
      <c r="L717" t="str">
        <f t="shared" si="12"/>
        <v>danchan813@gmail.com</v>
      </c>
    </row>
    <row r="718" spans="1:12">
      <c r="A718" t="str" cm="1">
        <f t="array" ref="A718">_xlfn.LET(_xlpm.e,L718,
IF(_xlpm.e="","",
"DOC-"&amp;TEXT(ROW()-ROW(tblMaster[#Headers]),"00000")
))</f>
        <v>DOC-00717</v>
      </c>
      <c r="B718" s="49">
        <v>45958</v>
      </c>
      <c r="C718" s="17" t="s">
        <v>2934</v>
      </c>
      <c r="D718" s="18" t="s">
        <v>2935</v>
      </c>
      <c r="E718" s="123" t="s">
        <v>2936</v>
      </c>
      <c r="F718" s="18" t="s">
        <v>2937</v>
      </c>
      <c r="G718" s="18" t="s">
        <v>257</v>
      </c>
      <c r="H718" s="17" t="s">
        <v>17</v>
      </c>
      <c r="I718" s="18" t="s">
        <v>2276</v>
      </c>
      <c r="J718" s="99" t="s">
        <v>560</v>
      </c>
      <c r="K718" s="5" t="s">
        <v>652</v>
      </c>
      <c r="L718" t="str">
        <f t="shared" si="12"/>
        <v>ymejiaumana@gmail.com</v>
      </c>
    </row>
    <row r="719" spans="1:12">
      <c r="A719" t="str" cm="1">
        <f t="array" ref="A719">_xlfn.LET(_xlpm.e,L719,
IF(_xlpm.e="","",
"DOC-"&amp;TEXT(ROW()-ROW(tblMaster[#Headers]),"00000")
))</f>
        <v>DOC-00718</v>
      </c>
      <c r="B719" s="49">
        <v>45958</v>
      </c>
      <c r="C719" s="42" t="s">
        <v>2938</v>
      </c>
      <c r="D719" s="41" t="s">
        <v>2939</v>
      </c>
      <c r="E719" s="38" t="s">
        <v>2940</v>
      </c>
      <c r="F719" s="18" t="s">
        <v>2941</v>
      </c>
      <c r="G719" s="41" t="s">
        <v>1210</v>
      </c>
      <c r="H719" s="17" t="s">
        <v>17</v>
      </c>
      <c r="I719" s="18" t="s">
        <v>54</v>
      </c>
      <c r="J719" s="99" t="s">
        <v>118</v>
      </c>
      <c r="K719" s="5" t="s">
        <v>652</v>
      </c>
      <c r="L719" t="str">
        <f t="shared" si="12"/>
        <v>jaydenbiggi4@gmail.com</v>
      </c>
    </row>
    <row r="720" spans="1:12">
      <c r="A720" t="str" cm="1">
        <f t="array" ref="A720">_xlfn.LET(_xlpm.e,L720,
IF(_xlpm.e="","",
"DOC-"&amp;TEXT(ROW()-ROW(tblMaster[#Headers]),"00000")
))</f>
        <v>DOC-00719</v>
      </c>
      <c r="B720" s="49">
        <v>45958</v>
      </c>
      <c r="C720" s="42" t="s">
        <v>2942</v>
      </c>
      <c r="D720" s="41" t="s">
        <v>2943</v>
      </c>
      <c r="E720" s="38" t="s">
        <v>2944</v>
      </c>
      <c r="F720" s="18" t="s">
        <v>2945</v>
      </c>
      <c r="G720" s="41" t="s">
        <v>1197</v>
      </c>
      <c r="H720" s="17" t="s">
        <v>17</v>
      </c>
      <c r="I720" s="18" t="s">
        <v>54</v>
      </c>
      <c r="J720" s="99" t="s">
        <v>118</v>
      </c>
      <c r="K720" s="5" t="s">
        <v>652</v>
      </c>
      <c r="L720" t="str">
        <f t="shared" si="12"/>
        <v>ngandaenock17@gmail.com</v>
      </c>
    </row>
    <row r="721" spans="1:12">
      <c r="A721" t="str" cm="1">
        <f t="array" ref="A721">_xlfn.LET(_xlpm.e,L721,
IF(_xlpm.e="","",
"DOC-"&amp;TEXT(ROW()-ROW(tblMaster[#Headers]),"00000")
))</f>
        <v>DOC-00720</v>
      </c>
      <c r="B721" s="49">
        <v>45958</v>
      </c>
      <c r="C721" s="42" t="s">
        <v>2946</v>
      </c>
      <c r="D721" s="41" t="s">
        <v>2947</v>
      </c>
      <c r="E721" s="38" t="s">
        <v>2948</v>
      </c>
      <c r="F721" s="18" t="s">
        <v>2949</v>
      </c>
      <c r="G721" s="41" t="s">
        <v>276</v>
      </c>
      <c r="H721" s="17" t="s">
        <v>17</v>
      </c>
      <c r="I721" s="18" t="s">
        <v>54</v>
      </c>
      <c r="J721" s="99" t="s">
        <v>118</v>
      </c>
      <c r="K721" s="5" t="s">
        <v>652</v>
      </c>
      <c r="L721" t="str">
        <f t="shared" si="12"/>
        <v>seidesernot@gmail.com</v>
      </c>
    </row>
    <row r="722" spans="1:12">
      <c r="A722" t="str" cm="1">
        <f t="array" ref="A722">_xlfn.LET(_xlpm.e,L722,
IF(_xlpm.e="","",
"DOC-"&amp;TEXT(ROW()-ROW(tblMaster[#Headers]),"00000")
))</f>
        <v/>
      </c>
      <c r="B722" s="49">
        <v>45958</v>
      </c>
      <c r="C722" s="42"/>
      <c r="D722" s="41"/>
      <c r="E722" s="38"/>
      <c r="F722" s="18"/>
      <c r="G722" s="41"/>
      <c r="H722" s="17"/>
      <c r="I722" s="18"/>
      <c r="L722" t="str">
        <f t="shared" si="12"/>
        <v/>
      </c>
    </row>
    <row r="723" spans="1:12">
      <c r="A723" t="str" cm="1">
        <f t="array" ref="A723">_xlfn.LET(_xlpm.e,L723,
IF(_xlpm.e="","",
"DOC-"&amp;TEXT(ROW()-ROW(tblMaster[#Headers]),"00000")
))</f>
        <v>DOC-00722</v>
      </c>
      <c r="B723" s="49">
        <v>45958</v>
      </c>
      <c r="C723" s="42" t="s">
        <v>2950</v>
      </c>
      <c r="D723" s="41" t="s">
        <v>2951</v>
      </c>
      <c r="E723" s="38" t="s">
        <v>2952</v>
      </c>
      <c r="F723" s="18" t="s">
        <v>2953</v>
      </c>
      <c r="G723" s="41" t="s">
        <v>2954</v>
      </c>
      <c r="H723" s="17" t="s">
        <v>17</v>
      </c>
      <c r="I723" s="18" t="s">
        <v>101</v>
      </c>
      <c r="K723" s="5" t="s">
        <v>226</v>
      </c>
      <c r="L723" t="str">
        <f t="shared" si="12"/>
        <v>penttilab@gmail.com</v>
      </c>
    </row>
    <row r="724" spans="1:12">
      <c r="A724" t="str" cm="1">
        <f t="array" ref="A724">_xlfn.LET(_xlpm.e,L724,
IF(_xlpm.e="","",
"DOC-"&amp;TEXT(ROW()-ROW(tblMaster[#Headers]),"00000")
))</f>
        <v>DOC-00723</v>
      </c>
      <c r="B724" s="49">
        <v>45958</v>
      </c>
      <c r="C724" s="42" t="s">
        <v>2955</v>
      </c>
      <c r="D724" s="41" t="s">
        <v>2956</v>
      </c>
      <c r="E724" s="38" t="s">
        <v>2957</v>
      </c>
      <c r="F724" s="18" t="s">
        <v>2958</v>
      </c>
      <c r="G724" s="41" t="s">
        <v>2959</v>
      </c>
      <c r="H724" s="17" t="s">
        <v>17</v>
      </c>
      <c r="I724" s="18" t="s">
        <v>101</v>
      </c>
      <c r="K724" s="5" t="s">
        <v>652</v>
      </c>
      <c r="L724" t="str">
        <f t="shared" si="12"/>
        <v>aljanabihussein5@gmail.com</v>
      </c>
    </row>
    <row r="725" spans="1:12">
      <c r="A725" t="str" cm="1">
        <f t="array" ref="A725">_xlfn.LET(_xlpm.e,L725,
IF(_xlpm.e="","",
"DOC-"&amp;TEXT(ROW()-ROW(tblMaster[#Headers]),"00000")
))</f>
        <v>DOC-00724</v>
      </c>
      <c r="B725" s="49">
        <v>45958</v>
      </c>
      <c r="C725" s="42" t="s">
        <v>2960</v>
      </c>
      <c r="D725" s="41" t="s">
        <v>2961</v>
      </c>
      <c r="E725" s="38" t="s">
        <v>2962</v>
      </c>
      <c r="F725" s="18" t="s">
        <v>2963</v>
      </c>
      <c r="G725" s="41" t="s">
        <v>2964</v>
      </c>
      <c r="H725" s="17" t="s">
        <v>153</v>
      </c>
      <c r="I725" s="18" t="s">
        <v>54</v>
      </c>
      <c r="K725" s="5" t="s">
        <v>652</v>
      </c>
      <c r="L725" t="str">
        <f t="shared" si="12"/>
        <v>tinag311@gmail.com</v>
      </c>
    </row>
    <row r="726" spans="1:12">
      <c r="A726" t="str" cm="1">
        <f t="array" ref="A726">_xlfn.LET(_xlpm.e,L726,
IF(_xlpm.e="","",
"DOC-"&amp;TEXT(ROW()-ROW(tblMaster[#Headers]),"00000")
))</f>
        <v>DOC-00725</v>
      </c>
      <c r="B726" s="49">
        <v>45958</v>
      </c>
      <c r="C726" s="42" t="s">
        <v>2965</v>
      </c>
      <c r="D726" s="41" t="s">
        <v>2966</v>
      </c>
      <c r="E726" s="38" t="s">
        <v>2967</v>
      </c>
      <c r="F726" s="18" t="s">
        <v>2968</v>
      </c>
      <c r="G726" s="41" t="s">
        <v>2103</v>
      </c>
      <c r="H726" s="17" t="s">
        <v>17</v>
      </c>
      <c r="I726" s="18" t="s">
        <v>54</v>
      </c>
      <c r="K726" s="5" t="s">
        <v>652</v>
      </c>
      <c r="L726" t="str">
        <f t="shared" si="12"/>
        <v>ssegirinyaarnold@gmail.com</v>
      </c>
    </row>
    <row r="727" spans="1:12">
      <c r="A727" t="str" cm="1">
        <f t="array" ref="A727">_xlfn.LET(_xlpm.e,L727,
IF(_xlpm.e="","",
"DOC-"&amp;TEXT(ROW()-ROW(tblMaster[#Headers]),"00000")
))</f>
        <v/>
      </c>
      <c r="B727" s="49">
        <v>45958</v>
      </c>
      <c r="C727" s="42" t="s">
        <v>2969</v>
      </c>
      <c r="D727" s="41" t="s">
        <v>2970</v>
      </c>
      <c r="E727" s="41"/>
      <c r="F727" s="18" t="s">
        <v>2971</v>
      </c>
      <c r="G727" s="41" t="s">
        <v>576</v>
      </c>
      <c r="H727" s="17" t="s">
        <v>17</v>
      </c>
      <c r="I727" s="18" t="s">
        <v>2276</v>
      </c>
      <c r="K727" s="5" t="s">
        <v>652</v>
      </c>
      <c r="L727" t="str">
        <f t="shared" si="12"/>
        <v/>
      </c>
    </row>
    <row r="728" spans="1:12">
      <c r="A728" t="str" cm="1">
        <f t="array" ref="A728">_xlfn.LET(_xlpm.e,L728,
IF(_xlpm.e="","",
"DOC-"&amp;TEXT(ROW()-ROW(tblMaster[#Headers]),"00000")
))</f>
        <v>DOC-00727</v>
      </c>
      <c r="B728" s="49">
        <v>45958</v>
      </c>
      <c r="C728" s="42" t="s">
        <v>1581</v>
      </c>
      <c r="D728" s="41" t="s">
        <v>2972</v>
      </c>
      <c r="E728" s="38" t="s">
        <v>2973</v>
      </c>
      <c r="F728" s="18" t="s">
        <v>2974</v>
      </c>
      <c r="G728" s="41" t="s">
        <v>1584</v>
      </c>
      <c r="H728" s="17" t="s">
        <v>17</v>
      </c>
      <c r="I728" s="18" t="s">
        <v>54</v>
      </c>
      <c r="J728" s="99" t="s">
        <v>23</v>
      </c>
      <c r="K728" s="5" t="s">
        <v>652</v>
      </c>
      <c r="L728" t="str">
        <f t="shared" si="12"/>
        <v>henryflores97@gmail.com</v>
      </c>
    </row>
    <row r="729" spans="1:12">
      <c r="A729" t="str" cm="1">
        <f t="array" ref="A729">_xlfn.LET(_xlpm.e,L729,
IF(_xlpm.e="","",
"DOC-"&amp;TEXT(ROW()-ROW(tblMaster[#Headers]),"00000")
))</f>
        <v>DOC-00728</v>
      </c>
      <c r="B729" s="49">
        <v>45958</v>
      </c>
      <c r="C729" s="17" t="s">
        <v>2975</v>
      </c>
      <c r="D729" s="18" t="s">
        <v>2976</v>
      </c>
      <c r="E729" s="123" t="s">
        <v>2977</v>
      </c>
      <c r="F729" s="18" t="s">
        <v>2978</v>
      </c>
      <c r="G729" s="18" t="s">
        <v>979</v>
      </c>
      <c r="H729" s="17" t="s">
        <v>17</v>
      </c>
      <c r="I729" s="18" t="s">
        <v>54</v>
      </c>
      <c r="J729" s="99" t="s">
        <v>560</v>
      </c>
      <c r="K729" s="5" t="s">
        <v>652</v>
      </c>
      <c r="L729" t="str">
        <f t="shared" si="12"/>
        <v>odurodonkor2@gmail.com</v>
      </c>
    </row>
    <row r="730" spans="1:12">
      <c r="A730" t="str" cm="1">
        <f t="array" ref="A730">_xlfn.LET(_xlpm.e,L730,
IF(_xlpm.e="","",
"DOC-"&amp;TEXT(ROW()-ROW(tblMaster[#Headers]),"00000")
))</f>
        <v>DOC-00729</v>
      </c>
      <c r="B730" s="49">
        <v>45958</v>
      </c>
      <c r="C730" s="42" t="s">
        <v>2979</v>
      </c>
      <c r="D730" s="41" t="s">
        <v>425</v>
      </c>
      <c r="E730" s="38" t="s">
        <v>2980</v>
      </c>
      <c r="F730" s="18">
        <v>7748496230</v>
      </c>
      <c r="G730" s="41"/>
      <c r="H730" s="17" t="s">
        <v>17</v>
      </c>
      <c r="I730" s="18" t="s">
        <v>101</v>
      </c>
      <c r="K730" s="5" t="s">
        <v>652</v>
      </c>
      <c r="L730" t="str">
        <f t="shared" si="12"/>
        <v>jairsonlopes49@gmail.com</v>
      </c>
    </row>
    <row r="731" spans="1:12">
      <c r="A731" t="str" cm="1">
        <f t="array" ref="A731">_xlfn.LET(_xlpm.e,L731,
IF(_xlpm.e="","",
"DOC-"&amp;TEXT(ROW()-ROW(tblMaster[#Headers]),"00000")
))</f>
        <v>DOC-00730</v>
      </c>
      <c r="B731" s="49">
        <v>45958</v>
      </c>
      <c r="C731" s="42" t="s">
        <v>2981</v>
      </c>
      <c r="D731" s="41" t="s">
        <v>287</v>
      </c>
      <c r="E731" s="38" t="s">
        <v>2982</v>
      </c>
      <c r="F731" s="18" t="s">
        <v>2983</v>
      </c>
      <c r="G731" s="41" t="s">
        <v>837</v>
      </c>
      <c r="H731" s="17" t="s">
        <v>17</v>
      </c>
      <c r="I731" s="18" t="s">
        <v>2276</v>
      </c>
      <c r="K731" s="5" t="s">
        <v>652</v>
      </c>
      <c r="L731" t="str">
        <f t="shared" si="12"/>
        <v>gunzooo@icloud.com</v>
      </c>
    </row>
    <row r="732" spans="1:12">
      <c r="A732" t="str" cm="1">
        <f t="array" ref="A732">_xlfn.LET(_xlpm.e,L732,
IF(_xlpm.e="","",
"DOC-"&amp;TEXT(ROW()-ROW(tblMaster[#Headers]),"00000")
))</f>
        <v/>
      </c>
      <c r="B732" s="49">
        <v>45958</v>
      </c>
      <c r="C732" s="42" t="s">
        <v>2984</v>
      </c>
      <c r="D732" s="41" t="s">
        <v>2985</v>
      </c>
      <c r="E732" s="41"/>
      <c r="F732" s="18" t="s">
        <v>2986</v>
      </c>
      <c r="G732" s="41" t="s">
        <v>74</v>
      </c>
      <c r="H732" s="17" t="s">
        <v>17</v>
      </c>
      <c r="I732" s="18" t="s">
        <v>2276</v>
      </c>
      <c r="J732" s="99" t="s">
        <v>118</v>
      </c>
      <c r="K732" s="5" t="s">
        <v>652</v>
      </c>
      <c r="L732" t="str">
        <f t="shared" si="12"/>
        <v/>
      </c>
    </row>
    <row r="733" spans="1:12">
      <c r="A733" t="str" cm="1">
        <f t="array" ref="A733">_xlfn.LET(_xlpm.e,L733,
IF(_xlpm.e="","",
"DOC-"&amp;TEXT(ROW()-ROW(tblMaster[#Headers]),"00000")
))</f>
        <v>DOC-00732</v>
      </c>
      <c r="B733" s="49">
        <v>45958</v>
      </c>
      <c r="C733" s="17" t="s">
        <v>2987</v>
      </c>
      <c r="D733" s="18" t="s">
        <v>658</v>
      </c>
      <c r="E733" s="123" t="s">
        <v>2988</v>
      </c>
      <c r="F733" s="18" t="s">
        <v>2989</v>
      </c>
      <c r="G733" s="18" t="s">
        <v>2990</v>
      </c>
      <c r="H733" s="17" t="s">
        <v>17</v>
      </c>
      <c r="I733" s="18" t="s">
        <v>2276</v>
      </c>
      <c r="J733" s="99" t="s">
        <v>560</v>
      </c>
      <c r="K733" s="5" t="s">
        <v>652</v>
      </c>
      <c r="L733" t="str">
        <f t="shared" si="12"/>
        <v>rickaedlouis92@yahoo.com</v>
      </c>
    </row>
    <row r="734" spans="1:12">
      <c r="A734" t="str" cm="1">
        <f t="array" ref="A734">_xlfn.LET(_xlpm.e,L734,
IF(_xlpm.e="","",
"DOC-"&amp;TEXT(ROW()-ROW(tblMaster[#Headers]),"00000")
))</f>
        <v>DOC-00733</v>
      </c>
      <c r="B734" s="49">
        <v>45958</v>
      </c>
      <c r="C734" s="42" t="s">
        <v>47</v>
      </c>
      <c r="D734" s="41" t="s">
        <v>2226</v>
      </c>
      <c r="E734" s="38" t="s">
        <v>2991</v>
      </c>
      <c r="F734" s="18" t="s">
        <v>2992</v>
      </c>
      <c r="G734" s="41" t="s">
        <v>2993</v>
      </c>
      <c r="H734" s="17" t="s">
        <v>17</v>
      </c>
      <c r="I734" s="18" t="s">
        <v>2276</v>
      </c>
      <c r="J734" s="99" t="s">
        <v>118</v>
      </c>
      <c r="K734" s="5" t="s">
        <v>652</v>
      </c>
      <c r="L734" t="str">
        <f t="shared" si="12"/>
        <v>shinron3000@yahoo.com</v>
      </c>
    </row>
    <row r="735" spans="1:12">
      <c r="A735" t="str" cm="1">
        <f t="array" ref="A735">_xlfn.LET(_xlpm.e,L735,
IF(_xlpm.e="","",
"DOC-"&amp;TEXT(ROW()-ROW(tblMaster[#Headers]),"00000")
))</f>
        <v>DOC-00734</v>
      </c>
      <c r="B735" s="49">
        <v>45958</v>
      </c>
      <c r="C735" s="42" t="s">
        <v>2994</v>
      </c>
      <c r="D735" s="41" t="s">
        <v>2995</v>
      </c>
      <c r="E735" s="38" t="s">
        <v>2996</v>
      </c>
      <c r="F735" s="18" t="s">
        <v>2997</v>
      </c>
      <c r="G735" s="41" t="s">
        <v>74</v>
      </c>
      <c r="H735" s="17" t="s">
        <v>17</v>
      </c>
      <c r="I735" s="18" t="s">
        <v>101</v>
      </c>
      <c r="K735" s="5" t="s">
        <v>652</v>
      </c>
      <c r="L735" t="str">
        <f t="shared" si="12"/>
        <v>isaac_gyamera@yahoo.com</v>
      </c>
    </row>
    <row r="736" spans="1:12">
      <c r="A736" t="str" cm="1">
        <f t="array" ref="A736">_xlfn.LET(_xlpm.e,L736,
IF(_xlpm.e="","",
"DOC-"&amp;TEXT(ROW()-ROW(tblMaster[#Headers]),"00000")
))</f>
        <v>DOC-00735</v>
      </c>
      <c r="B736" s="49">
        <v>45958</v>
      </c>
      <c r="C736" s="42" t="s">
        <v>1277</v>
      </c>
      <c r="D736" s="41" t="s">
        <v>2998</v>
      </c>
      <c r="E736" s="38" t="s">
        <v>2999</v>
      </c>
      <c r="F736" s="18" t="s">
        <v>3000</v>
      </c>
      <c r="G736" s="41" t="s">
        <v>74</v>
      </c>
      <c r="H736" s="17" t="s">
        <v>17</v>
      </c>
      <c r="I736" s="18" t="s">
        <v>2276</v>
      </c>
      <c r="K736" s="5" t="s">
        <v>652</v>
      </c>
      <c r="L736" t="str">
        <f t="shared" si="12"/>
        <v>johnesaumata@gmail.com</v>
      </c>
    </row>
    <row r="737" spans="1:12">
      <c r="A737" t="str" cm="1">
        <f t="array" ref="A737">_xlfn.LET(_xlpm.e,L737,
IF(_xlpm.e="","",
"DOC-"&amp;TEXT(ROW()-ROW(tblMaster[#Headers]),"00000")
))</f>
        <v>DOC-00736</v>
      </c>
      <c r="B737" s="49">
        <v>45958</v>
      </c>
      <c r="C737" s="42" t="s">
        <v>3001</v>
      </c>
      <c r="D737" s="41" t="s">
        <v>3002</v>
      </c>
      <c r="E737" s="38" t="s">
        <v>3003</v>
      </c>
      <c r="F737" s="18" t="s">
        <v>3004</v>
      </c>
      <c r="G737" s="41" t="s">
        <v>52</v>
      </c>
      <c r="H737" s="17" t="s">
        <v>17</v>
      </c>
      <c r="I737" s="18" t="s">
        <v>54</v>
      </c>
      <c r="K737" s="5" t="s">
        <v>652</v>
      </c>
      <c r="L737" t="str">
        <f t="shared" si="12"/>
        <v>missa200004@gmail.com</v>
      </c>
    </row>
    <row r="738" spans="1:12">
      <c r="A738" t="str" cm="1">
        <f t="array" ref="A738">_xlfn.LET(_xlpm.e,L738,
IF(_xlpm.e="","",
"DOC-"&amp;TEXT(ROW()-ROW(tblMaster[#Headers]),"00000")
))</f>
        <v>DOC-00737</v>
      </c>
      <c r="B738" s="49">
        <v>45958</v>
      </c>
      <c r="C738" s="42" t="s">
        <v>1849</v>
      </c>
      <c r="D738" s="41" t="s">
        <v>3005</v>
      </c>
      <c r="E738" s="38" t="s">
        <v>3006</v>
      </c>
      <c r="F738" s="18" t="s">
        <v>3007</v>
      </c>
      <c r="G738" s="41" t="s">
        <v>3008</v>
      </c>
      <c r="H738" s="17" t="s">
        <v>17</v>
      </c>
      <c r="I738" s="18" t="s">
        <v>2276</v>
      </c>
      <c r="K738" s="5" t="s">
        <v>652</v>
      </c>
      <c r="L738" t="str">
        <f t="shared" si="12"/>
        <v>leahninobla30@gmail.com</v>
      </c>
    </row>
    <row r="739" spans="1:12">
      <c r="A739" t="str" cm="1">
        <f t="array" ref="A739">_xlfn.LET(_xlpm.e,L739,
IF(_xlpm.e="","",
"DOC-"&amp;TEXT(ROW()-ROW(tblMaster[#Headers]),"00000")
))</f>
        <v>DOC-00738</v>
      </c>
      <c r="B739" s="49">
        <v>45958</v>
      </c>
      <c r="C739" s="42" t="s">
        <v>3009</v>
      </c>
      <c r="D739" s="41" t="s">
        <v>3010</v>
      </c>
      <c r="E739" s="38" t="s">
        <v>3011</v>
      </c>
      <c r="F739" s="18" t="s">
        <v>3012</v>
      </c>
      <c r="G739" s="41" t="s">
        <v>1236</v>
      </c>
      <c r="H739" s="17" t="s">
        <v>17</v>
      </c>
      <c r="I739" s="18" t="s">
        <v>101</v>
      </c>
      <c r="K739" s="5" t="s">
        <v>652</v>
      </c>
      <c r="L739" t="str">
        <f t="shared" si="12"/>
        <v>kizitonalugya@gmail.com</v>
      </c>
    </row>
    <row r="740" spans="1:12">
      <c r="A740" t="str" cm="1">
        <f t="array" ref="A740">_xlfn.LET(_xlpm.e,L740,
IF(_xlpm.e="","",
"DOC-"&amp;TEXT(ROW()-ROW(tblMaster[#Headers]),"00000")
))</f>
        <v>DOC-00739</v>
      </c>
      <c r="B740" s="49">
        <v>45958</v>
      </c>
      <c r="C740" s="42" t="s">
        <v>3013</v>
      </c>
      <c r="D740" s="41" t="s">
        <v>3014</v>
      </c>
      <c r="E740" s="38" t="s">
        <v>3015</v>
      </c>
      <c r="F740" s="18" t="s">
        <v>3016</v>
      </c>
      <c r="G740" s="41" t="s">
        <v>79</v>
      </c>
      <c r="H740" s="17" t="s">
        <v>17</v>
      </c>
      <c r="I740" s="18" t="s">
        <v>54</v>
      </c>
      <c r="J740" s="99" t="s">
        <v>23</v>
      </c>
      <c r="K740" s="5" t="s">
        <v>652</v>
      </c>
      <c r="L740" t="str">
        <f t="shared" si="12"/>
        <v>faithjackson1004@gmail.con</v>
      </c>
    </row>
    <row r="741" spans="1:12">
      <c r="A741" t="str" cm="1">
        <f t="array" ref="A741">_xlfn.LET(_xlpm.e,L741,
IF(_xlpm.e="","",
"DOC-"&amp;TEXT(ROW()-ROW(tblMaster[#Headers]),"00000")
))</f>
        <v>DOC-00740</v>
      </c>
      <c r="B741" s="49">
        <v>45958</v>
      </c>
      <c r="C741" s="42" t="s">
        <v>3017</v>
      </c>
      <c r="D741" s="41" t="s">
        <v>3018</v>
      </c>
      <c r="E741" s="38" t="s">
        <v>3019</v>
      </c>
      <c r="F741" s="18" t="s">
        <v>3020</v>
      </c>
      <c r="G741" s="41"/>
      <c r="H741" s="17" t="s">
        <v>17</v>
      </c>
      <c r="I741" s="18" t="s">
        <v>54</v>
      </c>
      <c r="K741" s="5" t="s">
        <v>652</v>
      </c>
      <c r="L741" t="str">
        <f t="shared" si="12"/>
        <v>sashary70@gmail.com</v>
      </c>
    </row>
    <row r="742" spans="1:12">
      <c r="A742" t="str" cm="1">
        <f t="array" ref="A742">_xlfn.LET(_xlpm.e,L742,
IF(_xlpm.e="","",
"DOC-"&amp;TEXT(ROW()-ROW(tblMaster[#Headers]),"00000")
))</f>
        <v>DOC-00741</v>
      </c>
      <c r="B742" s="49">
        <v>45958</v>
      </c>
      <c r="C742" s="42" t="s">
        <v>3021</v>
      </c>
      <c r="D742" s="41" t="s">
        <v>3022</v>
      </c>
      <c r="E742" s="38" t="s">
        <v>3023</v>
      </c>
      <c r="F742" s="18" t="s">
        <v>3024</v>
      </c>
      <c r="G742" s="41" t="s">
        <v>3025</v>
      </c>
      <c r="H742" s="17" t="s">
        <v>17</v>
      </c>
      <c r="I742" s="18" t="s">
        <v>54</v>
      </c>
      <c r="K742" s="5" t="s">
        <v>652</v>
      </c>
      <c r="L742" t="str">
        <f t="shared" si="12"/>
        <v>jonathanmorales1990@aol.com</v>
      </c>
    </row>
    <row r="743" spans="1:12">
      <c r="A743" t="str" cm="1">
        <f t="array" ref="A743">_xlfn.LET(_xlpm.e,L743,
IF(_xlpm.e="","",
"DOC-"&amp;TEXT(ROW()-ROW(tblMaster[#Headers]),"00000")
))</f>
        <v>DOC-00742</v>
      </c>
      <c r="B743" s="49">
        <v>45958</v>
      </c>
      <c r="C743" s="42" t="s">
        <v>3026</v>
      </c>
      <c r="D743" s="41" t="s">
        <v>3027</v>
      </c>
      <c r="E743" s="38" t="s">
        <v>3028</v>
      </c>
      <c r="F743" s="18" t="s">
        <v>3029</v>
      </c>
      <c r="G743" s="41" t="s">
        <v>74</v>
      </c>
      <c r="H743" s="17" t="s">
        <v>17</v>
      </c>
      <c r="I743" s="18" t="s">
        <v>54</v>
      </c>
      <c r="K743" s="5" t="s">
        <v>652</v>
      </c>
      <c r="L743" t="str">
        <f t="shared" si="12"/>
        <v>arthurjleblanc50@icloud.com</v>
      </c>
    </row>
    <row r="744" spans="1:12">
      <c r="A744" t="str" cm="1">
        <f t="array" ref="A744">_xlfn.LET(_xlpm.e,L744,
IF(_xlpm.e="","",
"DOC-"&amp;TEXT(ROW()-ROW(tblMaster[#Headers]),"00000")
))</f>
        <v>DOC-00743</v>
      </c>
      <c r="B744" s="49">
        <v>45958</v>
      </c>
      <c r="C744" s="42" t="s">
        <v>3030</v>
      </c>
      <c r="D744" s="41" t="s">
        <v>3031</v>
      </c>
      <c r="E744" s="38" t="s">
        <v>3032</v>
      </c>
      <c r="F744" s="18" t="s">
        <v>3033</v>
      </c>
      <c r="G744" s="41" t="s">
        <v>3034</v>
      </c>
      <c r="H744" s="17" t="s">
        <v>17</v>
      </c>
      <c r="I744" s="18" t="s">
        <v>54</v>
      </c>
      <c r="K744" s="5" t="s">
        <v>652</v>
      </c>
      <c r="L744" t="str">
        <f t="shared" si="12"/>
        <v>nuzzodomanic1026@icloud.com</v>
      </c>
    </row>
    <row r="745" spans="1:12">
      <c r="A745" t="str" cm="1">
        <f t="array" ref="A745">_xlfn.LET(_xlpm.e,L745,
IF(_xlpm.e="","",
"DOC-"&amp;TEXT(ROW()-ROW(tblMaster[#Headers]),"00000")
))</f>
        <v>DOC-00744</v>
      </c>
      <c r="B745" s="49">
        <v>45958</v>
      </c>
      <c r="C745" s="42" t="s">
        <v>3035</v>
      </c>
      <c r="D745" s="41" t="s">
        <v>3036</v>
      </c>
      <c r="E745" s="38" t="s">
        <v>3037</v>
      </c>
      <c r="F745" s="18" t="s">
        <v>3038</v>
      </c>
      <c r="G745" s="41" t="s">
        <v>3039</v>
      </c>
      <c r="H745" s="17" t="s">
        <v>17</v>
      </c>
      <c r="I745" s="18" t="s">
        <v>101</v>
      </c>
      <c r="K745" s="5" t="s">
        <v>652</v>
      </c>
      <c r="L745" t="str">
        <f t="shared" si="12"/>
        <v>ajane.leee@gmail.com</v>
      </c>
    </row>
    <row r="746" spans="1:12">
      <c r="A746" t="str" cm="1">
        <f t="array" ref="A746">_xlfn.LET(_xlpm.e,L746,
IF(_xlpm.e="","",
"DOC-"&amp;TEXT(ROW()-ROW(tblMaster[#Headers]),"00000")
))</f>
        <v>DOC-00745</v>
      </c>
      <c r="B746" s="49">
        <v>45958</v>
      </c>
      <c r="C746" s="42" t="s">
        <v>3040</v>
      </c>
      <c r="D746" s="41" t="s">
        <v>3041</v>
      </c>
      <c r="E746" s="38" t="s">
        <v>3042</v>
      </c>
      <c r="F746" s="18" t="s">
        <v>3043</v>
      </c>
      <c r="G746" s="41" t="s">
        <v>52</v>
      </c>
      <c r="H746" s="17" t="s">
        <v>17</v>
      </c>
      <c r="I746" s="18" t="s">
        <v>101</v>
      </c>
      <c r="K746" s="5" t="s">
        <v>652</v>
      </c>
      <c r="L746" t="str">
        <f t="shared" si="12"/>
        <v>shawanaparks@gmail.com</v>
      </c>
    </row>
    <row r="747" spans="1:12">
      <c r="A747" t="str" cm="1">
        <f t="array" ref="A747">_xlfn.LET(_xlpm.e,L747,
IF(_xlpm.e="","",
"DOC-"&amp;TEXT(ROW()-ROW(tblMaster[#Headers]),"00000")
))</f>
        <v>DOC-00746</v>
      </c>
      <c r="B747" s="49">
        <v>45958</v>
      </c>
      <c r="C747" s="42" t="s">
        <v>3044</v>
      </c>
      <c r="D747" s="41" t="s">
        <v>3045</v>
      </c>
      <c r="E747" s="38" t="s">
        <v>3046</v>
      </c>
      <c r="F747" s="18" t="s">
        <v>3047</v>
      </c>
      <c r="G747" s="41" t="s">
        <v>3048</v>
      </c>
      <c r="H747" s="17" t="s">
        <v>17</v>
      </c>
      <c r="I747" s="18" t="s">
        <v>2276</v>
      </c>
      <c r="J747" s="99" t="s">
        <v>23</v>
      </c>
      <c r="K747" s="5" t="s">
        <v>652</v>
      </c>
      <c r="L747" t="str">
        <f t="shared" si="12"/>
        <v>sarahrathburn@hotmail.com</v>
      </c>
    </row>
    <row r="748" spans="1:12">
      <c r="A748" t="str" cm="1">
        <f t="array" ref="A748">_xlfn.LET(_xlpm.e,L748,
IF(_xlpm.e="","",
"DOC-"&amp;TEXT(ROW()-ROW(tblMaster[#Headers]),"00000")
))</f>
        <v>DOC-00747</v>
      </c>
      <c r="B748" s="49">
        <v>45958</v>
      </c>
      <c r="C748" s="42" t="s">
        <v>3049</v>
      </c>
      <c r="D748" s="41" t="s">
        <v>874</v>
      </c>
      <c r="E748" s="38" t="s">
        <v>3050</v>
      </c>
      <c r="F748" s="18" t="s">
        <v>3051</v>
      </c>
      <c r="G748" s="41" t="s">
        <v>3052</v>
      </c>
      <c r="H748" s="17" t="s">
        <v>17</v>
      </c>
      <c r="I748" s="18" t="s">
        <v>2644</v>
      </c>
      <c r="K748" s="5" t="s">
        <v>652</v>
      </c>
      <c r="L748" t="str">
        <f t="shared" si="12"/>
        <v>vickileeschofield@gmail.com</v>
      </c>
    </row>
    <row r="749" spans="1:12">
      <c r="A749" t="str" cm="1">
        <f t="array" ref="A749">_xlfn.LET(_xlpm.e,L749,
IF(_xlpm.e="","",
"DOC-"&amp;TEXT(ROW()-ROW(tblMaster[#Headers]),"00000")
))</f>
        <v>DOC-00748</v>
      </c>
      <c r="B749" s="49">
        <v>45958</v>
      </c>
      <c r="C749" s="42" t="s">
        <v>1277</v>
      </c>
      <c r="D749" s="41" t="s">
        <v>248</v>
      </c>
      <c r="E749" s="38" t="s">
        <v>3053</v>
      </c>
      <c r="F749" s="18"/>
      <c r="G749" s="41"/>
      <c r="H749" s="17" t="s">
        <v>17</v>
      </c>
      <c r="I749" s="18" t="s">
        <v>101</v>
      </c>
      <c r="K749" s="5" t="s">
        <v>652</v>
      </c>
      <c r="L749" t="str">
        <f t="shared" si="12"/>
        <v>makimeiwaweru@yahoo.com</v>
      </c>
    </row>
    <row r="750" spans="1:12">
      <c r="A750" t="str" cm="1">
        <f t="array" ref="A750">_xlfn.LET(_xlpm.e,L750,
IF(_xlpm.e="","",
"DOC-"&amp;TEXT(ROW()-ROW(tblMaster[#Headers]),"00000")
))</f>
        <v>DOC-00749</v>
      </c>
      <c r="B750" s="49">
        <v>45958</v>
      </c>
      <c r="C750" s="42" t="s">
        <v>3054</v>
      </c>
      <c r="D750" s="41" t="s">
        <v>3055</v>
      </c>
      <c r="E750" s="38" t="s">
        <v>3056</v>
      </c>
      <c r="F750" s="18"/>
      <c r="G750" s="41"/>
      <c r="H750" s="17" t="s">
        <v>17</v>
      </c>
      <c r="I750" s="18" t="s">
        <v>101</v>
      </c>
      <c r="K750" s="5" t="s">
        <v>652</v>
      </c>
      <c r="L750" t="str">
        <f t="shared" si="12"/>
        <v>edouard2319@yahoo.fr</v>
      </c>
    </row>
    <row r="751" spans="1:12">
      <c r="A751" t="str" cm="1">
        <f t="array" ref="A751">_xlfn.LET(_xlpm.e,L751,
IF(_xlpm.e="","",
"DOC-"&amp;TEXT(ROW()-ROW(tblMaster[#Headers]),"00000")
))</f>
        <v>DOC-00750</v>
      </c>
      <c r="B751" s="49">
        <v>45958</v>
      </c>
      <c r="C751" s="42" t="s">
        <v>80</v>
      </c>
      <c r="D751" s="41" t="s">
        <v>3057</v>
      </c>
      <c r="E751" s="38" t="s">
        <v>3058</v>
      </c>
      <c r="F751" s="18" t="s">
        <v>3059</v>
      </c>
      <c r="G751" s="41" t="s">
        <v>317</v>
      </c>
      <c r="H751" s="17" t="s">
        <v>17</v>
      </c>
      <c r="I751" s="18" t="s">
        <v>2276</v>
      </c>
      <c r="K751" s="5" t="s">
        <v>652</v>
      </c>
      <c r="L751" t="str">
        <f t="shared" si="12"/>
        <v>karen.mcginnis@vermont.gov</v>
      </c>
    </row>
    <row r="752" spans="1:12">
      <c r="A752" t="str" cm="1">
        <f t="array" ref="A752">_xlfn.LET(_xlpm.e,L752,
IF(_xlpm.e="","",
"DOC-"&amp;TEXT(ROW()-ROW(tblMaster[#Headers]),"00000")
))</f>
        <v>DOC-00751</v>
      </c>
      <c r="B752" s="49">
        <v>45958</v>
      </c>
      <c r="C752" s="42" t="s">
        <v>3060</v>
      </c>
      <c r="D752" s="41" t="s">
        <v>3061</v>
      </c>
      <c r="E752" s="38" t="s">
        <v>3062</v>
      </c>
      <c r="F752" s="18" t="s">
        <v>3063</v>
      </c>
      <c r="G752" s="41" t="s">
        <v>3064</v>
      </c>
      <c r="H752" s="17" t="s">
        <v>17</v>
      </c>
      <c r="I752" s="18" t="s">
        <v>101</v>
      </c>
      <c r="K752" s="5" t="s">
        <v>652</v>
      </c>
      <c r="L752" t="str">
        <f t="shared" si="12"/>
        <v>nelsonlina1214@gmail.com</v>
      </c>
    </row>
    <row r="753" spans="1:12">
      <c r="A753" t="str" cm="1">
        <f t="array" ref="A753">_xlfn.LET(_xlpm.e,L753,
IF(_xlpm.e="","",
"DOC-"&amp;TEXT(ROW()-ROW(tblMaster[#Headers]),"00000")
))</f>
        <v>DOC-00752</v>
      </c>
      <c r="B753" s="49">
        <v>45958</v>
      </c>
      <c r="C753" s="42" t="s">
        <v>3065</v>
      </c>
      <c r="D753" s="41" t="s">
        <v>3066</v>
      </c>
      <c r="E753" s="38" t="s">
        <v>3067</v>
      </c>
      <c r="F753" s="18" t="s">
        <v>3068</v>
      </c>
      <c r="G753" s="41" t="s">
        <v>3069</v>
      </c>
      <c r="H753" s="17" t="s">
        <v>17</v>
      </c>
      <c r="I753" s="18" t="s">
        <v>193</v>
      </c>
      <c r="J753" s="99" t="s">
        <v>66</v>
      </c>
      <c r="K753" s="5" t="s">
        <v>652</v>
      </c>
      <c r="L753" t="str">
        <f t="shared" si="12"/>
        <v>ruthmarfo517334@gmail.com</v>
      </c>
    </row>
    <row r="754" spans="1:12">
      <c r="A754" t="str" cm="1">
        <f t="array" ref="A754">_xlfn.LET(_xlpm.e,L754,
IF(_xlpm.e="","",
"DOC-"&amp;TEXT(ROW()-ROW(tblMaster[#Headers]),"00000")
))</f>
        <v/>
      </c>
      <c r="B754" s="49">
        <v>45958</v>
      </c>
      <c r="C754" s="42" t="s">
        <v>3070</v>
      </c>
      <c r="D754" s="41" t="s">
        <v>3071</v>
      </c>
      <c r="E754" s="41"/>
      <c r="F754" s="18" t="s">
        <v>3072</v>
      </c>
      <c r="G754" s="41" t="s">
        <v>257</v>
      </c>
      <c r="H754" s="17" t="s">
        <v>17</v>
      </c>
      <c r="I754" s="18" t="s">
        <v>2276</v>
      </c>
      <c r="K754" s="5" t="s">
        <v>652</v>
      </c>
      <c r="L754" t="str">
        <f t="shared" si="12"/>
        <v/>
      </c>
    </row>
    <row r="755" spans="1:12">
      <c r="A755" t="str" cm="1">
        <f t="array" ref="A755">_xlfn.LET(_xlpm.e,L755,
IF(_xlpm.e="","",
"DOC-"&amp;TEXT(ROW()-ROW(tblMaster[#Headers]),"00000")
))</f>
        <v>DOC-00754</v>
      </c>
      <c r="B755" s="49">
        <v>45958</v>
      </c>
      <c r="C755" s="42" t="s">
        <v>3073</v>
      </c>
      <c r="D755" s="41" t="s">
        <v>3074</v>
      </c>
      <c r="E755" s="38" t="s">
        <v>3075</v>
      </c>
      <c r="F755" s="18" t="s">
        <v>3076</v>
      </c>
      <c r="G755" s="41" t="s">
        <v>1311</v>
      </c>
      <c r="H755" s="17" t="s">
        <v>17</v>
      </c>
      <c r="I755" s="18" t="s">
        <v>2276</v>
      </c>
      <c r="K755" s="5" t="s">
        <v>652</v>
      </c>
      <c r="L755" t="str">
        <f t="shared" si="12"/>
        <v>gabrielaperlera19@icloud.com</v>
      </c>
    </row>
    <row r="756" spans="1:12">
      <c r="A756" t="str" cm="1">
        <f t="array" ref="A756">_xlfn.LET(_xlpm.e,L756,
IF(_xlpm.e="","",
"DOC-"&amp;TEXT(ROW()-ROW(tblMaster[#Headers]),"00000")
))</f>
        <v/>
      </c>
      <c r="B756" s="49">
        <v>45958</v>
      </c>
      <c r="C756" s="42" t="s">
        <v>3077</v>
      </c>
      <c r="D756" s="41" t="s">
        <v>3078</v>
      </c>
      <c r="E756" s="41"/>
      <c r="F756" s="18" t="s">
        <v>3079</v>
      </c>
      <c r="G756" s="41" t="s">
        <v>438</v>
      </c>
      <c r="H756" s="17" t="s">
        <v>17</v>
      </c>
      <c r="I756" s="18" t="s">
        <v>2276</v>
      </c>
      <c r="K756" s="5" t="s">
        <v>652</v>
      </c>
      <c r="L756" t="str">
        <f t="shared" si="12"/>
        <v/>
      </c>
    </row>
    <row r="757" spans="1:12">
      <c r="A757" t="str" cm="1">
        <f t="array" ref="A757">_xlfn.LET(_xlpm.e,L757,
IF(_xlpm.e="","",
"DOC-"&amp;TEXT(ROW()-ROW(tblMaster[#Headers]),"00000")
))</f>
        <v>DOC-00756</v>
      </c>
      <c r="B757" s="49">
        <v>45958</v>
      </c>
      <c r="C757" s="42" t="s">
        <v>243</v>
      </c>
      <c r="D757" s="41" t="s">
        <v>3080</v>
      </c>
      <c r="E757" s="38" t="s">
        <v>3081</v>
      </c>
      <c r="F757" s="18" t="s">
        <v>3082</v>
      </c>
      <c r="G757" s="41" t="s">
        <v>3083</v>
      </c>
      <c r="H757" s="17" t="s">
        <v>17</v>
      </c>
      <c r="I757" s="18" t="s">
        <v>2276</v>
      </c>
      <c r="J757" s="99" t="s">
        <v>194</v>
      </c>
      <c r="K757" s="5" t="s">
        <v>226</v>
      </c>
      <c r="L757" t="str">
        <f t="shared" si="12"/>
        <v>william.luciano.kelley@gmail.com</v>
      </c>
    </row>
    <row r="758" spans="1:12">
      <c r="A758" t="str" cm="1">
        <f t="array" ref="A758">_xlfn.LET(_xlpm.e,L758,
IF(_xlpm.e="","",
"DOC-"&amp;TEXT(ROW()-ROW(tblMaster[#Headers]),"00000")
))</f>
        <v/>
      </c>
      <c r="B758" s="49">
        <v>45958</v>
      </c>
      <c r="C758" s="42" t="s">
        <v>3084</v>
      </c>
      <c r="D758" s="41" t="s">
        <v>3085</v>
      </c>
      <c r="E758" s="41"/>
      <c r="F758" s="18" t="s">
        <v>3086</v>
      </c>
      <c r="G758" s="41" t="s">
        <v>3087</v>
      </c>
      <c r="H758" s="17" t="s">
        <v>17</v>
      </c>
      <c r="I758" s="18" t="s">
        <v>2276</v>
      </c>
      <c r="K758" s="5" t="s">
        <v>652</v>
      </c>
      <c r="L758" t="str">
        <f t="shared" si="12"/>
        <v/>
      </c>
    </row>
    <row r="759" spans="1:12">
      <c r="A759" t="str" cm="1">
        <f t="array" ref="A759">_xlfn.LET(_xlpm.e,L759,
IF(_xlpm.e="","",
"DOC-"&amp;TEXT(ROW()-ROW(tblMaster[#Headers]),"00000")
))</f>
        <v>DOC-00758</v>
      </c>
      <c r="B759" s="49">
        <v>45958</v>
      </c>
      <c r="C759" s="42" t="s">
        <v>1379</v>
      </c>
      <c r="D759" s="41" t="s">
        <v>3088</v>
      </c>
      <c r="E759" s="38" t="s">
        <v>3089</v>
      </c>
      <c r="F759" s="18" t="s">
        <v>3090</v>
      </c>
      <c r="G759" s="41"/>
      <c r="H759" s="17" t="s">
        <v>17</v>
      </c>
      <c r="I759" s="18" t="s">
        <v>2276</v>
      </c>
      <c r="J759" s="99" t="s">
        <v>23</v>
      </c>
      <c r="K759" s="5" t="s">
        <v>652</v>
      </c>
      <c r="L759" t="str">
        <f t="shared" si="12"/>
        <v>evansr1917@gmail.com</v>
      </c>
    </row>
    <row r="760" spans="1:12">
      <c r="A760" t="str" cm="1">
        <f t="array" ref="A760">_xlfn.LET(_xlpm.e,L760,
IF(_xlpm.e="","",
"DOC-"&amp;TEXT(ROW()-ROW(tblMaster[#Headers]),"00000")
))</f>
        <v>DOC-00759</v>
      </c>
      <c r="B760" s="49">
        <v>45958</v>
      </c>
      <c r="C760" s="42" t="s">
        <v>3091</v>
      </c>
      <c r="D760" s="41" t="s">
        <v>3092</v>
      </c>
      <c r="E760" s="38" t="s">
        <v>3093</v>
      </c>
      <c r="F760" s="18" t="s">
        <v>3094</v>
      </c>
      <c r="G760" s="41" t="s">
        <v>3095</v>
      </c>
      <c r="H760" s="17" t="s">
        <v>17</v>
      </c>
      <c r="I760" s="18" t="s">
        <v>2276</v>
      </c>
      <c r="K760" s="5" t="s">
        <v>652</v>
      </c>
      <c r="L760" t="str">
        <f t="shared" si="12"/>
        <v>boston5063@gmail.com</v>
      </c>
    </row>
    <row r="761" spans="1:12">
      <c r="A761" t="str" cm="1">
        <f t="array" ref="A761">_xlfn.LET(_xlpm.e,L761,
IF(_xlpm.e="","",
"DOC-"&amp;TEXT(ROW()-ROW(tblMaster[#Headers]),"00000")
))</f>
        <v>DOC-00760</v>
      </c>
      <c r="B761" s="49">
        <v>45958</v>
      </c>
      <c r="C761" s="42" t="s">
        <v>3096</v>
      </c>
      <c r="D761" s="41" t="s">
        <v>3097</v>
      </c>
      <c r="E761" s="38" t="s">
        <v>3098</v>
      </c>
      <c r="F761" s="18" t="s">
        <v>3099</v>
      </c>
      <c r="G761" s="41" t="s">
        <v>79</v>
      </c>
      <c r="H761" s="17" t="s">
        <v>17</v>
      </c>
      <c r="I761" s="18" t="s">
        <v>2276</v>
      </c>
      <c r="K761" s="5" t="s">
        <v>652</v>
      </c>
      <c r="L761" t="str">
        <f t="shared" si="12"/>
        <v>kapelothello@yahoo.com</v>
      </c>
    </row>
    <row r="762" spans="1:12">
      <c r="A762" t="str" cm="1">
        <f t="array" ref="A762">_xlfn.LET(_xlpm.e,L762,
IF(_xlpm.e="","",
"DOC-"&amp;TEXT(ROW()-ROW(tblMaster[#Headers]),"00000")
))</f>
        <v>DOC-00761</v>
      </c>
      <c r="B762" s="49">
        <v>45958</v>
      </c>
      <c r="C762" s="42" t="s">
        <v>3100</v>
      </c>
      <c r="D762" s="41" t="s">
        <v>3101</v>
      </c>
      <c r="E762" s="38" t="s">
        <v>3102</v>
      </c>
      <c r="F762" s="18" t="s">
        <v>3103</v>
      </c>
      <c r="G762" s="41" t="s">
        <v>3104</v>
      </c>
      <c r="H762" s="17" t="s">
        <v>17</v>
      </c>
      <c r="I762" s="18" t="s">
        <v>2276</v>
      </c>
      <c r="K762" s="5" t="s">
        <v>652</v>
      </c>
      <c r="L762" t="str">
        <f t="shared" si="12"/>
        <v>loreen761@gmail.com</v>
      </c>
    </row>
    <row r="763" spans="1:12">
      <c r="A763" t="str" cm="1">
        <f t="array" ref="A763">_xlfn.LET(_xlpm.e,L763,
IF(_xlpm.e="","",
"DOC-"&amp;TEXT(ROW()-ROW(tblMaster[#Headers]),"00000")
))</f>
        <v>DOC-00762</v>
      </c>
      <c r="B763" s="49">
        <v>45958</v>
      </c>
      <c r="C763" s="42" t="s">
        <v>3105</v>
      </c>
      <c r="D763" s="41" t="s">
        <v>3106</v>
      </c>
      <c r="E763" s="38" t="s">
        <v>3107</v>
      </c>
      <c r="F763" s="18" t="s">
        <v>3108</v>
      </c>
      <c r="G763" s="41" t="s">
        <v>3109</v>
      </c>
      <c r="H763" s="17" t="s">
        <v>474</v>
      </c>
      <c r="I763" s="18" t="s">
        <v>2276</v>
      </c>
      <c r="K763" s="5" t="s">
        <v>652</v>
      </c>
      <c r="L763" t="str">
        <f t="shared" si="12"/>
        <v>lucia.monestime@gmail.com</v>
      </c>
    </row>
    <row r="764" spans="1:12">
      <c r="A764" t="str" cm="1">
        <f t="array" ref="A764">_xlfn.LET(_xlpm.e,L764,
IF(_xlpm.e="","",
"DOC-"&amp;TEXT(ROW()-ROW(tblMaster[#Headers]),"00000")
))</f>
        <v/>
      </c>
      <c r="B764" s="49">
        <v>45958</v>
      </c>
      <c r="C764" s="42" t="s">
        <v>102</v>
      </c>
      <c r="D764" s="41" t="s">
        <v>1965</v>
      </c>
      <c r="E764" s="41"/>
      <c r="F764" s="18" t="s">
        <v>3110</v>
      </c>
      <c r="G764" s="41" t="s">
        <v>3111</v>
      </c>
      <c r="H764" s="17" t="s">
        <v>370</v>
      </c>
      <c r="I764" s="18" t="s">
        <v>2276</v>
      </c>
      <c r="K764" s="5" t="s">
        <v>652</v>
      </c>
      <c r="L764" t="str">
        <f t="shared" si="12"/>
        <v/>
      </c>
    </row>
    <row r="765" spans="1:12">
      <c r="A765" t="str" cm="1">
        <f t="array" ref="A765">_xlfn.LET(_xlpm.e,L765,
IF(_xlpm.e="","",
"DOC-"&amp;TEXT(ROW()-ROW(tblMaster[#Headers]),"00000")
))</f>
        <v>DOC-00764</v>
      </c>
      <c r="B765" s="49">
        <v>45958</v>
      </c>
      <c r="C765" s="42" t="s">
        <v>3112</v>
      </c>
      <c r="D765" s="41" t="s">
        <v>3113</v>
      </c>
      <c r="E765" s="38" t="s">
        <v>3114</v>
      </c>
      <c r="F765" s="18" t="s">
        <v>3115</v>
      </c>
      <c r="G765" s="41"/>
      <c r="H765" s="17"/>
      <c r="I765" s="18" t="s">
        <v>2276</v>
      </c>
      <c r="K765" s="5" t="s">
        <v>652</v>
      </c>
      <c r="L765" t="str">
        <f t="shared" si="12"/>
        <v>ericheilman1771@yahoo.com</v>
      </c>
    </row>
    <row r="766" spans="1:12">
      <c r="A766" t="str" cm="1">
        <f t="array" ref="A766">_xlfn.LET(_xlpm.e,L766,
IF(_xlpm.e="","",
"DOC-"&amp;TEXT(ROW()-ROW(tblMaster[#Headers]),"00000")
))</f>
        <v/>
      </c>
      <c r="B766" s="49">
        <v>45958</v>
      </c>
      <c r="C766" s="42" t="s">
        <v>2766</v>
      </c>
      <c r="D766" s="41" t="s">
        <v>709</v>
      </c>
      <c r="E766" s="41"/>
      <c r="F766" s="18" t="s">
        <v>3116</v>
      </c>
      <c r="G766" s="41" t="s">
        <v>3117</v>
      </c>
      <c r="H766" s="17" t="s">
        <v>17</v>
      </c>
      <c r="I766" s="18" t="s">
        <v>2276</v>
      </c>
      <c r="J766" s="99" t="s">
        <v>23</v>
      </c>
      <c r="K766" s="5" t="s">
        <v>652</v>
      </c>
      <c r="L766" t="str">
        <f t="shared" si="12"/>
        <v/>
      </c>
    </row>
    <row r="767" spans="1:12">
      <c r="A767" t="str" cm="1">
        <f t="array" ref="A767">_xlfn.LET(_xlpm.e,L767,
IF(_xlpm.e="","",
"DOC-"&amp;TEXT(ROW()-ROW(tblMaster[#Headers]),"00000")
))</f>
        <v>DOC-00766</v>
      </c>
      <c r="B767" s="49">
        <v>45958</v>
      </c>
      <c r="C767" s="42" t="s">
        <v>1585</v>
      </c>
      <c r="D767" s="41" t="s">
        <v>3118</v>
      </c>
      <c r="E767" s="38" t="s">
        <v>3119</v>
      </c>
      <c r="F767" s="18" t="s">
        <v>3120</v>
      </c>
      <c r="G767" s="41" t="s">
        <v>606</v>
      </c>
      <c r="H767" s="17" t="s">
        <v>60</v>
      </c>
      <c r="I767" s="18" t="s">
        <v>101</v>
      </c>
      <c r="K767" s="5" t="s">
        <v>652</v>
      </c>
      <c r="L767" t="str">
        <f t="shared" si="12"/>
        <v>garyberrios11@gmail.com</v>
      </c>
    </row>
    <row r="768" spans="1:12">
      <c r="A768" t="str" cm="1">
        <f t="array" ref="A768">_xlfn.LET(_xlpm.e,L768,
IF(_xlpm.e="","",
"DOC-"&amp;TEXT(ROW()-ROW(tblMaster[#Headers]),"00000")
))</f>
        <v>DOC-00767</v>
      </c>
      <c r="B768" s="49">
        <v>45958</v>
      </c>
      <c r="C768" s="42" t="s">
        <v>3121</v>
      </c>
      <c r="D768" s="41" t="s">
        <v>3122</v>
      </c>
      <c r="E768" s="38" t="s">
        <v>3123</v>
      </c>
      <c r="F768" s="18" t="s">
        <v>3124</v>
      </c>
      <c r="G768" s="41" t="s">
        <v>3125</v>
      </c>
      <c r="H768" s="17" t="s">
        <v>237</v>
      </c>
      <c r="I768" s="18" t="s">
        <v>101</v>
      </c>
      <c r="K768" s="5" t="s">
        <v>652</v>
      </c>
      <c r="L768" t="str">
        <f t="shared" si="12"/>
        <v>mambong4199@gmail.com</v>
      </c>
    </row>
    <row r="769" spans="1:12">
      <c r="A769" t="str" cm="1">
        <f t="array" ref="A769">_xlfn.LET(_xlpm.e,L769,
IF(_xlpm.e="","",
"DOC-"&amp;TEXT(ROW()-ROW(tblMaster[#Headers]),"00000")
))</f>
        <v>DOC-00768</v>
      </c>
      <c r="B769" s="49">
        <v>45958</v>
      </c>
      <c r="C769" s="42" t="s">
        <v>3126</v>
      </c>
      <c r="D769" s="41" t="s">
        <v>3127</v>
      </c>
      <c r="E769" s="38" t="s">
        <v>3128</v>
      </c>
      <c r="F769" s="18" t="s">
        <v>3129</v>
      </c>
      <c r="G769" s="41" t="s">
        <v>3130</v>
      </c>
      <c r="H769" s="17" t="s">
        <v>237</v>
      </c>
      <c r="I769" s="18" t="s">
        <v>101</v>
      </c>
      <c r="K769" s="5" t="s">
        <v>652</v>
      </c>
      <c r="L769" t="str">
        <f t="shared" si="12"/>
        <v>estellakweti@gmail.com</v>
      </c>
    </row>
    <row r="770" spans="1:12">
      <c r="A770" t="str" cm="1">
        <f t="array" ref="A770">_xlfn.LET(_xlpm.e,L770,
IF(_xlpm.e="","",
"DOC-"&amp;TEXT(ROW()-ROW(tblMaster[#Headers]),"00000")
))</f>
        <v>DOC-00769</v>
      </c>
      <c r="B770" s="49">
        <v>45958</v>
      </c>
      <c r="C770" s="42" t="s">
        <v>3131</v>
      </c>
      <c r="D770" s="41" t="s">
        <v>3132</v>
      </c>
      <c r="E770" s="38" t="s">
        <v>3133</v>
      </c>
      <c r="F770" s="18" t="s">
        <v>3134</v>
      </c>
      <c r="G770" s="41" t="s">
        <v>3135</v>
      </c>
      <c r="H770" s="17" t="s">
        <v>153</v>
      </c>
      <c r="I770" s="18" t="s">
        <v>54</v>
      </c>
      <c r="K770" s="5" t="s">
        <v>652</v>
      </c>
      <c r="L770" t="str">
        <f t="shared" si="12"/>
        <v>shakiransentongo91@gmail.com</v>
      </c>
    </row>
    <row r="771" spans="1:12">
      <c r="A771" t="str" cm="1">
        <f t="array" ref="A771">_xlfn.LET(_xlpm.e,L771,
IF(_xlpm.e="","",
"DOC-"&amp;TEXT(ROW()-ROW(tblMaster[#Headers]),"00000")
))</f>
        <v>DOC-00770</v>
      </c>
      <c r="B771" s="49">
        <v>45958</v>
      </c>
      <c r="C771" s="42" t="s">
        <v>873</v>
      </c>
      <c r="D771" s="41" t="s">
        <v>3136</v>
      </c>
      <c r="E771" s="38" t="s">
        <v>3137</v>
      </c>
      <c r="F771" s="18" t="s">
        <v>3138</v>
      </c>
      <c r="G771" s="41" t="s">
        <v>3139</v>
      </c>
      <c r="H771" s="17" t="s">
        <v>17</v>
      </c>
      <c r="I771" s="18" t="s">
        <v>101</v>
      </c>
      <c r="K771" s="5" t="s">
        <v>226</v>
      </c>
      <c r="L771" t="str">
        <f t="shared" si="12"/>
        <v>brookebay03@gmail.com</v>
      </c>
    </row>
    <row r="772" spans="1:12">
      <c r="A772" t="str" cm="1">
        <f t="array" ref="A772">_xlfn.LET(_xlpm.e,L772,
IF(_xlpm.e="","",
"DOC-"&amp;TEXT(ROW()-ROW(tblMaster[#Headers]),"00000")
))</f>
        <v>DOC-00771</v>
      </c>
      <c r="B772" s="49">
        <v>45958</v>
      </c>
      <c r="C772" s="42" t="s">
        <v>3140</v>
      </c>
      <c r="D772" s="41" t="s">
        <v>3141</v>
      </c>
      <c r="E772" s="38" t="s">
        <v>3142</v>
      </c>
      <c r="F772" s="18" t="s">
        <v>3143</v>
      </c>
      <c r="G772" s="41" t="s">
        <v>1324</v>
      </c>
      <c r="H772" s="17" t="s">
        <v>17</v>
      </c>
      <c r="I772" s="18" t="s">
        <v>101</v>
      </c>
      <c r="J772" s="99" t="s">
        <v>23</v>
      </c>
      <c r="K772" s="5" t="s">
        <v>652</v>
      </c>
      <c r="L772" t="str">
        <f t="shared" si="12"/>
        <v>willowm0207@icloud.com</v>
      </c>
    </row>
    <row r="773" spans="1:12">
      <c r="A773" t="str" cm="1">
        <f t="array" ref="A773">_xlfn.LET(_xlpm.e,L773,
IF(_xlpm.e="","",
"DOC-"&amp;TEXT(ROW()-ROW(tblMaster[#Headers]),"00000")
))</f>
        <v>DOC-00772</v>
      </c>
      <c r="B773" s="49">
        <v>45958</v>
      </c>
      <c r="C773" s="42" t="s">
        <v>3144</v>
      </c>
      <c r="D773" s="41" t="s">
        <v>3145</v>
      </c>
      <c r="E773" s="38" t="s">
        <v>3146</v>
      </c>
      <c r="F773" s="18" t="s">
        <v>3147</v>
      </c>
      <c r="G773" s="41" t="s">
        <v>1324</v>
      </c>
      <c r="H773" s="17" t="s">
        <v>17</v>
      </c>
      <c r="I773" s="18" t="s">
        <v>54</v>
      </c>
      <c r="K773" s="5" t="s">
        <v>652</v>
      </c>
      <c r="L773" t="str">
        <f t="shared" si="12"/>
        <v>zcmicheline5@icloud.com</v>
      </c>
    </row>
    <row r="774" spans="1:12">
      <c r="A774" t="str" cm="1">
        <f t="array" ref="A774">_xlfn.LET(_xlpm.e,L774,
IF(_xlpm.e="","",
"DOC-"&amp;TEXT(ROW()-ROW(tblMaster[#Headers]),"00000")
))</f>
        <v>DOC-00773</v>
      </c>
      <c r="B774" s="49">
        <v>45958</v>
      </c>
      <c r="C774" s="42" t="s">
        <v>2865</v>
      </c>
      <c r="D774" s="41" t="s">
        <v>3148</v>
      </c>
      <c r="E774" s="38" t="s">
        <v>3149</v>
      </c>
      <c r="F774" s="18" t="s">
        <v>3150</v>
      </c>
      <c r="G774" s="41" t="s">
        <v>1693</v>
      </c>
      <c r="H774" s="17" t="s">
        <v>17</v>
      </c>
      <c r="I774" s="18" t="s">
        <v>54</v>
      </c>
      <c r="K774" s="5" t="s">
        <v>652</v>
      </c>
      <c r="L774" t="str">
        <f t="shared" ref="L774:L837" si="13">_xlfn.LET(_xlpm.x,E774,
_xlpm.y,TRIM(CLEAN(SUBSTITUTE(_xlpm.x,CHAR(160)," "))),
LOWER(_xlpm.y))</f>
        <v>casey0852017@gmail.com</v>
      </c>
    </row>
    <row r="775" spans="1:12">
      <c r="A775" t="str" cm="1">
        <f t="array" ref="A775">_xlfn.LET(_xlpm.e,L775,
IF(_xlpm.e="","",
"DOC-"&amp;TEXT(ROW()-ROW(tblMaster[#Headers]),"00000")
))</f>
        <v>DOC-00774</v>
      </c>
      <c r="B775" s="49">
        <v>45958</v>
      </c>
      <c r="C775" s="42" t="s">
        <v>2413</v>
      </c>
      <c r="D775" s="41" t="s">
        <v>3151</v>
      </c>
      <c r="E775" s="38" t="s">
        <v>3152</v>
      </c>
      <c r="F775" s="18" t="s">
        <v>3153</v>
      </c>
      <c r="G775" s="41" t="s">
        <v>74</v>
      </c>
      <c r="H775" s="17" t="s">
        <v>17</v>
      </c>
      <c r="I775" s="18" t="s">
        <v>54</v>
      </c>
      <c r="K775" s="5" t="s">
        <v>652</v>
      </c>
      <c r="L775" t="str">
        <f t="shared" si="13"/>
        <v>batistaslegacy@gmail.com</v>
      </c>
    </row>
    <row r="776" spans="1:12">
      <c r="A776" t="str" cm="1">
        <f t="array" ref="A776">_xlfn.LET(_xlpm.e,L776,
IF(_xlpm.e="","",
"DOC-"&amp;TEXT(ROW()-ROW(tblMaster[#Headers]),"00000")
))</f>
        <v>DOC-00775</v>
      </c>
      <c r="B776" s="49">
        <v>45958</v>
      </c>
      <c r="C776" s="42" t="s">
        <v>709</v>
      </c>
      <c r="D776" s="41" t="s">
        <v>3154</v>
      </c>
      <c r="E776" s="38" t="s">
        <v>3155</v>
      </c>
      <c r="F776" s="18"/>
      <c r="G776" s="41" t="s">
        <v>247</v>
      </c>
      <c r="H776" s="17" t="s">
        <v>17</v>
      </c>
      <c r="I776" s="18" t="s">
        <v>54</v>
      </c>
      <c r="K776" s="5" t="s">
        <v>652</v>
      </c>
      <c r="L776" t="str">
        <f t="shared" si="13"/>
        <v>kellymckeon@outlook.com</v>
      </c>
    </row>
    <row r="777" spans="1:12">
      <c r="A777" t="str" cm="1">
        <f t="array" ref="A777">_xlfn.LET(_xlpm.e,L777,
IF(_xlpm.e="","",
"DOC-"&amp;TEXT(ROW()-ROW(tblMaster[#Headers]),"00000")
))</f>
        <v>DOC-00776</v>
      </c>
      <c r="B777" s="49">
        <v>45958</v>
      </c>
      <c r="C777" s="42" t="s">
        <v>567</v>
      </c>
      <c r="D777" s="41" t="s">
        <v>2226</v>
      </c>
      <c r="E777" s="38" t="s">
        <v>3156</v>
      </c>
      <c r="F777" s="18" t="s">
        <v>3157</v>
      </c>
      <c r="G777" s="41" t="s">
        <v>3158</v>
      </c>
      <c r="H777" s="17" t="s">
        <v>17</v>
      </c>
      <c r="I777" s="18" t="s">
        <v>54</v>
      </c>
      <c r="K777" s="5" t="s">
        <v>652</v>
      </c>
      <c r="L777" t="str">
        <f t="shared" si="13"/>
        <v>congo11901@gmail.com</v>
      </c>
    </row>
    <row r="778" spans="1:12">
      <c r="A778" t="str" cm="1">
        <f t="array" ref="A778">_xlfn.LET(_xlpm.e,L778,
IF(_xlpm.e="","",
"DOC-"&amp;TEXT(ROW()-ROW(tblMaster[#Headers]),"00000")
))</f>
        <v>DOC-00777</v>
      </c>
      <c r="B778" s="49">
        <v>45958</v>
      </c>
      <c r="C778" s="42" t="s">
        <v>3159</v>
      </c>
      <c r="D778" s="41" t="s">
        <v>3160</v>
      </c>
      <c r="E778" s="38" t="s">
        <v>3161</v>
      </c>
      <c r="F778" s="18" t="s">
        <v>3162</v>
      </c>
      <c r="G778" s="41" t="s">
        <v>1324</v>
      </c>
      <c r="H778" s="17" t="s">
        <v>17</v>
      </c>
      <c r="I778" s="18" t="s">
        <v>54</v>
      </c>
      <c r="J778" s="99" t="s">
        <v>23</v>
      </c>
      <c r="K778" s="5" t="s">
        <v>652</v>
      </c>
      <c r="L778" t="str">
        <f t="shared" si="13"/>
        <v>yishaiw7@gmail.com</v>
      </c>
    </row>
    <row r="779" spans="1:12">
      <c r="A779" t="str" cm="1">
        <f t="array" ref="A779">_xlfn.LET(_xlpm.e,L779,
IF(_xlpm.e="","",
"DOC-"&amp;TEXT(ROW()-ROW(tblMaster[#Headers]),"00000")
))</f>
        <v>DOC-00778</v>
      </c>
      <c r="B779" s="49">
        <v>45958</v>
      </c>
      <c r="C779" s="42" t="s">
        <v>2063</v>
      </c>
      <c r="D779" s="41" t="s">
        <v>3163</v>
      </c>
      <c r="E779" s="38" t="s">
        <v>3164</v>
      </c>
      <c r="F779" s="18" t="s">
        <v>3165</v>
      </c>
      <c r="G779" s="41" t="s">
        <v>837</v>
      </c>
      <c r="H779" s="17" t="s">
        <v>17</v>
      </c>
      <c r="I779" s="18" t="s">
        <v>54</v>
      </c>
      <c r="K779" s="5" t="s">
        <v>652</v>
      </c>
      <c r="L779" t="str">
        <f t="shared" si="13"/>
        <v>aluhtjlol@gmail.com</v>
      </c>
    </row>
    <row r="780" spans="1:12">
      <c r="A780" t="str" cm="1">
        <f t="array" ref="A780">_xlfn.LET(_xlpm.e,L780,
IF(_xlpm.e="","",
"DOC-"&amp;TEXT(ROW()-ROW(tblMaster[#Headers]),"00000")
))</f>
        <v>DOC-00779</v>
      </c>
      <c r="B780" s="49">
        <v>45958</v>
      </c>
      <c r="C780" s="42" t="s">
        <v>3166</v>
      </c>
      <c r="D780" s="41" t="s">
        <v>3167</v>
      </c>
      <c r="E780" s="38" t="s">
        <v>3168</v>
      </c>
      <c r="F780" s="18" t="s">
        <v>3169</v>
      </c>
      <c r="G780" s="41" t="s">
        <v>3170</v>
      </c>
      <c r="H780" s="17" t="s">
        <v>17</v>
      </c>
      <c r="I780" s="18" t="s">
        <v>54</v>
      </c>
      <c r="K780" s="5" t="s">
        <v>652</v>
      </c>
      <c r="L780" t="str">
        <f t="shared" si="13"/>
        <v>rluiscorrea@gmail.com</v>
      </c>
    </row>
    <row r="781" spans="1:12">
      <c r="A781" t="str" cm="1">
        <f t="array" ref="A781">_xlfn.LET(_xlpm.e,L781,
IF(_xlpm.e="","",
"DOC-"&amp;TEXT(ROW()-ROW(tblMaster[#Headers]),"00000")
))</f>
        <v>DOC-00780</v>
      </c>
      <c r="B781" s="49">
        <v>45958</v>
      </c>
      <c r="C781" s="42" t="s">
        <v>3171</v>
      </c>
      <c r="D781" s="41" t="s">
        <v>3172</v>
      </c>
      <c r="E781" s="38" t="s">
        <v>3173</v>
      </c>
      <c r="F781" s="18" t="s">
        <v>3174</v>
      </c>
      <c r="G781" s="41" t="s">
        <v>1361</v>
      </c>
      <c r="H781" s="17" t="s">
        <v>17</v>
      </c>
      <c r="I781" s="18" t="s">
        <v>54</v>
      </c>
      <c r="K781" s="5" t="s">
        <v>652</v>
      </c>
      <c r="L781" t="str">
        <f t="shared" si="13"/>
        <v>ralbertelli4@yahoo.com</v>
      </c>
    </row>
    <row r="782" spans="1:12">
      <c r="A782" t="str" cm="1">
        <f t="array" ref="A782">_xlfn.LET(_xlpm.e,L782,
IF(_xlpm.e="","",
"DOC-"&amp;TEXT(ROW()-ROW(tblMaster[#Headers]),"00000")
))</f>
        <v>DOC-00781</v>
      </c>
      <c r="B782" s="49">
        <v>45958</v>
      </c>
      <c r="C782" s="42" t="s">
        <v>654</v>
      </c>
      <c r="D782" s="41" t="s">
        <v>1249</v>
      </c>
      <c r="E782" s="38" t="s">
        <v>3175</v>
      </c>
      <c r="F782" s="18" t="s">
        <v>3176</v>
      </c>
      <c r="G782" s="41" t="s">
        <v>3177</v>
      </c>
      <c r="H782" s="17" t="s">
        <v>17</v>
      </c>
      <c r="I782" s="18" t="s">
        <v>54</v>
      </c>
      <c r="K782" s="5" t="s">
        <v>652</v>
      </c>
      <c r="L782" t="str">
        <f t="shared" si="13"/>
        <v>kewingpaul@gmail.com</v>
      </c>
    </row>
    <row r="783" spans="1:12">
      <c r="A783" t="str" cm="1">
        <f t="array" ref="A783">_xlfn.LET(_xlpm.e,L783,
IF(_xlpm.e="","",
"DOC-"&amp;TEXT(ROW()-ROW(tblMaster[#Headers]),"00000")
))</f>
        <v>DOC-00782</v>
      </c>
      <c r="B783" s="49">
        <v>45958</v>
      </c>
      <c r="C783" s="42" t="s">
        <v>3178</v>
      </c>
      <c r="D783" s="41" t="s">
        <v>3179</v>
      </c>
      <c r="E783" s="38" t="s">
        <v>3180</v>
      </c>
      <c r="F783" s="18" t="s">
        <v>3181</v>
      </c>
      <c r="G783" s="41" t="s">
        <v>3182</v>
      </c>
      <c r="H783" s="17" t="s">
        <v>153</v>
      </c>
      <c r="I783" s="18" t="s">
        <v>54</v>
      </c>
      <c r="K783" s="5" t="s">
        <v>652</v>
      </c>
      <c r="L783" t="str">
        <f t="shared" si="13"/>
        <v>frederick.brima@hotmail.com</v>
      </c>
    </row>
    <row r="784" spans="1:12">
      <c r="A784" t="str" cm="1">
        <f t="array" ref="A784">_xlfn.LET(_xlpm.e,L784,
IF(_xlpm.e="","",
"DOC-"&amp;TEXT(ROW()-ROW(tblMaster[#Headers]),"00000")
))</f>
        <v>DOC-00783</v>
      </c>
      <c r="B784" s="49">
        <v>45958</v>
      </c>
      <c r="C784" s="42" t="s">
        <v>3183</v>
      </c>
      <c r="D784" s="41" t="s">
        <v>3184</v>
      </c>
      <c r="E784" s="38" t="s">
        <v>3185</v>
      </c>
      <c r="F784" s="18" t="s">
        <v>3186</v>
      </c>
      <c r="G784" s="41" t="s">
        <v>1991</v>
      </c>
      <c r="H784" s="17" t="s">
        <v>267</v>
      </c>
      <c r="I784" s="18" t="s">
        <v>54</v>
      </c>
      <c r="K784" s="5" t="s">
        <v>652</v>
      </c>
      <c r="L784" t="str">
        <f t="shared" si="13"/>
        <v>frankiec1124@gmail.com</v>
      </c>
    </row>
    <row r="785" spans="1:12">
      <c r="A785" t="str" cm="1">
        <f t="array" ref="A785">_xlfn.LET(_xlpm.e,L785,
IF(_xlpm.e="","",
"DOC-"&amp;TEXT(ROW()-ROW(tblMaster[#Headers]),"00000")
))</f>
        <v>DOC-00784</v>
      </c>
      <c r="B785" s="49">
        <v>45958</v>
      </c>
      <c r="C785" s="42" t="s">
        <v>2393</v>
      </c>
      <c r="D785" s="41" t="s">
        <v>3187</v>
      </c>
      <c r="E785" s="38" t="s">
        <v>3188</v>
      </c>
      <c r="F785" s="18" t="s">
        <v>3189</v>
      </c>
      <c r="G785" s="41" t="s">
        <v>79</v>
      </c>
      <c r="H785" s="17" t="s">
        <v>17</v>
      </c>
      <c r="I785" s="18" t="s">
        <v>54</v>
      </c>
      <c r="J785" s="99" t="s">
        <v>23</v>
      </c>
      <c r="K785" s="5" t="s">
        <v>652</v>
      </c>
      <c r="L785" t="str">
        <f t="shared" si="13"/>
        <v>patrick.kelley93@icloud.com</v>
      </c>
    </row>
    <row r="786" spans="1:12">
      <c r="A786" t="str" cm="1">
        <f t="array" ref="A786">_xlfn.LET(_xlpm.e,L786,
IF(_xlpm.e="","",
"DOC-"&amp;TEXT(ROW()-ROW(tblMaster[#Headers]),"00000")
))</f>
        <v>DOC-00785</v>
      </c>
      <c r="B786" s="49">
        <v>45958</v>
      </c>
      <c r="C786" s="42" t="s">
        <v>3190</v>
      </c>
      <c r="D786" s="41" t="s">
        <v>3191</v>
      </c>
      <c r="E786" s="38" t="s">
        <v>3192</v>
      </c>
      <c r="F786" s="18" t="s">
        <v>3193</v>
      </c>
      <c r="G786" s="41" t="s">
        <v>163</v>
      </c>
      <c r="H786" s="17" t="s">
        <v>17</v>
      </c>
      <c r="I786" s="18" t="s">
        <v>54</v>
      </c>
      <c r="K786" s="5" t="s">
        <v>652</v>
      </c>
      <c r="L786" t="str">
        <f t="shared" si="13"/>
        <v>joacineastride84@gmail.com</v>
      </c>
    </row>
    <row r="787" spans="1:12">
      <c r="A787" t="str" cm="1">
        <f t="array" ref="A787">_xlfn.LET(_xlpm.e,L787,
IF(_xlpm.e="","",
"DOC-"&amp;TEXT(ROW()-ROW(tblMaster[#Headers]),"00000")
))</f>
        <v>DOC-00786</v>
      </c>
      <c r="B787" s="49">
        <v>45958</v>
      </c>
      <c r="C787" s="42" t="s">
        <v>3194</v>
      </c>
      <c r="D787" s="41" t="s">
        <v>3195</v>
      </c>
      <c r="E787" s="38" t="s">
        <v>3196</v>
      </c>
      <c r="F787" s="18" t="s">
        <v>3197</v>
      </c>
      <c r="G787" s="41" t="s">
        <v>3198</v>
      </c>
      <c r="H787" s="17" t="s">
        <v>17</v>
      </c>
      <c r="I787" s="18" t="s">
        <v>54</v>
      </c>
      <c r="K787" s="5" t="s">
        <v>652</v>
      </c>
      <c r="L787" t="str">
        <f t="shared" si="13"/>
        <v>christianakyeraa24@yahoo.com</v>
      </c>
    </row>
    <row r="788" spans="1:12">
      <c r="A788" t="str" cm="1">
        <f t="array" ref="A788">_xlfn.LET(_xlpm.e,L788,
IF(_xlpm.e="","",
"DOC-"&amp;TEXT(ROW()-ROW(tblMaster[#Headers]),"00000")
))</f>
        <v>DOC-00787</v>
      </c>
      <c r="B788" s="49">
        <v>45958</v>
      </c>
      <c r="C788" s="42" t="s">
        <v>3199</v>
      </c>
      <c r="D788" s="41" t="s">
        <v>3200</v>
      </c>
      <c r="E788" s="38" t="s">
        <v>3201</v>
      </c>
      <c r="F788" s="18" t="s">
        <v>3202</v>
      </c>
      <c r="G788" s="41" t="s">
        <v>1210</v>
      </c>
      <c r="H788" s="17" t="s">
        <v>17</v>
      </c>
      <c r="I788" s="18" t="s">
        <v>101</v>
      </c>
      <c r="K788" s="5" t="s">
        <v>652</v>
      </c>
      <c r="L788" t="str">
        <f t="shared" si="13"/>
        <v>juniorpip@yahoo.com</v>
      </c>
    </row>
    <row r="789" spans="1:12">
      <c r="A789" t="str" cm="1">
        <f t="array" ref="A789">_xlfn.LET(_xlpm.e,L789,
IF(_xlpm.e="","",
"DOC-"&amp;TEXT(ROW()-ROW(tblMaster[#Headers]),"00000")
))</f>
        <v>DOC-00788</v>
      </c>
      <c r="B789" s="49">
        <v>45958</v>
      </c>
      <c r="C789" s="42" t="s">
        <v>3203</v>
      </c>
      <c r="D789" s="41" t="s">
        <v>3204</v>
      </c>
      <c r="E789" s="38" t="s">
        <v>3205</v>
      </c>
      <c r="F789" s="18" t="s">
        <v>3206</v>
      </c>
      <c r="G789" s="41" t="s">
        <v>59</v>
      </c>
      <c r="H789" s="17" t="s">
        <v>60</v>
      </c>
      <c r="I789" s="18" t="s">
        <v>54</v>
      </c>
      <c r="K789" s="5" t="s">
        <v>652</v>
      </c>
      <c r="L789" t="str">
        <f t="shared" si="13"/>
        <v>tlbmontgomery@gmail.com</v>
      </c>
    </row>
    <row r="790" spans="1:12">
      <c r="A790" t="str" cm="1">
        <f t="array" ref="A790">_xlfn.LET(_xlpm.e,L790,
IF(_xlpm.e="","",
"DOC-"&amp;TEXT(ROW()-ROW(tblMaster[#Headers]),"00000")
))</f>
        <v/>
      </c>
      <c r="B790" s="49"/>
      <c r="C790" s="42"/>
      <c r="D790" s="41"/>
      <c r="E790" s="38"/>
      <c r="F790" s="18"/>
      <c r="G790" s="41"/>
      <c r="H790" s="17"/>
      <c r="I790" s="18"/>
      <c r="K790" s="5" t="s">
        <v>652</v>
      </c>
      <c r="L790" t="str">
        <f t="shared" si="13"/>
        <v/>
      </c>
    </row>
    <row r="791" spans="1:12">
      <c r="A791" t="str" cm="1">
        <f t="array" ref="A791">_xlfn.LET(_xlpm.e,L791,
IF(_xlpm.e="","",
"DOC-"&amp;TEXT(ROW()-ROW(tblMaster[#Headers]),"00000")
))</f>
        <v>DOC-00790</v>
      </c>
      <c r="B791" s="49">
        <v>45958</v>
      </c>
      <c r="C791" s="42" t="s">
        <v>527</v>
      </c>
      <c r="D791" s="41" t="s">
        <v>1791</v>
      </c>
      <c r="E791" s="38" t="s">
        <v>3207</v>
      </c>
      <c r="F791" s="18" t="s">
        <v>3208</v>
      </c>
      <c r="G791" s="41" t="s">
        <v>3209</v>
      </c>
      <c r="H791" s="17" t="s">
        <v>17</v>
      </c>
      <c r="I791" s="18" t="s">
        <v>2814</v>
      </c>
      <c r="J791" s="99" t="s">
        <v>23</v>
      </c>
      <c r="K791" s="5" t="s">
        <v>652</v>
      </c>
      <c r="L791" t="str">
        <f t="shared" si="13"/>
        <v>jimbilly@live.com</v>
      </c>
    </row>
    <row r="792" spans="1:12">
      <c r="A792" t="str" cm="1">
        <f t="array" ref="A792">_xlfn.LET(_xlpm.e,L792,
IF(_xlpm.e="","",
"DOC-"&amp;TEXT(ROW()-ROW(tblMaster[#Headers]),"00000")
))</f>
        <v/>
      </c>
      <c r="B792" s="49">
        <v>45958</v>
      </c>
      <c r="C792" s="42" t="s">
        <v>3210</v>
      </c>
      <c r="D792" s="41" t="s">
        <v>3211</v>
      </c>
      <c r="E792" s="41"/>
      <c r="F792" s="18" t="s">
        <v>3212</v>
      </c>
      <c r="G792" s="41" t="s">
        <v>750</v>
      </c>
      <c r="H792" s="17" t="s">
        <v>17</v>
      </c>
      <c r="I792" s="18" t="s">
        <v>2276</v>
      </c>
      <c r="K792" s="5" t="s">
        <v>652</v>
      </c>
      <c r="L792" t="str">
        <f t="shared" si="13"/>
        <v/>
      </c>
    </row>
    <row r="793" spans="1:12">
      <c r="A793" t="str" cm="1">
        <f t="array" ref="A793">_xlfn.LET(_xlpm.e,L793,
IF(_xlpm.e="","",
"DOC-"&amp;TEXT(ROW()-ROW(tblMaster[#Headers]),"00000")
))</f>
        <v>DOC-00792</v>
      </c>
      <c r="B793" s="49">
        <v>45958</v>
      </c>
      <c r="C793" s="42" t="s">
        <v>3213</v>
      </c>
      <c r="D793" s="41" t="s">
        <v>3214</v>
      </c>
      <c r="E793" s="38" t="s">
        <v>3215</v>
      </c>
      <c r="F793" s="18" t="s">
        <v>3216</v>
      </c>
      <c r="G793" s="41" t="s">
        <v>59</v>
      </c>
      <c r="H793" s="17" t="s">
        <v>60</v>
      </c>
      <c r="I793" s="18" t="s">
        <v>2276</v>
      </c>
      <c r="K793" s="5" t="s">
        <v>652</v>
      </c>
      <c r="L793" t="str">
        <f t="shared" si="13"/>
        <v>elisangelajackson06@gmail.com</v>
      </c>
    </row>
    <row r="794" spans="1:12">
      <c r="A794" t="str" cm="1">
        <f t="array" ref="A794">_xlfn.LET(_xlpm.e,L794,
IF(_xlpm.e="","",
"DOC-"&amp;TEXT(ROW()-ROW(tblMaster[#Headers]),"00000")
))</f>
        <v>DOC-00793</v>
      </c>
      <c r="B794" s="49">
        <v>45958</v>
      </c>
      <c r="C794" s="42" t="s">
        <v>55</v>
      </c>
      <c r="D794" s="41" t="s">
        <v>3217</v>
      </c>
      <c r="E794" s="38" t="s">
        <v>3218</v>
      </c>
      <c r="F794" s="18" t="s">
        <v>3219</v>
      </c>
      <c r="G794" s="41" t="s">
        <v>1789</v>
      </c>
      <c r="H794" s="17" t="s">
        <v>60</v>
      </c>
      <c r="I794" s="18" t="s">
        <v>2276</v>
      </c>
      <c r="K794" s="5" t="s">
        <v>652</v>
      </c>
      <c r="L794" t="str">
        <f t="shared" si="13"/>
        <v>mcuello1126@hotmail.com</v>
      </c>
    </row>
    <row r="795" spans="1:12">
      <c r="A795" t="str" cm="1">
        <f t="array" ref="A795">_xlfn.LET(_xlpm.e,L795,
IF(_xlpm.e="","",
"DOC-"&amp;TEXT(ROW()-ROW(tblMaster[#Headers]),"00000")
))</f>
        <v>DOC-00794</v>
      </c>
      <c r="B795" s="49">
        <v>45958</v>
      </c>
      <c r="C795" s="42" t="s">
        <v>3220</v>
      </c>
      <c r="D795" s="41" t="s">
        <v>3221</v>
      </c>
      <c r="E795" s="38" t="s">
        <v>3222</v>
      </c>
      <c r="F795" s="18" t="s">
        <v>3223</v>
      </c>
      <c r="G795" s="41" t="s">
        <v>544</v>
      </c>
      <c r="H795" s="17" t="s">
        <v>17</v>
      </c>
      <c r="I795" s="18" t="s">
        <v>54</v>
      </c>
      <c r="K795" s="5" t="s">
        <v>652</v>
      </c>
      <c r="L795" t="str">
        <f t="shared" si="13"/>
        <v>ray86nadeau@gmail.com</v>
      </c>
    </row>
    <row r="796" spans="1:12">
      <c r="A796" t="str" cm="1">
        <f t="array" ref="A796">_xlfn.LET(_xlpm.e,L796,
IF(_xlpm.e="","",
"DOC-"&amp;TEXT(ROW()-ROW(tblMaster[#Headers]),"00000")
))</f>
        <v>DOC-00795</v>
      </c>
      <c r="B796" s="49">
        <v>45958</v>
      </c>
      <c r="C796" s="42" t="s">
        <v>567</v>
      </c>
      <c r="D796" s="41" t="s">
        <v>3224</v>
      </c>
      <c r="E796" s="38" t="s">
        <v>3225</v>
      </c>
      <c r="F796" s="18" t="s">
        <v>3226</v>
      </c>
      <c r="G796" s="41" t="s">
        <v>182</v>
      </c>
      <c r="H796" s="17" t="s">
        <v>17</v>
      </c>
      <c r="I796" s="18" t="s">
        <v>54</v>
      </c>
      <c r="K796" s="5" t="s">
        <v>652</v>
      </c>
      <c r="L796" t="str">
        <f t="shared" si="13"/>
        <v>jeffbucko@icloud.com</v>
      </c>
    </row>
    <row r="797" spans="1:12">
      <c r="A797" t="str" cm="1">
        <f t="array" ref="A797">_xlfn.LET(_xlpm.e,L797,
IF(_xlpm.e="","",
"DOC-"&amp;TEXT(ROW()-ROW(tblMaster[#Headers]),"00000")
))</f>
        <v>DOC-00796</v>
      </c>
      <c r="B797" s="49">
        <v>45958</v>
      </c>
      <c r="C797" s="42" t="s">
        <v>3227</v>
      </c>
      <c r="D797" s="41" t="s">
        <v>3228</v>
      </c>
      <c r="E797" s="38" t="s">
        <v>3229</v>
      </c>
      <c r="F797" s="18" t="s">
        <v>3230</v>
      </c>
      <c r="G797" s="41" t="s">
        <v>544</v>
      </c>
      <c r="H797" s="17" t="s">
        <v>17</v>
      </c>
      <c r="I797" s="18" t="s">
        <v>101</v>
      </c>
      <c r="J797" s="99" t="s">
        <v>194</v>
      </c>
      <c r="K797" s="5" t="s">
        <v>652</v>
      </c>
      <c r="L797" t="str">
        <f t="shared" si="13"/>
        <v>jccordero092@gmail.com</v>
      </c>
    </row>
    <row r="798" spans="1:12">
      <c r="A798" t="str" cm="1">
        <f t="array" ref="A798">_xlfn.LET(_xlpm.e,L798,
IF(_xlpm.e="","",
"DOC-"&amp;TEXT(ROW()-ROW(tblMaster[#Headers]),"00000")
))</f>
        <v>DOC-00797</v>
      </c>
      <c r="B798" s="49">
        <v>45958</v>
      </c>
      <c r="C798" s="42" t="s">
        <v>3231</v>
      </c>
      <c r="D798" s="41" t="s">
        <v>3232</v>
      </c>
      <c r="E798" s="38" t="s">
        <v>3233</v>
      </c>
      <c r="F798" s="18" t="s">
        <v>3234</v>
      </c>
      <c r="G798" s="41" t="s">
        <v>3235</v>
      </c>
      <c r="H798" s="17" t="s">
        <v>1156</v>
      </c>
      <c r="I798" s="18" t="s">
        <v>101</v>
      </c>
      <c r="K798" s="5" t="s">
        <v>652</v>
      </c>
      <c r="L798" t="str">
        <f t="shared" si="13"/>
        <v>salmon_anjae@yahoo.com</v>
      </c>
    </row>
    <row r="799" spans="1:12">
      <c r="A799" t="str" cm="1">
        <f t="array" ref="A799">_xlfn.LET(_xlpm.e,L799,
IF(_xlpm.e="","",
"DOC-"&amp;TEXT(ROW()-ROW(tblMaster[#Headers]),"00000")
))</f>
        <v>DOC-00798</v>
      </c>
      <c r="B799" s="49">
        <v>45958</v>
      </c>
      <c r="C799" s="42" t="s">
        <v>3236</v>
      </c>
      <c r="D799" s="41" t="s">
        <v>3237</v>
      </c>
      <c r="E799" s="38" t="s">
        <v>3238</v>
      </c>
      <c r="F799" s="18" t="s">
        <v>3239</v>
      </c>
      <c r="G799" s="41" t="s">
        <v>544</v>
      </c>
      <c r="H799" s="17" t="s">
        <v>17</v>
      </c>
      <c r="I799" s="18" t="s">
        <v>101</v>
      </c>
      <c r="K799" s="5" t="s">
        <v>652</v>
      </c>
      <c r="L799" t="str">
        <f t="shared" si="13"/>
        <v>saraijatnael2323@gmail.com</v>
      </c>
    </row>
    <row r="800" spans="1:12">
      <c r="A800" t="str" cm="1">
        <f t="array" ref="A800">_xlfn.LET(_xlpm.e,L800,
IF(_xlpm.e="","",
"DOC-"&amp;TEXT(ROW()-ROW(tblMaster[#Headers]),"00000")
))</f>
        <v>DOC-00799</v>
      </c>
      <c r="B800" s="49">
        <v>45958</v>
      </c>
      <c r="C800" s="42" t="s">
        <v>3240</v>
      </c>
      <c r="D800" s="41" t="s">
        <v>945</v>
      </c>
      <c r="E800" s="38" t="s">
        <v>3241</v>
      </c>
      <c r="F800" s="18" t="s">
        <v>3242</v>
      </c>
      <c r="G800" s="41" t="s">
        <v>33</v>
      </c>
      <c r="H800" s="17" t="s">
        <v>17</v>
      </c>
      <c r="I800" s="18" t="s">
        <v>2276</v>
      </c>
      <c r="K800" s="5" t="s">
        <v>652</v>
      </c>
      <c r="L800" t="str">
        <f t="shared" si="13"/>
        <v>rositta85@gmail.com</v>
      </c>
    </row>
    <row r="801" spans="1:12">
      <c r="A801" t="str" cm="1">
        <f t="array" ref="A801">_xlfn.LET(_xlpm.e,L801,
IF(_xlpm.e="","",
"DOC-"&amp;TEXT(ROW()-ROW(tblMaster[#Headers]),"00000")
))</f>
        <v>DOC-00800</v>
      </c>
      <c r="B801" s="49">
        <v>45958</v>
      </c>
      <c r="C801" s="42" t="s">
        <v>3243</v>
      </c>
      <c r="D801" s="41" t="s">
        <v>3244</v>
      </c>
      <c r="E801" s="38" t="s">
        <v>3245</v>
      </c>
      <c r="F801" s="18" t="s">
        <v>3246</v>
      </c>
      <c r="G801" s="41" t="s">
        <v>3247</v>
      </c>
      <c r="H801" s="17" t="s">
        <v>60</v>
      </c>
      <c r="I801" s="18" t="s">
        <v>2276</v>
      </c>
      <c r="K801" s="5" t="s">
        <v>652</v>
      </c>
      <c r="L801" t="str">
        <f t="shared" si="13"/>
        <v>aldulaimi565@gmail.com</v>
      </c>
    </row>
    <row r="802" spans="1:12">
      <c r="A802" t="str" cm="1">
        <f t="array" ref="A802">_xlfn.LET(_xlpm.e,L802,
IF(_xlpm.e="","",
"DOC-"&amp;TEXT(ROW()-ROW(tblMaster[#Headers]),"00000")
))</f>
        <v>DOC-00801</v>
      </c>
      <c r="B802" s="49">
        <v>45958</v>
      </c>
      <c r="C802" s="42" t="s">
        <v>1706</v>
      </c>
      <c r="D802" s="41" t="s">
        <v>3248</v>
      </c>
      <c r="E802" s="38" t="s">
        <v>3249</v>
      </c>
      <c r="F802" s="18" t="s">
        <v>3250</v>
      </c>
      <c r="G802" s="41" t="s">
        <v>281</v>
      </c>
      <c r="H802" s="17" t="s">
        <v>17</v>
      </c>
      <c r="I802" s="18" t="s">
        <v>2276</v>
      </c>
      <c r="J802" s="99" t="s">
        <v>23</v>
      </c>
      <c r="K802" s="5" t="s">
        <v>652</v>
      </c>
      <c r="L802" t="str">
        <f t="shared" si="13"/>
        <v>jennifer_panarelli@yahoo.com</v>
      </c>
    </row>
    <row r="803" spans="1:12">
      <c r="A803" t="str" cm="1">
        <f t="array" ref="A803">_xlfn.LET(_xlpm.e,L803,
IF(_xlpm.e="","",
"DOC-"&amp;TEXT(ROW()-ROW(tblMaster[#Headers]),"00000")
))</f>
        <v>DOC-00802</v>
      </c>
      <c r="B803" s="49">
        <v>45958</v>
      </c>
      <c r="C803" s="42" t="s">
        <v>1344</v>
      </c>
      <c r="D803" s="41" t="s">
        <v>3251</v>
      </c>
      <c r="E803" s="38" t="s">
        <v>3252</v>
      </c>
      <c r="F803" s="18" t="s">
        <v>3253</v>
      </c>
      <c r="G803" s="41" t="s">
        <v>1963</v>
      </c>
      <c r="H803" s="17" t="s">
        <v>496</v>
      </c>
      <c r="I803" s="18" t="s">
        <v>2276</v>
      </c>
      <c r="K803" s="5" t="s">
        <v>652</v>
      </c>
      <c r="L803" t="str">
        <f t="shared" si="13"/>
        <v>ericcooksr@icloud.com</v>
      </c>
    </row>
    <row r="804" spans="1:12">
      <c r="A804" t="str" cm="1">
        <f t="array" ref="A804">_xlfn.LET(_xlpm.e,L804,
IF(_xlpm.e="","",
"DOC-"&amp;TEXT(ROW()-ROW(tblMaster[#Headers]),"00000")
))</f>
        <v>DOC-00803</v>
      </c>
      <c r="B804" s="49">
        <v>45958</v>
      </c>
      <c r="C804" s="42" t="s">
        <v>3254</v>
      </c>
      <c r="D804" s="41" t="s">
        <v>3255</v>
      </c>
      <c r="E804" s="38" t="s">
        <v>3256</v>
      </c>
      <c r="F804" s="18" t="s">
        <v>3257</v>
      </c>
      <c r="G804" s="41" t="s">
        <v>3258</v>
      </c>
      <c r="H804" s="17" t="s">
        <v>267</v>
      </c>
      <c r="I804" s="18" t="s">
        <v>2276</v>
      </c>
      <c r="K804" s="5" t="s">
        <v>652</v>
      </c>
      <c r="L804" t="str">
        <f t="shared" si="13"/>
        <v>jayoniamack26@icloud.com</v>
      </c>
    </row>
    <row r="805" spans="1:12">
      <c r="A805" t="str" cm="1">
        <f t="array" ref="A805">_xlfn.LET(_xlpm.e,L805,
IF(_xlpm.e="","",
"DOC-"&amp;TEXT(ROW()-ROW(tblMaster[#Headers]),"00000")
))</f>
        <v>DOC-00804</v>
      </c>
      <c r="B805" s="49">
        <v>45958</v>
      </c>
      <c r="C805" s="42" t="s">
        <v>2766</v>
      </c>
      <c r="D805" s="41" t="s">
        <v>3259</v>
      </c>
      <c r="E805" s="38" t="s">
        <v>3260</v>
      </c>
      <c r="F805" s="18" t="s">
        <v>3261</v>
      </c>
      <c r="G805" s="41" t="s">
        <v>3262</v>
      </c>
      <c r="H805" s="17" t="s">
        <v>17</v>
      </c>
      <c r="I805" s="18" t="s">
        <v>54</v>
      </c>
      <c r="K805" s="5" t="s">
        <v>652</v>
      </c>
      <c r="L805" t="str">
        <f t="shared" si="13"/>
        <v>chris.lewis876@outlook.com</v>
      </c>
    </row>
    <row r="806" spans="1:12">
      <c r="A806" t="str" cm="1">
        <f t="array" ref="A806">_xlfn.LET(_xlpm.e,L806,
IF(_xlpm.e="","",
"DOC-"&amp;TEXT(ROW()-ROW(tblMaster[#Headers]),"00000")
))</f>
        <v>DOC-00805</v>
      </c>
      <c r="B806" s="49">
        <v>45958</v>
      </c>
      <c r="C806" s="42" t="s">
        <v>3263</v>
      </c>
      <c r="D806" s="41" t="s">
        <v>3264</v>
      </c>
      <c r="E806" s="38" t="s">
        <v>3265</v>
      </c>
      <c r="F806" s="18" t="s">
        <v>3266</v>
      </c>
      <c r="G806" s="41" t="s">
        <v>344</v>
      </c>
      <c r="H806" s="17" t="s">
        <v>17</v>
      </c>
      <c r="I806" s="18" t="s">
        <v>2276</v>
      </c>
      <c r="K806" s="5" t="s">
        <v>652</v>
      </c>
      <c r="L806" t="str">
        <f t="shared" si="13"/>
        <v>nyellmcclain15@gmail.com</v>
      </c>
    </row>
    <row r="807" spans="1:12">
      <c r="A807" t="str" cm="1">
        <f t="array" ref="A807">_xlfn.LET(_xlpm.e,L807,
IF(_xlpm.e="","",
"DOC-"&amp;TEXT(ROW()-ROW(tblMaster[#Headers]),"00000")
))</f>
        <v>DOC-00806</v>
      </c>
      <c r="B807" s="49">
        <v>45958</v>
      </c>
      <c r="C807" s="42" t="s">
        <v>3267</v>
      </c>
      <c r="D807" s="41" t="s">
        <v>2523</v>
      </c>
      <c r="E807" s="38" t="s">
        <v>3268</v>
      </c>
      <c r="F807" s="18" t="s">
        <v>3269</v>
      </c>
      <c r="G807" s="41" t="s">
        <v>33</v>
      </c>
      <c r="H807" s="17" t="s">
        <v>17</v>
      </c>
      <c r="I807" s="18" t="s">
        <v>2276</v>
      </c>
      <c r="J807" s="99" t="s">
        <v>497</v>
      </c>
      <c r="K807" s="5" t="s">
        <v>652</v>
      </c>
      <c r="L807" t="str">
        <f t="shared" si="13"/>
        <v>allygomes4@gmail.com</v>
      </c>
    </row>
    <row r="808" spans="1:12">
      <c r="A808" t="str" cm="1">
        <f t="array" ref="A808">_xlfn.LET(_xlpm.e,L808,
IF(_xlpm.e="","",
"DOC-"&amp;TEXT(ROW()-ROW(tblMaster[#Headers]),"00000")
))</f>
        <v>DOC-00807</v>
      </c>
      <c r="B808" s="49">
        <v>45958</v>
      </c>
      <c r="C808" s="42" t="s">
        <v>3270</v>
      </c>
      <c r="D808" s="41" t="s">
        <v>3271</v>
      </c>
      <c r="E808" s="38" t="s">
        <v>3272</v>
      </c>
      <c r="F808" s="18" t="s">
        <v>3273</v>
      </c>
      <c r="G808" s="41" t="s">
        <v>842</v>
      </c>
      <c r="H808" s="17" t="s">
        <v>17</v>
      </c>
      <c r="I808" s="18" t="s">
        <v>101</v>
      </c>
      <c r="K808" s="5" t="s">
        <v>652</v>
      </c>
      <c r="L808" t="str">
        <f t="shared" si="13"/>
        <v>niecejaay@gmail.com</v>
      </c>
    </row>
    <row r="809" spans="1:12">
      <c r="A809" t="str" cm="1">
        <f t="array" ref="A809">_xlfn.LET(_xlpm.e,L809,
IF(_xlpm.e="","",
"DOC-"&amp;TEXT(ROW()-ROW(tblMaster[#Headers]),"00000")
))</f>
        <v>DOC-00808</v>
      </c>
      <c r="B809" s="49">
        <v>45958</v>
      </c>
      <c r="C809" s="42" t="s">
        <v>3274</v>
      </c>
      <c r="D809" s="41" t="s">
        <v>3275</v>
      </c>
      <c r="E809" s="38" t="s">
        <v>3276</v>
      </c>
      <c r="F809" s="18" t="s">
        <v>3277</v>
      </c>
      <c r="G809" s="41" t="s">
        <v>52</v>
      </c>
      <c r="H809" s="17" t="s">
        <v>17</v>
      </c>
      <c r="I809" s="18" t="s">
        <v>2276</v>
      </c>
      <c r="K809" s="5" t="s">
        <v>652</v>
      </c>
      <c r="L809" t="str">
        <f t="shared" si="13"/>
        <v>figueroaseryna@gmail.com</v>
      </c>
    </row>
    <row r="810" spans="1:12">
      <c r="A810" t="str" cm="1">
        <f t="array" ref="A810">_xlfn.LET(_xlpm.e,L810,
IF(_xlpm.e="","",
"DOC-"&amp;TEXT(ROW()-ROW(tblMaster[#Headers]),"00000")
))</f>
        <v/>
      </c>
      <c r="B810" s="49">
        <v>45958</v>
      </c>
      <c r="C810" s="42" t="s">
        <v>3278</v>
      </c>
      <c r="D810" s="41" t="s">
        <v>3279</v>
      </c>
      <c r="E810" s="41"/>
      <c r="F810" s="18" t="s">
        <v>3280</v>
      </c>
      <c r="G810" s="41" t="s">
        <v>1232</v>
      </c>
      <c r="H810" s="17" t="s">
        <v>17</v>
      </c>
      <c r="I810" s="18" t="s">
        <v>2276</v>
      </c>
      <c r="K810" s="5" t="s">
        <v>652</v>
      </c>
      <c r="L810" t="str">
        <f t="shared" si="13"/>
        <v/>
      </c>
    </row>
    <row r="811" spans="1:12">
      <c r="A811" t="str" cm="1">
        <f t="array" ref="A811">_xlfn.LET(_xlpm.e,L811,
IF(_xlpm.e="","",
"DOC-"&amp;TEXT(ROW()-ROW(tblMaster[#Headers]),"00000")
))</f>
        <v>DOC-00810</v>
      </c>
      <c r="B811" s="49">
        <v>45958</v>
      </c>
      <c r="C811" s="42" t="s">
        <v>3281</v>
      </c>
      <c r="D811" s="41" t="s">
        <v>3281</v>
      </c>
      <c r="E811" s="38" t="s">
        <v>3282</v>
      </c>
      <c r="F811" s="18" t="s">
        <v>3283</v>
      </c>
      <c r="G811" s="41" t="s">
        <v>2408</v>
      </c>
      <c r="H811" s="17" t="s">
        <v>17</v>
      </c>
      <c r="I811" s="18" t="s">
        <v>54</v>
      </c>
      <c r="K811" s="5" t="s">
        <v>652</v>
      </c>
      <c r="L811" t="str">
        <f t="shared" si="13"/>
        <v>louisburgy617@gmail.com</v>
      </c>
    </row>
    <row r="812" spans="1:12">
      <c r="A812" t="str" cm="1">
        <f t="array" ref="A812">_xlfn.LET(_xlpm.e,L812,
IF(_xlpm.e="","",
"DOC-"&amp;TEXT(ROW()-ROW(tblMaster[#Headers]),"00000")
))</f>
        <v>DOC-00811</v>
      </c>
      <c r="B812" s="49">
        <v>45958</v>
      </c>
      <c r="C812" s="42" t="s">
        <v>3284</v>
      </c>
      <c r="D812" s="41" t="s">
        <v>3285</v>
      </c>
      <c r="E812" s="38" t="s">
        <v>3286</v>
      </c>
      <c r="F812" s="18" t="s">
        <v>3287</v>
      </c>
      <c r="G812" s="41" t="s">
        <v>257</v>
      </c>
      <c r="H812" s="17" t="s">
        <v>17</v>
      </c>
      <c r="I812" s="18" t="s">
        <v>2276</v>
      </c>
      <c r="K812" s="5" t="s">
        <v>652</v>
      </c>
      <c r="L812" t="str">
        <f t="shared" si="13"/>
        <v>marcvoltus2122@gmail.com</v>
      </c>
    </row>
    <row r="813" spans="1:12">
      <c r="A813" t="str" cm="1">
        <f t="array" ref="A813">_xlfn.LET(_xlpm.e,L813,
IF(_xlpm.e="","",
"DOC-"&amp;TEXT(ROW()-ROW(tblMaster[#Headers]),"00000")
))</f>
        <v>DOC-00812</v>
      </c>
      <c r="B813" s="49">
        <v>45958</v>
      </c>
      <c r="C813" s="42" t="s">
        <v>3288</v>
      </c>
      <c r="D813" s="41" t="s">
        <v>3289</v>
      </c>
      <c r="E813" s="38" t="s">
        <v>3290</v>
      </c>
      <c r="F813" s="18" t="s">
        <v>3291</v>
      </c>
      <c r="G813" s="41" t="s">
        <v>182</v>
      </c>
      <c r="H813" s="17" t="s">
        <v>17</v>
      </c>
      <c r="I813" s="18" t="s">
        <v>54</v>
      </c>
      <c r="K813" s="5" t="s">
        <v>652</v>
      </c>
      <c r="L813" t="str">
        <f t="shared" si="13"/>
        <v>venturasons@gmail.com</v>
      </c>
    </row>
    <row r="814" spans="1:12">
      <c r="A814" t="str" cm="1">
        <f t="array" ref="A814">_xlfn.LET(_xlpm.e,L814,
IF(_xlpm.e="","",
"DOC-"&amp;TEXT(ROW()-ROW(tblMaster[#Headers]),"00000")
))</f>
        <v>DOC-00813</v>
      </c>
      <c r="B814" s="49">
        <v>45958</v>
      </c>
      <c r="C814" s="42" t="s">
        <v>3292</v>
      </c>
      <c r="D814" s="41" t="s">
        <v>3293</v>
      </c>
      <c r="E814" s="38" t="s">
        <v>3294</v>
      </c>
      <c r="F814" s="18" t="s">
        <v>3295</v>
      </c>
      <c r="G814" s="41" t="s">
        <v>3296</v>
      </c>
      <c r="H814" s="17" t="s">
        <v>17</v>
      </c>
      <c r="I814" s="18" t="s">
        <v>54</v>
      </c>
      <c r="J814" s="99" t="s">
        <v>23</v>
      </c>
      <c r="K814" s="5" t="s">
        <v>652</v>
      </c>
      <c r="L814" t="str">
        <f t="shared" si="13"/>
        <v>drilliskayla@gmail.com</v>
      </c>
    </row>
    <row r="815" spans="1:12">
      <c r="A815" t="str" cm="1">
        <f t="array" ref="A815">_xlfn.LET(_xlpm.e,L815,
IF(_xlpm.e="","",
"DOC-"&amp;TEXT(ROW()-ROW(tblMaster[#Headers]),"00000")
))</f>
        <v>DOC-00814</v>
      </c>
      <c r="B815" s="49">
        <v>45958</v>
      </c>
      <c r="C815" s="42" t="s">
        <v>3297</v>
      </c>
      <c r="D815" s="41" t="s">
        <v>3298</v>
      </c>
      <c r="E815" s="38" t="s">
        <v>3299</v>
      </c>
      <c r="F815" s="18" t="s">
        <v>3300</v>
      </c>
      <c r="G815" s="41" t="s">
        <v>2088</v>
      </c>
      <c r="H815" s="17" t="s">
        <v>17</v>
      </c>
      <c r="I815" s="18" t="s">
        <v>54</v>
      </c>
      <c r="K815" s="5" t="s">
        <v>652</v>
      </c>
      <c r="L815" t="str">
        <f t="shared" si="13"/>
        <v>sadracj1988@gmail.com</v>
      </c>
    </row>
    <row r="816" spans="1:12">
      <c r="A816" t="str" cm="1">
        <f t="array" ref="A816">_xlfn.LET(_xlpm.e,L816,
IF(_xlpm.e="","",
"DOC-"&amp;TEXT(ROW()-ROW(tblMaster[#Headers]),"00000")
))</f>
        <v>DOC-00815</v>
      </c>
      <c r="B816" s="49">
        <v>45958</v>
      </c>
      <c r="C816" s="42" t="s">
        <v>3301</v>
      </c>
      <c r="D816" s="41" t="s">
        <v>3302</v>
      </c>
      <c r="E816" s="38" t="s">
        <v>3303</v>
      </c>
      <c r="F816" s="18" t="s">
        <v>3304</v>
      </c>
      <c r="G816" s="41" t="s">
        <v>276</v>
      </c>
      <c r="H816" s="17" t="s">
        <v>17</v>
      </c>
      <c r="I816" s="18" t="s">
        <v>54</v>
      </c>
      <c r="K816" s="5" t="s">
        <v>652</v>
      </c>
      <c r="L816" t="str">
        <f t="shared" si="13"/>
        <v>pinadeicileny@gmail.com</v>
      </c>
    </row>
    <row r="817" spans="1:12">
      <c r="A817" t="str" cm="1">
        <f t="array" ref="A817">_xlfn.LET(_xlpm.e,L817,
IF(_xlpm.e="","",
"DOC-"&amp;TEXT(ROW()-ROW(tblMaster[#Headers]),"00000")
))</f>
        <v>DOC-00816</v>
      </c>
      <c r="B817" s="49">
        <v>45958</v>
      </c>
      <c r="C817" s="42" t="s">
        <v>3305</v>
      </c>
      <c r="D817" s="41" t="s">
        <v>3306</v>
      </c>
      <c r="E817" s="38" t="s">
        <v>3307</v>
      </c>
      <c r="F817" s="18" t="s">
        <v>3308</v>
      </c>
      <c r="G817" s="41" t="s">
        <v>257</v>
      </c>
      <c r="H817" s="17" t="s">
        <v>17</v>
      </c>
      <c r="I817" s="18" t="s">
        <v>54</v>
      </c>
      <c r="J817" s="99" t="s">
        <v>66</v>
      </c>
      <c r="K817" s="5" t="s">
        <v>226</v>
      </c>
      <c r="L817" t="str">
        <f t="shared" si="13"/>
        <v>frankllely12h@gmail.com</v>
      </c>
    </row>
    <row r="818" spans="1:12">
      <c r="A818" t="str" cm="1">
        <f t="array" ref="A818">_xlfn.LET(_xlpm.e,L818,
IF(_xlpm.e="","",
"DOC-"&amp;TEXT(ROW()-ROW(tblMaster[#Headers]),"00000")
))</f>
        <v>DOC-00817</v>
      </c>
      <c r="B818" s="49">
        <v>45958</v>
      </c>
      <c r="C818" s="42" t="s">
        <v>3309</v>
      </c>
      <c r="D818" s="41" t="s">
        <v>3310</v>
      </c>
      <c r="E818" s="38" t="s">
        <v>3311</v>
      </c>
      <c r="F818" s="18">
        <v>7743684919</v>
      </c>
      <c r="G818" s="41"/>
      <c r="H818" s="17"/>
      <c r="I818" s="18" t="s">
        <v>101</v>
      </c>
      <c r="K818" s="5" t="s">
        <v>652</v>
      </c>
      <c r="L818" t="str">
        <f t="shared" si="13"/>
        <v>lewisjermaine853@gmail.com</v>
      </c>
    </row>
    <row r="819" spans="1:12">
      <c r="A819" t="str" cm="1">
        <f t="array" ref="A819">_xlfn.LET(_xlpm.e,L819,
IF(_xlpm.e="","",
"DOC-"&amp;TEXT(ROW()-ROW(tblMaster[#Headers]),"00000")
))</f>
        <v>DOC-00818</v>
      </c>
      <c r="B819" s="49">
        <v>45958</v>
      </c>
      <c r="C819" s="42" t="s">
        <v>3312</v>
      </c>
      <c r="D819" s="41" t="s">
        <v>3313</v>
      </c>
      <c r="E819" s="38" t="s">
        <v>3314</v>
      </c>
      <c r="F819" s="18" t="s">
        <v>3315</v>
      </c>
      <c r="G819" s="41" t="s">
        <v>2027</v>
      </c>
      <c r="H819" s="17" t="s">
        <v>267</v>
      </c>
      <c r="I819" s="18" t="s">
        <v>101</v>
      </c>
      <c r="K819" s="5" t="s">
        <v>652</v>
      </c>
      <c r="L819" t="str">
        <f t="shared" si="13"/>
        <v>shevellvernon@gmail.com</v>
      </c>
    </row>
    <row r="820" spans="1:12">
      <c r="A820" t="str" cm="1">
        <f t="array" ref="A820">_xlfn.LET(_xlpm.e,L820,
IF(_xlpm.e="","",
"DOC-"&amp;TEXT(ROW()-ROW(tblMaster[#Headers]),"00000")
))</f>
        <v/>
      </c>
      <c r="B820" s="49">
        <v>45958</v>
      </c>
      <c r="C820" s="42" t="s">
        <v>2984</v>
      </c>
      <c r="D820" s="41" t="s">
        <v>3316</v>
      </c>
      <c r="E820" s="41"/>
      <c r="F820" s="18" t="s">
        <v>3317</v>
      </c>
      <c r="G820" s="41" t="s">
        <v>2205</v>
      </c>
      <c r="H820" s="17" t="s">
        <v>17</v>
      </c>
      <c r="I820" s="18" t="s">
        <v>2276</v>
      </c>
      <c r="J820" s="99" t="s">
        <v>23</v>
      </c>
      <c r="K820" s="5" t="s">
        <v>652</v>
      </c>
      <c r="L820" t="str">
        <f t="shared" si="13"/>
        <v/>
      </c>
    </row>
    <row r="821" spans="1:12">
      <c r="A821" t="str" cm="1">
        <f t="array" ref="A821">_xlfn.LET(_xlpm.e,L821,
IF(_xlpm.e="","",
"DOC-"&amp;TEXT(ROW()-ROW(tblMaster[#Headers]),"00000")
))</f>
        <v>DOC-00820</v>
      </c>
      <c r="B821" s="49">
        <v>45958</v>
      </c>
      <c r="C821" s="42" t="s">
        <v>3318</v>
      </c>
      <c r="D821" s="41" t="s">
        <v>3319</v>
      </c>
      <c r="E821" s="38" t="s">
        <v>3320</v>
      </c>
      <c r="F821" s="18" t="s">
        <v>3321</v>
      </c>
      <c r="G821" s="41" t="s">
        <v>1324</v>
      </c>
      <c r="H821" s="17" t="s">
        <v>17</v>
      </c>
      <c r="I821" s="18" t="s">
        <v>2276</v>
      </c>
      <c r="J821" s="99" t="s">
        <v>66</v>
      </c>
      <c r="K821" s="5" t="s">
        <v>652</v>
      </c>
      <c r="L821" t="str">
        <f t="shared" si="13"/>
        <v>mrmatta860@gmail.com</v>
      </c>
    </row>
    <row r="822" spans="1:12">
      <c r="A822" t="str" cm="1">
        <f t="array" ref="A822">_xlfn.LET(_xlpm.e,L822,
IF(_xlpm.e="","",
"DOC-"&amp;TEXT(ROW()-ROW(tblMaster[#Headers]),"00000")
))</f>
        <v>DOC-00821</v>
      </c>
      <c r="B822" s="49">
        <v>45958</v>
      </c>
      <c r="C822" s="42" t="s">
        <v>582</v>
      </c>
      <c r="D822" s="41" t="s">
        <v>915</v>
      </c>
      <c r="E822" s="38" t="s">
        <v>3322</v>
      </c>
      <c r="F822" s="18" t="s">
        <v>3323</v>
      </c>
      <c r="G822" s="41" t="s">
        <v>742</v>
      </c>
      <c r="H822" s="17" t="s">
        <v>17</v>
      </c>
      <c r="I822" s="18" t="s">
        <v>2276</v>
      </c>
      <c r="K822" s="5" t="s">
        <v>652</v>
      </c>
      <c r="L822" t="str">
        <f t="shared" si="13"/>
        <v>nathanmartin377@gmail.com</v>
      </c>
    </row>
    <row r="823" spans="1:12">
      <c r="A823" t="str" cm="1">
        <f t="array" ref="A823">_xlfn.LET(_xlpm.e,L823,
IF(_xlpm.e="","",
"DOC-"&amp;TEXT(ROW()-ROW(tblMaster[#Headers]),"00000")
))</f>
        <v>DOC-00822</v>
      </c>
      <c r="B823" s="49">
        <v>45958</v>
      </c>
      <c r="C823" s="42" t="s">
        <v>3324</v>
      </c>
      <c r="D823" s="41" t="s">
        <v>3325</v>
      </c>
      <c r="E823" s="38" t="s">
        <v>3326</v>
      </c>
      <c r="F823" s="18" t="s">
        <v>3327</v>
      </c>
      <c r="G823" s="41" t="s">
        <v>3328</v>
      </c>
      <c r="H823" s="17" t="s">
        <v>17</v>
      </c>
      <c r="I823" s="18" t="s">
        <v>2276</v>
      </c>
      <c r="K823" s="5" t="s">
        <v>652</v>
      </c>
      <c r="L823" t="str">
        <f t="shared" si="13"/>
        <v>lorenzo416@outlook.com</v>
      </c>
    </row>
    <row r="824" spans="1:12">
      <c r="A824" t="str" cm="1">
        <f t="array" ref="A824">_xlfn.LET(_xlpm.e,L824,
IF(_xlpm.e="","",
"DOC-"&amp;TEXT(ROW()-ROW(tblMaster[#Headers]),"00000")
))</f>
        <v>DOC-00823</v>
      </c>
      <c r="B824" s="49">
        <v>45958</v>
      </c>
      <c r="C824" s="42" t="s">
        <v>3329</v>
      </c>
      <c r="D824" s="41" t="s">
        <v>3330</v>
      </c>
      <c r="E824" s="38" t="s">
        <v>3331</v>
      </c>
      <c r="F824" s="18" t="s">
        <v>3332</v>
      </c>
      <c r="G824" s="41" t="s">
        <v>1324</v>
      </c>
      <c r="H824" s="17" t="s">
        <v>17</v>
      </c>
      <c r="I824" s="18" t="s">
        <v>2276</v>
      </c>
      <c r="K824" s="5" t="s">
        <v>652</v>
      </c>
      <c r="L824" t="str">
        <f t="shared" si="13"/>
        <v>marinerojeffrey04@yahoo.com</v>
      </c>
    </row>
    <row r="825" spans="1:12">
      <c r="A825" t="str" cm="1">
        <f t="array" ref="A825">_xlfn.LET(_xlpm.e,L825,
IF(_xlpm.e="","",
"DOC-"&amp;TEXT(ROW()-ROW(tblMaster[#Headers]),"00000")
))</f>
        <v>DOC-00824</v>
      </c>
      <c r="B825" s="49">
        <v>45958</v>
      </c>
      <c r="C825" s="42" t="s">
        <v>3112</v>
      </c>
      <c r="D825" s="41" t="s">
        <v>3333</v>
      </c>
      <c r="E825" s="38" t="s">
        <v>3334</v>
      </c>
      <c r="F825" s="18" t="s">
        <v>3335</v>
      </c>
      <c r="G825" s="41" t="s">
        <v>1598</v>
      </c>
      <c r="H825" s="17" t="s">
        <v>17</v>
      </c>
      <c r="I825" s="18" t="s">
        <v>54</v>
      </c>
      <c r="K825" s="5" t="s">
        <v>652</v>
      </c>
      <c r="L825" t="str">
        <f t="shared" si="13"/>
        <v>ericnyg08@yahoo.com</v>
      </c>
    </row>
    <row r="826" spans="1:12">
      <c r="A826" t="str" cm="1">
        <f t="array" ref="A826">_xlfn.LET(_xlpm.e,L826,
IF(_xlpm.e="","",
"DOC-"&amp;TEXT(ROW()-ROW(tblMaster[#Headers]),"00000")
))</f>
        <v>DOC-00825</v>
      </c>
      <c r="B826" s="49">
        <v>45958</v>
      </c>
      <c r="C826" s="42" t="s">
        <v>3336</v>
      </c>
      <c r="D826" s="41" t="s">
        <v>3337</v>
      </c>
      <c r="E826" s="38" t="s">
        <v>3338</v>
      </c>
      <c r="F826" s="18" t="s">
        <v>3339</v>
      </c>
      <c r="G826" s="41" t="s">
        <v>257</v>
      </c>
      <c r="H826" s="17" t="s">
        <v>17</v>
      </c>
      <c r="I826" s="18" t="s">
        <v>101</v>
      </c>
      <c r="J826" s="99" t="s">
        <v>23</v>
      </c>
      <c r="K826" s="5" t="s">
        <v>652</v>
      </c>
      <c r="L826" t="str">
        <f t="shared" si="13"/>
        <v>lucken03@hotmail.com</v>
      </c>
    </row>
    <row r="827" spans="1:12">
      <c r="A827" t="str" cm="1">
        <f t="array" ref="A827">_xlfn.LET(_xlpm.e,L827,
IF(_xlpm.e="","",
"DOC-"&amp;TEXT(ROW()-ROW(tblMaster[#Headers]),"00000")
))</f>
        <v>DOC-00826</v>
      </c>
      <c r="B827" s="49">
        <v>45958</v>
      </c>
      <c r="C827" s="42" t="s">
        <v>3340</v>
      </c>
      <c r="D827" s="41" t="s">
        <v>3341</v>
      </c>
      <c r="E827" s="38" t="s">
        <v>3342</v>
      </c>
      <c r="F827" s="18" t="s">
        <v>3343</v>
      </c>
      <c r="G827" s="41" t="s">
        <v>2049</v>
      </c>
      <c r="H827" s="17" t="s">
        <v>17</v>
      </c>
      <c r="I827" s="18" t="s">
        <v>54</v>
      </c>
      <c r="K827" s="5" t="s">
        <v>652</v>
      </c>
      <c r="L827" t="str">
        <f t="shared" si="13"/>
        <v>kodikovincent@gmail.com</v>
      </c>
    </row>
    <row r="828" spans="1:12">
      <c r="A828" t="str" cm="1">
        <f t="array" ref="A828">_xlfn.LET(_xlpm.e,L828,
IF(_xlpm.e="","",
"DOC-"&amp;TEXT(ROW()-ROW(tblMaster[#Headers]),"00000")
))</f>
        <v>DOC-00827</v>
      </c>
      <c r="B828" s="49">
        <v>45958</v>
      </c>
      <c r="C828" s="42" t="s">
        <v>3344</v>
      </c>
      <c r="D828" s="41" t="s">
        <v>2000</v>
      </c>
      <c r="E828" s="38" t="s">
        <v>3345</v>
      </c>
      <c r="F828" s="18" t="s">
        <v>3346</v>
      </c>
      <c r="G828" s="41" t="s">
        <v>3064</v>
      </c>
      <c r="H828" s="17" t="s">
        <v>17</v>
      </c>
      <c r="I828" s="18" t="s">
        <v>54</v>
      </c>
      <c r="K828" s="5" t="s">
        <v>652</v>
      </c>
      <c r="L828" t="str">
        <f t="shared" si="13"/>
        <v>jbrod2010@aol.com</v>
      </c>
    </row>
    <row r="829" spans="1:12">
      <c r="A829" t="str" cm="1">
        <f t="array" ref="A829">_xlfn.LET(_xlpm.e,L829,
IF(_xlpm.e="","",
"DOC-"&amp;TEXT(ROW()-ROW(tblMaster[#Headers]),"00000")
))</f>
        <v>DOC-00828</v>
      </c>
      <c r="B829" s="49">
        <v>45958</v>
      </c>
      <c r="C829" s="42" t="s">
        <v>3347</v>
      </c>
      <c r="D829" s="41" t="s">
        <v>3348</v>
      </c>
      <c r="E829" s="38" t="s">
        <v>3349</v>
      </c>
      <c r="F829" s="18" t="s">
        <v>3350</v>
      </c>
      <c r="G829" s="41" t="s">
        <v>3351</v>
      </c>
      <c r="H829" s="17" t="s">
        <v>60</v>
      </c>
      <c r="I829" s="18" t="s">
        <v>54</v>
      </c>
      <c r="K829" s="5" t="s">
        <v>652</v>
      </c>
      <c r="L829" t="str">
        <f t="shared" si="13"/>
        <v>devonbradley96@gmail.com</v>
      </c>
    </row>
    <row r="830" spans="1:12">
      <c r="A830" t="str" cm="1">
        <f t="array" ref="A830">_xlfn.LET(_xlpm.e,L830,
IF(_xlpm.e="","",
"DOC-"&amp;TEXT(ROW()-ROW(tblMaster[#Headers]),"00000")
))</f>
        <v>DOC-00829</v>
      </c>
      <c r="B830" s="49">
        <v>45958</v>
      </c>
      <c r="C830" s="42" t="s">
        <v>3352</v>
      </c>
      <c r="D830" s="41" t="s">
        <v>3353</v>
      </c>
      <c r="E830" s="38" t="s">
        <v>3354</v>
      </c>
      <c r="F830" s="18" t="s">
        <v>3355</v>
      </c>
      <c r="G830" s="41" t="s">
        <v>257</v>
      </c>
      <c r="H830" s="17" t="s">
        <v>17</v>
      </c>
      <c r="I830" s="18" t="s">
        <v>54</v>
      </c>
      <c r="K830" s="5" t="s">
        <v>652</v>
      </c>
      <c r="L830" t="str">
        <f t="shared" si="13"/>
        <v>antelrogers098@gmail.com</v>
      </c>
    </row>
    <row r="831" spans="1:12">
      <c r="A831" t="str" cm="1">
        <f t="array" ref="A831">_xlfn.LET(_xlpm.e,L831,
IF(_xlpm.e="","",
"DOC-"&amp;TEXT(ROW()-ROW(tblMaster[#Headers]),"00000")
))</f>
        <v/>
      </c>
      <c r="B831" s="49"/>
      <c r="C831" s="42"/>
      <c r="D831" s="41"/>
      <c r="E831" s="38"/>
      <c r="F831" s="18"/>
      <c r="G831" s="41"/>
      <c r="H831" s="17"/>
      <c r="I831" s="18"/>
      <c r="K831" s="5" t="s">
        <v>652</v>
      </c>
      <c r="L831" t="str">
        <f t="shared" si="13"/>
        <v/>
      </c>
    </row>
    <row r="832" spans="1:12">
      <c r="A832" t="str" cm="1">
        <f t="array" ref="A832">_xlfn.LET(_xlpm.e,L832,
IF(_xlpm.e="","",
"DOC-"&amp;TEXT(ROW()-ROW(tblMaster[#Headers]),"00000")
))</f>
        <v>DOC-00831</v>
      </c>
      <c r="B832" s="49">
        <v>45958</v>
      </c>
      <c r="C832" s="42" t="s">
        <v>3356</v>
      </c>
      <c r="D832" s="41" t="s">
        <v>3357</v>
      </c>
      <c r="E832" s="38" t="s">
        <v>3358</v>
      </c>
      <c r="F832" s="18" t="s">
        <v>3359</v>
      </c>
      <c r="G832" s="41" t="s">
        <v>419</v>
      </c>
      <c r="H832" s="17" t="s">
        <v>17</v>
      </c>
      <c r="I832" s="18" t="s">
        <v>54</v>
      </c>
      <c r="J832" s="99" t="s">
        <v>23</v>
      </c>
      <c r="K832" s="5" t="s">
        <v>652</v>
      </c>
      <c r="L832" t="str">
        <f t="shared" si="13"/>
        <v>ricardog3615@gmail.com</v>
      </c>
    </row>
    <row r="833" spans="1:12">
      <c r="A833" t="str" cm="1">
        <f t="array" ref="A833">_xlfn.LET(_xlpm.e,L833,
IF(_xlpm.e="","",
"DOC-"&amp;TEXT(ROW()-ROW(tblMaster[#Headers]),"00000")
))</f>
        <v>DOC-00832</v>
      </c>
      <c r="B833" s="49">
        <v>45958</v>
      </c>
      <c r="C833" s="42" t="s">
        <v>3360</v>
      </c>
      <c r="D833" s="41" t="s">
        <v>3361</v>
      </c>
      <c r="E833" s="38" t="s">
        <v>3362</v>
      </c>
      <c r="F833" s="18" t="s">
        <v>3363</v>
      </c>
      <c r="G833" s="41" t="s">
        <v>257</v>
      </c>
      <c r="H833" s="17" t="s">
        <v>17</v>
      </c>
      <c r="I833" s="18" t="s">
        <v>101</v>
      </c>
      <c r="K833" s="5" t="s">
        <v>652</v>
      </c>
      <c r="L833" t="str">
        <f t="shared" si="13"/>
        <v>mpr71529@gmail.com</v>
      </c>
    </row>
    <row r="834" spans="1:12">
      <c r="A834" t="str" cm="1">
        <f t="array" ref="A834">_xlfn.LET(_xlpm.e,L834,
IF(_xlpm.e="","",
"DOC-"&amp;TEXT(ROW()-ROW(tblMaster[#Headers]),"00000")
))</f>
        <v>DOC-00833</v>
      </c>
      <c r="B834" s="49">
        <v>45958</v>
      </c>
      <c r="C834" s="42" t="s">
        <v>1379</v>
      </c>
      <c r="D834" s="41" t="s">
        <v>3364</v>
      </c>
      <c r="E834" s="38" t="s">
        <v>3365</v>
      </c>
      <c r="F834" s="18" t="s">
        <v>3366</v>
      </c>
      <c r="G834" s="41" t="s">
        <v>2476</v>
      </c>
      <c r="H834" s="17" t="s">
        <v>17</v>
      </c>
      <c r="I834" s="18" t="s">
        <v>54</v>
      </c>
      <c r="K834" s="5" t="s">
        <v>652</v>
      </c>
      <c r="L834" t="str">
        <f t="shared" si="13"/>
        <v>ryanpreis11@gmail.com</v>
      </c>
    </row>
    <row r="835" spans="1:12">
      <c r="A835" t="str" cm="1">
        <f t="array" ref="A835">_xlfn.LET(_xlpm.e,L835,
IF(_xlpm.e="","",
"DOC-"&amp;TEXT(ROW()-ROW(tblMaster[#Headers]),"00000")
))</f>
        <v>DOC-00834</v>
      </c>
      <c r="B835" s="49">
        <v>45958</v>
      </c>
      <c r="C835" s="42" t="s">
        <v>3367</v>
      </c>
      <c r="D835" s="41" t="s">
        <v>3368</v>
      </c>
      <c r="E835" s="38" t="s">
        <v>3369</v>
      </c>
      <c r="F835" s="18" t="s">
        <v>3370</v>
      </c>
      <c r="G835" s="41" t="s">
        <v>3371</v>
      </c>
      <c r="H835" s="17" t="s">
        <v>17</v>
      </c>
      <c r="I835" s="18" t="s">
        <v>101</v>
      </c>
      <c r="K835" s="5" t="s">
        <v>652</v>
      </c>
      <c r="L835" t="str">
        <f t="shared" si="13"/>
        <v>brandonbj017@gmail.com</v>
      </c>
    </row>
    <row r="836" spans="1:12">
      <c r="A836" t="str" cm="1">
        <f t="array" ref="A836">_xlfn.LET(_xlpm.e,L836,
IF(_xlpm.e="","",
"DOC-"&amp;TEXT(ROW()-ROW(tblMaster[#Headers]),"00000")
))</f>
        <v>DOC-00835</v>
      </c>
      <c r="B836" s="49">
        <v>45958</v>
      </c>
      <c r="C836" s="42" t="s">
        <v>3372</v>
      </c>
      <c r="D836" s="41" t="s">
        <v>3373</v>
      </c>
      <c r="E836" s="38" t="s">
        <v>3374</v>
      </c>
      <c r="F836" s="18" t="s">
        <v>3375</v>
      </c>
      <c r="G836" s="41" t="s">
        <v>1324</v>
      </c>
      <c r="H836" s="17" t="s">
        <v>17</v>
      </c>
      <c r="I836" s="18" t="s">
        <v>2276</v>
      </c>
      <c r="K836" s="5" t="s">
        <v>652</v>
      </c>
      <c r="L836" t="str">
        <f t="shared" si="13"/>
        <v>sylasthevirus55@gmail.com</v>
      </c>
    </row>
    <row r="837" spans="1:12">
      <c r="A837" t="str" cm="1">
        <f t="array" ref="A837">_xlfn.LET(_xlpm.e,L837,
IF(_xlpm.e="","",
"DOC-"&amp;TEXT(ROW()-ROW(tblMaster[#Headers]),"00000")
))</f>
        <v>DOC-00836</v>
      </c>
      <c r="B837" s="49">
        <v>45958</v>
      </c>
      <c r="C837" s="42" t="s">
        <v>3376</v>
      </c>
      <c r="D837" s="41" t="s">
        <v>3377</v>
      </c>
      <c r="E837" s="38" t="s">
        <v>3378</v>
      </c>
      <c r="F837" s="18" t="s">
        <v>3379</v>
      </c>
      <c r="G837" s="41" t="s">
        <v>3380</v>
      </c>
      <c r="H837" s="17" t="s">
        <v>17</v>
      </c>
      <c r="I837" s="18" t="s">
        <v>54</v>
      </c>
      <c r="K837" s="5" t="s">
        <v>652</v>
      </c>
      <c r="L837" t="str">
        <f t="shared" si="13"/>
        <v>colsonmychelle16@gmail.com</v>
      </c>
    </row>
    <row r="838" spans="1:12">
      <c r="A838" t="str" cm="1">
        <f t="array" ref="A838">_xlfn.LET(_xlpm.e,L838,
IF(_xlpm.e="","",
"DOC-"&amp;TEXT(ROW()-ROW(tblMaster[#Headers]),"00000")
))</f>
        <v>DOC-00837</v>
      </c>
      <c r="B838" s="49">
        <v>45958</v>
      </c>
      <c r="C838" s="42" t="s">
        <v>3381</v>
      </c>
      <c r="D838" s="41" t="s">
        <v>1662</v>
      </c>
      <c r="E838" s="38" t="s">
        <v>3382</v>
      </c>
      <c r="F838" s="18" t="s">
        <v>3383</v>
      </c>
      <c r="G838" s="41" t="s">
        <v>629</v>
      </c>
      <c r="H838" s="17" t="s">
        <v>17</v>
      </c>
      <c r="I838" s="18" t="s">
        <v>54</v>
      </c>
      <c r="K838" s="5" t="s">
        <v>652</v>
      </c>
      <c r="L838" t="str">
        <f t="shared" ref="L838:L901" si="14">_xlfn.LET(_xlpm.x,E838,
_xlpm.y,TRIM(CLEAN(SUBSTITUTE(_xlpm.x,CHAR(160)," "))),
LOWER(_xlpm.y))</f>
        <v>chavinipowell@gmail.com</v>
      </c>
    </row>
    <row r="839" spans="1:12">
      <c r="A839" t="str" cm="1">
        <f t="array" ref="A839">_xlfn.LET(_xlpm.e,L839,
IF(_xlpm.e="","",
"DOC-"&amp;TEXT(ROW()-ROW(tblMaster[#Headers]),"00000")
))</f>
        <v>DOC-00838</v>
      </c>
      <c r="B839" s="49">
        <v>45958</v>
      </c>
      <c r="C839" s="42" t="s">
        <v>3384</v>
      </c>
      <c r="D839" s="41" t="s">
        <v>3385</v>
      </c>
      <c r="E839" s="38" t="s">
        <v>3386</v>
      </c>
      <c r="F839" s="18" t="s">
        <v>3387</v>
      </c>
      <c r="G839" s="41" t="s">
        <v>2747</v>
      </c>
      <c r="H839" s="17" t="s">
        <v>17</v>
      </c>
      <c r="I839" s="18" t="s">
        <v>54</v>
      </c>
      <c r="J839" s="99" t="s">
        <v>23</v>
      </c>
      <c r="K839" s="5" t="s">
        <v>652</v>
      </c>
      <c r="L839" t="str">
        <f t="shared" si="14"/>
        <v>rickeylw04fl@gmail.com</v>
      </c>
    </row>
    <row r="840" spans="1:12">
      <c r="A840" t="str" cm="1">
        <f t="array" ref="A840">_xlfn.LET(_xlpm.e,L840,
IF(_xlpm.e="","",
"DOC-"&amp;TEXT(ROW()-ROW(tblMaster[#Headers]),"00000")
))</f>
        <v>DOC-00839</v>
      </c>
      <c r="B840" s="49">
        <v>45958</v>
      </c>
      <c r="C840" s="42" t="s">
        <v>3388</v>
      </c>
      <c r="D840" s="41" t="s">
        <v>3389</v>
      </c>
      <c r="E840" s="38" t="s">
        <v>3390</v>
      </c>
      <c r="F840" s="18" t="s">
        <v>3391</v>
      </c>
      <c r="G840" s="41" t="s">
        <v>138</v>
      </c>
      <c r="H840" s="17" t="s">
        <v>17</v>
      </c>
      <c r="I840" s="18" t="s">
        <v>54</v>
      </c>
      <c r="K840" s="5" t="s">
        <v>652</v>
      </c>
      <c r="L840" t="str">
        <f t="shared" si="14"/>
        <v>joserivera980000@gmail.com</v>
      </c>
    </row>
    <row r="841" spans="1:12">
      <c r="A841" t="str" cm="1">
        <f t="array" ref="A841">_xlfn.LET(_xlpm.e,L841,
IF(_xlpm.e="","",
"DOC-"&amp;TEXT(ROW()-ROW(tblMaster[#Headers]),"00000")
))</f>
        <v>DOC-00840</v>
      </c>
      <c r="B841" s="49">
        <v>45958</v>
      </c>
      <c r="C841" s="42" t="s">
        <v>778</v>
      </c>
      <c r="D841" s="41" t="s">
        <v>3392</v>
      </c>
      <c r="E841" s="38" t="s">
        <v>3393</v>
      </c>
      <c r="F841" s="18" t="s">
        <v>3394</v>
      </c>
      <c r="G841" s="41" t="s">
        <v>3395</v>
      </c>
      <c r="H841" s="17" t="s">
        <v>267</v>
      </c>
      <c r="I841" s="18" t="s">
        <v>54</v>
      </c>
      <c r="K841" s="5" t="s">
        <v>652</v>
      </c>
      <c r="L841" t="str">
        <f t="shared" si="14"/>
        <v>michael.brehon3@gmail.com</v>
      </c>
    </row>
    <row r="842" spans="1:12">
      <c r="A842" t="str" cm="1">
        <f t="array" ref="A842">_xlfn.LET(_xlpm.e,L842,
IF(_xlpm.e="","",
"DOC-"&amp;TEXT(ROW()-ROW(tblMaster[#Headers]),"00000")
))</f>
        <v>DOC-00841</v>
      </c>
      <c r="B842" s="49">
        <v>45958</v>
      </c>
      <c r="C842" s="42" t="s">
        <v>1774</v>
      </c>
      <c r="D842" s="41" t="s">
        <v>3396</v>
      </c>
      <c r="E842" s="38" t="s">
        <v>3397</v>
      </c>
      <c r="F842" s="18" t="s">
        <v>3398</v>
      </c>
      <c r="G842" s="41" t="s">
        <v>3399</v>
      </c>
      <c r="H842" s="17" t="s">
        <v>17</v>
      </c>
      <c r="I842" s="18" t="s">
        <v>54</v>
      </c>
      <c r="K842" s="5" t="s">
        <v>652</v>
      </c>
      <c r="L842" t="str">
        <f t="shared" si="14"/>
        <v>alemosmartin2@gmail.com</v>
      </c>
    </row>
    <row r="843" spans="1:12">
      <c r="A843" t="str" cm="1">
        <f t="array" ref="A843">_xlfn.LET(_xlpm.e,L843,
IF(_xlpm.e="","",
"DOC-"&amp;TEXT(ROW()-ROW(tblMaster[#Headers]),"00000")
))</f>
        <v>DOC-00842</v>
      </c>
      <c r="B843" s="49">
        <v>45958</v>
      </c>
      <c r="C843" s="42" t="s">
        <v>783</v>
      </c>
      <c r="D843" s="41" t="s">
        <v>3400</v>
      </c>
      <c r="E843" s="38" t="s">
        <v>3401</v>
      </c>
      <c r="F843" s="18" t="s">
        <v>3402</v>
      </c>
      <c r="G843" s="41" t="s">
        <v>3403</v>
      </c>
      <c r="H843" s="17" t="s">
        <v>17</v>
      </c>
      <c r="I843" s="18" t="s">
        <v>54</v>
      </c>
      <c r="K843" s="5" t="s">
        <v>652</v>
      </c>
      <c r="L843" t="str">
        <f t="shared" si="14"/>
        <v>jjmcdonnell3@gmail.com</v>
      </c>
    </row>
    <row r="844" spans="1:12">
      <c r="A844" t="str" cm="1">
        <f t="array" ref="A844">_xlfn.LET(_xlpm.e,L844,
IF(_xlpm.e="","",
"DOC-"&amp;TEXT(ROW()-ROW(tblMaster[#Headers]),"00000")
))</f>
        <v>DOC-00843</v>
      </c>
      <c r="B844" s="49">
        <v>45958</v>
      </c>
      <c r="C844" s="42" t="s">
        <v>3404</v>
      </c>
      <c r="D844" s="41" t="s">
        <v>3405</v>
      </c>
      <c r="E844" s="38" t="s">
        <v>3406</v>
      </c>
      <c r="F844" s="18" t="s">
        <v>3407</v>
      </c>
      <c r="G844" s="41" t="s">
        <v>3408</v>
      </c>
      <c r="H844" s="17" t="s">
        <v>17</v>
      </c>
      <c r="I844" s="18" t="s">
        <v>101</v>
      </c>
      <c r="J844" s="99" t="s">
        <v>23</v>
      </c>
      <c r="K844" s="5" t="s">
        <v>652</v>
      </c>
      <c r="L844" t="str">
        <f t="shared" si="14"/>
        <v>amandaedwyer119@gmail.com</v>
      </c>
    </row>
    <row r="845" spans="1:12">
      <c r="A845" t="str" cm="1">
        <f t="array" ref="A845">_xlfn.LET(_xlpm.e,L845,
IF(_xlpm.e="","",
"DOC-"&amp;TEXT(ROW()-ROW(tblMaster[#Headers]),"00000")
))</f>
        <v>DOC-00844</v>
      </c>
      <c r="B845" s="49">
        <v>45958</v>
      </c>
      <c r="C845" s="42" t="s">
        <v>2876</v>
      </c>
      <c r="D845" s="41" t="s">
        <v>3409</v>
      </c>
      <c r="E845" s="38" t="s">
        <v>3410</v>
      </c>
      <c r="F845" s="18"/>
      <c r="G845" s="41"/>
      <c r="H845" s="17"/>
      <c r="I845" s="18" t="s">
        <v>101</v>
      </c>
      <c r="K845" s="5" t="s">
        <v>652</v>
      </c>
      <c r="L845" t="str">
        <f t="shared" si="14"/>
        <v>acbull909@gmail.com</v>
      </c>
    </row>
    <row r="846" spans="1:12">
      <c r="A846" t="str" cm="1">
        <f t="array" ref="A846">_xlfn.LET(_xlpm.e,L846,
IF(_xlpm.e="","",
"DOC-"&amp;TEXT(ROW()-ROW(tblMaster[#Headers]),"00000")
))</f>
        <v>DOC-00845</v>
      </c>
      <c r="B846" s="49">
        <v>45958</v>
      </c>
      <c r="C846" s="42" t="s">
        <v>3411</v>
      </c>
      <c r="D846" s="41" t="s">
        <v>3412</v>
      </c>
      <c r="E846" s="38" t="s">
        <v>3413</v>
      </c>
      <c r="F846" s="18" t="s">
        <v>3414</v>
      </c>
      <c r="G846" s="41" t="s">
        <v>252</v>
      </c>
      <c r="H846" s="17" t="s">
        <v>17</v>
      </c>
      <c r="I846" s="18" t="s">
        <v>101</v>
      </c>
      <c r="K846" s="5" t="s">
        <v>652</v>
      </c>
      <c r="L846" t="str">
        <f t="shared" si="14"/>
        <v>hollymm1986@gmail.com</v>
      </c>
    </row>
    <row r="847" spans="1:12">
      <c r="A847" t="str" cm="1">
        <f t="array" ref="A847">_xlfn.LET(_xlpm.e,L847,
IF(_xlpm.e="","",
"DOC-"&amp;TEXT(ROW()-ROW(tblMaster[#Headers]),"00000")
))</f>
        <v>DOC-00846</v>
      </c>
      <c r="B847" s="49">
        <v>45958</v>
      </c>
      <c r="C847" s="42" t="s">
        <v>3415</v>
      </c>
      <c r="D847" s="41" t="s">
        <v>3416</v>
      </c>
      <c r="E847" s="38" t="s">
        <v>3417</v>
      </c>
      <c r="F847" s="18" t="s">
        <v>3418</v>
      </c>
      <c r="G847" s="41" t="s">
        <v>1598</v>
      </c>
      <c r="H847" s="17" t="s">
        <v>17</v>
      </c>
      <c r="I847" s="18" t="s">
        <v>2276</v>
      </c>
      <c r="K847" s="5" t="s">
        <v>652</v>
      </c>
      <c r="L847" t="str">
        <f t="shared" si="14"/>
        <v>r.l.rosso-author@outlook.com</v>
      </c>
    </row>
    <row r="848" spans="1:12">
      <c r="A848" t="str" cm="1">
        <f t="array" ref="A848">_xlfn.LET(_xlpm.e,L848,
IF(_xlpm.e="","",
"DOC-"&amp;TEXT(ROW()-ROW(tblMaster[#Headers]),"00000")
))</f>
        <v>DOC-00847</v>
      </c>
      <c r="B848" s="49">
        <v>45958</v>
      </c>
      <c r="C848" s="42" t="s">
        <v>3419</v>
      </c>
      <c r="D848" s="41" t="s">
        <v>3420</v>
      </c>
      <c r="E848" s="38" t="s">
        <v>3421</v>
      </c>
      <c r="F848" s="18" t="s">
        <v>3422</v>
      </c>
      <c r="G848" s="41" t="s">
        <v>74</v>
      </c>
      <c r="H848" s="17" t="s">
        <v>17</v>
      </c>
      <c r="I848" s="18" t="s">
        <v>54</v>
      </c>
      <c r="K848" s="5" t="s">
        <v>652</v>
      </c>
      <c r="L848" t="str">
        <f t="shared" si="14"/>
        <v>gguardado@worcester.edu</v>
      </c>
    </row>
    <row r="849" spans="1:12">
      <c r="A849" t="str" cm="1">
        <f t="array" ref="A849">_xlfn.LET(_xlpm.e,L849,
IF(_xlpm.e="","",
"DOC-"&amp;TEXT(ROW()-ROW(tblMaster[#Headers]),"00000")
))</f>
        <v>DOC-00848</v>
      </c>
      <c r="B849" s="49">
        <v>45958</v>
      </c>
      <c r="C849" s="42" t="s">
        <v>3423</v>
      </c>
      <c r="D849" s="41" t="s">
        <v>3424</v>
      </c>
      <c r="E849" s="38" t="s">
        <v>3425</v>
      </c>
      <c r="F849" s="18" t="s">
        <v>3426</v>
      </c>
      <c r="G849" s="41" t="s">
        <v>576</v>
      </c>
      <c r="H849" s="17" t="s">
        <v>17</v>
      </c>
      <c r="I849" s="18" t="s">
        <v>2276</v>
      </c>
      <c r="K849" s="5" t="s">
        <v>652</v>
      </c>
      <c r="L849" t="str">
        <f t="shared" si="14"/>
        <v>minottpretty@gmail.com</v>
      </c>
    </row>
    <row r="850" spans="1:12">
      <c r="A850" t="str" cm="1">
        <f t="array" ref="A850">_xlfn.LET(_xlpm.e,L850,
IF(_xlpm.e="","",
"DOC-"&amp;TEXT(ROW()-ROW(tblMaster[#Headers]),"00000")
))</f>
        <v>DOC-00849</v>
      </c>
      <c r="B850" s="49">
        <v>45958</v>
      </c>
      <c r="C850" s="42" t="s">
        <v>1307</v>
      </c>
      <c r="D850" s="41" t="s">
        <v>3427</v>
      </c>
      <c r="E850" s="38" t="s">
        <v>3428</v>
      </c>
      <c r="F850" s="18" t="s">
        <v>3429</v>
      </c>
      <c r="G850" s="41" t="s">
        <v>438</v>
      </c>
      <c r="H850" s="17" t="s">
        <v>17</v>
      </c>
      <c r="I850" s="18" t="s">
        <v>2276</v>
      </c>
      <c r="J850" s="99" t="s">
        <v>23</v>
      </c>
      <c r="K850" s="5" t="s">
        <v>652</v>
      </c>
      <c r="L850" t="str">
        <f t="shared" si="14"/>
        <v>anthonynpalmieri1@gmail.com</v>
      </c>
    </row>
    <row r="851" spans="1:12">
      <c r="A851" t="str" cm="1">
        <f t="array" ref="A851">_xlfn.LET(_xlpm.e,L851,
IF(_xlpm.e="","",
"DOC-"&amp;TEXT(ROW()-ROW(tblMaster[#Headers]),"00000")
))</f>
        <v>DOC-00850</v>
      </c>
      <c r="B851" s="49">
        <v>45958</v>
      </c>
      <c r="C851" s="42" t="s">
        <v>3430</v>
      </c>
      <c r="D851" s="41" t="s">
        <v>3431</v>
      </c>
      <c r="E851" s="38" t="s">
        <v>3432</v>
      </c>
      <c r="F851" s="18" t="s">
        <v>3433</v>
      </c>
      <c r="G851" s="41" t="s">
        <v>3434</v>
      </c>
      <c r="H851" s="17" t="s">
        <v>153</v>
      </c>
      <c r="I851" s="18" t="s">
        <v>2276</v>
      </c>
      <c r="K851" s="5" t="s">
        <v>652</v>
      </c>
      <c r="L851" t="str">
        <f t="shared" si="14"/>
        <v>dianamedina7789@gmail.com</v>
      </c>
    </row>
    <row r="852" spans="1:12">
      <c r="A852" t="str" cm="1">
        <f t="array" ref="A852">_xlfn.LET(_xlpm.e,L852,
IF(_xlpm.e="","",
"DOC-"&amp;TEXT(ROW()-ROW(tblMaster[#Headers]),"00000")
))</f>
        <v>DOC-00851</v>
      </c>
      <c r="B852" s="49">
        <v>45958</v>
      </c>
      <c r="C852" s="42" t="s">
        <v>3435</v>
      </c>
      <c r="D852" s="41" t="s">
        <v>3436</v>
      </c>
      <c r="E852" s="38" t="s">
        <v>3437</v>
      </c>
      <c r="F852" s="18" t="s">
        <v>3438</v>
      </c>
      <c r="G852" s="41" t="s">
        <v>47</v>
      </c>
      <c r="H852" s="17" t="s">
        <v>17</v>
      </c>
      <c r="I852" s="18" t="s">
        <v>2276</v>
      </c>
      <c r="K852" s="5" t="s">
        <v>652</v>
      </c>
      <c r="L852" t="str">
        <f t="shared" si="14"/>
        <v>mauricio_peralta32@hotmail.com</v>
      </c>
    </row>
    <row r="853" spans="1:12">
      <c r="A853" t="str" cm="1">
        <f t="array" ref="A853">_xlfn.LET(_xlpm.e,L853,
IF(_xlpm.e="","",
"DOC-"&amp;TEXT(ROW()-ROW(tblMaster[#Headers]),"00000")
))</f>
        <v>DOC-00852</v>
      </c>
      <c r="B853" s="49">
        <v>45958</v>
      </c>
      <c r="C853" s="42" t="s">
        <v>1636</v>
      </c>
      <c r="D853" s="41" t="s">
        <v>3439</v>
      </c>
      <c r="E853" s="38" t="s">
        <v>3440</v>
      </c>
      <c r="F853" s="18" t="s">
        <v>3441</v>
      </c>
      <c r="G853" s="41" t="s">
        <v>2018</v>
      </c>
      <c r="H853" s="17" t="s">
        <v>17</v>
      </c>
      <c r="I853" s="18" t="s">
        <v>2276</v>
      </c>
      <c r="K853" s="5" t="s">
        <v>652</v>
      </c>
      <c r="L853" t="str">
        <f t="shared" si="14"/>
        <v>zanka67@aol.com</v>
      </c>
    </row>
    <row r="854" spans="1:12">
      <c r="A854" t="str" cm="1">
        <f t="array" ref="A854">_xlfn.LET(_xlpm.e,L854,
IF(_xlpm.e="","",
"DOC-"&amp;TEXT(ROW()-ROW(tblMaster[#Headers]),"00000")
))</f>
        <v>DOC-00853</v>
      </c>
      <c r="B854" s="49">
        <v>45958</v>
      </c>
      <c r="C854" s="42" t="s">
        <v>2143</v>
      </c>
      <c r="D854" s="41" t="s">
        <v>3442</v>
      </c>
      <c r="E854" s="38" t="s">
        <v>3443</v>
      </c>
      <c r="F854" s="18" t="s">
        <v>3444</v>
      </c>
      <c r="G854" s="41" t="s">
        <v>3158</v>
      </c>
      <c r="H854" s="17" t="s">
        <v>17</v>
      </c>
      <c r="I854" s="18" t="s">
        <v>2276</v>
      </c>
      <c r="K854" s="5" t="s">
        <v>652</v>
      </c>
      <c r="L854" t="str">
        <f t="shared" si="14"/>
        <v>scochran2252@gmail.com</v>
      </c>
    </row>
    <row r="855" spans="1:12">
      <c r="A855" t="str" cm="1">
        <f t="array" ref="A855">_xlfn.LET(_xlpm.e,L855,
IF(_xlpm.e="","",
"DOC-"&amp;TEXT(ROW()-ROW(tblMaster[#Headers]),"00000")
))</f>
        <v>DOC-00854</v>
      </c>
      <c r="B855" s="49">
        <v>45958</v>
      </c>
      <c r="C855" s="42" t="s">
        <v>3445</v>
      </c>
      <c r="D855" s="41" t="s">
        <v>3446</v>
      </c>
      <c r="E855" s="38" t="s">
        <v>3447</v>
      </c>
      <c r="F855" s="18" t="s">
        <v>3448</v>
      </c>
      <c r="G855" s="41" t="s">
        <v>3449</v>
      </c>
      <c r="H855" s="17" t="s">
        <v>17</v>
      </c>
      <c r="I855" s="18" t="s">
        <v>2276</v>
      </c>
      <c r="J855" s="99" t="s">
        <v>23</v>
      </c>
      <c r="K855" s="5" t="s">
        <v>652</v>
      </c>
      <c r="L855" t="str">
        <f t="shared" si="14"/>
        <v>kernikens@gmail.com</v>
      </c>
    </row>
    <row r="856" spans="1:12">
      <c r="A856" t="str" cm="1">
        <f t="array" ref="A856">_xlfn.LET(_xlpm.e,L856,
IF(_xlpm.e="","",
"DOC-"&amp;TEXT(ROW()-ROW(tblMaster[#Headers]),"00000")
))</f>
        <v/>
      </c>
      <c r="B856" s="49">
        <v>45958</v>
      </c>
      <c r="C856" s="42" t="s">
        <v>3450</v>
      </c>
      <c r="D856" s="41" t="s">
        <v>3451</v>
      </c>
      <c r="E856" s="41"/>
      <c r="F856" s="18" t="s">
        <v>3452</v>
      </c>
      <c r="G856" s="41" t="s">
        <v>74</v>
      </c>
      <c r="H856" s="17" t="s">
        <v>17</v>
      </c>
      <c r="I856" s="18" t="s">
        <v>2276</v>
      </c>
      <c r="K856" s="5" t="s">
        <v>652</v>
      </c>
      <c r="L856" t="str">
        <f t="shared" si="14"/>
        <v/>
      </c>
    </row>
    <row r="857" spans="1:12">
      <c r="A857" t="str" cm="1">
        <f t="array" ref="A857">_xlfn.LET(_xlpm.e,L857,
IF(_xlpm.e="","",
"DOC-"&amp;TEXT(ROW()-ROW(tblMaster[#Headers]),"00000")
))</f>
        <v>DOC-00856</v>
      </c>
      <c r="B857" s="49">
        <v>45958</v>
      </c>
      <c r="C857" s="42" t="s">
        <v>3453</v>
      </c>
      <c r="D857" s="41" t="s">
        <v>1826</v>
      </c>
      <c r="E857" s="38" t="s">
        <v>3454</v>
      </c>
      <c r="F857" s="18" t="s">
        <v>3455</v>
      </c>
      <c r="G857" s="41" t="s">
        <v>231</v>
      </c>
      <c r="H857" s="17" t="s">
        <v>17</v>
      </c>
      <c r="I857" s="18" t="s">
        <v>54</v>
      </c>
      <c r="J857" s="99" t="s">
        <v>194</v>
      </c>
      <c r="K857" s="5" t="s">
        <v>652</v>
      </c>
      <c r="L857" t="str">
        <f t="shared" si="14"/>
        <v>rjbrooks23@gmail.com</v>
      </c>
    </row>
    <row r="858" spans="1:12">
      <c r="A858" t="str" cm="1">
        <f t="array" ref="A858">_xlfn.LET(_xlpm.e,L858,
IF(_xlpm.e="","",
"DOC-"&amp;TEXT(ROW()-ROW(tblMaster[#Headers]),"00000")
))</f>
        <v>DOC-00857</v>
      </c>
      <c r="B858" s="49">
        <v>45958</v>
      </c>
      <c r="C858" s="42" t="s">
        <v>3456</v>
      </c>
      <c r="D858" s="41" t="s">
        <v>3457</v>
      </c>
      <c r="E858" s="38" t="s">
        <v>3458</v>
      </c>
      <c r="F858" s="18" t="s">
        <v>3459</v>
      </c>
      <c r="G858" s="41" t="s">
        <v>979</v>
      </c>
      <c r="H858" s="17" t="s">
        <v>17</v>
      </c>
      <c r="I858" s="18" t="s">
        <v>2276</v>
      </c>
      <c r="K858" s="5" t="s">
        <v>652</v>
      </c>
      <c r="L858" t="str">
        <f t="shared" si="14"/>
        <v>vjnocci@live.com</v>
      </c>
    </row>
    <row r="859" spans="1:12">
      <c r="A859" t="str" cm="1">
        <f t="array" ref="A859">_xlfn.LET(_xlpm.e,L859,
IF(_xlpm.e="","",
"DOC-"&amp;TEXT(ROW()-ROW(tblMaster[#Headers]),"00000")
))</f>
        <v>DOC-00858</v>
      </c>
      <c r="B859" s="49">
        <v>45958</v>
      </c>
      <c r="C859" s="42" t="s">
        <v>3460</v>
      </c>
      <c r="D859" s="41" t="s">
        <v>3461</v>
      </c>
      <c r="E859" s="38" t="s">
        <v>3462</v>
      </c>
      <c r="F859" s="18" t="s">
        <v>3463</v>
      </c>
      <c r="G859" s="41" t="s">
        <v>3464</v>
      </c>
      <c r="H859" s="17" t="s">
        <v>17</v>
      </c>
      <c r="I859" s="18" t="s">
        <v>2276</v>
      </c>
      <c r="K859" s="5" t="s">
        <v>652</v>
      </c>
      <c r="L859" t="str">
        <f t="shared" si="14"/>
        <v>ibrahim_oro@hotmail.com</v>
      </c>
    </row>
    <row r="860" spans="1:12">
      <c r="A860" t="str" cm="1">
        <f t="array" ref="A860">_xlfn.LET(_xlpm.e,L860,
IF(_xlpm.e="","",
"DOC-"&amp;TEXT(ROW()-ROW(tblMaster[#Headers]),"00000")
))</f>
        <v>DOC-00859</v>
      </c>
      <c r="B860" s="49">
        <v>45958</v>
      </c>
      <c r="C860" s="42" t="s">
        <v>3465</v>
      </c>
      <c r="D860" s="41" t="s">
        <v>3466</v>
      </c>
      <c r="E860" s="38" t="s">
        <v>3467</v>
      </c>
      <c r="F860" s="18" t="s">
        <v>3468</v>
      </c>
      <c r="G860" s="41" t="s">
        <v>544</v>
      </c>
      <c r="H860" s="17" t="s">
        <v>17</v>
      </c>
      <c r="I860" s="18" t="s">
        <v>54</v>
      </c>
      <c r="K860" s="5" t="s">
        <v>652</v>
      </c>
      <c r="L860" t="str">
        <f t="shared" si="14"/>
        <v>darylafrance93@gmail.com</v>
      </c>
    </row>
    <row r="861" spans="1:12">
      <c r="A861" t="str" cm="1">
        <f t="array" ref="A861">_xlfn.LET(_xlpm.e,L861,
IF(_xlpm.e="","",
"DOC-"&amp;TEXT(ROW()-ROW(tblMaster[#Headers]),"00000")
))</f>
        <v>DOC-00860</v>
      </c>
      <c r="B861" s="49">
        <v>45958</v>
      </c>
      <c r="C861" s="42" t="s">
        <v>1307</v>
      </c>
      <c r="D861" s="41" t="s">
        <v>822</v>
      </c>
      <c r="E861" s="38" t="s">
        <v>3469</v>
      </c>
      <c r="F861" s="18" t="s">
        <v>3470</v>
      </c>
      <c r="G861" s="41" t="s">
        <v>47</v>
      </c>
      <c r="H861" s="17" t="s">
        <v>17</v>
      </c>
      <c r="I861" s="18" t="s">
        <v>54</v>
      </c>
      <c r="J861" s="99" t="s">
        <v>66</v>
      </c>
      <c r="K861" s="5" t="s">
        <v>652</v>
      </c>
      <c r="L861" t="str">
        <f t="shared" si="14"/>
        <v>anthonytorres0812@gmail.com</v>
      </c>
    </row>
    <row r="862" spans="1:12">
      <c r="A862" t="str" cm="1">
        <f t="array" ref="A862">_xlfn.LET(_xlpm.e,L862,
IF(_xlpm.e="","",
"DOC-"&amp;TEXT(ROW()-ROW(tblMaster[#Headers]),"00000")
))</f>
        <v>DOC-00861</v>
      </c>
      <c r="B862" s="49">
        <v>45958</v>
      </c>
      <c r="C862" s="42" t="s">
        <v>3471</v>
      </c>
      <c r="D862" s="41" t="s">
        <v>1790</v>
      </c>
      <c r="E862" s="38" t="s">
        <v>3472</v>
      </c>
      <c r="F862" s="18" t="s">
        <v>3473</v>
      </c>
      <c r="G862" s="41" t="s">
        <v>2811</v>
      </c>
      <c r="H862" s="17" t="s">
        <v>17</v>
      </c>
      <c r="I862" s="18" t="s">
        <v>54</v>
      </c>
      <c r="K862" s="5" t="s">
        <v>652</v>
      </c>
      <c r="L862" t="str">
        <f t="shared" si="14"/>
        <v>nerlande.paul@gmail.com</v>
      </c>
    </row>
    <row r="863" spans="1:12">
      <c r="A863" t="str" cm="1">
        <f t="array" ref="A863">_xlfn.LET(_xlpm.e,L863,
IF(_xlpm.e="","",
"DOC-"&amp;TEXT(ROW()-ROW(tblMaster[#Headers]),"00000")
))</f>
        <v>DOC-00862</v>
      </c>
      <c r="B863" s="49">
        <v>45958</v>
      </c>
      <c r="C863" s="42" t="s">
        <v>2112</v>
      </c>
      <c r="D863" s="41" t="s">
        <v>3474</v>
      </c>
      <c r="E863" s="38" t="s">
        <v>3475</v>
      </c>
      <c r="F863" s="18" t="s">
        <v>3476</v>
      </c>
      <c r="G863" s="41" t="s">
        <v>3477</v>
      </c>
      <c r="H863" s="17" t="s">
        <v>17</v>
      </c>
      <c r="I863" s="18" t="s">
        <v>101</v>
      </c>
      <c r="K863" s="5" t="s">
        <v>652</v>
      </c>
      <c r="L863" t="str">
        <f t="shared" si="14"/>
        <v>zachwojo05@gmail.com</v>
      </c>
    </row>
    <row r="864" spans="1:12">
      <c r="A864" t="str" cm="1">
        <f t="array" ref="A864">_xlfn.LET(_xlpm.e,L864,
IF(_xlpm.e="","",
"DOC-"&amp;TEXT(ROW()-ROW(tblMaster[#Headers]),"00000")
))</f>
        <v>DOC-00863</v>
      </c>
      <c r="B864" s="49">
        <v>45958</v>
      </c>
      <c r="C864" s="42" t="s">
        <v>733</v>
      </c>
      <c r="D864" s="41" t="s">
        <v>3478</v>
      </c>
      <c r="E864" s="38" t="s">
        <v>3479</v>
      </c>
      <c r="F864" s="18" t="s">
        <v>3480</v>
      </c>
      <c r="G864" s="41" t="s">
        <v>3481</v>
      </c>
      <c r="H864" s="17" t="s">
        <v>17</v>
      </c>
      <c r="I864" s="18" t="s">
        <v>2276</v>
      </c>
      <c r="J864" s="99" t="s">
        <v>23</v>
      </c>
      <c r="K864" s="5" t="s">
        <v>652</v>
      </c>
      <c r="L864" t="str">
        <f t="shared" si="14"/>
        <v>danielmckay79@yahoo.com</v>
      </c>
    </row>
    <row r="865" spans="1:12">
      <c r="A865" t="str" cm="1">
        <f t="array" ref="A865">_xlfn.LET(_xlpm.e,L865,
IF(_xlpm.e="","",
"DOC-"&amp;TEXT(ROW()-ROW(tblMaster[#Headers]),"00000")
))</f>
        <v>DOC-00864</v>
      </c>
      <c r="B865" s="49">
        <v>45958</v>
      </c>
      <c r="C865" s="42" t="s">
        <v>3482</v>
      </c>
      <c r="D865" s="41" t="s">
        <v>3483</v>
      </c>
      <c r="E865" s="38" t="s">
        <v>3484</v>
      </c>
      <c r="F865" s="18" t="s">
        <v>3485</v>
      </c>
      <c r="G865" s="41" t="s">
        <v>33</v>
      </c>
      <c r="H865" s="17" t="s">
        <v>17</v>
      </c>
      <c r="I865" s="18" t="s">
        <v>101</v>
      </c>
      <c r="K865" s="5" t="s">
        <v>226</v>
      </c>
      <c r="L865" t="str">
        <f t="shared" si="14"/>
        <v>bellycesar135@gmail.com</v>
      </c>
    </row>
    <row r="866" spans="1:12">
      <c r="A866" t="str" cm="1">
        <f t="array" ref="A866">_xlfn.LET(_xlpm.e,L866,
IF(_xlpm.e="","",
"DOC-"&amp;TEXT(ROW()-ROW(tblMaster[#Headers]),"00000")
))</f>
        <v>DOC-00865</v>
      </c>
      <c r="B866" s="49">
        <v>45958</v>
      </c>
      <c r="C866" s="42" t="s">
        <v>3486</v>
      </c>
      <c r="D866" s="41" t="s">
        <v>3487</v>
      </c>
      <c r="E866" s="38" t="s">
        <v>3488</v>
      </c>
      <c r="F866" s="18" t="s">
        <v>3489</v>
      </c>
      <c r="G866" s="41" t="s">
        <v>88</v>
      </c>
      <c r="H866" s="17" t="s">
        <v>17</v>
      </c>
      <c r="I866" s="18" t="s">
        <v>54</v>
      </c>
      <c r="K866" s="5" t="s">
        <v>652</v>
      </c>
      <c r="L866" t="str">
        <f t="shared" si="14"/>
        <v>writingfromspirit@gmail.com</v>
      </c>
    </row>
    <row r="867" spans="1:12">
      <c r="A867" t="str" cm="1">
        <f t="array" ref="A867">_xlfn.LET(_xlpm.e,L867,
IF(_xlpm.e="","",
"DOC-"&amp;TEXT(ROW()-ROW(tblMaster[#Headers]),"00000")
))</f>
        <v>DOC-00866</v>
      </c>
      <c r="B867" s="49">
        <v>45958</v>
      </c>
      <c r="C867" s="42" t="s">
        <v>3490</v>
      </c>
      <c r="D867" s="41" t="s">
        <v>3491</v>
      </c>
      <c r="E867" s="38" t="s">
        <v>3492</v>
      </c>
      <c r="F867" s="18" t="s">
        <v>3493</v>
      </c>
      <c r="G867" s="41" t="s">
        <v>276</v>
      </c>
      <c r="H867" s="17" t="s">
        <v>17</v>
      </c>
      <c r="I867" s="18" t="s">
        <v>54</v>
      </c>
      <c r="J867" s="99" t="s">
        <v>497</v>
      </c>
      <c r="K867" s="5" t="s">
        <v>652</v>
      </c>
      <c r="L867" t="str">
        <f t="shared" si="14"/>
        <v>garrett.rainey0411@gmail.com</v>
      </c>
    </row>
    <row r="868" spans="1:12">
      <c r="A868" t="str" cm="1">
        <f t="array" ref="A868">_xlfn.LET(_xlpm.e,L868,
IF(_xlpm.e="","",
"DOC-"&amp;TEXT(ROW()-ROW(tblMaster[#Headers]),"00000")
))</f>
        <v>DOC-00867</v>
      </c>
      <c r="B868" s="49">
        <v>45958</v>
      </c>
      <c r="C868" s="42" t="s">
        <v>3494</v>
      </c>
      <c r="D868" s="41" t="s">
        <v>3495</v>
      </c>
      <c r="E868" s="38" t="s">
        <v>3496</v>
      </c>
      <c r="F868" s="18" t="s">
        <v>3497</v>
      </c>
      <c r="G868" s="41" t="s">
        <v>544</v>
      </c>
      <c r="H868" s="17" t="s">
        <v>17</v>
      </c>
      <c r="I868" s="18" t="s">
        <v>54</v>
      </c>
      <c r="J868" s="99" t="s">
        <v>66</v>
      </c>
      <c r="K868" s="5" t="s">
        <v>652</v>
      </c>
      <c r="L868" t="str">
        <f t="shared" si="14"/>
        <v>nataliecardona117@gmail.com</v>
      </c>
    </row>
    <row r="869" spans="1:12">
      <c r="A869" t="str" cm="1">
        <f t="array" ref="A869">_xlfn.LET(_xlpm.e,L869,
IF(_xlpm.e="","",
"DOC-"&amp;TEXT(ROW()-ROW(tblMaster[#Headers]),"00000")
))</f>
        <v>DOC-00868</v>
      </c>
      <c r="B869" s="49">
        <v>45958</v>
      </c>
      <c r="C869" s="42" t="s">
        <v>3498</v>
      </c>
      <c r="D869" s="41" t="s">
        <v>3499</v>
      </c>
      <c r="E869" s="38" t="s">
        <v>3500</v>
      </c>
      <c r="F869" s="18" t="s">
        <v>3501</v>
      </c>
      <c r="G869" s="41" t="s">
        <v>52</v>
      </c>
      <c r="H869" s="17" t="s">
        <v>17</v>
      </c>
      <c r="I869" s="18" t="s">
        <v>54</v>
      </c>
      <c r="K869" s="5" t="s">
        <v>652</v>
      </c>
      <c r="L869" t="str">
        <f t="shared" si="14"/>
        <v>lentz785@gmail.com</v>
      </c>
    </row>
    <row r="870" spans="1:12">
      <c r="A870" t="str" cm="1">
        <f t="array" ref="A870">_xlfn.LET(_xlpm.e,L870,
IF(_xlpm.e="","",
"DOC-"&amp;TEXT(ROW()-ROW(tblMaster[#Headers]),"00000")
))</f>
        <v>DOC-00869</v>
      </c>
      <c r="B870" s="49">
        <v>45958</v>
      </c>
      <c r="C870" s="42" t="s">
        <v>3502</v>
      </c>
      <c r="D870" s="41" t="s">
        <v>3503</v>
      </c>
      <c r="E870" s="38" t="s">
        <v>3504</v>
      </c>
      <c r="F870" s="18" t="s">
        <v>3505</v>
      </c>
      <c r="G870" s="41" t="s">
        <v>3506</v>
      </c>
      <c r="H870" s="17" t="s">
        <v>1590</v>
      </c>
      <c r="I870" s="18" t="s">
        <v>54</v>
      </c>
      <c r="K870" s="5" t="s">
        <v>652</v>
      </c>
      <c r="L870" t="str">
        <f t="shared" si="14"/>
        <v>reyesjohan755@gmail.com</v>
      </c>
    </row>
    <row r="871" spans="1:12">
      <c r="A871" t="str" cm="1">
        <f t="array" ref="A871">_xlfn.LET(_xlpm.e,L871,
IF(_xlpm.e="","",
"DOC-"&amp;TEXT(ROW()-ROW(tblMaster[#Headers]),"00000")
))</f>
        <v>DOC-00870</v>
      </c>
      <c r="B871" s="49">
        <v>45958</v>
      </c>
      <c r="C871" s="42" t="s">
        <v>3340</v>
      </c>
      <c r="D871" s="41" t="s">
        <v>3507</v>
      </c>
      <c r="E871" s="38" t="s">
        <v>3508</v>
      </c>
      <c r="F871" s="18" t="s">
        <v>3509</v>
      </c>
      <c r="G871" s="41" t="s">
        <v>79</v>
      </c>
      <c r="H871" s="17" t="s">
        <v>17</v>
      </c>
      <c r="I871" s="18" t="s">
        <v>54</v>
      </c>
      <c r="J871" s="99" t="s">
        <v>23</v>
      </c>
      <c r="K871" s="5" t="s">
        <v>226</v>
      </c>
      <c r="L871" t="str">
        <f t="shared" si="14"/>
        <v>vincentferrer15@yahoo.com</v>
      </c>
    </row>
    <row r="872" spans="1:12">
      <c r="A872" t="str" cm="1">
        <f t="array" ref="A872">_xlfn.LET(_xlpm.e,L872,
IF(_xlpm.e="","",
"DOC-"&amp;TEXT(ROW()-ROW(tblMaster[#Headers]),"00000")
))</f>
        <v>DOC-00871</v>
      </c>
      <c r="B872" s="49">
        <v>45958</v>
      </c>
      <c r="C872" s="42" t="s">
        <v>3510</v>
      </c>
      <c r="D872" s="41" t="s">
        <v>3511</v>
      </c>
      <c r="E872" s="38" t="s">
        <v>3512</v>
      </c>
      <c r="F872" s="18" t="s">
        <v>3513</v>
      </c>
      <c r="G872" s="41" t="s">
        <v>837</v>
      </c>
      <c r="H872" s="17" t="s">
        <v>17</v>
      </c>
      <c r="I872" s="18" t="s">
        <v>101</v>
      </c>
      <c r="K872" s="5" t="s">
        <v>652</v>
      </c>
      <c r="L872" t="str">
        <f t="shared" si="14"/>
        <v>ernestostlouis@gmail.com</v>
      </c>
    </row>
    <row r="873" spans="1:12">
      <c r="A873" t="str" cm="1">
        <f t="array" ref="A873">_xlfn.LET(_xlpm.e,L873,
IF(_xlpm.e="","",
"DOC-"&amp;TEXT(ROW()-ROW(tblMaster[#Headers]),"00000")
))</f>
        <v>DOC-00872</v>
      </c>
      <c r="B873" s="49">
        <v>45958</v>
      </c>
      <c r="C873" s="42" t="s">
        <v>3514</v>
      </c>
      <c r="D873" s="41" t="s">
        <v>3515</v>
      </c>
      <c r="E873" s="38" t="s">
        <v>3516</v>
      </c>
      <c r="F873" s="18" t="s">
        <v>3517</v>
      </c>
      <c r="G873" s="41" t="s">
        <v>74</v>
      </c>
      <c r="H873" s="17" t="s">
        <v>17</v>
      </c>
      <c r="I873" s="18" t="s">
        <v>101</v>
      </c>
      <c r="K873" s="5" t="s">
        <v>652</v>
      </c>
      <c r="L873" t="str">
        <f t="shared" si="14"/>
        <v>antwone12@gmail.com</v>
      </c>
    </row>
    <row r="874" spans="1:12">
      <c r="A874" t="str" cm="1">
        <f t="array" ref="A874">_xlfn.LET(_xlpm.e,L874,
IF(_xlpm.e="","",
"DOC-"&amp;TEXT(ROW()-ROW(tblMaster[#Headers]),"00000")
))</f>
        <v>DOC-00873</v>
      </c>
      <c r="B874" s="49">
        <v>45958</v>
      </c>
      <c r="C874" s="42" t="s">
        <v>1790</v>
      </c>
      <c r="D874" s="41" t="s">
        <v>3518</v>
      </c>
      <c r="E874" s="38" t="s">
        <v>3519</v>
      </c>
      <c r="F874" s="18" t="s">
        <v>3520</v>
      </c>
      <c r="G874" s="41" t="s">
        <v>3521</v>
      </c>
      <c r="H874" s="17" t="s">
        <v>17</v>
      </c>
      <c r="I874" s="18" t="s">
        <v>2276</v>
      </c>
      <c r="K874" s="5" t="s">
        <v>226</v>
      </c>
      <c r="L874" t="str">
        <f t="shared" si="14"/>
        <v>paul.lison83@gmail.com</v>
      </c>
    </row>
    <row r="875" spans="1:12">
      <c r="A875" t="str" cm="1">
        <f t="array" ref="A875">_xlfn.LET(_xlpm.e,L875,
IF(_xlpm.e="","",
"DOC-"&amp;TEXT(ROW()-ROW(tblMaster[#Headers]),"00000")
))</f>
        <v>DOC-00874</v>
      </c>
      <c r="B875" s="49">
        <v>45958</v>
      </c>
      <c r="C875" s="42" t="s">
        <v>1261</v>
      </c>
      <c r="D875" s="41" t="s">
        <v>3522</v>
      </c>
      <c r="E875" s="38" t="s">
        <v>3523</v>
      </c>
      <c r="F875" s="18" t="s">
        <v>3524</v>
      </c>
      <c r="G875" s="41" t="s">
        <v>2392</v>
      </c>
      <c r="H875" s="17" t="s">
        <v>60</v>
      </c>
      <c r="I875" s="18" t="s">
        <v>54</v>
      </c>
      <c r="K875" s="5" t="s">
        <v>226</v>
      </c>
      <c r="L875" t="str">
        <f t="shared" si="14"/>
        <v>andrewbalestracci@gmail.com</v>
      </c>
    </row>
    <row r="876" spans="1:12">
      <c r="A876" t="str" cm="1">
        <f t="array" ref="A876">_xlfn.LET(_xlpm.e,L876,
IF(_xlpm.e="","",
"DOC-"&amp;TEXT(ROW()-ROW(tblMaster[#Headers]),"00000")
))</f>
        <v>DOC-00875</v>
      </c>
      <c r="B876" s="49">
        <v>45958</v>
      </c>
      <c r="C876" s="42" t="s">
        <v>3525</v>
      </c>
      <c r="D876" s="41" t="s">
        <v>3526</v>
      </c>
      <c r="E876" s="38" t="s">
        <v>3527</v>
      </c>
      <c r="F876" s="18" t="s">
        <v>3528</v>
      </c>
      <c r="G876" s="41" t="s">
        <v>142</v>
      </c>
      <c r="H876" s="17" t="s">
        <v>17</v>
      </c>
      <c r="I876" s="18" t="s">
        <v>54</v>
      </c>
      <c r="K876" s="5" t="s">
        <v>652</v>
      </c>
      <c r="L876" t="str">
        <f t="shared" si="14"/>
        <v>ftoussaint303@gmail.com</v>
      </c>
    </row>
    <row r="877" spans="1:12">
      <c r="A877" t="str" cm="1">
        <f t="array" ref="A877">_xlfn.LET(_xlpm.e,L877,
IF(_xlpm.e="","",
"DOC-"&amp;TEXT(ROW()-ROW(tblMaster[#Headers]),"00000")
))</f>
        <v>DOC-00876</v>
      </c>
      <c r="B877" s="49">
        <v>45958</v>
      </c>
      <c r="C877" s="42" t="s">
        <v>3529</v>
      </c>
      <c r="D877" s="41" t="s">
        <v>1678</v>
      </c>
      <c r="E877" s="38" t="s">
        <v>3530</v>
      </c>
      <c r="F877" s="18" t="s">
        <v>3531</v>
      </c>
      <c r="G877" s="41" t="s">
        <v>52</v>
      </c>
      <c r="H877" s="17" t="s">
        <v>17</v>
      </c>
      <c r="I877" s="18" t="s">
        <v>2276</v>
      </c>
      <c r="J877" s="99" t="s">
        <v>23</v>
      </c>
      <c r="K877" s="5" t="s">
        <v>652</v>
      </c>
      <c r="L877" t="str">
        <f t="shared" si="14"/>
        <v>bufffff@gmail.com</v>
      </c>
    </row>
    <row r="878" spans="1:12">
      <c r="A878" t="str" cm="1">
        <f t="array" ref="A878">_xlfn.LET(_xlpm.e,L878,
IF(_xlpm.e="","",
"DOC-"&amp;TEXT(ROW()-ROW(tblMaster[#Headers]),"00000")
))</f>
        <v>DOC-00877</v>
      </c>
      <c r="B878" s="49">
        <v>45958</v>
      </c>
      <c r="C878" s="42" t="s">
        <v>3532</v>
      </c>
      <c r="D878" s="41" t="s">
        <v>3533</v>
      </c>
      <c r="E878" s="38" t="s">
        <v>3534</v>
      </c>
      <c r="F878" s="18" t="s">
        <v>3535</v>
      </c>
      <c r="G878" s="41" t="s">
        <v>74</v>
      </c>
      <c r="H878" s="17" t="s">
        <v>17</v>
      </c>
      <c r="I878" s="18" t="s">
        <v>54</v>
      </c>
      <c r="K878" s="5" t="s">
        <v>652</v>
      </c>
      <c r="L878" t="str">
        <f t="shared" si="14"/>
        <v>flanckyb@gmail.com</v>
      </c>
    </row>
    <row r="879" spans="1:12">
      <c r="A879" t="str" cm="1">
        <f t="array" ref="A879">_xlfn.LET(_xlpm.e,L879,
IF(_xlpm.e="","",
"DOC-"&amp;TEXT(ROW()-ROW(tblMaster[#Headers]),"00000")
))</f>
        <v>DOC-00878</v>
      </c>
      <c r="B879" s="49">
        <v>45958</v>
      </c>
      <c r="C879" s="42" t="s">
        <v>3536</v>
      </c>
      <c r="D879" s="41" t="s">
        <v>3537</v>
      </c>
      <c r="E879" s="38" t="s">
        <v>3538</v>
      </c>
      <c r="F879" s="18" t="s">
        <v>3539</v>
      </c>
      <c r="G879" s="41" t="s">
        <v>74</v>
      </c>
      <c r="H879" s="17" t="s">
        <v>17</v>
      </c>
      <c r="I879" s="18" t="s">
        <v>54</v>
      </c>
      <c r="K879" s="5" t="s">
        <v>652</v>
      </c>
      <c r="L879" t="str">
        <f t="shared" si="14"/>
        <v>ilonatrembath254@gmail.com</v>
      </c>
    </row>
    <row r="880" spans="1:12">
      <c r="A880" t="str" cm="1">
        <f t="array" ref="A880">_xlfn.LET(_xlpm.e,L880,
IF(_xlpm.e="","",
"DOC-"&amp;TEXT(ROW()-ROW(tblMaster[#Headers]),"00000")
))</f>
        <v>DOC-00879</v>
      </c>
      <c r="B880" s="49">
        <v>45958</v>
      </c>
      <c r="C880" s="42" t="s">
        <v>119</v>
      </c>
      <c r="D880" s="41" t="s">
        <v>3540</v>
      </c>
      <c r="E880" s="38" t="s">
        <v>3541</v>
      </c>
      <c r="F880" s="18" t="s">
        <v>3542</v>
      </c>
      <c r="G880" s="41" t="s">
        <v>1281</v>
      </c>
      <c r="H880" s="17" t="s">
        <v>17</v>
      </c>
      <c r="I880" s="18" t="s">
        <v>54</v>
      </c>
      <c r="K880" s="5" t="s">
        <v>652</v>
      </c>
      <c r="L880" t="str">
        <f t="shared" si="14"/>
        <v>cameronstevensjay@gmail.com</v>
      </c>
    </row>
    <row r="881" spans="1:12">
      <c r="A881" t="str" cm="1">
        <f t="array" ref="A881">_xlfn.LET(_xlpm.e,L881,
IF(_xlpm.e="","",
"DOC-"&amp;TEXT(ROW()-ROW(tblMaster[#Headers]),"00000")
))</f>
        <v>DOC-00880</v>
      </c>
      <c r="B881" s="49">
        <v>45958</v>
      </c>
      <c r="C881" s="42" t="s">
        <v>3543</v>
      </c>
      <c r="D881" s="41" t="s">
        <v>3544</v>
      </c>
      <c r="E881" s="38" t="s">
        <v>3545</v>
      </c>
      <c r="F881" s="18" t="s">
        <v>3546</v>
      </c>
      <c r="G881" s="41" t="s">
        <v>3547</v>
      </c>
      <c r="H881" s="17" t="s">
        <v>496</v>
      </c>
      <c r="I881" s="18" t="s">
        <v>54</v>
      </c>
      <c r="K881" s="5" t="s">
        <v>652</v>
      </c>
      <c r="L881" t="str">
        <f t="shared" si="14"/>
        <v>jajuannedd@gmail.com</v>
      </c>
    </row>
    <row r="882" spans="1:12">
      <c r="A882" t="str" cm="1">
        <f t="array" ref="A882">_xlfn.LET(_xlpm.e,L882,
IF(_xlpm.e="","",
"DOC-"&amp;TEXT(ROW()-ROW(tblMaster[#Headers]),"00000")
))</f>
        <v>DOC-00881</v>
      </c>
      <c r="B882" s="49">
        <v>45958</v>
      </c>
      <c r="C882" s="42" t="s">
        <v>3548</v>
      </c>
      <c r="D882" s="41" t="s">
        <v>3549</v>
      </c>
      <c r="E882" s="38" t="s">
        <v>3550</v>
      </c>
      <c r="F882" s="18" t="s">
        <v>3551</v>
      </c>
      <c r="G882" s="41" t="s">
        <v>182</v>
      </c>
      <c r="H882" s="17" t="s">
        <v>17</v>
      </c>
      <c r="I882" s="18" t="s">
        <v>54</v>
      </c>
      <c r="K882" s="5" t="s">
        <v>652</v>
      </c>
      <c r="L882" t="str">
        <f t="shared" si="14"/>
        <v>bernardp531@gmail.com</v>
      </c>
    </row>
    <row r="883" spans="1:12">
      <c r="A883" t="str" cm="1">
        <f t="array" ref="A883">_xlfn.LET(_xlpm.e,L883,
IF(_xlpm.e="","",
"DOC-"&amp;TEXT(ROW()-ROW(tblMaster[#Headers]),"00000")
))</f>
        <v>DOC-00882</v>
      </c>
      <c r="B883" s="49">
        <v>45958</v>
      </c>
      <c r="C883" s="42" t="s">
        <v>2636</v>
      </c>
      <c r="D883" s="41" t="s">
        <v>3552</v>
      </c>
      <c r="E883" s="38" t="s">
        <v>3553</v>
      </c>
      <c r="F883" s="18" t="s">
        <v>3554</v>
      </c>
      <c r="G883" s="41" t="s">
        <v>3555</v>
      </c>
      <c r="H883" s="17" t="s">
        <v>17</v>
      </c>
      <c r="I883" s="18" t="s">
        <v>54</v>
      </c>
      <c r="J883" s="99" t="s">
        <v>23</v>
      </c>
      <c r="K883" s="5" t="s">
        <v>652</v>
      </c>
      <c r="L883" t="str">
        <f t="shared" si="14"/>
        <v>ronaldbenn99@gmail.con</v>
      </c>
    </row>
    <row r="884" spans="1:12">
      <c r="A884" t="str" cm="1">
        <f t="array" ref="A884">_xlfn.LET(_xlpm.e,L884,
IF(_xlpm.e="","",
"DOC-"&amp;TEXT(ROW()-ROW(tblMaster[#Headers]),"00000")
))</f>
        <v>DOC-00883</v>
      </c>
      <c r="B884" s="49">
        <v>45958</v>
      </c>
      <c r="C884" s="42" t="s">
        <v>1946</v>
      </c>
      <c r="D884" s="41" t="s">
        <v>3556</v>
      </c>
      <c r="E884" s="38" t="s">
        <v>3557</v>
      </c>
      <c r="F884" s="18" t="s">
        <v>3558</v>
      </c>
      <c r="G884" s="41" t="s">
        <v>3559</v>
      </c>
      <c r="H884" s="17" t="s">
        <v>474</v>
      </c>
      <c r="I884" s="18" t="s">
        <v>54</v>
      </c>
      <c r="K884" s="5" t="s">
        <v>652</v>
      </c>
      <c r="L884" t="str">
        <f t="shared" si="14"/>
        <v>richard.bestalleyne0202@gmail.com</v>
      </c>
    </row>
    <row r="885" spans="1:12">
      <c r="A885" t="str" cm="1">
        <f t="array" ref="A885">_xlfn.LET(_xlpm.e,L885,
IF(_xlpm.e="","",
"DOC-"&amp;TEXT(ROW()-ROW(tblMaster[#Headers]),"00000")
))</f>
        <v>DOC-00884</v>
      </c>
      <c r="B885" s="49">
        <v>45958</v>
      </c>
      <c r="C885" s="42" t="s">
        <v>3560</v>
      </c>
      <c r="D885" s="41" t="s">
        <v>2034</v>
      </c>
      <c r="E885" s="38" t="s">
        <v>3561</v>
      </c>
      <c r="F885" s="18" t="s">
        <v>3562</v>
      </c>
      <c r="G885" s="41" t="s">
        <v>3555</v>
      </c>
      <c r="H885" s="17" t="s">
        <v>17</v>
      </c>
      <c r="I885" s="18" t="s">
        <v>54</v>
      </c>
      <c r="K885" s="5" t="s">
        <v>652</v>
      </c>
      <c r="L885" t="str">
        <f t="shared" si="14"/>
        <v>daivonbrown1@gmail.com</v>
      </c>
    </row>
    <row r="886" spans="1:12">
      <c r="A886" t="str" cm="1">
        <f t="array" ref="A886">_xlfn.LET(_xlpm.e,L886,
IF(_xlpm.e="","",
"DOC-"&amp;TEXT(ROW()-ROW(tblMaster[#Headers]),"00000")
))</f>
        <v>DOC-00885</v>
      </c>
      <c r="B886" s="49">
        <v>45958</v>
      </c>
      <c r="C886" s="42" t="s">
        <v>3563</v>
      </c>
      <c r="D886" s="41" t="s">
        <v>3564</v>
      </c>
      <c r="E886" s="38" t="s">
        <v>3565</v>
      </c>
      <c r="F886" s="18" t="s">
        <v>3566</v>
      </c>
      <c r="G886" s="41" t="s">
        <v>3567</v>
      </c>
      <c r="H886" s="17" t="s">
        <v>267</v>
      </c>
      <c r="I886" s="18" t="s">
        <v>54</v>
      </c>
      <c r="K886" s="5" t="s">
        <v>652</v>
      </c>
      <c r="L886" t="str">
        <f t="shared" si="14"/>
        <v>medina.joerick13@icloud.com</v>
      </c>
    </row>
    <row r="887" spans="1:12">
      <c r="A887" t="str" cm="1">
        <f t="array" ref="A887">_xlfn.LET(_xlpm.e,L887,
IF(_xlpm.e="","",
"DOC-"&amp;TEXT(ROW()-ROW(tblMaster[#Headers]),"00000")
))</f>
        <v>DOC-00886</v>
      </c>
      <c r="B887" s="49">
        <v>45958</v>
      </c>
      <c r="C887" s="42" t="s">
        <v>3568</v>
      </c>
      <c r="D887" s="41" t="s">
        <v>3569</v>
      </c>
      <c r="E887" s="38" t="s">
        <v>3570</v>
      </c>
      <c r="F887" s="18" t="s">
        <v>3571</v>
      </c>
      <c r="G887" s="41" t="s">
        <v>33</v>
      </c>
      <c r="H887" s="17" t="s">
        <v>17</v>
      </c>
      <c r="I887" s="18" t="s">
        <v>54</v>
      </c>
      <c r="K887" s="5" t="s">
        <v>652</v>
      </c>
      <c r="L887" t="str">
        <f t="shared" si="14"/>
        <v>tristanbarrett12@gmail.com</v>
      </c>
    </row>
    <row r="888" spans="1:12">
      <c r="A888" t="str" cm="1">
        <f t="array" ref="A888">_xlfn.LET(_xlpm.e,L888,
IF(_xlpm.e="","",
"DOC-"&amp;TEXT(ROW()-ROW(tblMaster[#Headers]),"00000")
))</f>
        <v>DOC-00887</v>
      </c>
      <c r="B888" s="49">
        <v>45958</v>
      </c>
      <c r="C888" s="42" t="s">
        <v>3572</v>
      </c>
      <c r="D888" s="41" t="s">
        <v>3573</v>
      </c>
      <c r="E888" s="38" t="s">
        <v>3574</v>
      </c>
      <c r="F888" s="18" t="s">
        <v>3575</v>
      </c>
      <c r="G888" s="41" t="s">
        <v>596</v>
      </c>
      <c r="H888" s="17" t="s">
        <v>17</v>
      </c>
      <c r="I888" s="18" t="s">
        <v>2276</v>
      </c>
      <c r="J888" s="99" t="s">
        <v>23</v>
      </c>
      <c r="K888" s="5" t="s">
        <v>652</v>
      </c>
      <c r="L888" t="str">
        <f t="shared" si="14"/>
        <v>juniorlopesgomes063@gmail.com</v>
      </c>
    </row>
    <row r="889" spans="1:12">
      <c r="A889" t="str" cm="1">
        <f t="array" ref="A889">_xlfn.LET(_xlpm.e,L889,
IF(_xlpm.e="","",
"DOC-"&amp;TEXT(ROW()-ROW(tblMaster[#Headers]),"00000")
))</f>
        <v>DOC-00888</v>
      </c>
      <c r="B889" s="49">
        <v>45958</v>
      </c>
      <c r="C889" s="42" t="s">
        <v>3576</v>
      </c>
      <c r="D889" s="41" t="s">
        <v>3577</v>
      </c>
      <c r="E889" s="38" t="s">
        <v>3578</v>
      </c>
      <c r="F889" s="18" t="s">
        <v>3579</v>
      </c>
      <c r="G889" s="41" t="s">
        <v>3580</v>
      </c>
      <c r="H889" s="17" t="s">
        <v>267</v>
      </c>
      <c r="I889" s="18" t="s">
        <v>54</v>
      </c>
      <c r="K889" s="5" t="s">
        <v>652</v>
      </c>
      <c r="L889" t="str">
        <f t="shared" si="14"/>
        <v>ichonringwood111@gmail.com</v>
      </c>
    </row>
    <row r="890" spans="1:12">
      <c r="A890" t="str" cm="1">
        <f t="array" ref="A890">_xlfn.LET(_xlpm.e,L890,
IF(_xlpm.e="","",
"DOC-"&amp;TEXT(ROW()-ROW(tblMaster[#Headers]),"00000")
))</f>
        <v>DOC-00889</v>
      </c>
      <c r="B890" s="49">
        <v>45958</v>
      </c>
      <c r="C890" s="42" t="s">
        <v>3581</v>
      </c>
      <c r="D890" s="41" t="s">
        <v>3582</v>
      </c>
      <c r="E890" s="38" t="s">
        <v>3583</v>
      </c>
      <c r="F890" s="18" t="s">
        <v>3584</v>
      </c>
      <c r="G890" s="41" t="s">
        <v>3585</v>
      </c>
      <c r="H890" s="17" t="s">
        <v>496</v>
      </c>
      <c r="I890" s="18" t="s">
        <v>101</v>
      </c>
      <c r="K890" s="5" t="s">
        <v>652</v>
      </c>
      <c r="L890" t="str">
        <f t="shared" si="14"/>
        <v>jamesjenkins0102@gmail.com</v>
      </c>
    </row>
    <row r="891" spans="1:12">
      <c r="A891" t="str" cm="1">
        <f t="array" ref="A891">_xlfn.LET(_xlpm.e,L891,
IF(_xlpm.e="","",
"DOC-"&amp;TEXT(ROW()-ROW(tblMaster[#Headers]),"00000")
))</f>
        <v>DOC-00890</v>
      </c>
      <c r="B891" s="49">
        <v>45958</v>
      </c>
      <c r="C891" s="42" t="s">
        <v>3586</v>
      </c>
      <c r="D891" s="41" t="s">
        <v>3587</v>
      </c>
      <c r="E891" s="38" t="s">
        <v>3588</v>
      </c>
      <c r="F891" s="18" t="s">
        <v>3589</v>
      </c>
      <c r="G891" s="41" t="s">
        <v>3590</v>
      </c>
      <c r="H891" s="17" t="s">
        <v>17</v>
      </c>
      <c r="I891" s="18" t="s">
        <v>54</v>
      </c>
      <c r="K891" s="5" t="s">
        <v>652</v>
      </c>
      <c r="L891" t="str">
        <f t="shared" si="14"/>
        <v>lsilva3910@gmail.com</v>
      </c>
    </row>
    <row r="892" spans="1:12">
      <c r="A892" t="str" cm="1">
        <f t="array" ref="A892">_xlfn.LET(_xlpm.e,L892,
IF(_xlpm.e="","",
"DOC-"&amp;TEXT(ROW()-ROW(tblMaster[#Headers]),"00000")
))</f>
        <v>DOC-00891</v>
      </c>
      <c r="B892" s="49">
        <v>45958</v>
      </c>
      <c r="C892" s="42" t="s">
        <v>3591</v>
      </c>
      <c r="D892" s="41" t="s">
        <v>3592</v>
      </c>
      <c r="E892" s="38" t="s">
        <v>3593</v>
      </c>
      <c r="F892" s="18" t="s">
        <v>3594</v>
      </c>
      <c r="G892" s="41" t="s">
        <v>624</v>
      </c>
      <c r="H892" s="17" t="s">
        <v>17</v>
      </c>
      <c r="I892" s="18" t="s">
        <v>2276</v>
      </c>
      <c r="K892" s="5" t="s">
        <v>652</v>
      </c>
      <c r="L892" t="str">
        <f t="shared" si="14"/>
        <v>portergeno@yahoo.com</v>
      </c>
    </row>
    <row r="893" spans="1:12">
      <c r="A893" t="str" cm="1">
        <f t="array" ref="A893">_xlfn.LET(_xlpm.e,L893,
IF(_xlpm.e="","",
"DOC-"&amp;TEXT(ROW()-ROW(tblMaster[#Headers]),"00000")
))</f>
        <v>DOC-00892</v>
      </c>
      <c r="B893" s="49">
        <v>45958</v>
      </c>
      <c r="C893" s="42" t="s">
        <v>3595</v>
      </c>
      <c r="D893" s="41" t="s">
        <v>3596</v>
      </c>
      <c r="E893" s="38" t="s">
        <v>3597</v>
      </c>
      <c r="F893" s="18" t="s">
        <v>3598</v>
      </c>
      <c r="G893" s="41" t="s">
        <v>388</v>
      </c>
      <c r="H893" s="17" t="s">
        <v>17</v>
      </c>
      <c r="I893" s="18" t="s">
        <v>2276</v>
      </c>
      <c r="K893" s="5" t="s">
        <v>652</v>
      </c>
      <c r="L893" t="str">
        <f t="shared" si="14"/>
        <v>dominic102894@yahoo.com</v>
      </c>
    </row>
    <row r="894" spans="1:12">
      <c r="A894" t="str" cm="1">
        <f t="array" ref="A894">_xlfn.LET(_xlpm.e,L894,
IF(_xlpm.e="","",
"DOC-"&amp;TEXT(ROW()-ROW(tblMaster[#Headers]),"00000")
))</f>
        <v>DOC-00893</v>
      </c>
      <c r="B894" s="49">
        <v>45958</v>
      </c>
      <c r="C894" s="42" t="s">
        <v>1312</v>
      </c>
      <c r="D894" s="41" t="s">
        <v>3599</v>
      </c>
      <c r="E894" s="38" t="s">
        <v>3600</v>
      </c>
      <c r="F894" s="18" t="s">
        <v>3601</v>
      </c>
      <c r="G894" s="41" t="s">
        <v>3602</v>
      </c>
      <c r="H894" s="17" t="s">
        <v>17</v>
      </c>
      <c r="I894" s="18" t="s">
        <v>54</v>
      </c>
      <c r="J894" s="99" t="s">
        <v>23</v>
      </c>
      <c r="K894" s="5" t="s">
        <v>652</v>
      </c>
      <c r="L894" t="str">
        <f t="shared" si="14"/>
        <v>kathygaito36@gmail.com</v>
      </c>
    </row>
    <row r="895" spans="1:12">
      <c r="A895" t="str" cm="1">
        <f t="array" ref="A895">_xlfn.LET(_xlpm.e,L895,
IF(_xlpm.e="","",
"DOC-"&amp;TEXT(ROW()-ROW(tblMaster[#Headers]),"00000")
))</f>
        <v>DOC-00894</v>
      </c>
      <c r="B895" s="49">
        <v>45958</v>
      </c>
      <c r="C895" s="42" t="s">
        <v>175</v>
      </c>
      <c r="D895" s="41" t="s">
        <v>3603</v>
      </c>
      <c r="E895" s="38" t="s">
        <v>3604</v>
      </c>
      <c r="F895" s="18" t="s">
        <v>3605</v>
      </c>
      <c r="G895" s="41" t="s">
        <v>2259</v>
      </c>
      <c r="H895" s="17" t="s">
        <v>17</v>
      </c>
      <c r="I895" s="18" t="s">
        <v>54</v>
      </c>
      <c r="K895" s="5" t="s">
        <v>652</v>
      </c>
      <c r="L895" t="str">
        <f t="shared" si="14"/>
        <v>npotts93@hotmail.com</v>
      </c>
    </row>
    <row r="896" spans="1:12">
      <c r="A896" t="str" cm="1">
        <f t="array" ref="A896">_xlfn.LET(_xlpm.e,L896,
IF(_xlpm.e="","",
"DOC-"&amp;TEXT(ROW()-ROW(tblMaster[#Headers]),"00000")
))</f>
        <v>DOC-00895</v>
      </c>
      <c r="B896" s="49">
        <v>45958</v>
      </c>
      <c r="C896" s="42" t="s">
        <v>3606</v>
      </c>
      <c r="D896" s="41" t="s">
        <v>3607</v>
      </c>
      <c r="E896" s="38" t="s">
        <v>3608</v>
      </c>
      <c r="F896" s="18" t="s">
        <v>3609</v>
      </c>
      <c r="G896" s="41" t="s">
        <v>3610</v>
      </c>
      <c r="H896" s="17" t="s">
        <v>17</v>
      </c>
      <c r="I896" s="18" t="s">
        <v>54</v>
      </c>
      <c r="K896" s="5" t="s">
        <v>652</v>
      </c>
      <c r="L896" t="str">
        <f t="shared" si="14"/>
        <v>vassall_kadian@yahoo.com</v>
      </c>
    </row>
    <row r="897" spans="1:12">
      <c r="A897" t="str" cm="1">
        <f t="array" ref="A897">_xlfn.LET(_xlpm.e,L897,
IF(_xlpm.e="","",
"DOC-"&amp;TEXT(ROW()-ROW(tblMaster[#Headers]),"00000")
))</f>
        <v>DOC-00896</v>
      </c>
      <c r="B897" s="49">
        <v>45958</v>
      </c>
      <c r="C897" s="42" t="s">
        <v>3611</v>
      </c>
      <c r="D897" s="41" t="s">
        <v>3612</v>
      </c>
      <c r="E897" s="38" t="s">
        <v>3613</v>
      </c>
      <c r="F897" s="18" t="s">
        <v>3614</v>
      </c>
      <c r="G897" s="41" t="s">
        <v>3615</v>
      </c>
      <c r="H897" s="17" t="s">
        <v>17</v>
      </c>
      <c r="I897" s="18" t="s">
        <v>54</v>
      </c>
      <c r="K897" s="5" t="s">
        <v>226</v>
      </c>
      <c r="L897" t="str">
        <f t="shared" si="14"/>
        <v>katiepiasecki152@gmail.com</v>
      </c>
    </row>
    <row r="898" spans="1:12">
      <c r="A898" t="str" cm="1">
        <f t="array" ref="A898">_xlfn.LET(_xlpm.e,L898,
IF(_xlpm.e="","",
"DOC-"&amp;TEXT(ROW()-ROW(tblMaster[#Headers]),"00000")
))</f>
        <v>DOC-00897</v>
      </c>
      <c r="B898" s="49">
        <v>45958</v>
      </c>
      <c r="C898" s="42" t="s">
        <v>3616</v>
      </c>
      <c r="D898" s="41" t="s">
        <v>1556</v>
      </c>
      <c r="E898" s="38" t="s">
        <v>3617</v>
      </c>
      <c r="F898" s="18" t="s">
        <v>3618</v>
      </c>
      <c r="G898" s="41" t="s">
        <v>3619</v>
      </c>
      <c r="H898" s="17" t="s">
        <v>17</v>
      </c>
      <c r="I898" s="18" t="s">
        <v>54</v>
      </c>
      <c r="K898" s="5" t="s">
        <v>652</v>
      </c>
      <c r="L898" t="str">
        <f t="shared" si="14"/>
        <v>hharrington@gmail.com</v>
      </c>
    </row>
    <row r="899" spans="1:12">
      <c r="A899" t="str" cm="1">
        <f t="array" ref="A899">_xlfn.LET(_xlpm.e,L899,
IF(_xlpm.e="","",
"DOC-"&amp;TEXT(ROW()-ROW(tblMaster[#Headers]),"00000")
))</f>
        <v>DOC-00898</v>
      </c>
      <c r="B899" s="49">
        <v>45958</v>
      </c>
      <c r="C899" s="42" t="s">
        <v>3620</v>
      </c>
      <c r="D899" s="41" t="s">
        <v>3621</v>
      </c>
      <c r="E899" s="38" t="s">
        <v>3622</v>
      </c>
      <c r="F899" s="18" t="s">
        <v>3623</v>
      </c>
      <c r="G899" s="41" t="s">
        <v>3624</v>
      </c>
      <c r="H899" s="17" t="s">
        <v>17</v>
      </c>
      <c r="I899" s="18" t="s">
        <v>2276</v>
      </c>
      <c r="K899" s="5" t="s">
        <v>652</v>
      </c>
      <c r="L899" t="str">
        <f t="shared" si="14"/>
        <v>jrourke413@gmail.com</v>
      </c>
    </row>
    <row r="900" spans="1:12">
      <c r="A900" t="str" cm="1">
        <f t="array" ref="A900">_xlfn.LET(_xlpm.e,L900,
IF(_xlpm.e="","",
"DOC-"&amp;TEXT(ROW()-ROW(tblMaster[#Headers]),"00000")
))</f>
        <v>DOC-00899</v>
      </c>
      <c r="B900" s="49">
        <v>45958</v>
      </c>
      <c r="C900" s="42" t="s">
        <v>2023</v>
      </c>
      <c r="D900" s="41" t="s">
        <v>3625</v>
      </c>
      <c r="E900" s="38" t="s">
        <v>3626</v>
      </c>
      <c r="F900" s="18" t="s">
        <v>3627</v>
      </c>
      <c r="G900" s="41" t="s">
        <v>344</v>
      </c>
      <c r="H900" s="17" t="s">
        <v>17</v>
      </c>
      <c r="I900" s="18" t="s">
        <v>2276</v>
      </c>
      <c r="J900" s="99" t="s">
        <v>23</v>
      </c>
      <c r="K900" s="5" t="s">
        <v>652</v>
      </c>
      <c r="L900" t="str">
        <f t="shared" si="14"/>
        <v>smalandrino99@gmail.com</v>
      </c>
    </row>
    <row r="901" spans="1:12">
      <c r="A901" t="str" cm="1">
        <f t="array" ref="A901">_xlfn.LET(_xlpm.e,L901,
IF(_xlpm.e="","",
"DOC-"&amp;TEXT(ROW()-ROW(tblMaster[#Headers]),"00000")
))</f>
        <v/>
      </c>
      <c r="B901" s="49">
        <v>45958</v>
      </c>
      <c r="C901" s="42" t="s">
        <v>2766</v>
      </c>
      <c r="D901" s="41" t="s">
        <v>3628</v>
      </c>
      <c r="E901" s="41"/>
      <c r="F901" s="18" t="s">
        <v>3629</v>
      </c>
      <c r="G901" s="41" t="s">
        <v>1232</v>
      </c>
      <c r="H901" s="17" t="s">
        <v>17</v>
      </c>
      <c r="I901" s="18" t="s">
        <v>2276</v>
      </c>
      <c r="K901" s="5" t="s">
        <v>652</v>
      </c>
      <c r="L901" t="str">
        <f t="shared" si="14"/>
        <v/>
      </c>
    </row>
    <row r="902" spans="1:12">
      <c r="A902" t="str" cm="1">
        <f t="array" ref="A902">_xlfn.LET(_xlpm.e,L902,
IF(_xlpm.e="","",
"DOC-"&amp;TEXT(ROW()-ROW(tblMaster[#Headers]),"00000")
))</f>
        <v>DOC-00901</v>
      </c>
      <c r="B902" s="49">
        <v>45958</v>
      </c>
      <c r="C902" s="42" t="s">
        <v>3630</v>
      </c>
      <c r="D902" s="41" t="s">
        <v>3631</v>
      </c>
      <c r="E902" s="38" t="s">
        <v>3632</v>
      </c>
      <c r="F902" s="18" t="s">
        <v>3633</v>
      </c>
      <c r="G902" s="41" t="s">
        <v>2205</v>
      </c>
      <c r="H902" s="17" t="s">
        <v>17</v>
      </c>
      <c r="I902" s="18" t="s">
        <v>2276</v>
      </c>
      <c r="K902" s="5" t="s">
        <v>652</v>
      </c>
      <c r="L902" t="str">
        <f t="shared" ref="L902:L965" si="15">_xlfn.LET(_xlpm.x,E902,
_xlpm.y,TRIM(CLEAN(SUBSTITUTE(_xlpm.x,CHAR(160)," "))),
LOWER(_xlpm.y))</f>
        <v>christelle341@gmail.com</v>
      </c>
    </row>
    <row r="903" spans="1:12">
      <c r="A903" t="str" cm="1">
        <f t="array" ref="A903">_xlfn.LET(_xlpm.e,L903,
IF(_xlpm.e="","",
"DOC-"&amp;TEXT(ROW()-ROW(tblMaster[#Headers]),"00000")
))</f>
        <v>DOC-00902</v>
      </c>
      <c r="B903" s="49">
        <v>45958</v>
      </c>
      <c r="C903" s="42" t="s">
        <v>1080</v>
      </c>
      <c r="D903" s="41" t="s">
        <v>2732</v>
      </c>
      <c r="E903" s="38" t="s">
        <v>3634</v>
      </c>
      <c r="F903" s="18" t="s">
        <v>3635</v>
      </c>
      <c r="G903" s="41" t="s">
        <v>3567</v>
      </c>
      <c r="H903" s="17" t="s">
        <v>267</v>
      </c>
      <c r="I903" s="18" t="s">
        <v>2276</v>
      </c>
      <c r="K903" s="5" t="s">
        <v>652</v>
      </c>
      <c r="L903" t="str">
        <f t="shared" si="15"/>
        <v>christopherpierrelouis1996@gmail.com</v>
      </c>
    </row>
    <row r="904" spans="1:12">
      <c r="A904" t="str" cm="1">
        <f t="array" ref="A904">_xlfn.LET(_xlpm.e,L904,
IF(_xlpm.e="","",
"DOC-"&amp;TEXT(ROW()-ROW(tblMaster[#Headers]),"00000")
))</f>
        <v/>
      </c>
      <c r="B904" s="49">
        <v>45958</v>
      </c>
      <c r="C904" s="42" t="s">
        <v>3636</v>
      </c>
      <c r="D904" s="41" t="s">
        <v>3637</v>
      </c>
      <c r="E904" s="41"/>
      <c r="F904" s="18" t="s">
        <v>3638</v>
      </c>
      <c r="G904" s="41" t="s">
        <v>596</v>
      </c>
      <c r="H904" s="17" t="s">
        <v>17</v>
      </c>
      <c r="I904" s="18" t="s">
        <v>2276</v>
      </c>
      <c r="K904" s="5" t="s">
        <v>652</v>
      </c>
      <c r="L904" t="str">
        <f t="shared" si="15"/>
        <v/>
      </c>
    </row>
    <row r="905" spans="1:12">
      <c r="A905" t="str" cm="1">
        <f t="array" ref="A905">_xlfn.LET(_xlpm.e,L905,
IF(_xlpm.e="","",
"DOC-"&amp;TEXT(ROW()-ROW(tblMaster[#Headers]),"00000")
))</f>
        <v>DOC-00904</v>
      </c>
      <c r="B905" s="49">
        <v>45958</v>
      </c>
      <c r="C905" s="42" t="s">
        <v>3639</v>
      </c>
      <c r="D905" s="41" t="s">
        <v>3640</v>
      </c>
      <c r="E905" s="38" t="s">
        <v>3641</v>
      </c>
      <c r="F905" s="18" t="s">
        <v>3642</v>
      </c>
      <c r="G905" s="41" t="s">
        <v>544</v>
      </c>
      <c r="H905" s="17" t="s">
        <v>17</v>
      </c>
      <c r="I905" s="18" t="s">
        <v>2276</v>
      </c>
      <c r="K905" s="5" t="s">
        <v>652</v>
      </c>
      <c r="L905" t="str">
        <f t="shared" si="15"/>
        <v>trubenefield@gmail.com</v>
      </c>
    </row>
    <row r="906" spans="1:12">
      <c r="A906" t="str" cm="1">
        <f t="array" ref="A906">_xlfn.LET(_xlpm.e,L906,
IF(_xlpm.e="","",
"DOC-"&amp;TEXT(ROW()-ROW(tblMaster[#Headers]),"00000")
))</f>
        <v>DOC-00905</v>
      </c>
      <c r="B906" s="49">
        <v>45958</v>
      </c>
      <c r="C906" s="42" t="s">
        <v>3643</v>
      </c>
      <c r="D906" s="41" t="s">
        <v>3644</v>
      </c>
      <c r="E906" s="38" t="s">
        <v>3645</v>
      </c>
      <c r="F906" s="18" t="s">
        <v>3646</v>
      </c>
      <c r="G906" s="41" t="s">
        <v>79</v>
      </c>
      <c r="H906" s="17" t="s">
        <v>17</v>
      </c>
      <c r="I906" s="18" t="s">
        <v>54</v>
      </c>
      <c r="J906" s="99" t="s">
        <v>23</v>
      </c>
      <c r="K906" s="5" t="s">
        <v>652</v>
      </c>
      <c r="L906" t="str">
        <f t="shared" si="15"/>
        <v>espinal.lpz@gmail.com</v>
      </c>
    </row>
    <row r="907" spans="1:12">
      <c r="A907" t="str" cm="1">
        <f t="array" ref="A907">_xlfn.LET(_xlpm.e,L907,
IF(_xlpm.e="","",
"DOC-"&amp;TEXT(ROW()-ROW(tblMaster[#Headers]),"00000")
))</f>
        <v>DOC-00906</v>
      </c>
      <c r="B907" s="49">
        <v>45958</v>
      </c>
      <c r="C907" s="42" t="s">
        <v>3647</v>
      </c>
      <c r="D907" s="41" t="s">
        <v>3648</v>
      </c>
      <c r="E907" s="38" t="s">
        <v>3649</v>
      </c>
      <c r="F907" s="18" t="s">
        <v>3650</v>
      </c>
      <c r="G907" s="41" t="s">
        <v>3651</v>
      </c>
      <c r="H907" s="17" t="s">
        <v>267</v>
      </c>
      <c r="I907" s="18" t="s">
        <v>54</v>
      </c>
      <c r="K907" s="5" t="s">
        <v>652</v>
      </c>
      <c r="L907" t="str">
        <f t="shared" si="15"/>
        <v>jesafife@veteransinc.org</v>
      </c>
    </row>
    <row r="908" spans="1:12">
      <c r="A908" t="str" cm="1">
        <f t="array" ref="A908">_xlfn.LET(_xlpm.e,L908,
IF(_xlpm.e="","",
"DOC-"&amp;TEXT(ROW()-ROW(tblMaster[#Headers]),"00000")
))</f>
        <v>DOC-00907</v>
      </c>
      <c r="B908" s="49">
        <v>45958</v>
      </c>
      <c r="C908" s="42" t="s">
        <v>3652</v>
      </c>
      <c r="D908" s="41" t="s">
        <v>3653</v>
      </c>
      <c r="E908" s="38" t="s">
        <v>3654</v>
      </c>
      <c r="F908" s="18" t="s">
        <v>3655</v>
      </c>
      <c r="G908" s="41" t="s">
        <v>1433</v>
      </c>
      <c r="H908" s="17" t="s">
        <v>17</v>
      </c>
      <c r="I908" s="18" t="s">
        <v>54</v>
      </c>
      <c r="K908" s="5" t="s">
        <v>652</v>
      </c>
      <c r="L908" t="str">
        <f t="shared" si="15"/>
        <v>avantikanautiyal@gmail.com</v>
      </c>
    </row>
    <row r="909" spans="1:12">
      <c r="A909" t="str" cm="1">
        <f t="array" ref="A909">_xlfn.LET(_xlpm.e,L909,
IF(_xlpm.e="","",
"DOC-"&amp;TEXT(ROW()-ROW(tblMaster[#Headers]),"00000")
))</f>
        <v>DOC-00908</v>
      </c>
      <c r="B909" s="49">
        <v>45958</v>
      </c>
      <c r="C909" s="42" t="s">
        <v>3656</v>
      </c>
      <c r="D909" s="41" t="s">
        <v>3657</v>
      </c>
      <c r="E909" s="38" t="s">
        <v>3658</v>
      </c>
      <c r="F909" s="18" t="s">
        <v>3659</v>
      </c>
      <c r="G909" s="41" t="s">
        <v>1372</v>
      </c>
      <c r="H909" s="17" t="s">
        <v>17</v>
      </c>
      <c r="I909" s="18" t="s">
        <v>54</v>
      </c>
      <c r="K909" s="5" t="s">
        <v>652</v>
      </c>
      <c r="L909" t="str">
        <f t="shared" si="15"/>
        <v>crenaudbousto@gmail.com</v>
      </c>
    </row>
    <row r="910" spans="1:12">
      <c r="A910" t="str" cm="1">
        <f t="array" ref="A910">_xlfn.LET(_xlpm.e,L910,
IF(_xlpm.e="","",
"DOC-"&amp;TEXT(ROW()-ROW(tblMaster[#Headers]),"00000")
))</f>
        <v>DOC-00909</v>
      </c>
      <c r="B910" s="49">
        <v>45958</v>
      </c>
      <c r="C910" s="42" t="s">
        <v>3660</v>
      </c>
      <c r="D910" s="41" t="s">
        <v>3661</v>
      </c>
      <c r="E910" s="38" t="s">
        <v>3662</v>
      </c>
      <c r="F910" s="18" t="s">
        <v>3663</v>
      </c>
      <c r="G910" s="41" t="s">
        <v>257</v>
      </c>
      <c r="H910" s="17" t="s">
        <v>17</v>
      </c>
      <c r="I910" s="18" t="s">
        <v>54</v>
      </c>
      <c r="K910" s="5" t="s">
        <v>652</v>
      </c>
      <c r="L910" t="str">
        <f t="shared" si="15"/>
        <v>gevork@usa.com</v>
      </c>
    </row>
    <row r="911" spans="1:12">
      <c r="A911" t="str" cm="1">
        <f t="array" ref="A911">_xlfn.LET(_xlpm.e,L911,
IF(_xlpm.e="","",
"DOC-"&amp;TEXT(ROW()-ROW(tblMaster[#Headers]),"00000")
))</f>
        <v>DOC-00910</v>
      </c>
      <c r="B911" s="49">
        <v>45958</v>
      </c>
      <c r="C911" s="42" t="s">
        <v>3664</v>
      </c>
      <c r="D911" s="41" t="s">
        <v>3665</v>
      </c>
      <c r="E911" s="38" t="s">
        <v>3666</v>
      </c>
      <c r="F911" s="18" t="s">
        <v>3667</v>
      </c>
      <c r="G911" s="41" t="s">
        <v>2476</v>
      </c>
      <c r="H911" s="17" t="s">
        <v>17</v>
      </c>
      <c r="I911" s="18" t="s">
        <v>2276</v>
      </c>
      <c r="J911" s="99" t="s">
        <v>23</v>
      </c>
      <c r="K911" s="5" t="s">
        <v>652</v>
      </c>
      <c r="L911" t="str">
        <f t="shared" si="15"/>
        <v>skylerjblackinton@gmail.com</v>
      </c>
    </row>
    <row r="912" spans="1:12">
      <c r="A912" t="str" cm="1">
        <f t="array" ref="A912">_xlfn.LET(_xlpm.e,L912,
IF(_xlpm.e="","",
"DOC-"&amp;TEXT(ROW()-ROW(tblMaster[#Headers]),"00000")
))</f>
        <v/>
      </c>
      <c r="B912" s="49">
        <v>45958</v>
      </c>
      <c r="C912" s="42" t="s">
        <v>3668</v>
      </c>
      <c r="D912" s="41" t="s">
        <v>3669</v>
      </c>
      <c r="E912" s="41"/>
      <c r="F912" s="18" t="s">
        <v>3670</v>
      </c>
      <c r="G912" s="41" t="s">
        <v>3671</v>
      </c>
      <c r="H912" s="17" t="s">
        <v>17</v>
      </c>
      <c r="I912" s="18" t="s">
        <v>2276</v>
      </c>
      <c r="K912" s="5" t="s">
        <v>652</v>
      </c>
      <c r="L912" t="str">
        <f t="shared" si="15"/>
        <v/>
      </c>
    </row>
    <row r="913" spans="1:12">
      <c r="A913" t="str" cm="1">
        <f t="array" ref="A913">_xlfn.LET(_xlpm.e,L913,
IF(_xlpm.e="","",
"DOC-"&amp;TEXT(ROW()-ROW(tblMaster[#Headers]),"00000")
))</f>
        <v>DOC-00912</v>
      </c>
      <c r="B913" s="49">
        <v>45958</v>
      </c>
      <c r="C913" s="42" t="s">
        <v>3672</v>
      </c>
      <c r="D913" s="41" t="s">
        <v>3673</v>
      </c>
      <c r="E913" s="38" t="s">
        <v>3674</v>
      </c>
      <c r="F913" s="18" t="s">
        <v>3675</v>
      </c>
      <c r="G913" s="41" t="s">
        <v>544</v>
      </c>
      <c r="H913" s="17" t="s">
        <v>17</v>
      </c>
      <c r="I913" s="18" t="s">
        <v>54</v>
      </c>
      <c r="K913" s="5" t="s">
        <v>652</v>
      </c>
      <c r="L913" t="str">
        <f t="shared" si="15"/>
        <v>cinthiasuastegui30@gmail.com</v>
      </c>
    </row>
    <row r="914" spans="1:12">
      <c r="A914" t="str" cm="1">
        <f t="array" ref="A914">_xlfn.LET(_xlpm.e,L914,
IF(_xlpm.e="","",
"DOC-"&amp;TEXT(ROW()-ROW(tblMaster[#Headers]),"00000")
))</f>
        <v>DOC-00913</v>
      </c>
      <c r="B914" s="49">
        <v>45958</v>
      </c>
      <c r="C914" s="42" t="s">
        <v>3676</v>
      </c>
      <c r="D914" s="41" t="s">
        <v>3677</v>
      </c>
      <c r="E914" s="38" t="s">
        <v>3678</v>
      </c>
      <c r="F914" s="18" t="s">
        <v>3679</v>
      </c>
      <c r="G914" s="41" t="s">
        <v>33</v>
      </c>
      <c r="H914" s="17" t="s">
        <v>17</v>
      </c>
      <c r="I914" s="18" t="s">
        <v>54</v>
      </c>
      <c r="K914" s="5" t="s">
        <v>652</v>
      </c>
      <c r="L914" t="str">
        <f t="shared" si="15"/>
        <v>gastevensbalan@gmail.com</v>
      </c>
    </row>
    <row r="915" spans="1:12">
      <c r="A915" t="str" cm="1">
        <f t="array" ref="A915">_xlfn.LET(_xlpm.e,L915,
IF(_xlpm.e="","",
"DOC-"&amp;TEXT(ROW()-ROW(tblMaster[#Headers]),"00000")
))</f>
        <v>DOC-00914</v>
      </c>
      <c r="B915" s="49">
        <v>45958</v>
      </c>
      <c r="C915" s="42" t="s">
        <v>2762</v>
      </c>
      <c r="D915" s="41" t="s">
        <v>3680</v>
      </c>
      <c r="E915" s="38" t="s">
        <v>3681</v>
      </c>
      <c r="F915" s="18" t="s">
        <v>3682</v>
      </c>
      <c r="G915" s="41" t="s">
        <v>3683</v>
      </c>
      <c r="H915" s="17" t="s">
        <v>355</v>
      </c>
      <c r="I915" s="18" t="s">
        <v>54</v>
      </c>
      <c r="J915" s="99" t="s">
        <v>66</v>
      </c>
      <c r="K915" s="5" t="s">
        <v>652</v>
      </c>
      <c r="L915" t="str">
        <f t="shared" si="15"/>
        <v>rikdigz@gmail.com</v>
      </c>
    </row>
    <row r="916" spans="1:12">
      <c r="A916" t="str" cm="1">
        <f t="array" ref="A916">_xlfn.LET(_xlpm.e,L916,
IF(_xlpm.e="","",
"DOC-"&amp;TEXT(ROW()-ROW(tblMaster[#Headers]),"00000")
))</f>
        <v>DOC-00915</v>
      </c>
      <c r="B916" s="49">
        <v>45958</v>
      </c>
      <c r="C916" s="42" t="s">
        <v>3684</v>
      </c>
      <c r="D916" s="41" t="s">
        <v>3685</v>
      </c>
      <c r="E916" s="38" t="s">
        <v>3686</v>
      </c>
      <c r="F916" s="18" t="s">
        <v>3687</v>
      </c>
      <c r="G916" s="41" t="s">
        <v>142</v>
      </c>
      <c r="H916" s="17" t="s">
        <v>17</v>
      </c>
      <c r="I916" s="18" t="s">
        <v>54</v>
      </c>
      <c r="K916" s="5" t="s">
        <v>652</v>
      </c>
      <c r="L916" t="str">
        <f t="shared" si="15"/>
        <v>emedeiros6106@gmail.com</v>
      </c>
    </row>
    <row r="917" spans="1:12">
      <c r="A917" t="str" cm="1">
        <f t="array" ref="A917">_xlfn.LET(_xlpm.e,L917,
IF(_xlpm.e="","",
"DOC-"&amp;TEXT(ROW()-ROW(tblMaster[#Headers]),"00000")
))</f>
        <v/>
      </c>
      <c r="B917" s="49">
        <v>45958</v>
      </c>
      <c r="C917" s="42" t="s">
        <v>3688</v>
      </c>
      <c r="D917" s="41" t="s">
        <v>3515</v>
      </c>
      <c r="E917" s="41"/>
      <c r="F917" s="18" t="s">
        <v>3689</v>
      </c>
      <c r="G917" s="41" t="s">
        <v>419</v>
      </c>
      <c r="H917" s="17" t="s">
        <v>17</v>
      </c>
      <c r="I917" s="18" t="s">
        <v>54</v>
      </c>
      <c r="K917" s="5" t="s">
        <v>652</v>
      </c>
      <c r="L917" t="str">
        <f t="shared" si="15"/>
        <v/>
      </c>
    </row>
    <row r="918" spans="1:12">
      <c r="A918" t="str" cm="1">
        <f t="array" ref="A918">_xlfn.LET(_xlpm.e,L918,
IF(_xlpm.e="","",
"DOC-"&amp;TEXT(ROW()-ROW(tblMaster[#Headers]),"00000")
))</f>
        <v>DOC-00917</v>
      </c>
      <c r="B918" s="49">
        <v>45958</v>
      </c>
      <c r="C918" s="42" t="s">
        <v>3690</v>
      </c>
      <c r="D918" s="41" t="s">
        <v>2519</v>
      </c>
      <c r="E918" s="38" t="s">
        <v>3691</v>
      </c>
      <c r="F918" s="18" t="s">
        <v>3692</v>
      </c>
      <c r="G918" s="41" t="s">
        <v>544</v>
      </c>
      <c r="H918" s="17" t="s">
        <v>17</v>
      </c>
      <c r="I918" s="18" t="s">
        <v>54</v>
      </c>
      <c r="J918" s="99" t="s">
        <v>23</v>
      </c>
      <c r="K918" s="5" t="s">
        <v>652</v>
      </c>
      <c r="L918" t="str">
        <f t="shared" si="15"/>
        <v>cinthiasuastegui30@gmail.com</v>
      </c>
    </row>
    <row r="919" spans="1:12">
      <c r="A919" t="str" cm="1">
        <f t="array" ref="A919">_xlfn.LET(_xlpm.e,L919,
IF(_xlpm.e="","",
"DOC-"&amp;TEXT(ROW()-ROW(tblMaster[#Headers]),"00000")
))</f>
        <v>DOC-00918</v>
      </c>
      <c r="B919" s="49">
        <v>45958</v>
      </c>
      <c r="C919" s="42" t="s">
        <v>2924</v>
      </c>
      <c r="D919" s="41" t="s">
        <v>3693</v>
      </c>
      <c r="E919" s="38" t="s">
        <v>3694</v>
      </c>
      <c r="F919" s="18" t="s">
        <v>3695</v>
      </c>
      <c r="G919" s="41" t="s">
        <v>3696</v>
      </c>
      <c r="H919" s="17" t="s">
        <v>17</v>
      </c>
      <c r="I919" s="18" t="s">
        <v>101</v>
      </c>
      <c r="K919" s="5" t="s">
        <v>652</v>
      </c>
      <c r="L919" t="str">
        <f t="shared" si="15"/>
        <v>brittanybrouillette@icloud.com</v>
      </c>
    </row>
    <row r="920" spans="1:12">
      <c r="A920" t="str" cm="1">
        <f t="array" ref="A920">_xlfn.LET(_xlpm.e,L920,
IF(_xlpm.e="","",
"DOC-"&amp;TEXT(ROW()-ROW(tblMaster[#Headers]),"00000")
))</f>
        <v>DOC-00919</v>
      </c>
      <c r="B920" s="49">
        <v>45958</v>
      </c>
      <c r="C920" s="42" t="s">
        <v>3697</v>
      </c>
      <c r="D920" s="41" t="s">
        <v>3698</v>
      </c>
      <c r="E920" s="38" t="s">
        <v>3699</v>
      </c>
      <c r="F920" s="18" t="s">
        <v>3700</v>
      </c>
      <c r="G920" s="41" t="s">
        <v>3701</v>
      </c>
      <c r="H920" s="17" t="s">
        <v>17</v>
      </c>
      <c r="I920" s="18" t="s">
        <v>101</v>
      </c>
      <c r="K920" s="5" t="s">
        <v>652</v>
      </c>
      <c r="L920" t="str">
        <f t="shared" si="15"/>
        <v>shamikasingleton88@icloud.com</v>
      </c>
    </row>
    <row r="921" spans="1:12">
      <c r="A921" t="str" cm="1">
        <f t="array" ref="A921">_xlfn.LET(_xlpm.e,L921,
IF(_xlpm.e="","",
"DOC-"&amp;TEXT(ROW()-ROW(tblMaster[#Headers]),"00000")
))</f>
        <v>DOC-00920</v>
      </c>
      <c r="B921" s="49">
        <v>45958</v>
      </c>
      <c r="C921" s="42" t="s">
        <v>3702</v>
      </c>
      <c r="D921" s="41" t="s">
        <v>3703</v>
      </c>
      <c r="E921" s="38" t="s">
        <v>3704</v>
      </c>
      <c r="F921" s="18" t="s">
        <v>3705</v>
      </c>
      <c r="G921" s="41" t="s">
        <v>3706</v>
      </c>
      <c r="H921" s="17" t="s">
        <v>3707</v>
      </c>
      <c r="I921" s="18" t="s">
        <v>2276</v>
      </c>
      <c r="K921" s="5" t="s">
        <v>652</v>
      </c>
      <c r="L921" t="str">
        <f t="shared" si="15"/>
        <v>bedard2013@gmail.com</v>
      </c>
    </row>
    <row r="922" spans="1:12">
      <c r="A922" t="str" cm="1">
        <f t="array" ref="A922">_xlfn.LET(_xlpm.e,L922,
IF(_xlpm.e="","",
"DOC-"&amp;TEXT(ROW()-ROW(tblMaster[#Headers]),"00000")
))</f>
        <v/>
      </c>
      <c r="B922" s="49">
        <v>45958</v>
      </c>
      <c r="C922" s="42" t="s">
        <v>3708</v>
      </c>
      <c r="D922" s="41" t="s">
        <v>3709</v>
      </c>
      <c r="E922" s="41"/>
      <c r="F922" s="18" t="s">
        <v>3710</v>
      </c>
      <c r="G922" s="41" t="s">
        <v>2883</v>
      </c>
      <c r="H922" s="17" t="s">
        <v>17</v>
      </c>
      <c r="I922" s="18" t="s">
        <v>2276</v>
      </c>
      <c r="K922" s="5" t="s">
        <v>652</v>
      </c>
      <c r="L922" t="str">
        <f t="shared" si="15"/>
        <v/>
      </c>
    </row>
    <row r="923" spans="1:12">
      <c r="A923" t="str" cm="1">
        <f t="array" ref="A923">_xlfn.LET(_xlpm.e,L923,
IF(_xlpm.e="","",
"DOC-"&amp;TEXT(ROW()-ROW(tblMaster[#Headers]),"00000")
))</f>
        <v/>
      </c>
      <c r="B923" s="49">
        <v>45958</v>
      </c>
      <c r="C923" s="42" t="s">
        <v>3711</v>
      </c>
      <c r="D923" s="41" t="s">
        <v>3712</v>
      </c>
      <c r="E923" s="41"/>
      <c r="F923" s="18" t="s">
        <v>3713</v>
      </c>
      <c r="G923" s="41" t="s">
        <v>1232</v>
      </c>
      <c r="H923" s="17" t="s">
        <v>17</v>
      </c>
      <c r="I923" s="18" t="s">
        <v>2276</v>
      </c>
      <c r="K923" s="5" t="s">
        <v>652</v>
      </c>
      <c r="L923" t="str">
        <f t="shared" si="15"/>
        <v/>
      </c>
    </row>
    <row r="924" spans="1:12">
      <c r="A924" t="str" cm="1">
        <f t="array" ref="A924">_xlfn.LET(_xlpm.e,L924,
IF(_xlpm.e="","",
"DOC-"&amp;TEXT(ROW()-ROW(tblMaster[#Headers]),"00000")
))</f>
        <v>DOC-00923</v>
      </c>
      <c r="B924" s="49">
        <v>45958</v>
      </c>
      <c r="C924" s="42" t="s">
        <v>2852</v>
      </c>
      <c r="D924" s="41" t="s">
        <v>3714</v>
      </c>
      <c r="E924" s="38" t="s">
        <v>3715</v>
      </c>
      <c r="F924" s="18" t="s">
        <v>3716</v>
      </c>
      <c r="G924" s="41" t="s">
        <v>52</v>
      </c>
      <c r="H924" s="17" t="s">
        <v>17</v>
      </c>
      <c r="I924" s="18" t="s">
        <v>2276</v>
      </c>
      <c r="J924" s="99" t="s">
        <v>23</v>
      </c>
      <c r="K924" s="5" t="s">
        <v>652</v>
      </c>
      <c r="L924" t="str">
        <f t="shared" si="15"/>
        <v>jaimetaborda38@gmail.com</v>
      </c>
    </row>
    <row r="925" spans="1:12">
      <c r="A925" t="str" cm="1">
        <f t="array" ref="A925">_xlfn.LET(_xlpm.e,L925,
IF(_xlpm.e="","",
"DOC-"&amp;TEXT(ROW()-ROW(tblMaster[#Headers]),"00000")
))</f>
        <v/>
      </c>
      <c r="B925" s="49">
        <v>45958</v>
      </c>
      <c r="C925" s="42" t="s">
        <v>3717</v>
      </c>
      <c r="D925" s="41" t="s">
        <v>3718</v>
      </c>
      <c r="E925" s="41"/>
      <c r="F925" s="18" t="s">
        <v>3719</v>
      </c>
      <c r="G925" s="41" t="s">
        <v>3720</v>
      </c>
      <c r="H925" s="17" t="s">
        <v>17</v>
      </c>
      <c r="I925" s="18" t="s">
        <v>2276</v>
      </c>
      <c r="K925" s="5" t="s">
        <v>652</v>
      </c>
      <c r="L925" t="str">
        <f t="shared" si="15"/>
        <v/>
      </c>
    </row>
    <row r="926" spans="1:12">
      <c r="A926" t="str" cm="1">
        <f t="array" ref="A926">_xlfn.LET(_xlpm.e,L926,
IF(_xlpm.e="","",
"DOC-"&amp;TEXT(ROW()-ROW(tblMaster[#Headers]),"00000")
))</f>
        <v>DOC-00925</v>
      </c>
      <c r="B926" s="49">
        <v>45958</v>
      </c>
      <c r="C926" s="42" t="s">
        <v>1193</v>
      </c>
      <c r="D926" s="41" t="s">
        <v>3721</v>
      </c>
      <c r="E926" s="38" t="s">
        <v>3722</v>
      </c>
      <c r="F926" s="18" t="s">
        <v>3723</v>
      </c>
      <c r="G926" s="41" t="s">
        <v>3724</v>
      </c>
      <c r="H926" s="17" t="s">
        <v>17</v>
      </c>
      <c r="I926" s="18" t="s">
        <v>2276</v>
      </c>
      <c r="K926" s="5" t="s">
        <v>652</v>
      </c>
      <c r="L926" t="str">
        <f t="shared" si="15"/>
        <v>ryandpuffer@gmail.com</v>
      </c>
    </row>
    <row r="927" spans="1:12">
      <c r="A927" t="str" cm="1">
        <f t="array" ref="A927">_xlfn.LET(_xlpm.e,L927,
IF(_xlpm.e="","",
"DOC-"&amp;TEXT(ROW()-ROW(tblMaster[#Headers]),"00000")
))</f>
        <v>DOC-00926</v>
      </c>
      <c r="B927" s="49">
        <v>45958</v>
      </c>
      <c r="C927" s="42" t="s">
        <v>3725</v>
      </c>
      <c r="D927" s="41" t="s">
        <v>3726</v>
      </c>
      <c r="E927" s="38" t="s">
        <v>3727</v>
      </c>
      <c r="F927" s="18" t="s">
        <v>3728</v>
      </c>
      <c r="G927" s="41" t="s">
        <v>3729</v>
      </c>
      <c r="H927" s="17" t="s">
        <v>17</v>
      </c>
      <c r="I927" s="18" t="s">
        <v>2276</v>
      </c>
      <c r="J927" s="99" t="s">
        <v>194</v>
      </c>
      <c r="K927" s="5" t="s">
        <v>652</v>
      </c>
      <c r="L927" t="str">
        <f t="shared" si="15"/>
        <v>rob5rb@aol.com</v>
      </c>
    </row>
    <row r="928" spans="1:12">
      <c r="A928" t="str" cm="1">
        <f t="array" ref="A928">_xlfn.LET(_xlpm.e,L928,
IF(_xlpm.e="","",
"DOC-"&amp;TEXT(ROW()-ROW(tblMaster[#Headers]),"00000")
))</f>
        <v>DOC-00927</v>
      </c>
      <c r="B928" s="49">
        <v>45958</v>
      </c>
      <c r="C928" s="42" t="s">
        <v>3730</v>
      </c>
      <c r="D928" s="41" t="s">
        <v>3731</v>
      </c>
      <c r="E928" s="38" t="s">
        <v>3732</v>
      </c>
      <c r="F928" s="18" t="s">
        <v>3733</v>
      </c>
      <c r="G928" s="41" t="s">
        <v>3734</v>
      </c>
      <c r="H928" s="17" t="s">
        <v>17</v>
      </c>
      <c r="I928" s="18" t="s">
        <v>101</v>
      </c>
      <c r="K928" s="5" t="s">
        <v>652</v>
      </c>
      <c r="L928" t="str">
        <f t="shared" si="15"/>
        <v>lalabloom1991@gmail.com</v>
      </c>
    </row>
    <row r="929" spans="1:12">
      <c r="A929" t="str" cm="1">
        <f t="array" ref="A929">_xlfn.LET(_xlpm.e,L929,
IF(_xlpm.e="","",
"DOC-"&amp;TEXT(ROW()-ROW(tblMaster[#Headers]),"00000")
))</f>
        <v>DOC-00928</v>
      </c>
      <c r="B929" s="49">
        <v>45958</v>
      </c>
      <c r="C929" s="42" t="s">
        <v>3735</v>
      </c>
      <c r="D929" s="41" t="s">
        <v>3736</v>
      </c>
      <c r="E929" s="38" t="s">
        <v>3737</v>
      </c>
      <c r="F929" s="18" t="s">
        <v>3738</v>
      </c>
      <c r="G929" s="41" t="s">
        <v>2205</v>
      </c>
      <c r="H929" s="17" t="s">
        <v>17</v>
      </c>
      <c r="I929" s="18" t="s">
        <v>54</v>
      </c>
      <c r="J929" s="99" t="s">
        <v>23</v>
      </c>
      <c r="K929" s="5" t="s">
        <v>652</v>
      </c>
      <c r="L929" t="str">
        <f t="shared" si="15"/>
        <v>georgiasarai@hotmail.com</v>
      </c>
    </row>
    <row r="930" spans="1:12">
      <c r="A930" t="str" cm="1">
        <f t="array" ref="A930">_xlfn.LET(_xlpm.e,L930,
IF(_xlpm.e="","",
"DOC-"&amp;TEXT(ROW()-ROW(tblMaster[#Headers]),"00000")
))</f>
        <v>DOC-00929</v>
      </c>
      <c r="B930" s="49">
        <v>45958</v>
      </c>
      <c r="C930" s="42" t="s">
        <v>3739</v>
      </c>
      <c r="D930" s="41" t="s">
        <v>3740</v>
      </c>
      <c r="E930" s="38" t="s">
        <v>3741</v>
      </c>
      <c r="F930" s="18" t="s">
        <v>3742</v>
      </c>
      <c r="G930" s="41"/>
      <c r="H930" s="17"/>
      <c r="I930" s="18" t="s">
        <v>54</v>
      </c>
      <c r="K930" s="5" t="s">
        <v>652</v>
      </c>
      <c r="L930" t="str">
        <f t="shared" si="15"/>
        <v>jsena808@gmail.com</v>
      </c>
    </row>
    <row r="931" spans="1:12">
      <c r="A931" t="str" cm="1">
        <f t="array" ref="A931">_xlfn.LET(_xlpm.e,L931,
IF(_xlpm.e="","",
"DOC-"&amp;TEXT(ROW()-ROW(tblMaster[#Headers]),"00000")
))</f>
        <v>DOC-00930</v>
      </c>
      <c r="B931" s="49">
        <v>45958</v>
      </c>
      <c r="C931" s="42" t="s">
        <v>3743</v>
      </c>
      <c r="D931" s="41" t="s">
        <v>3744</v>
      </c>
      <c r="E931" s="38" t="s">
        <v>3745</v>
      </c>
      <c r="F931" s="18" t="s">
        <v>3746</v>
      </c>
      <c r="G931" s="41" t="s">
        <v>2240</v>
      </c>
      <c r="H931" s="17" t="s">
        <v>17</v>
      </c>
      <c r="I931" s="18" t="s">
        <v>54</v>
      </c>
      <c r="K931" s="5" t="s">
        <v>652</v>
      </c>
      <c r="L931" t="str">
        <f t="shared" si="15"/>
        <v>alessandro.scirocco@yahoo.com</v>
      </c>
    </row>
    <row r="932" spans="1:12">
      <c r="A932" t="str" cm="1">
        <f t="array" ref="A932">_xlfn.LET(_xlpm.e,L932,
IF(_xlpm.e="","",
"DOC-"&amp;TEXT(ROW()-ROW(tblMaster[#Headers]),"00000")
))</f>
        <v>DOC-00931</v>
      </c>
      <c r="B932" s="49">
        <v>45958</v>
      </c>
      <c r="C932" s="42" t="s">
        <v>3747</v>
      </c>
      <c r="D932" s="41" t="s">
        <v>3748</v>
      </c>
      <c r="E932" s="38" t="s">
        <v>3749</v>
      </c>
      <c r="F932" s="18"/>
      <c r="G932" s="41"/>
      <c r="H932" s="17"/>
      <c r="I932" s="18" t="s">
        <v>101</v>
      </c>
      <c r="K932" s="5" t="s">
        <v>652</v>
      </c>
      <c r="L932" t="str">
        <f t="shared" si="15"/>
        <v>kwesianyafo1986@gmail.com</v>
      </c>
    </row>
    <row r="933" spans="1:12">
      <c r="A933" t="str" cm="1">
        <f t="array" ref="A933">_xlfn.LET(_xlpm.e,L933,
IF(_xlpm.e="","",
"DOC-"&amp;TEXT(ROW()-ROW(tblMaster[#Headers]),"00000")
))</f>
        <v>DOC-00932</v>
      </c>
      <c r="B933" s="49">
        <v>45958</v>
      </c>
      <c r="C933" s="42" t="s">
        <v>3750</v>
      </c>
      <c r="D933" s="41" t="s">
        <v>3751</v>
      </c>
      <c r="E933" s="38" t="s">
        <v>3752</v>
      </c>
      <c r="F933" s="18" t="s">
        <v>3753</v>
      </c>
      <c r="G933" s="41" t="s">
        <v>231</v>
      </c>
      <c r="H933" s="17" t="s">
        <v>17</v>
      </c>
      <c r="I933" s="18" t="s">
        <v>2276</v>
      </c>
      <c r="K933" s="5" t="s">
        <v>652</v>
      </c>
      <c r="L933" t="str">
        <f t="shared" si="15"/>
        <v>abanoubhabib1998@gmail.com</v>
      </c>
    </row>
    <row r="934" spans="1:12">
      <c r="A934" t="str" cm="1">
        <f t="array" ref="A934">_xlfn.LET(_xlpm.e,L934,
IF(_xlpm.e="","",
"DOC-"&amp;TEXT(ROW()-ROW(tblMaster[#Headers]),"00000")
))</f>
        <v>DOC-00933</v>
      </c>
      <c r="B934" s="49">
        <v>45958</v>
      </c>
      <c r="C934" s="42" t="s">
        <v>3754</v>
      </c>
      <c r="D934" s="41" t="s">
        <v>3755</v>
      </c>
      <c r="E934" s="38" t="s">
        <v>3756</v>
      </c>
      <c r="F934" s="18" t="s">
        <v>3757</v>
      </c>
      <c r="G934" s="41" t="s">
        <v>3758</v>
      </c>
      <c r="H934" s="17" t="s">
        <v>17</v>
      </c>
      <c r="I934" s="18" t="s">
        <v>54</v>
      </c>
      <c r="K934" s="5" t="s">
        <v>652</v>
      </c>
      <c r="L934" t="str">
        <f t="shared" si="15"/>
        <v>trevonc44@gmail.com</v>
      </c>
    </row>
    <row r="935" spans="1:12">
      <c r="A935" t="str" cm="1">
        <f t="array" ref="A935">_xlfn.LET(_xlpm.e,L935,
IF(_xlpm.e="","",
"DOC-"&amp;TEXT(ROW()-ROW(tblMaster[#Headers]),"00000")
))</f>
        <v>DOC-00934</v>
      </c>
      <c r="B935" s="49">
        <v>45958</v>
      </c>
      <c r="C935" s="42" t="s">
        <v>3759</v>
      </c>
      <c r="D935" s="41" t="s">
        <v>3760</v>
      </c>
      <c r="E935" s="38" t="s">
        <v>3761</v>
      </c>
      <c r="F935" s="18" t="s">
        <v>3762</v>
      </c>
      <c r="G935" s="41" t="s">
        <v>1324</v>
      </c>
      <c r="H935" s="17" t="s">
        <v>17</v>
      </c>
      <c r="I935" s="18" t="s">
        <v>2276</v>
      </c>
      <c r="J935" s="99" t="s">
        <v>23</v>
      </c>
      <c r="K935" s="5" t="s">
        <v>652</v>
      </c>
      <c r="L935" t="str">
        <f t="shared" si="15"/>
        <v>enriquelabounty@gmail.com</v>
      </c>
    </row>
    <row r="936" spans="1:12">
      <c r="A936" t="str" cm="1">
        <f t="array" ref="A936">_xlfn.LET(_xlpm.e,L936,
IF(_xlpm.e="","",
"DOC-"&amp;TEXT(ROW()-ROW(tblMaster[#Headers]),"00000")
))</f>
        <v>DOC-00935</v>
      </c>
      <c r="B936" s="49">
        <v>45958</v>
      </c>
      <c r="C936" s="42" t="s">
        <v>3763</v>
      </c>
      <c r="D936" s="41" t="s">
        <v>3764</v>
      </c>
      <c r="E936" s="38" t="s">
        <v>3765</v>
      </c>
      <c r="F936" s="18" t="s">
        <v>3766</v>
      </c>
      <c r="G936" s="41" t="s">
        <v>52</v>
      </c>
      <c r="H936" s="17" t="s">
        <v>17</v>
      </c>
      <c r="I936" s="18" t="s">
        <v>101</v>
      </c>
      <c r="K936" s="5" t="s">
        <v>652</v>
      </c>
      <c r="L936" t="str">
        <f t="shared" si="15"/>
        <v>nicaurydelacruzperez@gmail.com</v>
      </c>
    </row>
    <row r="937" spans="1:12">
      <c r="A937" t="str" cm="1">
        <f t="array" ref="A937">_xlfn.LET(_xlpm.e,L937,
IF(_xlpm.e="","",
"DOC-"&amp;TEXT(ROW()-ROW(tblMaster[#Headers]),"00000")
))</f>
        <v>DOC-00936</v>
      </c>
      <c r="B937" s="49">
        <v>45958</v>
      </c>
      <c r="C937" s="42" t="s">
        <v>3767</v>
      </c>
      <c r="D937" s="41" t="s">
        <v>1672</v>
      </c>
      <c r="E937" s="38" t="s">
        <v>3768</v>
      </c>
      <c r="F937" s="18" t="s">
        <v>3769</v>
      </c>
      <c r="G937" s="41" t="s">
        <v>3770</v>
      </c>
      <c r="H937" s="17" t="s">
        <v>153</v>
      </c>
      <c r="I937" s="18" t="s">
        <v>2276</v>
      </c>
      <c r="K937" s="5" t="s">
        <v>652</v>
      </c>
      <c r="L937" t="str">
        <f t="shared" si="15"/>
        <v>dominiquejean007@gmail.com</v>
      </c>
    </row>
    <row r="938" spans="1:12">
      <c r="A938" t="str" cm="1">
        <f t="array" ref="A938">_xlfn.LET(_xlpm.e,L938,
IF(_xlpm.e="","",
"DOC-"&amp;TEXT(ROW()-ROW(tblMaster[#Headers]),"00000")
))</f>
        <v/>
      </c>
      <c r="B938" s="49">
        <v>45958</v>
      </c>
      <c r="C938" s="42" t="s">
        <v>1910</v>
      </c>
      <c r="D938" s="41" t="s">
        <v>3771</v>
      </c>
      <c r="E938" s="41"/>
      <c r="F938" s="18" t="s">
        <v>3772</v>
      </c>
      <c r="G938" s="41" t="s">
        <v>596</v>
      </c>
      <c r="H938" s="17" t="s">
        <v>17</v>
      </c>
      <c r="I938" s="18" t="s">
        <v>2276</v>
      </c>
      <c r="K938" s="5" t="s">
        <v>652</v>
      </c>
      <c r="L938" t="str">
        <f t="shared" si="15"/>
        <v/>
      </c>
    </row>
    <row r="939" spans="1:12">
      <c r="A939" t="str" cm="1">
        <f t="array" ref="A939">_xlfn.LET(_xlpm.e,L939,
IF(_xlpm.e="","",
"DOC-"&amp;TEXT(ROW()-ROW(tblMaster[#Headers]),"00000")
))</f>
        <v>DOC-00938</v>
      </c>
      <c r="B939" s="49">
        <v>45958</v>
      </c>
      <c r="C939" s="42" t="s">
        <v>3773</v>
      </c>
      <c r="D939" s="41" t="s">
        <v>3774</v>
      </c>
      <c r="E939" s="38" t="s">
        <v>3775</v>
      </c>
      <c r="F939" s="18" t="s">
        <v>3776</v>
      </c>
      <c r="G939" s="41" t="s">
        <v>1361</v>
      </c>
      <c r="H939" s="17" t="s">
        <v>17</v>
      </c>
      <c r="I939" s="18" t="s">
        <v>193</v>
      </c>
      <c r="K939" s="5" t="s">
        <v>652</v>
      </c>
      <c r="L939" t="str">
        <f t="shared" si="15"/>
        <v>abdinacisse57@gmail.com</v>
      </c>
    </row>
    <row r="940" spans="1:12">
      <c r="A940" t="str" cm="1">
        <f t="array" ref="A940">_xlfn.LET(_xlpm.e,L940,
IF(_xlpm.e="","",
"DOC-"&amp;TEXT(ROW()-ROW(tblMaster[#Headers]),"00000")
))</f>
        <v>DOC-00939</v>
      </c>
      <c r="B940" s="49">
        <v>45958</v>
      </c>
      <c r="C940" s="42" t="s">
        <v>3777</v>
      </c>
      <c r="D940" s="41" t="s">
        <v>3778</v>
      </c>
      <c r="E940" s="38" t="s">
        <v>3779</v>
      </c>
      <c r="F940" s="18" t="s">
        <v>3780</v>
      </c>
      <c r="G940" s="41" t="s">
        <v>3781</v>
      </c>
      <c r="H940" s="17" t="s">
        <v>60</v>
      </c>
      <c r="I940" s="18" t="s">
        <v>54</v>
      </c>
      <c r="K940" s="5" t="s">
        <v>652</v>
      </c>
      <c r="L940" t="str">
        <f t="shared" si="15"/>
        <v>fattybabucarr96@gmail.com</v>
      </c>
    </row>
    <row r="941" spans="1:12">
      <c r="A941" t="str" cm="1">
        <f t="array" ref="A941">_xlfn.LET(_xlpm.e,L941,
IF(_xlpm.e="","",
"DOC-"&amp;TEXT(ROW()-ROW(tblMaster[#Headers]),"00000")
))</f>
        <v>DOC-00940</v>
      </c>
      <c r="B941" s="49">
        <v>45958</v>
      </c>
      <c r="C941" s="42" t="s">
        <v>3782</v>
      </c>
      <c r="D941" s="41" t="s">
        <v>3783</v>
      </c>
      <c r="E941" s="38" t="s">
        <v>3784</v>
      </c>
      <c r="F941" s="18" t="s">
        <v>3785</v>
      </c>
      <c r="G941" s="41" t="s">
        <v>918</v>
      </c>
      <c r="H941" s="17" t="s">
        <v>17</v>
      </c>
      <c r="I941" s="18" t="s">
        <v>54</v>
      </c>
      <c r="J941" s="99" t="s">
        <v>23</v>
      </c>
      <c r="K941" s="5" t="s">
        <v>652</v>
      </c>
      <c r="L941" t="str">
        <f t="shared" si="15"/>
        <v>robertalopes62@hotmail.com</v>
      </c>
    </row>
    <row r="942" spans="1:12">
      <c r="A942" t="str" cm="1">
        <f t="array" ref="A942">_xlfn.LET(_xlpm.e,L942,
IF(_xlpm.e="","",
"DOC-"&amp;TEXT(ROW()-ROW(tblMaster[#Headers]),"00000")
))</f>
        <v>DOC-00941</v>
      </c>
      <c r="B942" s="49">
        <v>45958</v>
      </c>
      <c r="C942" s="42" t="s">
        <v>3786</v>
      </c>
      <c r="D942" s="41" t="s">
        <v>3787</v>
      </c>
      <c r="E942" s="38" t="s">
        <v>3788</v>
      </c>
      <c r="F942" s="18" t="s">
        <v>3789</v>
      </c>
      <c r="G942" s="41" t="s">
        <v>1084</v>
      </c>
      <c r="H942" s="17" t="s">
        <v>17</v>
      </c>
      <c r="I942" s="18" t="s">
        <v>2276</v>
      </c>
      <c r="K942" s="5" t="s">
        <v>652</v>
      </c>
      <c r="L942" t="str">
        <f t="shared" si="15"/>
        <v>jaizeldukes3@gmail.com</v>
      </c>
    </row>
    <row r="943" spans="1:12">
      <c r="A943" t="str" cm="1">
        <f t="array" ref="A943">_xlfn.LET(_xlpm.e,L943,
IF(_xlpm.e="","",
"DOC-"&amp;TEXT(ROW()-ROW(tblMaster[#Headers]),"00000")
))</f>
        <v>DOC-00942</v>
      </c>
      <c r="B943" s="49">
        <v>45958</v>
      </c>
      <c r="C943" s="42" t="s">
        <v>3790</v>
      </c>
      <c r="D943" s="41" t="s">
        <v>3791</v>
      </c>
      <c r="E943" s="38" t="s">
        <v>3792</v>
      </c>
      <c r="F943" s="18" t="s">
        <v>3793</v>
      </c>
      <c r="G943" s="41" t="s">
        <v>142</v>
      </c>
      <c r="H943" s="17" t="s">
        <v>17</v>
      </c>
      <c r="I943" s="18" t="s">
        <v>54</v>
      </c>
      <c r="K943" s="5" t="s">
        <v>652</v>
      </c>
      <c r="L943" t="str">
        <f t="shared" si="15"/>
        <v>tropical2520@gmail.com</v>
      </c>
    </row>
    <row r="944" spans="1:12">
      <c r="A944" t="str" cm="1">
        <f t="array" ref="A944">_xlfn.LET(_xlpm.e,L944,
IF(_xlpm.e="","",
"DOC-"&amp;TEXT(ROW()-ROW(tblMaster[#Headers]),"00000")
))</f>
        <v>DOC-00943</v>
      </c>
      <c r="B944" s="49">
        <v>45958</v>
      </c>
      <c r="C944" s="42" t="s">
        <v>3794</v>
      </c>
      <c r="D944" s="41" t="s">
        <v>3795</v>
      </c>
      <c r="E944" s="38" t="s">
        <v>3796</v>
      </c>
      <c r="F944" s="18" t="s">
        <v>3797</v>
      </c>
      <c r="G944" s="41" t="s">
        <v>3177</v>
      </c>
      <c r="H944" s="17" t="s">
        <v>17</v>
      </c>
      <c r="I944" s="18" t="s">
        <v>54</v>
      </c>
      <c r="K944" s="5" t="s">
        <v>652</v>
      </c>
      <c r="L944" t="str">
        <f t="shared" si="15"/>
        <v>alandrefrancois12@gmail.com</v>
      </c>
    </row>
    <row r="945" spans="1:12">
      <c r="A945" t="str" cm="1">
        <f t="array" ref="A945">_xlfn.LET(_xlpm.e,L945,
IF(_xlpm.e="","",
"DOC-"&amp;TEXT(ROW()-ROW(tblMaster[#Headers]),"00000")
))</f>
        <v>DOC-00944</v>
      </c>
      <c r="B945" s="49">
        <v>45958</v>
      </c>
      <c r="C945" s="42" t="s">
        <v>3798</v>
      </c>
      <c r="D945" s="41" t="s">
        <v>3799</v>
      </c>
      <c r="E945" s="38" t="s">
        <v>3800</v>
      </c>
      <c r="F945" s="18" t="s">
        <v>3801</v>
      </c>
      <c r="G945" s="41" t="s">
        <v>231</v>
      </c>
      <c r="H945" s="17" t="s">
        <v>17</v>
      </c>
      <c r="I945" s="18" t="s">
        <v>2276</v>
      </c>
      <c r="K945" s="5" t="s">
        <v>652</v>
      </c>
      <c r="L945" t="str">
        <f t="shared" si="15"/>
        <v>roben0023@yahoo.com</v>
      </c>
    </row>
    <row r="946" spans="1:12">
      <c r="A946" t="str" cm="1">
        <f t="array" ref="A946">_xlfn.LET(_xlpm.e,L946,
IF(_xlpm.e="","",
"DOC-"&amp;TEXT(ROW()-ROW(tblMaster[#Headers]),"00000")
))</f>
        <v>DOC-00945</v>
      </c>
      <c r="B946" s="49">
        <v>45958</v>
      </c>
      <c r="C946" s="42" t="s">
        <v>2622</v>
      </c>
      <c r="D946" s="41" t="s">
        <v>3802</v>
      </c>
      <c r="E946" s="38" t="s">
        <v>3803</v>
      </c>
      <c r="F946" s="18"/>
      <c r="G946" s="41"/>
      <c r="H946" s="17"/>
      <c r="I946" s="18" t="s">
        <v>101</v>
      </c>
      <c r="K946" s="5" t="s">
        <v>652</v>
      </c>
      <c r="L946" t="str">
        <f t="shared" si="15"/>
        <v>michaelatabongesemoh@gmail.com</v>
      </c>
    </row>
    <row r="947" spans="1:12">
      <c r="A947" t="str" cm="1">
        <f t="array" ref="A947">_xlfn.LET(_xlpm.e,L947,
IF(_xlpm.e="","",
"DOC-"&amp;TEXT(ROW()-ROW(tblMaster[#Headers]),"00000")
))</f>
        <v>DOC-00946</v>
      </c>
      <c r="B947" s="49">
        <v>45958</v>
      </c>
      <c r="C947" s="42" t="s">
        <v>3804</v>
      </c>
      <c r="D947" s="41" t="s">
        <v>3805</v>
      </c>
      <c r="E947" s="38" t="s">
        <v>3806</v>
      </c>
      <c r="F947" s="18" t="s">
        <v>3807</v>
      </c>
      <c r="G947" s="41" t="s">
        <v>79</v>
      </c>
      <c r="H947" s="17" t="s">
        <v>17</v>
      </c>
      <c r="I947" s="18" t="s">
        <v>54</v>
      </c>
      <c r="J947" s="99" t="s">
        <v>23</v>
      </c>
      <c r="K947" s="5" t="s">
        <v>652</v>
      </c>
      <c r="L947" t="str">
        <f t="shared" si="15"/>
        <v>trai_menter@icloud.com</v>
      </c>
    </row>
    <row r="948" spans="1:12">
      <c r="A948" t="str" cm="1">
        <f t="array" ref="A948">_xlfn.LET(_xlpm.e,L948,
IF(_xlpm.e="","",
"DOC-"&amp;TEXT(ROW()-ROW(tblMaster[#Headers]),"00000")
))</f>
        <v>DOC-00947</v>
      </c>
      <c r="B948" s="49">
        <v>45958</v>
      </c>
      <c r="C948" s="42" t="s">
        <v>3808</v>
      </c>
      <c r="D948" s="41" t="s">
        <v>3809</v>
      </c>
      <c r="E948" s="38" t="s">
        <v>3810</v>
      </c>
      <c r="F948" s="18" t="s">
        <v>3811</v>
      </c>
      <c r="G948" s="41" t="s">
        <v>2787</v>
      </c>
      <c r="H948" s="17" t="s">
        <v>17</v>
      </c>
      <c r="I948" s="18" t="s">
        <v>101</v>
      </c>
      <c r="K948" s="5" t="s">
        <v>652</v>
      </c>
      <c r="L948" t="str">
        <f t="shared" si="15"/>
        <v>irrc2125@gmail.com</v>
      </c>
    </row>
    <row r="949" spans="1:12">
      <c r="A949" t="str" cm="1">
        <f t="array" ref="A949">_xlfn.LET(_xlpm.e,L949,
IF(_xlpm.e="","",
"DOC-"&amp;TEXT(ROW()-ROW(tblMaster[#Headers]),"00000")
))</f>
        <v>DOC-00948</v>
      </c>
      <c r="B949" s="49">
        <v>45958</v>
      </c>
      <c r="C949" s="42" t="s">
        <v>1277</v>
      </c>
      <c r="D949" s="41" t="s">
        <v>3812</v>
      </c>
      <c r="E949" s="38" t="s">
        <v>3813</v>
      </c>
      <c r="F949" s="18" t="s">
        <v>3814</v>
      </c>
      <c r="G949" s="41" t="s">
        <v>182</v>
      </c>
      <c r="H949" s="17" t="s">
        <v>17</v>
      </c>
      <c r="I949" s="18" t="s">
        <v>101</v>
      </c>
      <c r="K949" s="5" t="s">
        <v>652</v>
      </c>
      <c r="L949" t="str">
        <f t="shared" si="15"/>
        <v>johnfornoh237@gmail.com</v>
      </c>
    </row>
    <row r="950" spans="1:12">
      <c r="A950" t="str" cm="1">
        <f t="array" ref="A950">_xlfn.LET(_xlpm.e,L950,
IF(_xlpm.e="","",
"DOC-"&amp;TEXT(ROW()-ROW(tblMaster[#Headers]),"00000")
))</f>
        <v>DOC-00949</v>
      </c>
      <c r="B950" s="49">
        <v>45958</v>
      </c>
      <c r="C950" s="42" t="s">
        <v>3815</v>
      </c>
      <c r="D950" s="41" t="s">
        <v>3816</v>
      </c>
      <c r="E950" s="38" t="s">
        <v>3817</v>
      </c>
      <c r="F950" s="18" t="s">
        <v>3818</v>
      </c>
      <c r="G950" s="41" t="s">
        <v>3819</v>
      </c>
      <c r="H950" s="17" t="s">
        <v>17</v>
      </c>
      <c r="I950" s="18" t="s">
        <v>101</v>
      </c>
      <c r="K950" s="5" t="s">
        <v>226</v>
      </c>
      <c r="L950" t="str">
        <f t="shared" si="15"/>
        <v>yar.ayuel@gmail.com</v>
      </c>
    </row>
    <row r="951" spans="1:12">
      <c r="A951" t="str" cm="1">
        <f t="array" ref="A951">_xlfn.LET(_xlpm.e,L951,
IF(_xlpm.e="","",
"DOC-"&amp;TEXT(ROW()-ROW(tblMaster[#Headers]),"00000")
))</f>
        <v>DOC-00950</v>
      </c>
      <c r="B951" s="49">
        <v>45958</v>
      </c>
      <c r="C951" s="42" t="s">
        <v>3820</v>
      </c>
      <c r="D951" s="41" t="s">
        <v>3821</v>
      </c>
      <c r="E951" s="38" t="s">
        <v>3822</v>
      </c>
      <c r="F951" s="18" t="s">
        <v>3823</v>
      </c>
      <c r="G951" s="41" t="s">
        <v>1403</v>
      </c>
      <c r="H951" s="17" t="s">
        <v>60</v>
      </c>
      <c r="I951" s="18" t="s">
        <v>101</v>
      </c>
      <c r="K951" s="5" t="s">
        <v>652</v>
      </c>
      <c r="L951" t="str">
        <f t="shared" si="15"/>
        <v>ibsoncity@gmail.com</v>
      </c>
    </row>
    <row r="952" spans="1:12">
      <c r="A952" t="str" cm="1">
        <f t="array" ref="A952">_xlfn.LET(_xlpm.e,L952,
IF(_xlpm.e="","",
"DOC-"&amp;TEXT(ROW()-ROW(tblMaster[#Headers]),"00000")
))</f>
        <v>DOC-00951</v>
      </c>
      <c r="B952" s="49">
        <v>45958</v>
      </c>
      <c r="C952" s="42" t="s">
        <v>3824</v>
      </c>
      <c r="D952" s="41" t="s">
        <v>3825</v>
      </c>
      <c r="E952" s="38" t="s">
        <v>3826</v>
      </c>
      <c r="F952" s="18" t="s">
        <v>3827</v>
      </c>
      <c r="G952" s="41" t="s">
        <v>3828</v>
      </c>
      <c r="H952" s="17" t="s">
        <v>17</v>
      </c>
      <c r="I952" s="18" t="s">
        <v>3829</v>
      </c>
      <c r="K952" s="5" t="s">
        <v>652</v>
      </c>
      <c r="L952" t="str">
        <f t="shared" si="15"/>
        <v>ellisrac37@gmail.com</v>
      </c>
    </row>
    <row r="953" spans="1:12">
      <c r="A953" t="str" cm="1">
        <f t="array" ref="A953">_xlfn.LET(_xlpm.e,L953,
IF(_xlpm.e="","",
"DOC-"&amp;TEXT(ROW()-ROW(tblMaster[#Headers]),"00000")
))</f>
        <v>DOC-00952</v>
      </c>
      <c r="B953" s="49">
        <v>45958</v>
      </c>
      <c r="C953" s="42" t="s">
        <v>3830</v>
      </c>
      <c r="D953" s="41" t="s">
        <v>3831</v>
      </c>
      <c r="E953" s="38" t="s">
        <v>3832</v>
      </c>
      <c r="F953" s="18" t="s">
        <v>3833</v>
      </c>
      <c r="G953" s="41" t="s">
        <v>3834</v>
      </c>
      <c r="H953" s="17" t="s">
        <v>267</v>
      </c>
      <c r="I953" s="18" t="s">
        <v>193</v>
      </c>
      <c r="J953" s="99" t="s">
        <v>194</v>
      </c>
      <c r="K953" s="5" t="s">
        <v>652</v>
      </c>
      <c r="L953" t="str">
        <f t="shared" si="15"/>
        <v>aleah52002@gmail.com</v>
      </c>
    </row>
    <row r="954" spans="1:12">
      <c r="A954" t="str" cm="1">
        <f t="array" ref="A954">_xlfn.LET(_xlpm.e,L954,
IF(_xlpm.e="","",
"DOC-"&amp;TEXT(ROW()-ROW(tblMaster[#Headers]),"00000")
))</f>
        <v>DOC-00953</v>
      </c>
      <c r="B954" s="49">
        <v>45958</v>
      </c>
      <c r="C954" s="42" t="s">
        <v>1798</v>
      </c>
      <c r="D954" s="41" t="s">
        <v>3835</v>
      </c>
      <c r="E954" s="38" t="s">
        <v>3836</v>
      </c>
      <c r="F954" s="18" t="s">
        <v>3837</v>
      </c>
      <c r="G954" s="41" t="s">
        <v>3838</v>
      </c>
      <c r="H954" s="17" t="s">
        <v>17</v>
      </c>
      <c r="I954" s="18" t="s">
        <v>54</v>
      </c>
      <c r="K954" s="5" t="s">
        <v>652</v>
      </c>
      <c r="L954" t="str">
        <f t="shared" si="15"/>
        <v>isaiahtobin2024@gmail.com</v>
      </c>
    </row>
    <row r="955" spans="1:12">
      <c r="A955" t="str" cm="1">
        <f t="array" ref="A955">_xlfn.LET(_xlpm.e,L955,
IF(_xlpm.e="","",
"DOC-"&amp;TEXT(ROW()-ROW(tblMaster[#Headers]),"00000")
))</f>
        <v>DOC-00954</v>
      </c>
      <c r="B955" s="49">
        <v>45958</v>
      </c>
      <c r="C955" s="42" t="s">
        <v>3839</v>
      </c>
      <c r="D955" s="41" t="s">
        <v>3840</v>
      </c>
      <c r="E955" s="38" t="s">
        <v>3841</v>
      </c>
      <c r="F955" s="18" t="s">
        <v>3842</v>
      </c>
      <c r="G955" s="41" t="s">
        <v>3843</v>
      </c>
      <c r="H955" s="17" t="s">
        <v>17</v>
      </c>
      <c r="I955" s="18" t="s">
        <v>54</v>
      </c>
      <c r="K955" s="5" t="s">
        <v>652</v>
      </c>
      <c r="L955" t="str">
        <f t="shared" si="15"/>
        <v>indirafrederico@gmail.com</v>
      </c>
    </row>
    <row r="956" spans="1:12">
      <c r="A956" t="str" cm="1">
        <f t="array" ref="A956">_xlfn.LET(_xlpm.e,L956,
IF(_xlpm.e="","",
"DOC-"&amp;TEXT(ROW()-ROW(tblMaster[#Headers]),"00000")
))</f>
        <v>DOC-00955</v>
      </c>
      <c r="B956" s="49">
        <v>45958</v>
      </c>
      <c r="C956" s="42" t="s">
        <v>3844</v>
      </c>
      <c r="D956" s="41" t="s">
        <v>3845</v>
      </c>
      <c r="E956" s="38" t="s">
        <v>3846</v>
      </c>
      <c r="F956" s="18" t="s">
        <v>3847</v>
      </c>
      <c r="G956" s="41" t="s">
        <v>247</v>
      </c>
      <c r="H956" s="17" t="s">
        <v>17</v>
      </c>
      <c r="I956" s="18" t="s">
        <v>2276</v>
      </c>
      <c r="K956" s="5" t="s">
        <v>652</v>
      </c>
      <c r="L956" t="str">
        <f t="shared" si="15"/>
        <v>sheen.been@yahoo.com</v>
      </c>
    </row>
    <row r="957" spans="1:12">
      <c r="A957" t="str" cm="1">
        <f t="array" ref="A957">_xlfn.LET(_xlpm.e,L957,
IF(_xlpm.e="","",
"DOC-"&amp;TEXT(ROW()-ROW(tblMaster[#Headers]),"00000")
))</f>
        <v/>
      </c>
      <c r="B957" s="49">
        <v>45958</v>
      </c>
      <c r="C957" s="42" t="s">
        <v>1379</v>
      </c>
      <c r="D957" s="41" t="s">
        <v>3848</v>
      </c>
      <c r="E957" s="41"/>
      <c r="F957" s="18" t="s">
        <v>3849</v>
      </c>
      <c r="G957" s="41" t="s">
        <v>257</v>
      </c>
      <c r="H957" s="17" t="s">
        <v>17</v>
      </c>
      <c r="I957" s="18" t="s">
        <v>2276</v>
      </c>
      <c r="K957" s="5" t="s">
        <v>652</v>
      </c>
      <c r="L957" t="str">
        <f t="shared" si="15"/>
        <v/>
      </c>
    </row>
    <row r="958" spans="1:12">
      <c r="A958" t="str" cm="1">
        <f t="array" ref="A958">_xlfn.LET(_xlpm.e,L958,
IF(_xlpm.e="","",
"DOC-"&amp;TEXT(ROW()-ROW(tblMaster[#Headers]),"00000")
))</f>
        <v>DOC-00957</v>
      </c>
      <c r="B958" s="49">
        <v>45958</v>
      </c>
      <c r="C958" s="42" t="s">
        <v>3850</v>
      </c>
      <c r="D958" s="41" t="s">
        <v>1925</v>
      </c>
      <c r="E958" s="38" t="s">
        <v>3851</v>
      </c>
      <c r="F958" s="18" t="s">
        <v>3852</v>
      </c>
      <c r="G958" s="41" t="s">
        <v>142</v>
      </c>
      <c r="H958" s="17" t="s">
        <v>17</v>
      </c>
      <c r="I958" s="18" t="s">
        <v>101</v>
      </c>
      <c r="J958" s="99" t="s">
        <v>23</v>
      </c>
      <c r="K958" s="5" t="s">
        <v>652</v>
      </c>
      <c r="L958" t="str">
        <f t="shared" si="15"/>
        <v>jaichris25@gmail.com</v>
      </c>
    </row>
    <row r="959" spans="1:12">
      <c r="A959" t="str" cm="1">
        <f t="array" ref="A959">_xlfn.LET(_xlpm.e,L959,
IF(_xlpm.e="","",
"DOC-"&amp;TEXT(ROW()-ROW(tblMaster[#Headers]),"00000")
))</f>
        <v>DOC-00958</v>
      </c>
      <c r="B959" s="49">
        <v>45958</v>
      </c>
      <c r="C959" s="42" t="s">
        <v>3853</v>
      </c>
      <c r="D959" s="41" t="s">
        <v>3854</v>
      </c>
      <c r="E959" s="38" t="s">
        <v>3855</v>
      </c>
      <c r="F959" s="18" t="s">
        <v>3856</v>
      </c>
      <c r="G959" s="41" t="s">
        <v>88</v>
      </c>
      <c r="H959" s="17" t="s">
        <v>17</v>
      </c>
      <c r="I959" s="18" t="s">
        <v>101</v>
      </c>
      <c r="K959" s="5" t="s">
        <v>652</v>
      </c>
      <c r="L959" t="str">
        <f t="shared" si="15"/>
        <v>vensky8105@gmail.com</v>
      </c>
    </row>
    <row r="960" spans="1:12">
      <c r="A960" t="str" cm="1">
        <f t="array" ref="A960">_xlfn.LET(_xlpm.e,L960,
IF(_xlpm.e="","",
"DOC-"&amp;TEXT(ROW()-ROW(tblMaster[#Headers]),"00000")
))</f>
        <v>DOC-00959</v>
      </c>
      <c r="B960" s="49">
        <v>45958</v>
      </c>
      <c r="C960" s="42" t="s">
        <v>3857</v>
      </c>
      <c r="D960" s="41" t="s">
        <v>3858</v>
      </c>
      <c r="E960" s="38" t="s">
        <v>3859</v>
      </c>
      <c r="F960" s="18" t="s">
        <v>3860</v>
      </c>
      <c r="G960" s="41" t="s">
        <v>1387</v>
      </c>
      <c r="H960" s="17" t="s">
        <v>17</v>
      </c>
      <c r="I960" s="18" t="s">
        <v>101</v>
      </c>
      <c r="K960" s="5" t="s">
        <v>652</v>
      </c>
      <c r="L960" t="str">
        <f t="shared" si="15"/>
        <v>jorgepaguada96@gmail.com</v>
      </c>
    </row>
    <row r="961" spans="1:12">
      <c r="A961" t="str" cm="1">
        <f t="array" ref="A961">_xlfn.LET(_xlpm.e,L961,
IF(_xlpm.e="","",
"DOC-"&amp;TEXT(ROW()-ROW(tblMaster[#Headers]),"00000")
))</f>
        <v>DOC-00960</v>
      </c>
      <c r="B961" s="49">
        <v>45958</v>
      </c>
      <c r="C961" s="42" t="s">
        <v>1325</v>
      </c>
      <c r="D961" s="41" t="s">
        <v>3861</v>
      </c>
      <c r="E961" s="38" t="s">
        <v>3862</v>
      </c>
      <c r="F961" s="18" t="s">
        <v>3863</v>
      </c>
      <c r="G961" s="41" t="s">
        <v>33</v>
      </c>
      <c r="H961" s="17" t="s">
        <v>17</v>
      </c>
      <c r="I961" s="18" t="s">
        <v>54</v>
      </c>
      <c r="K961" s="5" t="s">
        <v>652</v>
      </c>
      <c r="L961" t="str">
        <f t="shared" si="15"/>
        <v>danielarmand77@live.com</v>
      </c>
    </row>
    <row r="962" spans="1:12">
      <c r="A962" t="str" cm="1">
        <f t="array" ref="A962">_xlfn.LET(_xlpm.e,L962,
IF(_xlpm.e="","",
"DOC-"&amp;TEXT(ROW()-ROW(tblMaster[#Headers]),"00000")
))</f>
        <v>DOC-00961</v>
      </c>
      <c r="B962" s="49">
        <v>45958</v>
      </c>
      <c r="C962" s="42" t="s">
        <v>2759</v>
      </c>
      <c r="D962" s="41" t="s">
        <v>3864</v>
      </c>
      <c r="E962" s="38" t="s">
        <v>3865</v>
      </c>
      <c r="F962" s="18" t="s">
        <v>3866</v>
      </c>
      <c r="G962" s="41" t="s">
        <v>142</v>
      </c>
      <c r="H962" s="17" t="s">
        <v>17</v>
      </c>
      <c r="I962" s="18" t="s">
        <v>54</v>
      </c>
      <c r="K962" s="5" t="s">
        <v>652</v>
      </c>
      <c r="L962" t="str">
        <f t="shared" si="15"/>
        <v>benrapoza@gmail.com</v>
      </c>
    </row>
    <row r="963" spans="1:12">
      <c r="A963" t="str" cm="1">
        <f t="array" ref="A963">_xlfn.LET(_xlpm.e,L963,
IF(_xlpm.e="","",
"DOC-"&amp;TEXT(ROW()-ROW(tblMaster[#Headers]),"00000")
))</f>
        <v>DOC-00962</v>
      </c>
      <c r="B963" s="49">
        <v>45958</v>
      </c>
      <c r="C963" s="42" t="s">
        <v>3867</v>
      </c>
      <c r="D963" s="41" t="s">
        <v>3868</v>
      </c>
      <c r="E963" s="38" t="s">
        <v>3869</v>
      </c>
      <c r="F963" s="18" t="s">
        <v>3870</v>
      </c>
      <c r="G963" s="41" t="s">
        <v>3871</v>
      </c>
      <c r="H963" s="17" t="s">
        <v>17</v>
      </c>
      <c r="I963" s="18" t="s">
        <v>101</v>
      </c>
      <c r="J963" s="99" t="s">
        <v>23</v>
      </c>
      <c r="K963" s="5" t="s">
        <v>652</v>
      </c>
      <c r="L963" t="str">
        <f t="shared" si="15"/>
        <v>kaylamagnone@gmail.com</v>
      </c>
    </row>
    <row r="964" spans="1:12">
      <c r="A964" t="str" cm="1">
        <f t="array" ref="A964">_xlfn.LET(_xlpm.e,L964,
IF(_xlpm.e="","",
"DOC-"&amp;TEXT(ROW()-ROW(tblMaster[#Headers]),"00000")
))</f>
        <v>DOC-00963</v>
      </c>
      <c r="B964" s="49">
        <v>45958</v>
      </c>
      <c r="C964" s="42" t="s">
        <v>3872</v>
      </c>
      <c r="D964" s="41" t="s">
        <v>3873</v>
      </c>
      <c r="E964" s="38" t="s">
        <v>3874</v>
      </c>
      <c r="F964" s="18" t="s">
        <v>3875</v>
      </c>
      <c r="G964" s="41" t="s">
        <v>820</v>
      </c>
      <c r="H964" s="17" t="s">
        <v>17</v>
      </c>
      <c r="I964" s="18" t="s">
        <v>54</v>
      </c>
      <c r="K964" s="5" t="s">
        <v>652</v>
      </c>
      <c r="L964" t="str">
        <f t="shared" si="15"/>
        <v>mhayise.posh@gmail.com</v>
      </c>
    </row>
    <row r="965" spans="1:12">
      <c r="A965" t="str" cm="1">
        <f t="array" ref="A965">_xlfn.LET(_xlpm.e,L965,
IF(_xlpm.e="","",
"DOC-"&amp;TEXT(ROW()-ROW(tblMaster[#Headers]),"00000")
))</f>
        <v>DOC-00964</v>
      </c>
      <c r="B965" s="49">
        <v>45958</v>
      </c>
      <c r="C965" s="42" t="s">
        <v>3876</v>
      </c>
      <c r="D965" s="41" t="s">
        <v>480</v>
      </c>
      <c r="E965" s="38" t="s">
        <v>3877</v>
      </c>
      <c r="F965" s="18" t="s">
        <v>3878</v>
      </c>
      <c r="G965" s="41" t="s">
        <v>596</v>
      </c>
      <c r="H965" s="17" t="s">
        <v>17</v>
      </c>
      <c r="I965" s="18" t="s">
        <v>54</v>
      </c>
      <c r="K965" s="5" t="s">
        <v>652</v>
      </c>
      <c r="L965" t="str">
        <f t="shared" si="15"/>
        <v>charles.jhonson@yahoo.com</v>
      </c>
    </row>
    <row r="966" spans="1:12">
      <c r="A966" t="str" cm="1">
        <f t="array" ref="A966">_xlfn.LET(_xlpm.e,L966,
IF(_xlpm.e="","",
"DOC-"&amp;TEXT(ROW()-ROW(tblMaster[#Headers]),"00000")
))</f>
        <v>DOC-00965</v>
      </c>
      <c r="B966" s="49">
        <v>45958</v>
      </c>
      <c r="C966" s="42" t="s">
        <v>2865</v>
      </c>
      <c r="D966" s="41" t="s">
        <v>3879</v>
      </c>
      <c r="E966" s="38" t="s">
        <v>3880</v>
      </c>
      <c r="F966" s="18" t="s">
        <v>3881</v>
      </c>
      <c r="G966" s="41" t="s">
        <v>2770</v>
      </c>
      <c r="H966" s="17" t="s">
        <v>17</v>
      </c>
      <c r="I966" s="18" t="s">
        <v>101</v>
      </c>
      <c r="J966" s="99" t="s">
        <v>497</v>
      </c>
      <c r="K966" s="5" t="s">
        <v>226</v>
      </c>
      <c r="L966" t="str">
        <f t="shared" ref="L966:L1029" si="16">_xlfn.LET(_xlpm.x,E966,
_xlpm.y,TRIM(CLEAN(SUBSTITUTE(_xlpm.x,CHAR(160)," "))),
LOWER(_xlpm.y))</f>
        <v>caseycurrie1820@yahoo.com</v>
      </c>
    </row>
    <row r="967" spans="1:12">
      <c r="A967" t="str" cm="1">
        <f t="array" ref="A967">_xlfn.LET(_xlpm.e,L967,
IF(_xlpm.e="","",
"DOC-"&amp;TEXT(ROW()-ROW(tblMaster[#Headers]),"00000")
))</f>
        <v>DOC-00966</v>
      </c>
      <c r="B967" s="49">
        <v>45958</v>
      </c>
      <c r="C967" s="42" t="s">
        <v>3882</v>
      </c>
      <c r="D967" s="41" t="s">
        <v>3883</v>
      </c>
      <c r="E967" s="38" t="s">
        <v>3884</v>
      </c>
      <c r="F967" s="18" t="s">
        <v>3885</v>
      </c>
      <c r="G967" s="41" t="s">
        <v>448</v>
      </c>
      <c r="H967" s="17" t="s">
        <v>17</v>
      </c>
      <c r="I967" s="18" t="s">
        <v>2276</v>
      </c>
      <c r="K967" s="5" t="s">
        <v>652</v>
      </c>
      <c r="L967" t="str">
        <f t="shared" si="16"/>
        <v>rosariogloria149412@gmail.com</v>
      </c>
    </row>
    <row r="968" spans="1:12">
      <c r="A968" t="str" cm="1">
        <f t="array" ref="A968">_xlfn.LET(_xlpm.e,L968,
IF(_xlpm.e="","",
"DOC-"&amp;TEXT(ROW()-ROW(tblMaster[#Headers]),"00000")
))</f>
        <v>DOC-00967</v>
      </c>
      <c r="B968" s="49">
        <v>45958</v>
      </c>
      <c r="C968" s="42" t="s">
        <v>3886</v>
      </c>
      <c r="D968" s="41" t="s">
        <v>1790</v>
      </c>
      <c r="E968" s="38" t="s">
        <v>3887</v>
      </c>
      <c r="F968" s="18" t="s">
        <v>3888</v>
      </c>
      <c r="G968" s="41" t="s">
        <v>1502</v>
      </c>
      <c r="H968" s="17" t="s">
        <v>17</v>
      </c>
      <c r="I968" s="18" t="s">
        <v>54</v>
      </c>
      <c r="K968" s="5" t="s">
        <v>652</v>
      </c>
      <c r="L968" t="str">
        <f t="shared" si="16"/>
        <v>pfalandia@gmail.com</v>
      </c>
    </row>
    <row r="969" spans="1:12">
      <c r="A969" t="str" cm="1">
        <f t="array" ref="A969">_xlfn.LET(_xlpm.e,L969,
IF(_xlpm.e="","",
"DOC-"&amp;TEXT(ROW()-ROW(tblMaster[#Headers]),"00000")
))</f>
        <v>DOC-00968</v>
      </c>
      <c r="B969" s="49">
        <v>45958</v>
      </c>
      <c r="C969" s="42" t="s">
        <v>3889</v>
      </c>
      <c r="D969" s="41" t="s">
        <v>3890</v>
      </c>
      <c r="E969" s="38" t="s">
        <v>3891</v>
      </c>
      <c r="F969" s="18" t="s">
        <v>3892</v>
      </c>
      <c r="G969" s="41" t="s">
        <v>79</v>
      </c>
      <c r="H969" s="17" t="s">
        <v>17</v>
      </c>
      <c r="I969" s="18" t="s">
        <v>54</v>
      </c>
      <c r="J969" s="99" t="s">
        <v>66</v>
      </c>
      <c r="K969" s="5" t="s">
        <v>652</v>
      </c>
      <c r="L969" t="str">
        <f t="shared" si="16"/>
        <v>desheakusi@yahoo.com</v>
      </c>
    </row>
    <row r="970" spans="1:12">
      <c r="A970" t="str" cm="1">
        <f t="array" ref="A970">_xlfn.LET(_xlpm.e,L970,
IF(_xlpm.e="","",
"DOC-"&amp;TEXT(ROW()-ROW(tblMaster[#Headers]),"00000")
))</f>
        <v>DOC-00969</v>
      </c>
      <c r="B970" s="49">
        <v>45958</v>
      </c>
      <c r="C970" s="42" t="s">
        <v>3893</v>
      </c>
      <c r="D970" s="41" t="s">
        <v>3894</v>
      </c>
      <c r="E970" s="38" t="s">
        <v>3895</v>
      </c>
      <c r="F970" s="18" t="s">
        <v>3896</v>
      </c>
      <c r="G970" s="41" t="s">
        <v>276</v>
      </c>
      <c r="H970" s="17" t="s">
        <v>17</v>
      </c>
      <c r="I970" s="18" t="s">
        <v>54</v>
      </c>
      <c r="K970" s="5" t="s">
        <v>652</v>
      </c>
      <c r="L970" t="str">
        <f t="shared" si="16"/>
        <v>josephgchavez@icloud.com</v>
      </c>
    </row>
    <row r="971" spans="1:12">
      <c r="A971" t="str" cm="1">
        <f t="array" ref="A971">_xlfn.LET(_xlpm.e,L971,
IF(_xlpm.e="","",
"DOC-"&amp;TEXT(ROW()-ROW(tblMaster[#Headers]),"00000")
))</f>
        <v>DOC-00970</v>
      </c>
      <c r="B971" s="49">
        <v>45958</v>
      </c>
      <c r="C971" s="42" t="s">
        <v>75</v>
      </c>
      <c r="D971" s="41" t="s">
        <v>3897</v>
      </c>
      <c r="E971" s="38" t="s">
        <v>3898</v>
      </c>
      <c r="F971" s="18" t="s">
        <v>3899</v>
      </c>
      <c r="G971" s="41" t="s">
        <v>3521</v>
      </c>
      <c r="H971" s="17" t="s">
        <v>17</v>
      </c>
      <c r="I971" s="18" t="s">
        <v>54</v>
      </c>
      <c r="K971" s="5" t="s">
        <v>652</v>
      </c>
      <c r="L971" t="str">
        <f t="shared" si="16"/>
        <v>jesielionis23@aol.com</v>
      </c>
    </row>
    <row r="972" spans="1:12">
      <c r="A972" t="str" cm="1">
        <f t="array" ref="A972">_xlfn.LET(_xlpm.e,L972,
IF(_xlpm.e="","",
"DOC-"&amp;TEXT(ROW()-ROW(tblMaster[#Headers]),"00000")
))</f>
        <v>DOC-00971</v>
      </c>
      <c r="B972" s="49">
        <v>45958</v>
      </c>
      <c r="C972" s="42" t="s">
        <v>3900</v>
      </c>
      <c r="D972" s="41" t="s">
        <v>1790</v>
      </c>
      <c r="E972" s="38" t="s">
        <v>3901</v>
      </c>
      <c r="F972" s="18" t="s">
        <v>3902</v>
      </c>
      <c r="G972" s="41" t="s">
        <v>1502</v>
      </c>
      <c r="H972" s="17" t="s">
        <v>17</v>
      </c>
      <c r="I972" s="18" t="s">
        <v>54</v>
      </c>
      <c r="K972" s="5" t="s">
        <v>652</v>
      </c>
      <c r="L972" t="str">
        <f t="shared" si="16"/>
        <v>pfalandia@gmail.com</v>
      </c>
    </row>
    <row r="973" spans="1:12">
      <c r="A973" t="str" cm="1">
        <f t="array" ref="A973">_xlfn.LET(_xlpm.e,L973,
IF(_xlpm.e="","",
"DOC-"&amp;TEXT(ROW()-ROW(tblMaster[#Headers]),"00000")
))</f>
        <v>DOC-00972</v>
      </c>
      <c r="B973" s="49">
        <v>45958</v>
      </c>
      <c r="C973" s="42" t="s">
        <v>3903</v>
      </c>
      <c r="D973" s="41" t="s">
        <v>3904</v>
      </c>
      <c r="E973" s="38" t="s">
        <v>3905</v>
      </c>
      <c r="F973" s="18" t="s">
        <v>3906</v>
      </c>
      <c r="G973" s="41" t="s">
        <v>79</v>
      </c>
      <c r="H973" s="17" t="s">
        <v>17</v>
      </c>
      <c r="I973" s="18" t="s">
        <v>54</v>
      </c>
      <c r="K973" s="5" t="s">
        <v>652</v>
      </c>
      <c r="L973" t="str">
        <f t="shared" si="16"/>
        <v>desheakusi@yahoo.com</v>
      </c>
    </row>
    <row r="974" spans="1:12">
      <c r="A974" t="str" cm="1">
        <f t="array" ref="A974">_xlfn.LET(_xlpm.e,L974,
IF(_xlpm.e="","",
"DOC-"&amp;TEXT(ROW()-ROW(tblMaster[#Headers]),"00000")
))</f>
        <v>DOC-00973</v>
      </c>
      <c r="B974" s="49">
        <v>45958</v>
      </c>
      <c r="C974" s="42" t="s">
        <v>3907</v>
      </c>
      <c r="D974" s="41" t="s">
        <v>3908</v>
      </c>
      <c r="E974" s="38" t="s">
        <v>3909</v>
      </c>
      <c r="F974" s="18" t="s">
        <v>3910</v>
      </c>
      <c r="G974" s="41" t="s">
        <v>3911</v>
      </c>
      <c r="H974" s="17" t="s">
        <v>17</v>
      </c>
      <c r="I974" s="18" t="s">
        <v>54</v>
      </c>
      <c r="K974" s="5" t="s">
        <v>652</v>
      </c>
      <c r="L974" t="str">
        <f t="shared" si="16"/>
        <v>loudrictabu@gmail.com</v>
      </c>
    </row>
    <row r="975" spans="1:12">
      <c r="A975" t="str" cm="1">
        <f t="array" ref="A975">_xlfn.LET(_xlpm.e,L975,
IF(_xlpm.e="","",
"DOC-"&amp;TEXT(ROW()-ROW(tblMaster[#Headers]),"00000")
))</f>
        <v>DOC-00974</v>
      </c>
      <c r="B975" s="49">
        <v>45958</v>
      </c>
      <c r="C975" s="42" t="s">
        <v>75</v>
      </c>
      <c r="D975" s="41" t="s">
        <v>3912</v>
      </c>
      <c r="E975" s="38" t="s">
        <v>3913</v>
      </c>
      <c r="F975" s="18" t="s">
        <v>3914</v>
      </c>
      <c r="G975" s="41" t="s">
        <v>1311</v>
      </c>
      <c r="H975" s="17" t="s">
        <v>17</v>
      </c>
      <c r="I975" s="18" t="s">
        <v>54</v>
      </c>
      <c r="J975" s="99" t="s">
        <v>23</v>
      </c>
      <c r="K975" s="5" t="s">
        <v>652</v>
      </c>
      <c r="L975" t="str">
        <f t="shared" si="16"/>
        <v>jesielionis23@aol.com</v>
      </c>
    </row>
    <row r="976" spans="1:12">
      <c r="A976" t="str" cm="1">
        <f t="array" ref="A976">_xlfn.LET(_xlpm.e,L976,
IF(_xlpm.e="","",
"DOC-"&amp;TEXT(ROW()-ROW(tblMaster[#Headers]),"00000")
))</f>
        <v>DOC-00975</v>
      </c>
      <c r="B976" s="49">
        <v>45958</v>
      </c>
      <c r="C976" s="42" t="s">
        <v>3915</v>
      </c>
      <c r="D976" s="41" t="s">
        <v>3916</v>
      </c>
      <c r="E976" s="38" t="s">
        <v>3917</v>
      </c>
      <c r="F976" s="18" t="s">
        <v>3918</v>
      </c>
      <c r="G976" s="41" t="s">
        <v>1584</v>
      </c>
      <c r="H976" s="17" t="s">
        <v>17</v>
      </c>
      <c r="I976" s="18" t="s">
        <v>54</v>
      </c>
      <c r="K976" s="5" t="s">
        <v>652</v>
      </c>
      <c r="L976" t="str">
        <f t="shared" si="16"/>
        <v>sedatguclu1625@gmail.com</v>
      </c>
    </row>
    <row r="977" spans="1:12">
      <c r="A977" t="str" cm="1">
        <f t="array" ref="A977">_xlfn.LET(_xlpm.e,L977,
IF(_xlpm.e="","",
"DOC-"&amp;TEXT(ROW()-ROW(tblMaster[#Headers]),"00000")
))</f>
        <v>DOC-00976</v>
      </c>
      <c r="B977" s="49">
        <v>45958</v>
      </c>
      <c r="C977" s="42" t="s">
        <v>3919</v>
      </c>
      <c r="D977" s="41" t="s">
        <v>3920</v>
      </c>
      <c r="E977" s="38" t="s">
        <v>3921</v>
      </c>
      <c r="F977" s="18" t="s">
        <v>3922</v>
      </c>
      <c r="G977" s="41" t="s">
        <v>419</v>
      </c>
      <c r="H977" s="17" t="s">
        <v>17</v>
      </c>
      <c r="I977" s="18" t="s">
        <v>54</v>
      </c>
      <c r="K977" s="5" t="s">
        <v>652</v>
      </c>
      <c r="L977" t="str">
        <f t="shared" si="16"/>
        <v>deroseleo@outlook.com</v>
      </c>
    </row>
    <row r="978" spans="1:12">
      <c r="A978" t="str" cm="1">
        <f t="array" ref="A978">_xlfn.LET(_xlpm.e,L978,
IF(_xlpm.e="","",
"DOC-"&amp;TEXT(ROW()-ROW(tblMaster[#Headers]),"00000")
))</f>
        <v>DOC-00977</v>
      </c>
      <c r="B978" s="49">
        <v>45958</v>
      </c>
      <c r="C978" s="42" t="s">
        <v>3923</v>
      </c>
      <c r="D978" s="41" t="s">
        <v>3924</v>
      </c>
      <c r="E978" s="38" t="s">
        <v>3925</v>
      </c>
      <c r="F978" s="18" t="s">
        <v>3926</v>
      </c>
      <c r="G978" s="41" t="s">
        <v>918</v>
      </c>
      <c r="H978" s="17" t="s">
        <v>17</v>
      </c>
      <c r="I978" s="18" t="s">
        <v>54</v>
      </c>
      <c r="K978" s="5" t="s">
        <v>652</v>
      </c>
      <c r="L978" t="str">
        <f t="shared" si="16"/>
        <v>tandrade01@comcast.net</v>
      </c>
    </row>
    <row r="979" spans="1:12">
      <c r="A979" t="str" cm="1">
        <f t="array" ref="A979">_xlfn.LET(_xlpm.e,L979,
IF(_xlpm.e="","",
"DOC-"&amp;TEXT(ROW()-ROW(tblMaster[#Headers]),"00000")
))</f>
        <v>DOC-00978</v>
      </c>
      <c r="B979" s="49">
        <v>45958</v>
      </c>
      <c r="C979" s="42" t="s">
        <v>1225</v>
      </c>
      <c r="D979" s="41" t="s">
        <v>3927</v>
      </c>
      <c r="E979" s="38" t="s">
        <v>3928</v>
      </c>
      <c r="F979" s="18" t="s">
        <v>3929</v>
      </c>
      <c r="G979" s="41" t="s">
        <v>3930</v>
      </c>
      <c r="H979" s="17" t="s">
        <v>3931</v>
      </c>
      <c r="I979" s="18" t="s">
        <v>54</v>
      </c>
      <c r="K979" s="5" t="s">
        <v>652</v>
      </c>
      <c r="L979" t="str">
        <f t="shared" si="16"/>
        <v>emilybadams2@gmail.com</v>
      </c>
    </row>
    <row r="980" spans="1:12">
      <c r="A980" t="str" cm="1">
        <f t="array" ref="A980">_xlfn.LET(_xlpm.e,L980,
IF(_xlpm.e="","",
"DOC-"&amp;TEXT(ROW()-ROW(tblMaster[#Headers]),"00000")
))</f>
        <v>DOC-00979</v>
      </c>
      <c r="B980" s="49">
        <v>45958</v>
      </c>
      <c r="C980" s="42" t="s">
        <v>3932</v>
      </c>
      <c r="D980" s="41" t="s">
        <v>3933</v>
      </c>
      <c r="E980" s="38" t="s">
        <v>3934</v>
      </c>
      <c r="F980" s="18" t="s">
        <v>3935</v>
      </c>
      <c r="G980" s="41" t="s">
        <v>231</v>
      </c>
      <c r="H980" s="17" t="s">
        <v>17</v>
      </c>
      <c r="I980" s="18" t="s">
        <v>54</v>
      </c>
      <c r="K980" s="5" t="s">
        <v>652</v>
      </c>
      <c r="L980" t="str">
        <f t="shared" si="16"/>
        <v>jaylenequezada54@gmail.com</v>
      </c>
    </row>
    <row r="981" spans="1:12">
      <c r="A981" t="str" cm="1">
        <f t="array" ref="A981">_xlfn.LET(_xlpm.e,L981,
IF(_xlpm.e="","",
"DOC-"&amp;TEXT(ROW()-ROW(tblMaster[#Headers]),"00000")
))</f>
        <v>DOC-00980</v>
      </c>
      <c r="B981" s="49">
        <v>45958</v>
      </c>
      <c r="C981" s="42" t="s">
        <v>3936</v>
      </c>
      <c r="D981" s="41" t="s">
        <v>3937</v>
      </c>
      <c r="E981" s="38" t="s">
        <v>3938</v>
      </c>
      <c r="F981" s="18" t="s">
        <v>3939</v>
      </c>
      <c r="G981" s="41" t="s">
        <v>3940</v>
      </c>
      <c r="H981" s="17" t="s">
        <v>17</v>
      </c>
      <c r="I981" s="18" t="s">
        <v>54</v>
      </c>
      <c r="K981" s="5" t="s">
        <v>652</v>
      </c>
      <c r="L981" t="str">
        <f t="shared" si="16"/>
        <v>mauriciosilva419@icloud.com</v>
      </c>
    </row>
    <row r="982" spans="1:12">
      <c r="A982" t="str" cm="1">
        <f t="array" ref="A982">_xlfn.LET(_xlpm.e,L982,
IF(_xlpm.e="","",
"DOC-"&amp;TEXT(ROW()-ROW(tblMaster[#Headers]),"00000")
))</f>
        <v>DOC-00981</v>
      </c>
      <c r="B982" s="49">
        <v>45958</v>
      </c>
      <c r="C982" s="42" t="s">
        <v>3941</v>
      </c>
      <c r="D982" s="41" t="s">
        <v>3942</v>
      </c>
      <c r="E982" s="38" t="s">
        <v>3943</v>
      </c>
      <c r="F982" s="18" t="s">
        <v>3944</v>
      </c>
      <c r="G982" s="41" t="s">
        <v>611</v>
      </c>
      <c r="H982" s="17" t="s">
        <v>17</v>
      </c>
      <c r="I982" s="18" t="s">
        <v>101</v>
      </c>
      <c r="K982" s="5" t="s">
        <v>652</v>
      </c>
      <c r="L982" t="str">
        <f t="shared" si="16"/>
        <v>jobalexa.777@gmail.com</v>
      </c>
    </row>
    <row r="983" spans="1:12">
      <c r="A983" t="str" cm="1">
        <f t="array" ref="A983">_xlfn.LET(_xlpm.e,L983,
IF(_xlpm.e="","",
"DOC-"&amp;TEXT(ROW()-ROW(tblMaster[#Headers]),"00000")
))</f>
        <v>DOC-00982</v>
      </c>
      <c r="B983" s="49">
        <v>45958</v>
      </c>
      <c r="C983" s="42" t="s">
        <v>3945</v>
      </c>
      <c r="D983" s="41" t="s">
        <v>3946</v>
      </c>
      <c r="E983" s="38" t="s">
        <v>3947</v>
      </c>
      <c r="F983" s="18" t="s">
        <v>3948</v>
      </c>
      <c r="G983" s="41" t="s">
        <v>3949</v>
      </c>
      <c r="H983" s="17" t="s">
        <v>3950</v>
      </c>
      <c r="I983" s="18" t="s">
        <v>101</v>
      </c>
      <c r="K983" s="5" t="s">
        <v>652</v>
      </c>
      <c r="L983" t="str">
        <f t="shared" si="16"/>
        <v>21cassonedj@gmail.com</v>
      </c>
    </row>
    <row r="984" spans="1:12">
      <c r="A984" t="str" cm="1">
        <f t="array" ref="A984">_xlfn.LET(_xlpm.e,L984,
IF(_xlpm.e="","",
"DOC-"&amp;TEXT(ROW()-ROW(tblMaster[#Headers]),"00000")
))</f>
        <v>DOC-00983</v>
      </c>
      <c r="B984" s="49">
        <v>45958</v>
      </c>
      <c r="C984" s="42" t="s">
        <v>2413</v>
      </c>
      <c r="D984" s="41" t="s">
        <v>3951</v>
      </c>
      <c r="E984" s="38" t="s">
        <v>3952</v>
      </c>
      <c r="F984" s="18" t="s">
        <v>3953</v>
      </c>
      <c r="G984" s="41" t="s">
        <v>79</v>
      </c>
      <c r="H984" s="17" t="s">
        <v>17</v>
      </c>
      <c r="I984" s="18" t="s">
        <v>101</v>
      </c>
      <c r="J984" s="99" t="s">
        <v>23</v>
      </c>
      <c r="K984" s="5" t="s">
        <v>652</v>
      </c>
      <c r="L984" t="str">
        <f t="shared" si="16"/>
        <v>rjjuuko281@gmail.com</v>
      </c>
    </row>
    <row r="985" spans="1:12">
      <c r="A985" t="str" cm="1">
        <f t="array" ref="A985">_xlfn.LET(_xlpm.e,L985,
IF(_xlpm.e="","",
"DOC-"&amp;TEXT(ROW()-ROW(tblMaster[#Headers]),"00000")
))</f>
        <v>DOC-00984</v>
      </c>
      <c r="B985" s="49">
        <v>45958</v>
      </c>
      <c r="C985" s="42" t="s">
        <v>3954</v>
      </c>
      <c r="D985" s="41" t="s">
        <v>3955</v>
      </c>
      <c r="E985" s="38" t="s">
        <v>3956</v>
      </c>
      <c r="F985" s="18" t="s">
        <v>3957</v>
      </c>
      <c r="G985" s="41" t="s">
        <v>3958</v>
      </c>
      <c r="H985" s="17" t="s">
        <v>17</v>
      </c>
      <c r="I985" s="18" t="s">
        <v>54</v>
      </c>
      <c r="K985" s="5" t="s">
        <v>652</v>
      </c>
      <c r="L985" t="str">
        <f t="shared" si="16"/>
        <v>brunothompson2005@icloud.com</v>
      </c>
    </row>
    <row r="986" spans="1:12">
      <c r="A986" t="str" cm="1">
        <f t="array" ref="A986">_xlfn.LET(_xlpm.e,L986,
IF(_xlpm.e="","",
"DOC-"&amp;TEXT(ROW()-ROW(tblMaster[#Headers]),"00000")
))</f>
        <v>DOC-00985</v>
      </c>
      <c r="B986" s="49">
        <v>45958</v>
      </c>
      <c r="C986" s="42" t="s">
        <v>3959</v>
      </c>
      <c r="D986" s="42" t="s">
        <v>700</v>
      </c>
      <c r="E986" s="38" t="s">
        <v>3960</v>
      </c>
      <c r="F986" s="17" t="s">
        <v>3961</v>
      </c>
      <c r="G986" s="42" t="s">
        <v>220</v>
      </c>
      <c r="H986" s="17" t="s">
        <v>53</v>
      </c>
      <c r="I986" s="18" t="s">
        <v>54</v>
      </c>
      <c r="K986" s="5" t="s">
        <v>652</v>
      </c>
      <c r="L986" t="str">
        <f t="shared" si="16"/>
        <v>samyjean1982@gmail.com</v>
      </c>
    </row>
    <row r="987" spans="1:12">
      <c r="A987" t="str" cm="1">
        <f t="array" ref="A987">_xlfn.LET(_xlpm.e,L987,
IF(_xlpm.e="","",
"DOC-"&amp;TEXT(ROW()-ROW(tblMaster[#Headers]),"00000")
))</f>
        <v>DOC-00986</v>
      </c>
      <c r="B987" s="49">
        <v>45958</v>
      </c>
      <c r="C987" s="42" t="s">
        <v>567</v>
      </c>
      <c r="D987" s="42" t="s">
        <v>3962</v>
      </c>
      <c r="E987" s="38" t="s">
        <v>3963</v>
      </c>
      <c r="F987" s="17" t="s">
        <v>3964</v>
      </c>
      <c r="G987" s="42" t="s">
        <v>3965</v>
      </c>
      <c r="H987" s="17" t="s">
        <v>17</v>
      </c>
      <c r="I987" s="18" t="s">
        <v>54</v>
      </c>
      <c r="K987" s="5" t="s">
        <v>652</v>
      </c>
      <c r="L987" t="str">
        <f t="shared" si="16"/>
        <v>jeffdamico08@gmail.com</v>
      </c>
    </row>
    <row r="988" spans="1:12">
      <c r="A988" t="str" cm="1">
        <f t="array" ref="A988">_xlfn.LET(_xlpm.e,L988,
IF(_xlpm.e="","",
"DOC-"&amp;TEXT(ROW()-ROW(tblMaster[#Headers]),"00000")
))</f>
        <v>DOC-00987</v>
      </c>
      <c r="B988" s="49">
        <v>45958</v>
      </c>
      <c r="C988" s="42" t="s">
        <v>1460</v>
      </c>
      <c r="D988" s="42" t="s">
        <v>3966</v>
      </c>
      <c r="E988" s="38" t="s">
        <v>3967</v>
      </c>
      <c r="F988" s="17" t="s">
        <v>3968</v>
      </c>
      <c r="G988" s="42" t="s">
        <v>1361</v>
      </c>
      <c r="H988" s="17" t="s">
        <v>17</v>
      </c>
      <c r="I988" s="17" t="s">
        <v>2276</v>
      </c>
      <c r="K988" s="5" t="s">
        <v>652</v>
      </c>
      <c r="L988" t="str">
        <f t="shared" si="16"/>
        <v>dsenglish2103@gmail.com</v>
      </c>
    </row>
    <row r="989" spans="1:12">
      <c r="A989" t="str" cm="1">
        <f t="array" ref="A989">_xlfn.LET(_xlpm.e,L989,
IF(_xlpm.e="","",
"DOC-"&amp;TEXT(ROW()-ROW(tblMaster[#Headers]),"00000")
))</f>
        <v>DOC-00988</v>
      </c>
      <c r="B989" s="49">
        <v>45958</v>
      </c>
      <c r="C989" s="42" t="s">
        <v>3969</v>
      </c>
      <c r="D989" s="42" t="s">
        <v>3970</v>
      </c>
      <c r="E989" s="38" t="s">
        <v>3971</v>
      </c>
      <c r="F989" s="17" t="s">
        <v>3972</v>
      </c>
      <c r="G989" s="42" t="s">
        <v>3973</v>
      </c>
      <c r="H989" s="17" t="s">
        <v>17</v>
      </c>
      <c r="I989" s="18" t="s">
        <v>54</v>
      </c>
      <c r="K989" s="5" t="s">
        <v>652</v>
      </c>
      <c r="L989" t="str">
        <f t="shared" si="16"/>
        <v>joubertar23@gmail.com</v>
      </c>
    </row>
    <row r="990" spans="1:12">
      <c r="A990" t="str" cm="1">
        <f t="array" ref="A990">_xlfn.LET(_xlpm.e,L990,
IF(_xlpm.e="","",
"DOC-"&amp;TEXT(ROW()-ROW(tblMaster[#Headers]),"00000")
))</f>
        <v>DOC-00989</v>
      </c>
      <c r="B990" s="49">
        <v>45958</v>
      </c>
      <c r="C990" s="42" t="s">
        <v>3974</v>
      </c>
      <c r="D990" s="42" t="s">
        <v>3975</v>
      </c>
      <c r="E990" s="38" t="s">
        <v>3976</v>
      </c>
      <c r="F990" s="17" t="s">
        <v>3977</v>
      </c>
      <c r="G990" s="42" t="s">
        <v>837</v>
      </c>
      <c r="H990" s="17" t="s">
        <v>17</v>
      </c>
      <c r="I990" s="17" t="s">
        <v>2276</v>
      </c>
      <c r="K990" s="5" t="s">
        <v>652</v>
      </c>
      <c r="L990" t="str">
        <f t="shared" si="16"/>
        <v>gilbert_delestre@yahoo.com</v>
      </c>
    </row>
    <row r="991" spans="1:12">
      <c r="A991" t="str" cm="1">
        <f t="array" ref="A991">_xlfn.LET(_xlpm.e,L991,
IF(_xlpm.e="","",
"DOC-"&amp;TEXT(ROW()-ROW(tblMaster[#Headers]),"00000")
))</f>
        <v>DOC-00990</v>
      </c>
      <c r="B991" s="49">
        <v>45958</v>
      </c>
      <c r="C991" s="42" t="s">
        <v>3978</v>
      </c>
      <c r="D991" s="42" t="s">
        <v>3979</v>
      </c>
      <c r="E991" s="38" t="s">
        <v>3980</v>
      </c>
      <c r="F991" s="17" t="s">
        <v>3981</v>
      </c>
      <c r="G991" s="42" t="s">
        <v>2506</v>
      </c>
      <c r="H991" s="17" t="s">
        <v>17</v>
      </c>
      <c r="I991" s="17" t="s">
        <v>2276</v>
      </c>
      <c r="J991" s="99" t="s">
        <v>23</v>
      </c>
      <c r="K991" s="5" t="s">
        <v>652</v>
      </c>
      <c r="L991" t="str">
        <f t="shared" si="16"/>
        <v>jaydog7714@gmail.com</v>
      </c>
    </row>
    <row r="992" spans="1:12">
      <c r="A992" t="str" cm="1">
        <f t="array" ref="A992">_xlfn.LET(_xlpm.e,L992,
IF(_xlpm.e="","",
"DOC-"&amp;TEXT(ROW()-ROW(tblMaster[#Headers]),"00000")
))</f>
        <v>DOC-00991</v>
      </c>
      <c r="B992" s="49">
        <v>45958</v>
      </c>
      <c r="C992" s="42" t="s">
        <v>3982</v>
      </c>
      <c r="D992" s="42" t="s">
        <v>3983</v>
      </c>
      <c r="E992" s="38" t="s">
        <v>3984</v>
      </c>
      <c r="F992" s="17" t="s">
        <v>3985</v>
      </c>
      <c r="G992" s="42" t="s">
        <v>3986</v>
      </c>
      <c r="H992" s="17" t="s">
        <v>17</v>
      </c>
      <c r="I992" s="18" t="s">
        <v>54</v>
      </c>
      <c r="K992" s="5" t="s">
        <v>652</v>
      </c>
      <c r="L992" t="str">
        <f t="shared" si="16"/>
        <v>desmarattechairen@gmail.com</v>
      </c>
    </row>
    <row r="993" spans="1:12">
      <c r="A993" t="str" cm="1">
        <f t="array" ref="A993">_xlfn.LET(_xlpm.e,L993,
IF(_xlpm.e="","",
"DOC-"&amp;TEXT(ROW()-ROW(tblMaster[#Headers]),"00000")
))</f>
        <v>DOC-00992</v>
      </c>
      <c r="B993" s="49">
        <v>45958</v>
      </c>
      <c r="C993" s="42" t="s">
        <v>2473</v>
      </c>
      <c r="D993" s="42" t="s">
        <v>3987</v>
      </c>
      <c r="E993" s="38" t="s">
        <v>3988</v>
      </c>
      <c r="F993" s="17" t="s">
        <v>3989</v>
      </c>
      <c r="G993" s="42" t="s">
        <v>3990</v>
      </c>
      <c r="H993" s="17" t="s">
        <v>17</v>
      </c>
      <c r="I993" s="17" t="s">
        <v>18</v>
      </c>
      <c r="K993" s="5" t="s">
        <v>652</v>
      </c>
      <c r="L993" t="str">
        <f t="shared" si="16"/>
        <v>monique.ev.jones@gmail.com</v>
      </c>
    </row>
    <row r="994" spans="1:12">
      <c r="A994" t="str" cm="1">
        <f t="array" ref="A994">_xlfn.LET(_xlpm.e,L994,
IF(_xlpm.e="","",
"DOC-"&amp;TEXT(ROW()-ROW(tblMaster[#Headers]),"00000")
))</f>
        <v>DOC-00993</v>
      </c>
      <c r="B994" s="49">
        <v>45958</v>
      </c>
      <c r="C994" s="42" t="s">
        <v>3991</v>
      </c>
      <c r="D994" s="42" t="s">
        <v>3992</v>
      </c>
      <c r="E994" s="38" t="s">
        <v>3993</v>
      </c>
      <c r="F994" s="17" t="s">
        <v>3994</v>
      </c>
      <c r="G994" s="42" t="s">
        <v>88</v>
      </c>
      <c r="H994" s="17" t="s">
        <v>17</v>
      </c>
      <c r="I994" s="17" t="s">
        <v>18</v>
      </c>
      <c r="K994" s="5" t="s">
        <v>652</v>
      </c>
      <c r="L994" t="str">
        <f t="shared" si="16"/>
        <v>abigail.churchill001@umb.edu</v>
      </c>
    </row>
    <row r="995" spans="1:12">
      <c r="A995" t="str" cm="1">
        <f t="array" ref="A995">_xlfn.LET(_xlpm.e,L995,
IF(_xlpm.e="","",
"DOC-"&amp;TEXT(ROW()-ROW(tblMaster[#Headers]),"00000")
))</f>
        <v/>
      </c>
      <c r="B995" s="49">
        <v>45958</v>
      </c>
      <c r="C995" s="42" t="s">
        <v>3995</v>
      </c>
      <c r="D995" s="42" t="s">
        <v>3182</v>
      </c>
      <c r="E995" s="38"/>
      <c r="F995" s="17" t="s">
        <v>3996</v>
      </c>
      <c r="G995" s="42" t="s">
        <v>52</v>
      </c>
      <c r="H995" s="17" t="s">
        <v>17</v>
      </c>
      <c r="I995" s="17" t="s">
        <v>18</v>
      </c>
      <c r="J995" s="99" t="s">
        <v>194</v>
      </c>
      <c r="K995" s="5" t="s">
        <v>652</v>
      </c>
      <c r="L995" t="str">
        <f t="shared" si="16"/>
        <v/>
      </c>
    </row>
    <row r="996" spans="1:12">
      <c r="A996" t="str" cm="1">
        <f t="array" ref="A996">_xlfn.LET(_xlpm.e,L996,
IF(_xlpm.e="","",
"DOC-"&amp;TEXT(ROW()-ROW(tblMaster[#Headers]),"00000")
))</f>
        <v>DOC-00995</v>
      </c>
      <c r="B996" s="49">
        <v>45958</v>
      </c>
      <c r="C996" s="42" t="s">
        <v>3997</v>
      </c>
      <c r="D996" s="42" t="s">
        <v>3998</v>
      </c>
      <c r="E996" s="38" t="s">
        <v>3999</v>
      </c>
      <c r="F996" s="17" t="s">
        <v>4000</v>
      </c>
      <c r="G996" s="42" t="s">
        <v>257</v>
      </c>
      <c r="H996" s="17" t="s">
        <v>17</v>
      </c>
      <c r="I996" s="17" t="s">
        <v>18</v>
      </c>
      <c r="K996" s="5" t="s">
        <v>652</v>
      </c>
      <c r="L996" t="str">
        <f t="shared" si="16"/>
        <v>kevinkubinec008@gmail.com</v>
      </c>
    </row>
    <row r="997" spans="1:12">
      <c r="A997" t="str" cm="1">
        <f t="array" ref="A997">_xlfn.LET(_xlpm.e,L997,
IF(_xlpm.e="","",
"DOC-"&amp;TEXT(ROW()-ROW(tblMaster[#Headers]),"00000")
))</f>
        <v>DOC-00996</v>
      </c>
      <c r="B997" s="49">
        <v>45958</v>
      </c>
      <c r="C997" s="42" t="s">
        <v>4001</v>
      </c>
      <c r="D997" s="42" t="s">
        <v>4002</v>
      </c>
      <c r="E997" s="38" t="s">
        <v>4003</v>
      </c>
      <c r="F997" s="17" t="s">
        <v>4004</v>
      </c>
      <c r="G997" s="42" t="s">
        <v>257</v>
      </c>
      <c r="H997" s="17" t="s">
        <v>17</v>
      </c>
      <c r="I997" s="17" t="s">
        <v>18</v>
      </c>
      <c r="J997" s="99" t="s">
        <v>23</v>
      </c>
      <c r="K997" s="5" t="s">
        <v>652</v>
      </c>
      <c r="L997" t="str">
        <f t="shared" si="16"/>
        <v>delvoixwesly@gmail.com</v>
      </c>
    </row>
    <row r="998" spans="1:12">
      <c r="A998" t="str" cm="1">
        <f t="array" ref="A998">_xlfn.LET(_xlpm.e,L998,
IF(_xlpm.e="","",
"DOC-"&amp;TEXT(ROW()-ROW(tblMaster[#Headers]),"00000")
))</f>
        <v>DOC-00997</v>
      </c>
      <c r="B998" s="49">
        <v>45958</v>
      </c>
      <c r="C998" s="42" t="s">
        <v>1636</v>
      </c>
      <c r="D998" s="42" t="s">
        <v>4005</v>
      </c>
      <c r="E998" s="38" t="s">
        <v>4006</v>
      </c>
      <c r="F998" s="17" t="s">
        <v>4007</v>
      </c>
      <c r="G998" s="42" t="s">
        <v>4008</v>
      </c>
      <c r="H998" s="17" t="s">
        <v>17</v>
      </c>
      <c r="I998" s="17" t="s">
        <v>18</v>
      </c>
      <c r="K998" s="5" t="s">
        <v>652</v>
      </c>
      <c r="L998" t="str">
        <f t="shared" si="16"/>
        <v>armynursekirb@hotmail.com</v>
      </c>
    </row>
    <row r="999" spans="1:12">
      <c r="A999" t="str" cm="1">
        <f t="array" ref="A999">_xlfn.LET(_xlpm.e,L999,
IF(_xlpm.e="","",
"DOC-"&amp;TEXT(ROW()-ROW(tblMaster[#Headers]),"00000")
))</f>
        <v>DOC-00998</v>
      </c>
      <c r="B999" s="49">
        <v>45958</v>
      </c>
      <c r="C999" s="42" t="s">
        <v>4009</v>
      </c>
      <c r="D999" s="42" t="s">
        <v>4010</v>
      </c>
      <c r="E999" s="38" t="s">
        <v>4011</v>
      </c>
      <c r="F999" s="17" t="s">
        <v>4012</v>
      </c>
      <c r="G999" s="42" t="s">
        <v>2205</v>
      </c>
      <c r="H999" s="17" t="s">
        <v>17</v>
      </c>
      <c r="I999" s="17" t="s">
        <v>18</v>
      </c>
      <c r="J999" s="99" t="s">
        <v>194</v>
      </c>
      <c r="K999" s="5" t="s">
        <v>652</v>
      </c>
      <c r="L999" t="str">
        <f t="shared" si="16"/>
        <v>sarah.ribeiro001@umb.edu</v>
      </c>
    </row>
    <row r="1000" spans="1:12">
      <c r="A1000" t="str" cm="1">
        <f t="array" ref="A1000">_xlfn.LET(_xlpm.e,L1000,
IF(_xlpm.e="","",
"DOC-"&amp;TEXT(ROW()-ROW(tblMaster[#Headers]),"00000")
))</f>
        <v>DOC-00999</v>
      </c>
      <c r="B1000" s="49">
        <v>45958</v>
      </c>
      <c r="C1000" s="42" t="s">
        <v>55</v>
      </c>
      <c r="D1000" s="42" t="s">
        <v>4013</v>
      </c>
      <c r="E1000" s="38" t="s">
        <v>4014</v>
      </c>
      <c r="F1000" s="17" t="s">
        <v>4015</v>
      </c>
      <c r="G1000" s="42" t="s">
        <v>872</v>
      </c>
      <c r="H1000" s="17" t="s">
        <v>17</v>
      </c>
      <c r="I1000" s="18" t="s">
        <v>54</v>
      </c>
      <c r="J1000" s="99" t="s">
        <v>194</v>
      </c>
      <c r="K1000" s="5" t="s">
        <v>652</v>
      </c>
      <c r="L1000" t="str">
        <f t="shared" si="16"/>
        <v>mikesputo@icloud.com</v>
      </c>
    </row>
    <row r="1001" spans="1:12">
      <c r="A1001" t="str" cm="1">
        <f t="array" ref="A1001">_xlfn.LET(_xlpm.e,L1001,
IF(_xlpm.e="","",
"DOC-"&amp;TEXT(ROW()-ROW(tblMaster[#Headers]),"00000")
))</f>
        <v>DOC-01000</v>
      </c>
      <c r="B1001" s="49">
        <v>45958</v>
      </c>
      <c r="C1001" s="42" t="s">
        <v>4016</v>
      </c>
      <c r="D1001" s="42" t="s">
        <v>4017</v>
      </c>
      <c r="E1001" s="38" t="s">
        <v>4018</v>
      </c>
      <c r="F1001" s="17" t="s">
        <v>4019</v>
      </c>
      <c r="G1001" s="42" t="s">
        <v>16</v>
      </c>
      <c r="H1001" s="17" t="s">
        <v>17</v>
      </c>
      <c r="I1001" s="18" t="s">
        <v>101</v>
      </c>
      <c r="J1001" s="99" t="s">
        <v>66</v>
      </c>
      <c r="K1001" s="5" t="s">
        <v>652</v>
      </c>
      <c r="L1001" t="str">
        <f t="shared" si="16"/>
        <v>twigs009@gmail.com</v>
      </c>
    </row>
    <row r="1002" spans="1:12">
      <c r="A1002" t="str" cm="1">
        <f t="array" ref="A1002">_xlfn.LET(_xlpm.e,L1002,
IF(_xlpm.e="","",
"DOC-"&amp;TEXT(ROW()-ROW(tblMaster[#Headers]),"00000")
))</f>
        <v>DOC-01001</v>
      </c>
      <c r="B1002" s="49">
        <v>45958</v>
      </c>
      <c r="C1002" s="42" t="s">
        <v>4020</v>
      </c>
      <c r="D1002" s="42" t="s">
        <v>4021</v>
      </c>
      <c r="E1002" s="38" t="s">
        <v>4022</v>
      </c>
      <c r="F1002" s="17" t="s">
        <v>4023</v>
      </c>
      <c r="G1002" s="42" t="s">
        <v>606</v>
      </c>
      <c r="H1002" s="17" t="s">
        <v>60</v>
      </c>
      <c r="I1002" s="18" t="s">
        <v>101</v>
      </c>
      <c r="K1002" s="5" t="s">
        <v>652</v>
      </c>
      <c r="L1002" t="str">
        <f t="shared" si="16"/>
        <v>philip1024te@icloud.com</v>
      </c>
    </row>
    <row r="1003" spans="1:12">
      <c r="A1003" t="str" cm="1">
        <f t="array" ref="A1003">_xlfn.LET(_xlpm.e,L1003,
IF(_xlpm.e="","",
"DOC-"&amp;TEXT(ROW()-ROW(tblMaster[#Headers]),"00000")
))</f>
        <v>DOC-01002</v>
      </c>
      <c r="B1003" s="49">
        <v>45958</v>
      </c>
      <c r="C1003" s="42" t="s">
        <v>582</v>
      </c>
      <c r="D1003" s="42" t="s">
        <v>4024</v>
      </c>
      <c r="E1003" s="38" t="s">
        <v>4025</v>
      </c>
      <c r="F1003" s="17" t="s">
        <v>4026</v>
      </c>
      <c r="G1003" s="42" t="s">
        <v>742</v>
      </c>
      <c r="H1003" s="17" t="s">
        <v>53</v>
      </c>
      <c r="I1003" s="17" t="s">
        <v>2276</v>
      </c>
      <c r="J1003" s="99" t="s">
        <v>23</v>
      </c>
      <c r="K1003" s="5" t="s">
        <v>652</v>
      </c>
      <c r="L1003" t="str">
        <f t="shared" si="16"/>
        <v>nathanmartin377@gmail.com</v>
      </c>
    </row>
    <row r="1004" spans="1:12">
      <c r="A1004" t="str" cm="1">
        <f t="array" ref="A1004">_xlfn.LET(_xlpm.e,L1004,
IF(_xlpm.e="","",
"DOC-"&amp;TEXT(ROW()-ROW(tblMaster[#Headers]),"00000")
))</f>
        <v>DOC-01003</v>
      </c>
      <c r="B1004" s="49">
        <v>45959</v>
      </c>
      <c r="C1004" s="42" t="s">
        <v>1790</v>
      </c>
      <c r="D1004" s="42" t="s">
        <v>4027</v>
      </c>
      <c r="E1004" s="38" t="s">
        <v>4028</v>
      </c>
      <c r="F1004" s="17" t="s">
        <v>4029</v>
      </c>
      <c r="G1004" s="42" t="s">
        <v>4030</v>
      </c>
      <c r="H1004" s="17" t="s">
        <v>17</v>
      </c>
      <c r="I1004" s="18" t="s">
        <v>54</v>
      </c>
      <c r="K1004" s="5" t="s">
        <v>652</v>
      </c>
      <c r="L1004" t="str">
        <f t="shared" si="16"/>
        <v>psimister@yahoo.com</v>
      </c>
    </row>
    <row r="1005" spans="1:12">
      <c r="A1005" t="str" cm="1">
        <f t="array" ref="A1005">_xlfn.LET(_xlpm.e,L1005,
IF(_xlpm.e="","",
"DOC-"&amp;TEXT(ROW()-ROW(tblMaster[#Headers]),"00000")
))</f>
        <v>DOC-01004</v>
      </c>
      <c r="B1005" s="42" t="s">
        <v>4031</v>
      </c>
      <c r="C1005" s="42" t="s">
        <v>4032</v>
      </c>
      <c r="D1005" s="42" t="s">
        <v>4033</v>
      </c>
      <c r="E1005" s="38" t="s">
        <v>4034</v>
      </c>
      <c r="F1005" s="17" t="s">
        <v>4035</v>
      </c>
      <c r="G1005" s="42" t="s">
        <v>257</v>
      </c>
      <c r="H1005" s="17" t="s">
        <v>17</v>
      </c>
      <c r="I1005" s="17" t="s">
        <v>4036</v>
      </c>
      <c r="K1005" s="5" t="s">
        <v>652</v>
      </c>
      <c r="L1005" t="str">
        <f t="shared" si="16"/>
        <v>7odriguez@gmail.com</v>
      </c>
    </row>
    <row r="1006" spans="1:12">
      <c r="A1006" t="str" cm="1">
        <f t="array" ref="A1006">_xlfn.LET(_xlpm.e,L1006,
IF(_xlpm.e="","",
"DOC-"&amp;TEXT(ROW()-ROW(tblMaster[#Headers]),"00000")
))</f>
        <v>DOC-01005</v>
      </c>
      <c r="B1006" s="49">
        <v>45959</v>
      </c>
      <c r="C1006" s="42" t="s">
        <v>4037</v>
      </c>
      <c r="D1006" s="42" t="s">
        <v>4038</v>
      </c>
      <c r="E1006" s="38" t="s">
        <v>4039</v>
      </c>
      <c r="F1006" s="17" t="s">
        <v>4040</v>
      </c>
      <c r="G1006" s="42"/>
      <c r="H1006" s="17"/>
      <c r="I1006" s="18" t="s">
        <v>193</v>
      </c>
      <c r="K1006" s="5" t="s">
        <v>652</v>
      </c>
      <c r="L1006" t="str">
        <f t="shared" si="16"/>
        <v>meag.renee@yahoo.com</v>
      </c>
    </row>
    <row r="1007" spans="1:12">
      <c r="A1007" t="str" cm="1">
        <f t="array" ref="A1007">_xlfn.LET(_xlpm.e,L1007,
IF(_xlpm.e="","",
"DOC-"&amp;TEXT(ROW()-ROW(tblMaster[#Headers]),"00000")
))</f>
        <v>DOC-01006</v>
      </c>
      <c r="B1007" s="49">
        <v>45959</v>
      </c>
      <c r="C1007" s="42" t="s">
        <v>796</v>
      </c>
      <c r="D1007" s="42" t="s">
        <v>4041</v>
      </c>
      <c r="E1007" s="38" t="s">
        <v>4042</v>
      </c>
      <c r="F1007" s="17" t="s">
        <v>4043</v>
      </c>
      <c r="G1007" s="42" t="s">
        <v>2018</v>
      </c>
      <c r="H1007" s="17" t="s">
        <v>17</v>
      </c>
      <c r="I1007" s="18" t="s">
        <v>54</v>
      </c>
      <c r="K1007" s="5" t="s">
        <v>652</v>
      </c>
      <c r="L1007" t="str">
        <f t="shared" si="16"/>
        <v>jackylandaverde62@icloud.com</v>
      </c>
    </row>
    <row r="1008" spans="1:12">
      <c r="A1008" t="str" cm="1">
        <f t="array" ref="A1008">_xlfn.LET(_xlpm.e,L1008,
IF(_xlpm.e="","",
"DOC-"&amp;TEXT(ROW()-ROW(tblMaster[#Headers]),"00000")
))</f>
        <v>DOC-01007</v>
      </c>
      <c r="B1008" s="49">
        <v>45959</v>
      </c>
      <c r="C1008" s="42" t="s">
        <v>4044</v>
      </c>
      <c r="D1008" s="42" t="s">
        <v>4045</v>
      </c>
      <c r="E1008" s="38" t="s">
        <v>4046</v>
      </c>
      <c r="F1008" s="17" t="s">
        <v>4047</v>
      </c>
      <c r="G1008" s="42" t="s">
        <v>74</v>
      </c>
      <c r="H1008" s="17" t="s">
        <v>17</v>
      </c>
      <c r="I1008" s="18" t="s">
        <v>54</v>
      </c>
      <c r="K1008" s="5" t="s">
        <v>652</v>
      </c>
      <c r="L1008" t="str">
        <f t="shared" si="16"/>
        <v>yuls52012@icloud.com</v>
      </c>
    </row>
    <row r="1009" spans="1:12">
      <c r="A1009" t="str" cm="1">
        <f t="array" ref="A1009">_xlfn.LET(_xlpm.e,L1009,
IF(_xlpm.e="","",
"DOC-"&amp;TEXT(ROW()-ROW(tblMaster[#Headers]),"00000")
))</f>
        <v>DOC-01008</v>
      </c>
      <c r="B1009" s="49">
        <v>45959</v>
      </c>
      <c r="C1009" s="42" t="s">
        <v>4048</v>
      </c>
      <c r="D1009" s="42" t="s">
        <v>4049</v>
      </c>
      <c r="E1009" s="38" t="s">
        <v>4050</v>
      </c>
      <c r="F1009" s="17" t="s">
        <v>4051</v>
      </c>
      <c r="G1009" s="42" t="s">
        <v>1844</v>
      </c>
      <c r="H1009" s="17" t="s">
        <v>496</v>
      </c>
      <c r="I1009" s="18" t="s">
        <v>54</v>
      </c>
      <c r="J1009" s="99" t="s">
        <v>23</v>
      </c>
      <c r="K1009" s="5" t="s">
        <v>652</v>
      </c>
      <c r="L1009" t="str">
        <f t="shared" si="16"/>
        <v>kendraluibrand17@gmail.com</v>
      </c>
    </row>
    <row r="1010" spans="1:12">
      <c r="A1010" t="str" cm="1">
        <f t="array" ref="A1010">_xlfn.LET(_xlpm.e,L1010,
IF(_xlpm.e="","",
"DOC-"&amp;TEXT(ROW()-ROW(tblMaster[#Headers]),"00000")
))</f>
        <v>DOC-01009</v>
      </c>
      <c r="B1010" s="49">
        <v>45959</v>
      </c>
      <c r="C1010" s="42" t="s">
        <v>175</v>
      </c>
      <c r="D1010" s="42" t="s">
        <v>4052</v>
      </c>
      <c r="E1010" s="38" t="s">
        <v>4053</v>
      </c>
      <c r="F1010" s="17" t="s">
        <v>4054</v>
      </c>
      <c r="G1010" s="42" t="s">
        <v>4055</v>
      </c>
      <c r="H1010" s="17" t="s">
        <v>17</v>
      </c>
      <c r="I1010" s="17" t="s">
        <v>2276</v>
      </c>
      <c r="K1010" s="5" t="s">
        <v>652</v>
      </c>
      <c r="L1010" t="str">
        <f t="shared" si="16"/>
        <v>nickgardner088@gmail.com</v>
      </c>
    </row>
    <row r="1011" spans="1:12">
      <c r="A1011" t="str" cm="1">
        <f t="array" ref="A1011">_xlfn.LET(_xlpm.e,L1011,
IF(_xlpm.e="","",
"DOC-"&amp;TEXT(ROW()-ROW(tblMaster[#Headers]),"00000")
))</f>
        <v>DOC-01010</v>
      </c>
      <c r="B1011" s="49">
        <v>45959</v>
      </c>
      <c r="C1011" s="42" t="s">
        <v>4056</v>
      </c>
      <c r="D1011" s="42" t="s">
        <v>4057</v>
      </c>
      <c r="E1011" s="38" t="s">
        <v>4058</v>
      </c>
      <c r="F1011" s="17" t="s">
        <v>4059</v>
      </c>
      <c r="G1011" s="42" t="s">
        <v>4060</v>
      </c>
      <c r="H1011" s="17" t="s">
        <v>17</v>
      </c>
      <c r="I1011" s="18" t="s">
        <v>54</v>
      </c>
      <c r="K1011" s="5" t="s">
        <v>652</v>
      </c>
      <c r="L1011" t="str">
        <f t="shared" si="16"/>
        <v>mrssheffler@gmail.com</v>
      </c>
    </row>
    <row r="1012" spans="1:12">
      <c r="A1012" t="str" cm="1">
        <f t="array" ref="A1012">_xlfn.LET(_xlpm.e,L1012,
IF(_xlpm.e="","",
"DOC-"&amp;TEXT(ROW()-ROW(tblMaster[#Headers]),"00000")
))</f>
        <v>DOC-01011</v>
      </c>
      <c r="B1012" s="49">
        <v>45960</v>
      </c>
      <c r="C1012" s="42" t="s">
        <v>4061</v>
      </c>
      <c r="D1012" s="42" t="s">
        <v>4062</v>
      </c>
      <c r="E1012" s="38" t="s">
        <v>4063</v>
      </c>
      <c r="F1012" s="17" t="s">
        <v>4064</v>
      </c>
      <c r="G1012" s="42" t="s">
        <v>502</v>
      </c>
      <c r="H1012" s="17" t="s">
        <v>17</v>
      </c>
      <c r="I1012" s="18" t="s">
        <v>54</v>
      </c>
      <c r="K1012" s="5" t="s">
        <v>652</v>
      </c>
      <c r="L1012" t="str">
        <f t="shared" si="16"/>
        <v>louissaintjureau@gmail.com</v>
      </c>
    </row>
    <row r="1013" spans="1:12">
      <c r="A1013" t="str" cm="1">
        <f t="array" ref="A1013">_xlfn.LET(_xlpm.e,L1013,
IF(_xlpm.e="","",
"DOC-"&amp;TEXT(ROW()-ROW(tblMaster[#Headers]),"00000")
))</f>
        <v/>
      </c>
      <c r="B1013" s="49">
        <v>45960</v>
      </c>
      <c r="C1013" s="42" t="s">
        <v>61</v>
      </c>
      <c r="D1013" s="42" t="s">
        <v>4065</v>
      </c>
      <c r="E1013" s="42"/>
      <c r="F1013" s="17" t="s">
        <v>4066</v>
      </c>
      <c r="G1013" s="42" t="s">
        <v>4067</v>
      </c>
      <c r="H1013" s="17" t="s">
        <v>17</v>
      </c>
      <c r="I1013" s="17" t="s">
        <v>112</v>
      </c>
      <c r="K1013" s="5" t="s">
        <v>652</v>
      </c>
      <c r="L1013" t="str">
        <f t="shared" si="16"/>
        <v/>
      </c>
    </row>
    <row r="1014" spans="1:12">
      <c r="A1014" t="str" cm="1">
        <f t="array" ref="A1014">_xlfn.LET(_xlpm.e,L1014,
IF(_xlpm.e="","",
"DOC-"&amp;TEXT(ROW()-ROW(tblMaster[#Headers]),"00000")
))</f>
        <v>DOC-01013</v>
      </c>
      <c r="B1014" s="49">
        <v>45960</v>
      </c>
      <c r="C1014" s="42" t="s">
        <v>4068</v>
      </c>
      <c r="D1014" s="42" t="s">
        <v>4069</v>
      </c>
      <c r="E1014" s="38" t="s">
        <v>4070</v>
      </c>
      <c r="F1014" s="17" t="s">
        <v>4071</v>
      </c>
      <c r="G1014" s="42" t="s">
        <v>4072</v>
      </c>
      <c r="H1014" s="17" t="s">
        <v>17</v>
      </c>
      <c r="I1014" s="17" t="s">
        <v>4036</v>
      </c>
      <c r="K1014" s="5" t="s">
        <v>652</v>
      </c>
      <c r="L1014" t="str">
        <f t="shared" si="16"/>
        <v>venilkathiravan827@gmail.com</v>
      </c>
    </row>
    <row r="1015" spans="1:12">
      <c r="A1015" t="str" cm="1">
        <f t="array" ref="A1015">_xlfn.LET(_xlpm.e,L1015,
IF(_xlpm.e="","",
"DOC-"&amp;TEXT(ROW()-ROW(tblMaster[#Headers]),"00000")
))</f>
        <v>DOC-01014</v>
      </c>
      <c r="B1015" s="49">
        <v>45960</v>
      </c>
      <c r="C1015" s="42" t="s">
        <v>75</v>
      </c>
      <c r="D1015" s="42" t="s">
        <v>4073</v>
      </c>
      <c r="E1015" s="38" t="s">
        <v>4074</v>
      </c>
      <c r="F1015" s="17" t="s">
        <v>4075</v>
      </c>
      <c r="G1015" s="42" t="s">
        <v>4076</v>
      </c>
      <c r="H1015" s="17" t="s">
        <v>496</v>
      </c>
      <c r="I1015" s="17" t="s">
        <v>2276</v>
      </c>
      <c r="J1015" s="99" t="s">
        <v>23</v>
      </c>
      <c r="K1015" s="5" t="s">
        <v>652</v>
      </c>
      <c r="L1015" t="str">
        <f t="shared" si="16"/>
        <v>joshuab.93@icloud.com</v>
      </c>
    </row>
    <row r="1016" spans="1:12">
      <c r="A1016" t="str" cm="1">
        <f t="array" ref="A1016">_xlfn.LET(_xlpm.e,L1016,
IF(_xlpm.e="","",
"DOC-"&amp;TEXT(ROW()-ROW(tblMaster[#Headers]),"00000")
))</f>
        <v>DOC-01015</v>
      </c>
      <c r="B1016" s="49">
        <v>45960</v>
      </c>
      <c r="C1016" s="42" t="s">
        <v>4077</v>
      </c>
      <c r="D1016" s="42" t="s">
        <v>4078</v>
      </c>
      <c r="E1016" s="38" t="s">
        <v>4079</v>
      </c>
      <c r="F1016" s="17" t="s">
        <v>2194</v>
      </c>
      <c r="G1016" s="42" t="s">
        <v>4080</v>
      </c>
      <c r="H1016" s="17" t="s">
        <v>17</v>
      </c>
      <c r="I1016" s="18" t="s">
        <v>54</v>
      </c>
      <c r="J1016" s="99" t="s">
        <v>194</v>
      </c>
      <c r="K1016" s="5" t="s">
        <v>652</v>
      </c>
      <c r="L1016" t="str">
        <f t="shared" si="16"/>
        <v>ceddycuz@gmail.com</v>
      </c>
    </row>
    <row r="1017" spans="1:12">
      <c r="A1017" t="str" cm="1">
        <f t="array" ref="A1017">_xlfn.LET(_xlpm.e,L1017,
IF(_xlpm.e="","",
"DOC-"&amp;TEXT(ROW()-ROW(tblMaster[#Headers]),"00000")
))</f>
        <v>DOC-01016</v>
      </c>
      <c r="B1017" s="49">
        <v>45960</v>
      </c>
      <c r="C1017" s="42" t="s">
        <v>2848</v>
      </c>
      <c r="D1017" s="42" t="s">
        <v>4081</v>
      </c>
      <c r="E1017" s="38" t="s">
        <v>4082</v>
      </c>
      <c r="F1017" s="17" t="s">
        <v>4083</v>
      </c>
      <c r="G1017" s="42" t="s">
        <v>52</v>
      </c>
      <c r="H1017" s="17" t="s">
        <v>17</v>
      </c>
      <c r="I1017" s="18" t="s">
        <v>54</v>
      </c>
      <c r="J1017" s="99" t="s">
        <v>194</v>
      </c>
      <c r="K1017" s="5" t="s">
        <v>652</v>
      </c>
      <c r="L1017" t="str">
        <f t="shared" si="16"/>
        <v>usarmy91@gmail.com</v>
      </c>
    </row>
    <row r="1018" spans="1:12">
      <c r="A1018" t="str" cm="1">
        <f t="array" ref="A1018">_xlfn.LET(_xlpm.e,L1018,
IF(_xlpm.e="","",
"DOC-"&amp;TEXT(ROW()-ROW(tblMaster[#Headers]),"00000")
))</f>
        <v>DOC-01017</v>
      </c>
      <c r="B1018" s="49">
        <v>45961</v>
      </c>
      <c r="C1018" s="42" t="s">
        <v>4084</v>
      </c>
      <c r="D1018" s="42" t="s">
        <v>4085</v>
      </c>
      <c r="E1018" s="38" t="s">
        <v>4086</v>
      </c>
      <c r="F1018" s="17" t="s">
        <v>4087</v>
      </c>
      <c r="G1018" s="42" t="s">
        <v>242</v>
      </c>
      <c r="H1018" s="17" t="s">
        <v>17</v>
      </c>
      <c r="I1018" s="18" t="s">
        <v>54</v>
      </c>
      <c r="K1018" s="5" t="s">
        <v>652</v>
      </c>
      <c r="L1018" t="str">
        <f t="shared" si="16"/>
        <v>ljureau28@gmail.com</v>
      </c>
    </row>
    <row r="1019" spans="1:12">
      <c r="A1019" t="str" cm="1">
        <f t="array" ref="A1019">_xlfn.LET(_xlpm.e,L1019,
IF(_xlpm.e="","",
"DOC-"&amp;TEXT(ROW()-ROW(tblMaster[#Headers]),"00000")
))</f>
        <v>DOC-01018</v>
      </c>
      <c r="B1019" s="49">
        <v>45961</v>
      </c>
      <c r="C1019" s="42" t="s">
        <v>4088</v>
      </c>
      <c r="D1019" s="42" t="s">
        <v>4089</v>
      </c>
      <c r="E1019" s="38" t="s">
        <v>4090</v>
      </c>
      <c r="F1019" s="17" t="s">
        <v>4091</v>
      </c>
      <c r="G1019" s="42" t="s">
        <v>4092</v>
      </c>
      <c r="H1019" s="17" t="s">
        <v>153</v>
      </c>
      <c r="I1019" s="18" t="s">
        <v>54</v>
      </c>
      <c r="K1019" s="5" t="s">
        <v>652</v>
      </c>
      <c r="L1019" t="str">
        <f t="shared" si="16"/>
        <v>ogbnt@yahoo.com</v>
      </c>
    </row>
    <row r="1020" spans="1:12">
      <c r="A1020" t="str" cm="1">
        <f t="array" ref="A1020">_xlfn.LET(_xlpm.e,L1020,
IF(_xlpm.e="","",
"DOC-"&amp;TEXT(ROW()-ROW(tblMaster[#Headers]),"00000")
))</f>
        <v>DOC-01019</v>
      </c>
      <c r="B1020" s="49">
        <v>45961</v>
      </c>
      <c r="C1020" s="42" t="s">
        <v>4093</v>
      </c>
      <c r="D1020" s="42" t="s">
        <v>4094</v>
      </c>
      <c r="E1020" s="38" t="s">
        <v>4095</v>
      </c>
      <c r="F1020" s="17" t="s">
        <v>4096</v>
      </c>
      <c r="G1020" s="42" t="s">
        <v>88</v>
      </c>
      <c r="H1020" s="17" t="s">
        <v>17</v>
      </c>
      <c r="I1020" s="18" t="s">
        <v>54</v>
      </c>
      <c r="K1020" s="5" t="s">
        <v>652</v>
      </c>
      <c r="L1020" t="str">
        <f t="shared" si="16"/>
        <v>tdominguez401@gmail.com</v>
      </c>
    </row>
    <row r="1021" spans="1:12">
      <c r="A1021" t="str" cm="1">
        <f t="array" ref="A1021">_xlfn.LET(_xlpm.e,L1021,
IF(_xlpm.e="","",
"DOC-"&amp;TEXT(ROW()-ROW(tblMaster[#Headers]),"00000")
))</f>
        <v>DOC-01020</v>
      </c>
      <c r="B1021" s="49">
        <v>45961</v>
      </c>
      <c r="C1021" s="42" t="s">
        <v>4097</v>
      </c>
      <c r="D1021" s="42" t="s">
        <v>4098</v>
      </c>
      <c r="E1021" s="38" t="s">
        <v>4099</v>
      </c>
      <c r="F1021" s="17" t="s">
        <v>4100</v>
      </c>
      <c r="G1021" s="42" t="s">
        <v>231</v>
      </c>
      <c r="H1021" s="17" t="s">
        <v>17</v>
      </c>
      <c r="I1021" s="18" t="s">
        <v>101</v>
      </c>
      <c r="K1021" s="5" t="s">
        <v>652</v>
      </c>
      <c r="L1021" t="str">
        <f t="shared" si="16"/>
        <v>margaritaaxo@icloud.com</v>
      </c>
    </row>
    <row r="1022" spans="1:12">
      <c r="A1022" t="str" cm="1">
        <f t="array" ref="A1022">_xlfn.LET(_xlpm.e,L1022,
IF(_xlpm.e="","",
"DOC-"&amp;TEXT(ROW()-ROW(tblMaster[#Headers]),"00000")
))</f>
        <v>DOC-01021</v>
      </c>
      <c r="B1022" s="49">
        <v>45961</v>
      </c>
      <c r="C1022" s="42" t="s">
        <v>4101</v>
      </c>
      <c r="D1022" s="42" t="s">
        <v>4101</v>
      </c>
      <c r="E1022" s="38" t="s">
        <v>4102</v>
      </c>
      <c r="F1022" s="17" t="s">
        <v>4103</v>
      </c>
      <c r="G1022" s="42" t="s">
        <v>2088</v>
      </c>
      <c r="H1022" s="17" t="s">
        <v>17</v>
      </c>
      <c r="I1022" s="18" t="s">
        <v>54</v>
      </c>
      <c r="K1022" s="5" t="s">
        <v>652</v>
      </c>
      <c r="L1022" t="str">
        <f t="shared" si="16"/>
        <v>lubinernest8@gmail.com</v>
      </c>
    </row>
    <row r="1023" spans="1:12">
      <c r="A1023" t="str" cm="1">
        <f t="array" ref="A1023">_xlfn.LET(_xlpm.e,L1023,
IF(_xlpm.e="","",
"DOC-"&amp;TEXT(ROW()-ROW(tblMaster[#Headers]),"00000")
))</f>
        <v>DOC-01022</v>
      </c>
      <c r="B1023" s="49">
        <v>45961</v>
      </c>
      <c r="C1023" s="42" t="s">
        <v>4104</v>
      </c>
      <c r="D1023" s="42" t="s">
        <v>4105</v>
      </c>
      <c r="E1023" s="38" t="s">
        <v>4106</v>
      </c>
      <c r="F1023" s="17" t="s">
        <v>4107</v>
      </c>
      <c r="G1023" s="42" t="s">
        <v>4108</v>
      </c>
      <c r="H1023" s="17" t="s">
        <v>267</v>
      </c>
      <c r="I1023" s="18" t="s">
        <v>54</v>
      </c>
      <c r="J1023" s="99" t="s">
        <v>23</v>
      </c>
      <c r="K1023" s="5" t="s">
        <v>652</v>
      </c>
      <c r="L1023" t="str">
        <f t="shared" si="16"/>
        <v>shamaragrate22@gmail.com</v>
      </c>
    </row>
    <row r="1024" spans="1:12">
      <c r="A1024" t="str" cm="1">
        <f t="array" ref="A1024">_xlfn.LET(_xlpm.e,L1024,
IF(_xlpm.e="","",
"DOC-"&amp;TEXT(ROW()-ROW(tblMaster[#Headers]),"00000")
))</f>
        <v>DOC-01023</v>
      </c>
      <c r="B1024" s="49">
        <v>45961</v>
      </c>
      <c r="C1024" s="42" t="s">
        <v>4109</v>
      </c>
      <c r="D1024" s="42" t="s">
        <v>4110</v>
      </c>
      <c r="E1024" s="38" t="s">
        <v>4111</v>
      </c>
      <c r="F1024" s="17" t="s">
        <v>4112</v>
      </c>
      <c r="G1024" s="42" t="s">
        <v>4113</v>
      </c>
      <c r="H1024" s="17" t="s">
        <v>17</v>
      </c>
      <c r="I1024" s="18" t="s">
        <v>54</v>
      </c>
      <c r="K1024" s="5" t="s">
        <v>652</v>
      </c>
      <c r="L1024" t="str">
        <f t="shared" si="16"/>
        <v>hmaltz25@gmail.com</v>
      </c>
    </row>
    <row r="1025" spans="1:12">
      <c r="A1025" t="str" cm="1">
        <f t="array" ref="A1025">_xlfn.LET(_xlpm.e,L1025,
IF(_xlpm.e="","",
"DOC-"&amp;TEXT(ROW()-ROW(tblMaster[#Headers]),"00000")
))</f>
        <v>DOC-01024</v>
      </c>
      <c r="B1025" s="49">
        <v>45961</v>
      </c>
      <c r="C1025" s="42" t="s">
        <v>1070</v>
      </c>
      <c r="D1025" s="42" t="s">
        <v>4114</v>
      </c>
      <c r="E1025" s="38" t="s">
        <v>4115</v>
      </c>
      <c r="F1025" s="17" t="s">
        <v>4116</v>
      </c>
      <c r="G1025" s="42" t="s">
        <v>544</v>
      </c>
      <c r="H1025" s="17" t="s">
        <v>17</v>
      </c>
      <c r="I1025" s="18" t="s">
        <v>54</v>
      </c>
      <c r="K1025" s="5" t="s">
        <v>652</v>
      </c>
      <c r="L1025" t="str">
        <f t="shared" si="16"/>
        <v>justinalvarado3@gmail.com</v>
      </c>
    </row>
    <row r="1026" spans="1:12">
      <c r="A1026" t="str" cm="1">
        <f t="array" ref="A1026">_xlfn.LET(_xlpm.e,L1026,
IF(_xlpm.e="","",
"DOC-"&amp;TEXT(ROW()-ROW(tblMaster[#Headers]),"00000")
))</f>
        <v>DOC-01025</v>
      </c>
      <c r="B1026" s="49">
        <v>45961</v>
      </c>
      <c r="C1026" s="42" t="s">
        <v>1652</v>
      </c>
      <c r="D1026" s="42" t="s">
        <v>4117</v>
      </c>
      <c r="E1026" s="38" t="s">
        <v>4118</v>
      </c>
      <c r="F1026" s="17" t="s">
        <v>4119</v>
      </c>
      <c r="G1026" s="42" t="s">
        <v>2215</v>
      </c>
      <c r="H1026" s="17" t="s">
        <v>17</v>
      </c>
      <c r="I1026" s="18" t="s">
        <v>54</v>
      </c>
      <c r="K1026" s="5" t="s">
        <v>652</v>
      </c>
      <c r="L1026" t="str">
        <f t="shared" si="16"/>
        <v>adean0175@outlook.com</v>
      </c>
    </row>
    <row r="1027" spans="1:12">
      <c r="A1027" t="str" cm="1">
        <f t="array" ref="A1027">_xlfn.LET(_xlpm.e,L1027,
IF(_xlpm.e="","",
"DOC-"&amp;TEXT(ROW()-ROW(tblMaster[#Headers]),"00000")
))</f>
        <v>DOC-01026</v>
      </c>
      <c r="B1027" s="49">
        <v>45961</v>
      </c>
      <c r="C1027" s="42" t="s">
        <v>4120</v>
      </c>
      <c r="D1027" s="42" t="s">
        <v>4121</v>
      </c>
      <c r="E1027" s="38" t="s">
        <v>4122</v>
      </c>
      <c r="F1027" s="17" t="s">
        <v>4123</v>
      </c>
      <c r="G1027" s="42" t="s">
        <v>4124</v>
      </c>
      <c r="H1027" s="17" t="s">
        <v>60</v>
      </c>
      <c r="I1027" s="18" t="s">
        <v>101</v>
      </c>
      <c r="J1027" s="99" t="s">
        <v>194</v>
      </c>
      <c r="K1027" s="5" t="s">
        <v>652</v>
      </c>
      <c r="L1027" t="str">
        <f t="shared" si="16"/>
        <v>ppdesir@gmail.com</v>
      </c>
    </row>
    <row r="1028" spans="1:12">
      <c r="A1028" t="str" cm="1">
        <f t="array" ref="A1028">_xlfn.LET(_xlpm.e,L1028,
IF(_xlpm.e="","",
"DOC-"&amp;TEXT(ROW()-ROW(tblMaster[#Headers]),"00000")
))</f>
        <v>DOC-01027</v>
      </c>
      <c r="B1028" s="49">
        <v>45961</v>
      </c>
      <c r="C1028" s="52" t="s">
        <v>4125</v>
      </c>
      <c r="D1028" s="52" t="s">
        <v>4126</v>
      </c>
      <c r="E1028" s="38" t="s">
        <v>4127</v>
      </c>
      <c r="F1028" s="17" t="s">
        <v>4128</v>
      </c>
      <c r="G1028" s="42" t="s">
        <v>47</v>
      </c>
      <c r="H1028" s="17" t="s">
        <v>4129</v>
      </c>
      <c r="I1028" s="18" t="s">
        <v>101</v>
      </c>
      <c r="J1028" s="99" t="s">
        <v>23</v>
      </c>
      <c r="K1028" s="5" t="s">
        <v>652</v>
      </c>
      <c r="L1028" t="str">
        <f t="shared" si="16"/>
        <v>freeman.zander24@icloud.com</v>
      </c>
    </row>
    <row r="1029" spans="1:12">
      <c r="A1029" t="str" cm="1">
        <f t="array" ref="A1029">_xlfn.LET(_xlpm.e,L1029,
IF(_xlpm.e="","",
"DOC-"&amp;TEXT(ROW()-ROW(tblMaster[#Headers]),"00000")
))</f>
        <v>DOC-01028</v>
      </c>
      <c r="B1029" s="49">
        <v>45961</v>
      </c>
      <c r="C1029" s="42" t="s">
        <v>4130</v>
      </c>
      <c r="D1029" s="42" t="s">
        <v>4131</v>
      </c>
      <c r="E1029" s="38" t="s">
        <v>4132</v>
      </c>
      <c r="F1029" s="17" t="s">
        <v>4133</v>
      </c>
      <c r="G1029" s="42" t="s">
        <v>4134</v>
      </c>
      <c r="H1029" s="17" t="s">
        <v>53</v>
      </c>
      <c r="I1029" s="18" t="s">
        <v>101</v>
      </c>
      <c r="K1029" s="5" t="s">
        <v>652</v>
      </c>
      <c r="L1029" t="str">
        <f t="shared" si="16"/>
        <v>amazingmac90@gmail.com</v>
      </c>
    </row>
    <row r="1030" spans="1:12">
      <c r="A1030" t="str" cm="1">
        <f t="array" ref="A1030">_xlfn.LET(_xlpm.e,L1030,
IF(_xlpm.e="","",
"DOC-"&amp;TEXT(ROW()-ROW(tblMaster[#Headers]),"00000")
))</f>
        <v>DOC-01029</v>
      </c>
      <c r="B1030" s="49">
        <v>45961</v>
      </c>
      <c r="C1030" s="42" t="s">
        <v>4135</v>
      </c>
      <c r="D1030" s="42" t="s">
        <v>4136</v>
      </c>
      <c r="E1030" s="38" t="s">
        <v>4137</v>
      </c>
      <c r="F1030" s="17" t="s">
        <v>4138</v>
      </c>
      <c r="G1030" s="42" t="s">
        <v>4139</v>
      </c>
      <c r="H1030" s="17" t="s">
        <v>4140</v>
      </c>
      <c r="I1030" s="18" t="s">
        <v>101</v>
      </c>
      <c r="K1030" s="5" t="s">
        <v>652</v>
      </c>
      <c r="L1030" t="str">
        <f t="shared" ref="L1030:L1093" si="17">_xlfn.LET(_xlpm.x,E1030,
_xlpm.y,TRIM(CLEAN(SUBSTITUTE(_xlpm.x,CHAR(160)," "))),
LOWER(_xlpm.y))</f>
        <v>mohammedissahohio@gmail.com</v>
      </c>
    </row>
    <row r="1031" spans="1:12">
      <c r="A1031" t="str" cm="1">
        <f t="array" ref="A1031">_xlfn.LET(_xlpm.e,L1031,
IF(_xlpm.e="","",
"DOC-"&amp;TEXT(ROW()-ROW(tblMaster[#Headers]),"00000")
))</f>
        <v>DOC-01030</v>
      </c>
      <c r="B1031" s="49">
        <v>45961</v>
      </c>
      <c r="C1031" s="42" t="s">
        <v>4141</v>
      </c>
      <c r="D1031" s="42" t="s">
        <v>4142</v>
      </c>
      <c r="E1031" s="38" t="s">
        <v>4143</v>
      </c>
      <c r="F1031" s="17" t="s">
        <v>4144</v>
      </c>
      <c r="G1031" s="42" t="s">
        <v>517</v>
      </c>
      <c r="H1031" s="17" t="s">
        <v>17</v>
      </c>
      <c r="I1031" s="18" t="s">
        <v>101</v>
      </c>
      <c r="J1031" s="99" t="s">
        <v>497</v>
      </c>
      <c r="K1031" s="5" t="s">
        <v>652</v>
      </c>
      <c r="L1031" t="str">
        <f t="shared" si="17"/>
        <v>ndesarmes.1@gmail.com</v>
      </c>
    </row>
    <row r="1032" spans="1:12">
      <c r="A1032" t="str" cm="1">
        <f t="array" ref="A1032">_xlfn.LET(_xlpm.e,L1032,
IF(_xlpm.e="","",
"DOC-"&amp;TEXT(ROW()-ROW(tblMaster[#Headers]),"00000")
))</f>
        <v>DOC-01031</v>
      </c>
      <c r="B1032" s="49">
        <v>45961</v>
      </c>
      <c r="C1032" s="42" t="s">
        <v>4145</v>
      </c>
      <c r="D1032" s="42" t="s">
        <v>4146</v>
      </c>
      <c r="E1032" s="38" t="s">
        <v>4147</v>
      </c>
      <c r="F1032" s="17" t="s">
        <v>4148</v>
      </c>
      <c r="G1032" s="42" t="s">
        <v>576</v>
      </c>
      <c r="H1032" s="17" t="s">
        <v>17</v>
      </c>
      <c r="I1032" s="18" t="s">
        <v>101</v>
      </c>
      <c r="K1032" s="5" t="s">
        <v>652</v>
      </c>
      <c r="L1032" t="str">
        <f t="shared" si="17"/>
        <v>rgrintchenko1@yahoo.com</v>
      </c>
    </row>
    <row r="1033" spans="1:12">
      <c r="A1033" t="str" cm="1">
        <f t="array" ref="A1033">_xlfn.LET(_xlpm.e,L1033,
IF(_xlpm.e="","",
"DOC-"&amp;TEXT(ROW()-ROW(tblMaster[#Headers]),"00000")
))</f>
        <v>DOC-01032</v>
      </c>
      <c r="B1033" s="49">
        <v>45961</v>
      </c>
      <c r="C1033" s="42" t="s">
        <v>4149</v>
      </c>
      <c r="D1033" s="42" t="s">
        <v>4150</v>
      </c>
      <c r="E1033" s="38" t="s">
        <v>4151</v>
      </c>
      <c r="F1033" s="17" t="s">
        <v>4152</v>
      </c>
      <c r="G1033" s="42" t="s">
        <v>33</v>
      </c>
      <c r="H1033" s="17" t="s">
        <v>17</v>
      </c>
      <c r="I1033" s="18" t="s">
        <v>101</v>
      </c>
      <c r="K1033" s="5" t="s">
        <v>652</v>
      </c>
      <c r="L1033" t="str">
        <f t="shared" si="17"/>
        <v>judith.brown@mass.gov</v>
      </c>
    </row>
    <row r="1034" spans="1:12">
      <c r="A1034" t="str" cm="1">
        <f t="array" ref="A1034">_xlfn.LET(_xlpm.e,L1034,
IF(_xlpm.e="","",
"DOC-"&amp;TEXT(ROW()-ROW(tblMaster[#Headers]),"00000")
))</f>
        <v>DOC-01033</v>
      </c>
      <c r="B1034" s="49">
        <v>45961</v>
      </c>
      <c r="C1034" s="42" t="s">
        <v>4153</v>
      </c>
      <c r="D1034" s="42" t="s">
        <v>4154</v>
      </c>
      <c r="E1034" s="38" t="s">
        <v>4155</v>
      </c>
      <c r="F1034" s="17" t="s">
        <v>4156</v>
      </c>
      <c r="G1034" s="42" t="s">
        <v>295</v>
      </c>
      <c r="H1034" s="17" t="s">
        <v>17</v>
      </c>
      <c r="I1034" s="18" t="s">
        <v>101</v>
      </c>
      <c r="J1034" s="99" t="s">
        <v>23</v>
      </c>
      <c r="K1034" s="5" t="s">
        <v>652</v>
      </c>
      <c r="L1034" t="str">
        <f t="shared" si="17"/>
        <v>ckempa88@gmail.com</v>
      </c>
    </row>
    <row r="1035" spans="1:12">
      <c r="A1035" t="str" cm="1">
        <f t="array" ref="A1035">_xlfn.LET(_xlpm.e,L1035,
IF(_xlpm.e="","",
"DOC-"&amp;TEXT(ROW()-ROW(tblMaster[#Headers]),"00000")
))</f>
        <v>DOC-01034</v>
      </c>
      <c r="B1035" s="49">
        <v>45961</v>
      </c>
      <c r="C1035" s="42" t="s">
        <v>4157</v>
      </c>
      <c r="D1035" s="42" t="s">
        <v>4158</v>
      </c>
      <c r="E1035" s="38" t="s">
        <v>4159</v>
      </c>
      <c r="F1035" s="17" t="s">
        <v>4160</v>
      </c>
      <c r="G1035" s="42" t="s">
        <v>1538</v>
      </c>
      <c r="H1035" s="17" t="s">
        <v>17</v>
      </c>
      <c r="I1035" s="18" t="s">
        <v>101</v>
      </c>
      <c r="K1035" s="5" t="s">
        <v>652</v>
      </c>
      <c r="L1035" t="str">
        <f t="shared" si="17"/>
        <v>bgallagher984@gmail.com</v>
      </c>
    </row>
    <row r="1036" spans="1:12">
      <c r="A1036" t="str" cm="1">
        <f t="array" ref="A1036">_xlfn.LET(_xlpm.e,L1036,
IF(_xlpm.e="","",
"DOC-"&amp;TEXT(ROW()-ROW(tblMaster[#Headers]),"00000")
))</f>
        <v>DOC-01035</v>
      </c>
      <c r="B1036" s="49">
        <v>45961</v>
      </c>
      <c r="C1036" s="42" t="s">
        <v>4161</v>
      </c>
      <c r="D1036" s="42" t="s">
        <v>4162</v>
      </c>
      <c r="E1036" s="38" t="s">
        <v>4163</v>
      </c>
      <c r="F1036" s="17" t="s">
        <v>4164</v>
      </c>
      <c r="G1036" s="42" t="s">
        <v>3758</v>
      </c>
      <c r="H1036" s="17" t="s">
        <v>17</v>
      </c>
      <c r="I1036" s="18" t="s">
        <v>101</v>
      </c>
      <c r="K1036" s="5" t="s">
        <v>652</v>
      </c>
      <c r="L1036" t="str">
        <f t="shared" si="17"/>
        <v>ashleysainthilaire@yahoo.com</v>
      </c>
    </row>
    <row r="1037" spans="1:12">
      <c r="A1037" t="str" cm="1">
        <f t="array" ref="A1037">_xlfn.LET(_xlpm.e,L1037,
IF(_xlpm.e="","",
"DOC-"&amp;TEXT(ROW()-ROW(tblMaster[#Headers]),"00000")
))</f>
        <v>DOC-01036</v>
      </c>
      <c r="B1037" s="49">
        <v>45961</v>
      </c>
      <c r="C1037" s="42" t="s">
        <v>4165</v>
      </c>
      <c r="D1037" s="42" t="s">
        <v>4166</v>
      </c>
      <c r="E1037" s="38" t="s">
        <v>4167</v>
      </c>
      <c r="F1037" s="17" t="s">
        <v>4168</v>
      </c>
      <c r="G1037" s="42" t="s">
        <v>128</v>
      </c>
      <c r="H1037" s="17" t="s">
        <v>53</v>
      </c>
      <c r="I1037" s="18" t="s">
        <v>101</v>
      </c>
      <c r="K1037" s="5" t="s">
        <v>652</v>
      </c>
      <c r="L1037" t="str">
        <f t="shared" si="17"/>
        <v>tonyalmorris@gmail.com</v>
      </c>
    </row>
    <row r="1038" spans="1:12">
      <c r="A1038" t="str" cm="1">
        <f t="array" ref="A1038">_xlfn.LET(_xlpm.e,L1038,
IF(_xlpm.e="","",
"DOC-"&amp;TEXT(ROW()-ROW(tblMaster[#Headers]),"00000")
))</f>
        <v>DOC-01037</v>
      </c>
      <c r="B1038" s="49">
        <v>45961</v>
      </c>
      <c r="C1038" s="42" t="s">
        <v>2969</v>
      </c>
      <c r="D1038" s="42" t="s">
        <v>527</v>
      </c>
      <c r="E1038" s="38" t="s">
        <v>4169</v>
      </c>
      <c r="F1038" s="17" t="s">
        <v>4170</v>
      </c>
      <c r="G1038" s="42" t="s">
        <v>948</v>
      </c>
      <c r="H1038" s="17" t="s">
        <v>490</v>
      </c>
      <c r="I1038" s="18" t="s">
        <v>101</v>
      </c>
      <c r="J1038" s="99" t="s">
        <v>497</v>
      </c>
      <c r="K1038" s="5" t="s">
        <v>652</v>
      </c>
      <c r="L1038" t="str">
        <f t="shared" si="17"/>
        <v>peter.james205@yahoo.com</v>
      </c>
    </row>
    <row r="1039" spans="1:12">
      <c r="A1039" t="str" cm="1">
        <f t="array" ref="A1039">_xlfn.LET(_xlpm.e,L1039,
IF(_xlpm.e="","",
"DOC-"&amp;TEXT(ROW()-ROW(tblMaster[#Headers]),"00000")
))</f>
        <v>DOC-01038</v>
      </c>
      <c r="B1039" s="49">
        <v>45961</v>
      </c>
      <c r="C1039" s="42" t="s">
        <v>4171</v>
      </c>
      <c r="D1039" s="42" t="s">
        <v>2034</v>
      </c>
      <c r="E1039" s="38" t="s">
        <v>4172</v>
      </c>
      <c r="F1039" s="17" t="s">
        <v>4173</v>
      </c>
      <c r="G1039" s="42" t="s">
        <v>4174</v>
      </c>
      <c r="H1039" s="17" t="s">
        <v>60</v>
      </c>
      <c r="I1039" s="18" t="s">
        <v>101</v>
      </c>
      <c r="K1039" s="5" t="s">
        <v>652</v>
      </c>
      <c r="L1039" t="str">
        <f t="shared" si="17"/>
        <v>24ibrown66@gmail.com</v>
      </c>
    </row>
    <row r="1040" spans="1:12">
      <c r="A1040" t="str" cm="1">
        <f t="array" ref="A1040">_xlfn.LET(_xlpm.e,L1040,
IF(_xlpm.e="","",
"DOC-"&amp;TEXT(ROW()-ROW(tblMaster[#Headers]),"00000")
))</f>
        <v>DOC-01039</v>
      </c>
      <c r="B1040" s="49">
        <v>45961</v>
      </c>
      <c r="C1040" s="42" t="s">
        <v>3278</v>
      </c>
      <c r="D1040" s="42" t="s">
        <v>4175</v>
      </c>
      <c r="E1040" s="38" t="s">
        <v>4176</v>
      </c>
      <c r="F1040" s="17" t="s">
        <v>4177</v>
      </c>
      <c r="G1040" s="42" t="s">
        <v>854</v>
      </c>
      <c r="H1040" s="17" t="s">
        <v>17</v>
      </c>
      <c r="I1040" s="18" t="s">
        <v>101</v>
      </c>
      <c r="J1040" s="99" t="s">
        <v>23</v>
      </c>
      <c r="K1040" s="5" t="s">
        <v>652</v>
      </c>
      <c r="L1040" t="str">
        <f t="shared" si="17"/>
        <v>fitzemt@yahoo.com</v>
      </c>
    </row>
    <row r="1041" spans="1:12">
      <c r="A1041" t="str" cm="1">
        <f t="array" ref="A1041">_xlfn.LET(_xlpm.e,L1041,
IF(_xlpm.e="","",
"DOC-"&amp;TEXT(ROW()-ROW(tblMaster[#Headers]),"00000")
))</f>
        <v>DOC-01040</v>
      </c>
      <c r="B1041" s="49">
        <v>45961</v>
      </c>
      <c r="C1041" s="42" t="s">
        <v>4178</v>
      </c>
      <c r="D1041" s="42" t="s">
        <v>4179</v>
      </c>
      <c r="E1041" s="38" t="s">
        <v>4180</v>
      </c>
      <c r="F1041" s="17" t="s">
        <v>4181</v>
      </c>
      <c r="G1041" s="42" t="s">
        <v>2847</v>
      </c>
      <c r="H1041" s="17" t="s">
        <v>17</v>
      </c>
      <c r="I1041" s="18" t="s">
        <v>101</v>
      </c>
      <c r="K1041" s="5" t="s">
        <v>652</v>
      </c>
      <c r="L1041" t="str">
        <f t="shared" si="17"/>
        <v>shemeg2000@yahoo.com</v>
      </c>
    </row>
    <row r="1042" spans="1:12">
      <c r="A1042" t="str" cm="1">
        <f t="array" ref="A1042">_xlfn.LET(_xlpm.e,L1042,
IF(_xlpm.e="","",
"DOC-"&amp;TEXT(ROW()-ROW(tblMaster[#Headers]),"00000")
))</f>
        <v>DOC-01041</v>
      </c>
      <c r="B1042" s="49">
        <v>45964</v>
      </c>
      <c r="C1042" s="42" t="s">
        <v>1261</v>
      </c>
      <c r="D1042" s="42" t="s">
        <v>4182</v>
      </c>
      <c r="E1042" s="38" t="s">
        <v>4183</v>
      </c>
      <c r="F1042" s="17" t="s">
        <v>4184</v>
      </c>
      <c r="G1042" s="42" t="s">
        <v>842</v>
      </c>
      <c r="H1042" s="17" t="s">
        <v>53</v>
      </c>
      <c r="I1042" s="18" t="s">
        <v>54</v>
      </c>
      <c r="J1042" s="99" t="s">
        <v>66</v>
      </c>
      <c r="K1042" s="5" t="s">
        <v>4185</v>
      </c>
      <c r="L1042" t="str">
        <f t="shared" si="17"/>
        <v>agomes1212@icloud.com</v>
      </c>
    </row>
    <row r="1043" spans="1:12">
      <c r="A1043" t="str" cm="1">
        <f t="array" ref="A1043">_xlfn.LET(_xlpm.e,L1043,
IF(_xlpm.e="","",
"DOC-"&amp;TEXT(ROW()-ROW(tblMaster[#Headers]),"00000")
))</f>
        <v>DOC-01042</v>
      </c>
      <c r="B1043" s="49">
        <v>45962</v>
      </c>
      <c r="C1043" s="42" t="s">
        <v>4186</v>
      </c>
      <c r="D1043" s="42" t="s">
        <v>4187</v>
      </c>
      <c r="E1043" s="38" t="s">
        <v>4188</v>
      </c>
      <c r="F1043" s="17" t="s">
        <v>4189</v>
      </c>
      <c r="G1043" s="42" t="s">
        <v>4190</v>
      </c>
      <c r="H1043" s="17" t="s">
        <v>4191</v>
      </c>
      <c r="I1043" s="18" t="s">
        <v>54</v>
      </c>
      <c r="K1043" s="5" t="s">
        <v>4185</v>
      </c>
      <c r="L1043" t="str">
        <f t="shared" si="17"/>
        <v>romulojl2017@gmail.com</v>
      </c>
    </row>
    <row r="1044" spans="1:12">
      <c r="A1044" t="str" cm="1">
        <f t="array" ref="A1044">_xlfn.LET(_xlpm.e,L1044,
IF(_xlpm.e="","",
"DOC-"&amp;TEXT(ROW()-ROW(tblMaster[#Headers]),"00000")
))</f>
        <v>DOC-01043</v>
      </c>
      <c r="B1044" s="49">
        <v>45962</v>
      </c>
      <c r="C1044" s="42" t="s">
        <v>4192</v>
      </c>
      <c r="D1044" s="42" t="s">
        <v>4193</v>
      </c>
      <c r="E1044" s="38" t="s">
        <v>4194</v>
      </c>
      <c r="F1044" s="17" t="s">
        <v>4195</v>
      </c>
      <c r="G1044" s="42" t="s">
        <v>3449</v>
      </c>
      <c r="H1044" s="17" t="s">
        <v>17</v>
      </c>
      <c r="I1044" s="18" t="s">
        <v>54</v>
      </c>
      <c r="J1044" s="99" t="s">
        <v>23</v>
      </c>
      <c r="K1044" s="5" t="s">
        <v>4185</v>
      </c>
      <c r="L1044" t="str">
        <f t="shared" si="17"/>
        <v>telusmaj@gmail.com</v>
      </c>
    </row>
    <row r="1045" spans="1:12">
      <c r="A1045" t="str" cm="1">
        <f t="array" ref="A1045">_xlfn.LET(_xlpm.e,L1045,
IF(_xlpm.e="","",
"DOC-"&amp;TEXT(ROW()-ROW(tblMaster[#Headers]),"00000")
))</f>
        <v>DOC-01044</v>
      </c>
      <c r="B1045" s="49">
        <v>45963</v>
      </c>
      <c r="C1045" s="42" t="s">
        <v>4196</v>
      </c>
      <c r="D1045" s="42" t="s">
        <v>4197</v>
      </c>
      <c r="E1045" s="38" t="s">
        <v>4198</v>
      </c>
      <c r="F1045" s="17" t="s">
        <v>4199</v>
      </c>
      <c r="G1045" s="42" t="s">
        <v>1361</v>
      </c>
      <c r="H1045" s="17" t="s">
        <v>17</v>
      </c>
      <c r="I1045" s="18" t="s">
        <v>54</v>
      </c>
      <c r="K1045" s="5" t="s">
        <v>4185</v>
      </c>
      <c r="L1045" t="str">
        <f t="shared" si="17"/>
        <v>ufema14@gmail.com</v>
      </c>
    </row>
    <row r="1046" spans="1:12">
      <c r="A1046" t="str" cm="1">
        <f t="array" ref="A1046">_xlfn.LET(_xlpm.e,L1046,
IF(_xlpm.e="","",
"DOC-"&amp;TEXT(ROW()-ROW(tblMaster[#Headers]),"00000")
))</f>
        <v>DOC-01045</v>
      </c>
      <c r="B1046" s="49">
        <v>45964</v>
      </c>
      <c r="C1046" s="42" t="s">
        <v>4200</v>
      </c>
      <c r="D1046" s="42" t="s">
        <v>4201</v>
      </c>
      <c r="E1046" s="38" t="s">
        <v>4202</v>
      </c>
      <c r="F1046" s="17"/>
      <c r="G1046" s="42"/>
      <c r="H1046" s="17"/>
      <c r="I1046" s="18" t="s">
        <v>54</v>
      </c>
      <c r="K1046" s="5" t="s">
        <v>4185</v>
      </c>
      <c r="L1046" t="str">
        <f t="shared" si="17"/>
        <v>ininahazwefyna@gmail.com</v>
      </c>
    </row>
    <row r="1047" spans="1:12">
      <c r="A1047" t="str" cm="1">
        <f t="array" ref="A1047">_xlfn.LET(_xlpm.e,L1047,
IF(_xlpm.e="","",
"DOC-"&amp;TEXT(ROW()-ROW(tblMaster[#Headers]),"00000")
))</f>
        <v/>
      </c>
      <c r="B1047" s="49">
        <v>45964</v>
      </c>
      <c r="C1047" s="42" t="s">
        <v>4203</v>
      </c>
      <c r="D1047" s="42" t="s">
        <v>4204</v>
      </c>
      <c r="E1047" s="42"/>
      <c r="F1047" s="17" t="s">
        <v>4205</v>
      </c>
      <c r="G1047" s="42" t="s">
        <v>3521</v>
      </c>
      <c r="H1047" s="17" t="s">
        <v>17</v>
      </c>
      <c r="I1047" s="17" t="s">
        <v>112</v>
      </c>
      <c r="K1047" s="5" t="s">
        <v>4185</v>
      </c>
      <c r="L1047" t="str">
        <f t="shared" si="17"/>
        <v/>
      </c>
    </row>
    <row r="1048" spans="1:12">
      <c r="A1048" t="str" cm="1">
        <f t="array" ref="A1048">_xlfn.LET(_xlpm.e,L1048,
IF(_xlpm.e="","",
"DOC-"&amp;TEXT(ROW()-ROW(tblMaster[#Headers]),"00000")
))</f>
        <v>DOC-01047</v>
      </c>
      <c r="B1048" s="49">
        <v>45964</v>
      </c>
      <c r="C1048" s="42" t="s">
        <v>4206</v>
      </c>
      <c r="D1048" s="42" t="s">
        <v>4207</v>
      </c>
      <c r="E1048" s="38" t="s">
        <v>4208</v>
      </c>
      <c r="F1048" s="17" t="s">
        <v>4209</v>
      </c>
      <c r="G1048" s="42" t="s">
        <v>3008</v>
      </c>
      <c r="H1048" s="17" t="s">
        <v>17</v>
      </c>
      <c r="I1048" s="17" t="s">
        <v>2276</v>
      </c>
      <c r="K1048" s="5" t="s">
        <v>4185</v>
      </c>
      <c r="L1048" t="str">
        <f t="shared" si="17"/>
        <v>julianx33@icloud.com</v>
      </c>
    </row>
    <row r="1049" spans="1:12">
      <c r="A1049" t="str" cm="1">
        <f t="array" ref="A1049">_xlfn.LET(_xlpm.e,L1049,
IF(_xlpm.e="","",
"DOC-"&amp;TEXT(ROW()-ROW(tblMaster[#Headers]),"00000")
))</f>
        <v>DOC-01048</v>
      </c>
      <c r="B1049" s="49">
        <v>45964</v>
      </c>
      <c r="C1049" s="42" t="s">
        <v>4210</v>
      </c>
      <c r="D1049" s="42" t="s">
        <v>4211</v>
      </c>
      <c r="E1049" s="38" t="s">
        <v>4212</v>
      </c>
      <c r="F1049" s="17" t="s">
        <v>4213</v>
      </c>
      <c r="G1049" s="42" t="s">
        <v>398</v>
      </c>
      <c r="H1049" s="17" t="s">
        <v>53</v>
      </c>
      <c r="I1049" s="18" t="s">
        <v>54</v>
      </c>
      <c r="K1049" s="5" t="s">
        <v>4185</v>
      </c>
      <c r="L1049" t="str">
        <f t="shared" si="17"/>
        <v>holley1554@gmail.com</v>
      </c>
    </row>
    <row r="1050" spans="1:12">
      <c r="A1050" t="str" cm="1">
        <f t="array" ref="A1050">_xlfn.LET(_xlpm.e,L1050,
IF(_xlpm.e="","",
"DOC-"&amp;TEXT(ROW()-ROW(tblMaster[#Headers]),"00000")
))</f>
        <v>DOC-01049</v>
      </c>
      <c r="B1050" s="49">
        <v>45964</v>
      </c>
      <c r="C1050" s="42" t="s">
        <v>4214</v>
      </c>
      <c r="D1050" s="42" t="s">
        <v>3548</v>
      </c>
      <c r="E1050" s="38" t="s">
        <v>4215</v>
      </c>
      <c r="F1050" s="17" t="s">
        <v>4216</v>
      </c>
      <c r="G1050" s="42" t="s">
        <v>517</v>
      </c>
      <c r="H1050" s="17" t="s">
        <v>53</v>
      </c>
      <c r="I1050" s="18" t="s">
        <v>54</v>
      </c>
      <c r="J1050" s="99" t="s">
        <v>497</v>
      </c>
      <c r="K1050" s="5" t="s">
        <v>4185</v>
      </c>
      <c r="L1050" t="str">
        <f t="shared" si="17"/>
        <v>mindypierre@yahoo.com</v>
      </c>
    </row>
    <row r="1051" spans="1:12">
      <c r="A1051" t="str" cm="1">
        <f t="array" ref="A1051">_xlfn.LET(_xlpm.e,L1051,
IF(_xlpm.e="","",
"DOC-"&amp;TEXT(ROW()-ROW(tblMaster[#Headers]),"00000")
))</f>
        <v>DOC-01050</v>
      </c>
      <c r="B1051" s="49">
        <v>45964</v>
      </c>
      <c r="C1051" s="42" t="s">
        <v>4186</v>
      </c>
      <c r="D1051" s="42" t="s">
        <v>4217</v>
      </c>
      <c r="E1051" s="38" t="s">
        <v>4218</v>
      </c>
      <c r="F1051" s="17" t="s">
        <v>4219</v>
      </c>
      <c r="G1051" s="42"/>
      <c r="H1051" s="17"/>
      <c r="I1051" s="18" t="s">
        <v>101</v>
      </c>
      <c r="K1051" s="5" t="s">
        <v>4185</v>
      </c>
      <c r="L1051" t="str">
        <f t="shared" si="17"/>
        <v>romulojl2017@gmail.com</v>
      </c>
    </row>
    <row r="1052" spans="1:12">
      <c r="A1052" t="str" cm="1">
        <f t="array" ref="A1052">_xlfn.LET(_xlpm.e,L1052,
IF(_xlpm.e="","",
"DOC-"&amp;TEXT(ROW()-ROW(tblMaster[#Headers]),"00000")
))</f>
        <v>DOC-01051</v>
      </c>
      <c r="B1052" s="49">
        <v>45964</v>
      </c>
      <c r="C1052" s="42" t="s">
        <v>4220</v>
      </c>
      <c r="D1052" s="42" t="s">
        <v>4221</v>
      </c>
      <c r="E1052" s="38" t="s">
        <v>4222</v>
      </c>
      <c r="F1052" s="17"/>
      <c r="G1052" s="42"/>
      <c r="H1052" s="17"/>
      <c r="I1052" s="18" t="s">
        <v>101</v>
      </c>
      <c r="K1052" s="5" t="s">
        <v>4185</v>
      </c>
      <c r="L1052" t="str">
        <f t="shared" si="17"/>
        <v>ramosantunesresendeantonio@gmail.com</v>
      </c>
    </row>
    <row r="1053" spans="1:12">
      <c r="A1053" t="str" cm="1">
        <f t="array" ref="A1053">_xlfn.LET(_xlpm.e,L1053,
IF(_xlpm.e="","",
"DOC-"&amp;TEXT(ROW()-ROW(tblMaster[#Headers]),"00000")
))</f>
        <v>DOC-01052</v>
      </c>
      <c r="B1053" s="49">
        <v>45965</v>
      </c>
      <c r="C1053" s="42" t="s">
        <v>4223</v>
      </c>
      <c r="D1053" s="42" t="s">
        <v>4224</v>
      </c>
      <c r="E1053" s="38" t="s">
        <v>4225</v>
      </c>
      <c r="F1053" s="17" t="s">
        <v>4226</v>
      </c>
      <c r="G1053" s="42" t="s">
        <v>33</v>
      </c>
      <c r="H1053" s="17" t="s">
        <v>53</v>
      </c>
      <c r="I1053" s="18" t="s">
        <v>54</v>
      </c>
      <c r="J1053" s="99" t="s">
        <v>66</v>
      </c>
      <c r="K1053" s="5" t="s">
        <v>4185</v>
      </c>
      <c r="L1053" t="str">
        <f t="shared" si="17"/>
        <v>jaythanlauture@gmail.com</v>
      </c>
    </row>
    <row r="1054" spans="1:12">
      <c r="A1054" t="str" cm="1">
        <f t="array" ref="A1054">_xlfn.LET(_xlpm.e,L1054,
IF(_xlpm.e="","",
"DOC-"&amp;TEXT(ROW()-ROW(tblMaster[#Headers]),"00000")
))</f>
        <v>DOC-01053</v>
      </c>
      <c r="B1054" s="49">
        <v>45965</v>
      </c>
      <c r="C1054" s="42" t="s">
        <v>1277</v>
      </c>
      <c r="D1054" s="42" t="s">
        <v>4227</v>
      </c>
      <c r="E1054" s="38" t="s">
        <v>4228</v>
      </c>
      <c r="F1054" s="17" t="s">
        <v>4229</v>
      </c>
      <c r="G1054" s="42" t="s">
        <v>4230</v>
      </c>
      <c r="H1054" s="17" t="s">
        <v>888</v>
      </c>
      <c r="I1054" s="18" t="s">
        <v>54</v>
      </c>
      <c r="K1054" s="5" t="s">
        <v>4185</v>
      </c>
      <c r="L1054" t="str">
        <f t="shared" si="17"/>
        <v>jgalipeau3570@yahoo.com</v>
      </c>
    </row>
    <row r="1055" spans="1:12">
      <c r="A1055" t="str" cm="1">
        <f t="array" ref="A1055">_xlfn.LET(_xlpm.e,L1055,
IF(_xlpm.e="","",
"DOC-"&amp;TEXT(ROW()-ROW(tblMaster[#Headers]),"00000")
))</f>
        <v>DOC-01054</v>
      </c>
      <c r="B1055" s="49">
        <v>45965</v>
      </c>
      <c r="C1055" s="42" t="s">
        <v>4231</v>
      </c>
      <c r="D1055" s="42" t="s">
        <v>4232</v>
      </c>
      <c r="E1055" s="38" t="s">
        <v>4233</v>
      </c>
      <c r="F1055" s="17"/>
      <c r="G1055" s="42"/>
      <c r="H1055" s="17"/>
      <c r="I1055" s="18" t="s">
        <v>101</v>
      </c>
      <c r="K1055" s="5" t="s">
        <v>4185</v>
      </c>
      <c r="L1055" t="str">
        <f t="shared" si="17"/>
        <v>nuamahkelvin@gmail.com</v>
      </c>
    </row>
    <row r="1056" spans="1:12">
      <c r="A1056" t="str" cm="1">
        <f t="array" ref="A1056">_xlfn.LET(_xlpm.e,L1056,
IF(_xlpm.e="","",
"DOC-"&amp;TEXT(ROW()-ROW(tblMaster[#Headers]),"00000")
))</f>
        <v/>
      </c>
      <c r="B1056" s="49">
        <v>45965</v>
      </c>
      <c r="C1056" s="42" t="s">
        <v>75</v>
      </c>
      <c r="D1056" s="42" t="s">
        <v>4234</v>
      </c>
      <c r="E1056" s="42"/>
      <c r="F1056" s="17" t="s">
        <v>4235</v>
      </c>
      <c r="G1056" s="42" t="s">
        <v>2088</v>
      </c>
      <c r="H1056" s="17" t="s">
        <v>53</v>
      </c>
      <c r="I1056" s="17" t="s">
        <v>2276</v>
      </c>
      <c r="K1056" s="5" t="s">
        <v>4185</v>
      </c>
      <c r="L1056" t="str">
        <f t="shared" si="17"/>
        <v/>
      </c>
    </row>
    <row r="1057" spans="1:12">
      <c r="A1057" t="str" cm="1">
        <f t="array" ref="A1057">_xlfn.LET(_xlpm.e,L1057,
IF(_xlpm.e="","",
"DOC-"&amp;TEXT(ROW()-ROW(tblMaster[#Headers]),"00000")
))</f>
        <v>DOC-01056</v>
      </c>
      <c r="B1057" s="49">
        <v>45965</v>
      </c>
      <c r="C1057" s="42" t="s">
        <v>4236</v>
      </c>
      <c r="D1057" s="42" t="s">
        <v>4237</v>
      </c>
      <c r="E1057" s="38" t="s">
        <v>4238</v>
      </c>
      <c r="F1057" s="17" t="s">
        <v>4239</v>
      </c>
      <c r="G1057" s="42" t="s">
        <v>606</v>
      </c>
      <c r="H1057" s="17" t="s">
        <v>328</v>
      </c>
      <c r="I1057" s="17" t="s">
        <v>2276</v>
      </c>
      <c r="J1057" s="99" t="s">
        <v>66</v>
      </c>
      <c r="K1057" s="5" t="s">
        <v>4185</v>
      </c>
      <c r="L1057" t="str">
        <f t="shared" si="17"/>
        <v>marchull16@gmail.com</v>
      </c>
    </row>
    <row r="1058" spans="1:12">
      <c r="A1058" t="str" cm="1">
        <f t="array" ref="A1058">_xlfn.LET(_xlpm.e,L1058,
IF(_xlpm.e="","",
"DOC-"&amp;TEXT(ROW()-ROW(tblMaster[#Headers]),"00000")
))</f>
        <v>DOC-01057</v>
      </c>
      <c r="B1058" s="49">
        <v>45965</v>
      </c>
      <c r="C1058" s="42" t="s">
        <v>4240</v>
      </c>
      <c r="D1058" s="42" t="s">
        <v>4241</v>
      </c>
      <c r="E1058" s="38" t="s">
        <v>4242</v>
      </c>
      <c r="F1058" s="17" t="s">
        <v>4243</v>
      </c>
      <c r="G1058" s="42" t="s">
        <v>750</v>
      </c>
      <c r="H1058" s="17" t="s">
        <v>17</v>
      </c>
      <c r="I1058" s="17" t="s">
        <v>2276</v>
      </c>
      <c r="J1058" s="99" t="s">
        <v>497</v>
      </c>
      <c r="K1058" s="5" t="s">
        <v>4185</v>
      </c>
      <c r="L1058" t="str">
        <f t="shared" si="17"/>
        <v>nick.stoney021@gmail.com</v>
      </c>
    </row>
    <row r="1059" spans="1:12">
      <c r="A1059" t="str" cm="1">
        <f t="array" ref="A1059">_xlfn.LET(_xlpm.e,L1059,
IF(_xlpm.e="","",
"DOC-"&amp;TEXT(ROW()-ROW(tblMaster[#Headers]),"00000")
))</f>
        <v>DOC-01058</v>
      </c>
      <c r="B1059" s="49">
        <v>45965</v>
      </c>
      <c r="C1059" s="42" t="s">
        <v>313</v>
      </c>
      <c r="D1059" s="42" t="s">
        <v>4244</v>
      </c>
      <c r="E1059" s="38" t="s">
        <v>4245</v>
      </c>
      <c r="F1059" s="17" t="s">
        <v>4246</v>
      </c>
      <c r="G1059" s="42" t="s">
        <v>4247</v>
      </c>
      <c r="H1059" s="17" t="s">
        <v>1660</v>
      </c>
      <c r="I1059" s="17" t="s">
        <v>2276</v>
      </c>
      <c r="K1059" s="5" t="s">
        <v>4185</v>
      </c>
      <c r="L1059" t="str">
        <f t="shared" si="17"/>
        <v>mcgreeveys91@yahoo.com</v>
      </c>
    </row>
    <row r="1060" spans="1:12">
      <c r="A1060" t="str" cm="1">
        <f t="array" ref="A1060">_xlfn.LET(_xlpm.e,L1060,
IF(_xlpm.e="","",
"DOC-"&amp;TEXT(ROW()-ROW(tblMaster[#Headers]),"00000")
))</f>
        <v>DOC-01059</v>
      </c>
      <c r="B1060" s="49">
        <v>45965</v>
      </c>
      <c r="C1060" s="42" t="s">
        <v>4248</v>
      </c>
      <c r="D1060" s="42" t="s">
        <v>4249</v>
      </c>
      <c r="E1060" s="38" t="s">
        <v>4250</v>
      </c>
      <c r="F1060" s="17" t="s">
        <v>4251</v>
      </c>
      <c r="G1060" s="42" t="s">
        <v>220</v>
      </c>
      <c r="H1060" s="17" t="s">
        <v>17</v>
      </c>
      <c r="I1060" s="17" t="s">
        <v>2276</v>
      </c>
      <c r="K1060" s="5" t="s">
        <v>4185</v>
      </c>
      <c r="L1060" t="str">
        <f t="shared" si="17"/>
        <v>keloi1990@gmail.com</v>
      </c>
    </row>
    <row r="1061" spans="1:12">
      <c r="A1061" t="str" cm="1">
        <f t="array" ref="A1061">_xlfn.LET(_xlpm.e,L1061,
IF(_xlpm.e="","",
"DOC-"&amp;TEXT(ROW()-ROW(tblMaster[#Headers]),"00000")
))</f>
        <v>DOC-01060</v>
      </c>
      <c r="B1061" s="49">
        <v>45965</v>
      </c>
      <c r="C1061" s="42" t="s">
        <v>2766</v>
      </c>
      <c r="D1061" s="42" t="s">
        <v>4252</v>
      </c>
      <c r="E1061" s="38" t="s">
        <v>4253</v>
      </c>
      <c r="F1061" s="17" t="s">
        <v>4254</v>
      </c>
      <c r="G1061" s="42" t="s">
        <v>4255</v>
      </c>
      <c r="H1061" s="17" t="s">
        <v>17</v>
      </c>
      <c r="I1061" s="17" t="s">
        <v>2276</v>
      </c>
      <c r="K1061" s="5" t="s">
        <v>4185</v>
      </c>
      <c r="L1061" t="str">
        <f t="shared" si="17"/>
        <v>dallascowboys2018@yahoo.com</v>
      </c>
    </row>
    <row r="1062" spans="1:12">
      <c r="A1062" t="str" cm="1">
        <f t="array" ref="A1062">_xlfn.LET(_xlpm.e,L1062,
IF(_xlpm.e="","",
"DOC-"&amp;TEXT(ROW()-ROW(tblMaster[#Headers]),"00000")
))</f>
        <v/>
      </c>
      <c r="B1062" s="49">
        <v>45966</v>
      </c>
      <c r="C1062" s="42" t="s">
        <v>3210</v>
      </c>
      <c r="D1062" s="42" t="s">
        <v>4256</v>
      </c>
      <c r="E1062" s="42"/>
      <c r="F1062" s="17" t="s">
        <v>4257</v>
      </c>
      <c r="G1062" s="42" t="s">
        <v>1023</v>
      </c>
      <c r="H1062" s="17" t="s">
        <v>17</v>
      </c>
      <c r="I1062" s="17" t="s">
        <v>2276</v>
      </c>
      <c r="K1062" s="5" t="s">
        <v>4185</v>
      </c>
      <c r="L1062" t="str">
        <f t="shared" si="17"/>
        <v/>
      </c>
    </row>
    <row r="1063" spans="1:12">
      <c r="A1063" t="str" cm="1">
        <f t="array" ref="A1063">_xlfn.LET(_xlpm.e,L1063,
IF(_xlpm.e="","",
"DOC-"&amp;TEXT(ROW()-ROW(tblMaster[#Headers]),"00000")
))</f>
        <v>DOC-01062</v>
      </c>
      <c r="B1063" s="49">
        <v>45966</v>
      </c>
      <c r="C1063" s="42" t="s">
        <v>203</v>
      </c>
      <c r="D1063" s="42" t="s">
        <v>4258</v>
      </c>
      <c r="E1063" s="38" t="s">
        <v>4259</v>
      </c>
      <c r="F1063" s="17" t="s">
        <v>4260</v>
      </c>
      <c r="G1063" s="42" t="s">
        <v>4261</v>
      </c>
      <c r="H1063" s="17" t="s">
        <v>17</v>
      </c>
      <c r="I1063" s="17" t="s">
        <v>2276</v>
      </c>
      <c r="K1063" s="5" t="s">
        <v>4185</v>
      </c>
      <c r="L1063" t="str">
        <f t="shared" si="17"/>
        <v>joeldesilier2@gmail.com</v>
      </c>
    </row>
    <row r="1064" spans="1:12">
      <c r="A1064" t="str" cm="1">
        <f t="array" ref="A1064">_xlfn.LET(_xlpm.e,L1064,
IF(_xlpm.e="","",
"DOC-"&amp;TEXT(ROW()-ROW(tblMaster[#Headers]),"00000")
))</f>
        <v>DOC-01063</v>
      </c>
      <c r="B1064" s="49">
        <v>45966</v>
      </c>
      <c r="C1064" s="42" t="s">
        <v>4262</v>
      </c>
      <c r="D1064" s="42" t="s">
        <v>4263</v>
      </c>
      <c r="E1064" s="38" t="s">
        <v>4264</v>
      </c>
      <c r="F1064" s="17" t="s">
        <v>4265</v>
      </c>
      <c r="G1064" s="42" t="s">
        <v>65</v>
      </c>
      <c r="H1064" s="17" t="s">
        <v>1590</v>
      </c>
      <c r="I1064" s="18" t="s">
        <v>54</v>
      </c>
      <c r="J1064" s="99" t="s">
        <v>23</v>
      </c>
      <c r="K1064" s="5" t="s">
        <v>4185</v>
      </c>
      <c r="L1064" t="str">
        <f t="shared" si="17"/>
        <v>jmdumark2005@gmail.com</v>
      </c>
    </row>
    <row r="1065" spans="1:12">
      <c r="A1065" t="str" cm="1">
        <f t="array" ref="A1065">_xlfn.LET(_xlpm.e,L1065,
IF(_xlpm.e="","",
"DOC-"&amp;TEXT(ROW()-ROW(tblMaster[#Headers]),"00000")
))</f>
        <v>DOC-01064</v>
      </c>
      <c r="B1065" s="49">
        <v>45966</v>
      </c>
      <c r="C1065" s="42" t="s">
        <v>4266</v>
      </c>
      <c r="D1065" s="42" t="s">
        <v>4267</v>
      </c>
      <c r="E1065" s="38" t="s">
        <v>4268</v>
      </c>
      <c r="F1065" s="17" t="s">
        <v>4269</v>
      </c>
      <c r="G1065" s="42" t="s">
        <v>4270</v>
      </c>
      <c r="H1065" s="17" t="s">
        <v>17</v>
      </c>
      <c r="I1065" s="18" t="s">
        <v>54</v>
      </c>
      <c r="K1065" s="5" t="s">
        <v>4185</v>
      </c>
      <c r="L1065" t="str">
        <f t="shared" si="17"/>
        <v>alain.fru2010@gmail.com</v>
      </c>
    </row>
    <row r="1066" spans="1:12">
      <c r="A1066" t="str" cm="1">
        <f t="array" ref="A1066">_xlfn.LET(_xlpm.e,L1066,
IF(_xlpm.e="","",
"DOC-"&amp;TEXT(ROW()-ROW(tblMaster[#Headers]),"00000")
))</f>
        <v>DOC-01065</v>
      </c>
      <c r="B1066" s="49">
        <v>45966</v>
      </c>
      <c r="C1066" s="42" t="s">
        <v>4271</v>
      </c>
      <c r="D1066" s="42" t="s">
        <v>4272</v>
      </c>
      <c r="E1066" s="38" t="s">
        <v>4273</v>
      </c>
      <c r="F1066" s="17" t="s">
        <v>4274</v>
      </c>
      <c r="G1066" s="42" t="s">
        <v>52</v>
      </c>
      <c r="H1066" s="17" t="s">
        <v>17</v>
      </c>
      <c r="I1066" s="18" t="s">
        <v>54</v>
      </c>
      <c r="K1066" s="5" t="s">
        <v>4185</v>
      </c>
      <c r="L1066" t="str">
        <f t="shared" si="17"/>
        <v>nyaveiga58@gmail.com</v>
      </c>
    </row>
    <row r="1067" spans="1:12">
      <c r="A1067" t="str" cm="1">
        <f t="array" ref="A1067">_xlfn.LET(_xlpm.e,L1067,
IF(_xlpm.e="","",
"DOC-"&amp;TEXT(ROW()-ROW(tblMaster[#Headers]),"00000")
))</f>
        <v>DOC-01066</v>
      </c>
      <c r="B1067" s="49">
        <v>45966</v>
      </c>
      <c r="C1067" s="42" t="s">
        <v>4275</v>
      </c>
      <c r="D1067" s="42" t="s">
        <v>897</v>
      </c>
      <c r="E1067" s="38" t="s">
        <v>4276</v>
      </c>
      <c r="F1067" s="17" t="s">
        <v>4277</v>
      </c>
      <c r="G1067" s="42" t="s">
        <v>2770</v>
      </c>
      <c r="H1067" s="17" t="s">
        <v>17</v>
      </c>
      <c r="I1067" s="18" t="s">
        <v>54</v>
      </c>
      <c r="J1067" s="99" t="s">
        <v>497</v>
      </c>
      <c r="K1067" s="5" t="s">
        <v>4185</v>
      </c>
      <c r="L1067" t="str">
        <f t="shared" si="17"/>
        <v>drodriguez25.dr@gmail.com</v>
      </c>
    </row>
    <row r="1068" spans="1:12">
      <c r="A1068" t="str" cm="1">
        <f t="array" ref="A1068">_xlfn.LET(_xlpm.e,L1068,
IF(_xlpm.e="","",
"DOC-"&amp;TEXT(ROW()-ROW(tblMaster[#Headers]),"00000")
))</f>
        <v>DOC-01067</v>
      </c>
      <c r="B1068" s="49">
        <v>45966</v>
      </c>
      <c r="C1068" s="42" t="s">
        <v>4278</v>
      </c>
      <c r="D1068" s="42" t="s">
        <v>4279</v>
      </c>
      <c r="E1068" s="38" t="s">
        <v>4280</v>
      </c>
      <c r="F1068" s="17" t="s">
        <v>4281</v>
      </c>
      <c r="G1068" s="42" t="s">
        <v>1463</v>
      </c>
      <c r="H1068" s="17" t="s">
        <v>17</v>
      </c>
      <c r="I1068" s="18" t="s">
        <v>54</v>
      </c>
      <c r="K1068" s="5" t="s">
        <v>4185</v>
      </c>
      <c r="L1068" t="str">
        <f t="shared" si="17"/>
        <v>sfatiwala786@gmail.com</v>
      </c>
    </row>
    <row r="1069" spans="1:12">
      <c r="A1069" t="str" cm="1">
        <f t="array" ref="A1069">_xlfn.LET(_xlpm.e,L1069,
IF(_xlpm.e="","",
"DOC-"&amp;TEXT(ROW()-ROW(tblMaster[#Headers]),"00000")
))</f>
        <v>DOC-01068</v>
      </c>
      <c r="B1069" s="49">
        <v>45966</v>
      </c>
      <c r="C1069" s="42" t="s">
        <v>75</v>
      </c>
      <c r="D1069" s="42" t="s">
        <v>4282</v>
      </c>
      <c r="E1069" s="38" t="s">
        <v>4283</v>
      </c>
      <c r="F1069" s="17" t="s">
        <v>4284</v>
      </c>
      <c r="G1069" s="42" t="s">
        <v>3506</v>
      </c>
      <c r="H1069" s="17" t="s">
        <v>1590</v>
      </c>
      <c r="I1069" s="17" t="s">
        <v>112</v>
      </c>
      <c r="J1069" s="99" t="s">
        <v>23</v>
      </c>
      <c r="K1069" s="5" t="s">
        <v>4185</v>
      </c>
      <c r="L1069" t="str">
        <f t="shared" si="17"/>
        <v>jaro4507@gmail.com</v>
      </c>
    </row>
    <row r="1070" spans="1:12">
      <c r="A1070" t="str" cm="1">
        <f t="array" ref="A1070">_xlfn.LET(_xlpm.e,L1070,
IF(_xlpm.e="","",
"DOC-"&amp;TEXT(ROW()-ROW(tblMaster[#Headers]),"00000")
))</f>
        <v/>
      </c>
      <c r="B1070" s="49">
        <v>45967</v>
      </c>
      <c r="C1070" s="42" t="s">
        <v>4285</v>
      </c>
      <c r="D1070" s="42" t="s">
        <v>4286</v>
      </c>
      <c r="E1070" s="42"/>
      <c r="F1070" s="17" t="s">
        <v>4287</v>
      </c>
      <c r="G1070" s="42" t="s">
        <v>4288</v>
      </c>
      <c r="H1070" s="17" t="s">
        <v>17</v>
      </c>
      <c r="I1070" s="17" t="s">
        <v>112</v>
      </c>
      <c r="K1070" s="5" t="s">
        <v>4185</v>
      </c>
      <c r="L1070" t="str">
        <f t="shared" si="17"/>
        <v/>
      </c>
    </row>
    <row r="1071" spans="1:12">
      <c r="A1071" t="str" cm="1">
        <f t="array" ref="A1071">_xlfn.LET(_xlpm.e,L1071,
IF(_xlpm.e="","",
"DOC-"&amp;TEXT(ROW()-ROW(tblMaster[#Headers]),"00000")
))</f>
        <v>DOC-01070</v>
      </c>
      <c r="B1071" s="49">
        <v>45967</v>
      </c>
      <c r="C1071" s="42" t="s">
        <v>1286</v>
      </c>
      <c r="D1071" s="42" t="s">
        <v>4289</v>
      </c>
      <c r="E1071" s="38" t="s">
        <v>4290</v>
      </c>
      <c r="F1071" s="17" t="s">
        <v>4291</v>
      </c>
      <c r="G1071" s="42" t="s">
        <v>74</v>
      </c>
      <c r="H1071" s="17" t="s">
        <v>17</v>
      </c>
      <c r="I1071" s="17" t="s">
        <v>112</v>
      </c>
      <c r="K1071" s="5" t="s">
        <v>4185</v>
      </c>
      <c r="L1071" t="str">
        <f t="shared" si="17"/>
        <v>mukiibibernard0@gmail.com</v>
      </c>
    </row>
    <row r="1072" spans="1:12">
      <c r="A1072" t="str" cm="1">
        <f t="array" ref="A1072">_xlfn.LET(_xlpm.e,L1072,
IF(_xlpm.e="","",
"DOC-"&amp;TEXT(ROW()-ROW(tblMaster[#Headers]),"00000")
))</f>
        <v>DOC-01071</v>
      </c>
      <c r="B1072" s="49">
        <v>45967</v>
      </c>
      <c r="C1072" s="42" t="s">
        <v>4292</v>
      </c>
      <c r="D1072" s="42" t="s">
        <v>4293</v>
      </c>
      <c r="E1072" s="38" t="s">
        <v>4294</v>
      </c>
      <c r="F1072" s="17" t="s">
        <v>4295</v>
      </c>
      <c r="G1072" s="42" t="s">
        <v>4296</v>
      </c>
      <c r="H1072" s="17" t="s">
        <v>17</v>
      </c>
      <c r="I1072" s="17" t="s">
        <v>18</v>
      </c>
      <c r="K1072" s="5" t="s">
        <v>4185</v>
      </c>
      <c r="L1072" t="str">
        <f t="shared" si="17"/>
        <v>jtottaviano@gmail.com</v>
      </c>
    </row>
    <row r="1073" spans="1:12">
      <c r="A1073" t="str" cm="1">
        <f t="array" ref="A1073">_xlfn.LET(_xlpm.e,L1073,
IF(_xlpm.e="","",
"DOC-"&amp;TEXT(ROW()-ROW(tblMaster[#Headers]),"00000")
))</f>
        <v>DOC-01072</v>
      </c>
      <c r="B1073" s="49">
        <v>45967</v>
      </c>
      <c r="C1073" s="42" t="s">
        <v>4297</v>
      </c>
      <c r="D1073" s="42" t="s">
        <v>4298</v>
      </c>
      <c r="E1073" s="38" t="s">
        <v>4299</v>
      </c>
      <c r="F1073" s="17" t="s">
        <v>4300</v>
      </c>
      <c r="G1073" s="42" t="s">
        <v>4301</v>
      </c>
      <c r="H1073" s="17" t="s">
        <v>17</v>
      </c>
      <c r="I1073" s="17" t="s">
        <v>4661</v>
      </c>
      <c r="J1073" s="99" t="s">
        <v>560</v>
      </c>
      <c r="K1073" s="5" t="s">
        <v>4185</v>
      </c>
      <c r="L1073" t="str">
        <f t="shared" si="17"/>
        <v>sofiadominguez1907@gmail.com</v>
      </c>
    </row>
    <row r="1074" spans="1:12">
      <c r="A1074" t="str" cm="1">
        <f t="array" ref="A1074">_xlfn.LET(_xlpm.e,L1074,
IF(_xlpm.e="","",
"DOC-"&amp;TEXT(ROW()-ROW(tblMaster[#Headers]),"00000")
))</f>
        <v>DOC-01073</v>
      </c>
      <c r="B1074" s="49">
        <v>45967</v>
      </c>
      <c r="C1074" s="42" t="s">
        <v>4302</v>
      </c>
      <c r="D1074" s="42" t="s">
        <v>4303</v>
      </c>
      <c r="E1074" s="38" t="s">
        <v>4304</v>
      </c>
      <c r="F1074" s="17" t="s">
        <v>4305</v>
      </c>
      <c r="G1074" s="42" t="s">
        <v>142</v>
      </c>
      <c r="H1074" s="17" t="s">
        <v>17</v>
      </c>
      <c r="I1074" s="17" t="s">
        <v>4661</v>
      </c>
      <c r="J1074" s="99" t="s">
        <v>560</v>
      </c>
      <c r="K1074" s="5" t="s">
        <v>4185</v>
      </c>
      <c r="L1074" t="str">
        <f t="shared" si="17"/>
        <v>damarireddix@yahoo.com</v>
      </c>
    </row>
    <row r="1075" spans="1:12">
      <c r="A1075" t="str" cm="1">
        <f t="array" ref="A1075">_xlfn.LET(_xlpm.e,L1075,
IF(_xlpm.e="","",
"DOC-"&amp;TEXT(ROW()-ROW(tblMaster[#Headers]),"00000")
))</f>
        <v>DOC-01074</v>
      </c>
      <c r="B1075" s="49">
        <v>45967</v>
      </c>
      <c r="C1075" s="42" t="s">
        <v>4306</v>
      </c>
      <c r="D1075" s="42" t="s">
        <v>4307</v>
      </c>
      <c r="E1075" s="38" t="s">
        <v>4308</v>
      </c>
      <c r="F1075" s="17" t="s">
        <v>4309</v>
      </c>
      <c r="G1075" s="42" t="s">
        <v>182</v>
      </c>
      <c r="H1075" s="17" t="s">
        <v>17</v>
      </c>
      <c r="I1075" s="17" t="s">
        <v>4661</v>
      </c>
      <c r="J1075" s="99" t="s">
        <v>23</v>
      </c>
      <c r="K1075" s="5" t="s">
        <v>4185</v>
      </c>
      <c r="L1075" t="str">
        <f t="shared" si="17"/>
        <v>cabrera519007@gmail.com</v>
      </c>
    </row>
    <row r="1076" spans="1:12">
      <c r="A1076" t="str" cm="1">
        <f t="array" ref="A1076">_xlfn.LET(_xlpm.e,L1076,
IF(_xlpm.e="","",
"DOC-"&amp;TEXT(ROW()-ROW(tblMaster[#Headers]),"00000")
))</f>
        <v>DOC-01075</v>
      </c>
      <c r="B1076" s="49">
        <v>45967</v>
      </c>
      <c r="C1076" s="42" t="s">
        <v>4310</v>
      </c>
      <c r="D1076" s="42" t="s">
        <v>4311</v>
      </c>
      <c r="E1076" s="38" t="s">
        <v>4312</v>
      </c>
      <c r="F1076" s="17" t="s">
        <v>4313</v>
      </c>
      <c r="G1076" s="42" t="s">
        <v>4314</v>
      </c>
      <c r="H1076" s="17" t="s">
        <v>17</v>
      </c>
      <c r="I1076" s="17" t="s">
        <v>4315</v>
      </c>
      <c r="J1076" s="99" t="s">
        <v>560</v>
      </c>
      <c r="K1076" s="5" t="s">
        <v>4185</v>
      </c>
      <c r="L1076" t="str">
        <f t="shared" si="17"/>
        <v>fajr28561@gmail.com</v>
      </c>
    </row>
    <row r="1077" spans="1:12">
      <c r="A1077" t="str" cm="1">
        <f t="array" ref="A1077">_xlfn.LET(_xlpm.e,L1077,
IF(_xlpm.e="","",
"DOC-"&amp;TEXT(ROW()-ROW(tblMaster[#Headers]),"00000")
))</f>
        <v>DOC-01076</v>
      </c>
      <c r="B1077" s="49">
        <v>45967</v>
      </c>
      <c r="C1077" s="42" t="s">
        <v>4316</v>
      </c>
      <c r="D1077" s="42" t="s">
        <v>4317</v>
      </c>
      <c r="E1077" s="38" t="s">
        <v>4318</v>
      </c>
      <c r="F1077" s="17" t="s">
        <v>4319</v>
      </c>
      <c r="G1077" s="42" t="s">
        <v>4320</v>
      </c>
      <c r="H1077" s="17" t="s">
        <v>17</v>
      </c>
      <c r="I1077" s="17" t="s">
        <v>18</v>
      </c>
      <c r="J1077" s="99" t="s">
        <v>560</v>
      </c>
      <c r="K1077" s="5" t="s">
        <v>4185</v>
      </c>
      <c r="L1077" t="str">
        <f t="shared" si="17"/>
        <v>luke.rogan@nichols.edu</v>
      </c>
    </row>
    <row r="1078" spans="1:12">
      <c r="A1078" t="str" cm="1">
        <f t="array" ref="A1078">_xlfn.LET(_xlpm.e,L1078,
IF(_xlpm.e="","",
"DOC-"&amp;TEXT(ROW()-ROW(tblMaster[#Headers]),"00000")
))</f>
        <v>DOC-01077</v>
      </c>
      <c r="B1078" s="49">
        <v>45967</v>
      </c>
      <c r="C1078" s="42" t="s">
        <v>4321</v>
      </c>
      <c r="D1078" s="42" t="s">
        <v>4322</v>
      </c>
      <c r="E1078" s="38" t="s">
        <v>4323</v>
      </c>
      <c r="F1078" s="17" t="s">
        <v>4324</v>
      </c>
      <c r="G1078" s="42" t="s">
        <v>4325</v>
      </c>
      <c r="H1078" s="17" t="s">
        <v>267</v>
      </c>
      <c r="I1078" s="17" t="s">
        <v>18</v>
      </c>
      <c r="J1078" s="99" t="s">
        <v>560</v>
      </c>
      <c r="K1078" s="5" t="s">
        <v>4185</v>
      </c>
      <c r="L1078" t="str">
        <f t="shared" si="17"/>
        <v>znoyes46@gmail.com</v>
      </c>
    </row>
    <row r="1079" spans="1:12">
      <c r="A1079" t="str" cm="1">
        <f t="array" ref="A1079">_xlfn.LET(_xlpm.e,L1079,
IF(_xlpm.e="","",
"DOC-"&amp;TEXT(ROW()-ROW(tblMaster[#Headers]),"00000")
))</f>
        <v>DOC-01078</v>
      </c>
      <c r="B1079" s="49">
        <v>45967</v>
      </c>
      <c r="C1079" s="42" t="s">
        <v>4326</v>
      </c>
      <c r="D1079" s="42" t="s">
        <v>4327</v>
      </c>
      <c r="E1079" s="38" t="s">
        <v>4328</v>
      </c>
      <c r="F1079" s="17" t="s">
        <v>4329</v>
      </c>
      <c r="G1079" s="42" t="s">
        <v>4330</v>
      </c>
      <c r="H1079" s="17" t="s">
        <v>4140</v>
      </c>
      <c r="I1079" s="17" t="s">
        <v>18</v>
      </c>
      <c r="J1079" s="99" t="s">
        <v>560</v>
      </c>
      <c r="K1079" s="5" t="s">
        <v>4185</v>
      </c>
      <c r="L1079" t="str">
        <f t="shared" si="17"/>
        <v>shawannawright257@gmail.com</v>
      </c>
    </row>
    <row r="1080" spans="1:12">
      <c r="A1080" t="str" cm="1">
        <f t="array" ref="A1080">_xlfn.LET(_xlpm.e,L1080,
IF(_xlpm.e="","",
"DOC-"&amp;TEXT(ROW()-ROW(tblMaster[#Headers]),"00000")
))</f>
        <v>DOC-01079</v>
      </c>
      <c r="B1080" s="49">
        <v>45967</v>
      </c>
      <c r="C1080" s="42" t="s">
        <v>4331</v>
      </c>
      <c r="D1080" s="42" t="s">
        <v>4332</v>
      </c>
      <c r="E1080" s="38" t="s">
        <v>4333</v>
      </c>
      <c r="F1080" s="17" t="s">
        <v>4334</v>
      </c>
      <c r="G1080" s="42" t="s">
        <v>4335</v>
      </c>
      <c r="H1080" s="17" t="s">
        <v>17</v>
      </c>
      <c r="I1080" s="17" t="s">
        <v>4336</v>
      </c>
      <c r="J1080" s="99" t="s">
        <v>560</v>
      </c>
      <c r="K1080" s="5" t="s">
        <v>4185</v>
      </c>
      <c r="L1080" t="str">
        <f t="shared" si="17"/>
        <v>gianna.filtranti@nichols.edu</v>
      </c>
    </row>
    <row r="1081" spans="1:12">
      <c r="A1081" t="str" cm="1">
        <f t="array" ref="A1081">_xlfn.LET(_xlpm.e,L1081,
IF(_xlpm.e="","",
"DOC-"&amp;TEXT(ROW()-ROW(tblMaster[#Headers]),"00000")
))</f>
        <v>DOC-01080</v>
      </c>
      <c r="B1081" s="49">
        <v>45967</v>
      </c>
      <c r="C1081" s="42" t="s">
        <v>4337</v>
      </c>
      <c r="D1081" s="42" t="s">
        <v>4338</v>
      </c>
      <c r="E1081" s="38" t="s">
        <v>4339</v>
      </c>
      <c r="F1081" s="17" t="s">
        <v>4340</v>
      </c>
      <c r="G1081" s="42" t="s">
        <v>1236</v>
      </c>
      <c r="H1081" s="17" t="s">
        <v>17</v>
      </c>
      <c r="I1081" s="17" t="s">
        <v>18</v>
      </c>
      <c r="J1081" s="99" t="s">
        <v>23</v>
      </c>
      <c r="K1081" s="5" t="s">
        <v>4185</v>
      </c>
      <c r="L1081" t="str">
        <f t="shared" si="17"/>
        <v>madamson0627@gmail.com</v>
      </c>
    </row>
    <row r="1082" spans="1:12">
      <c r="A1082" t="str" cm="1">
        <f t="array" ref="A1082">_xlfn.LET(_xlpm.e,L1082,
IF(_xlpm.e="","",
"DOC-"&amp;TEXT(ROW()-ROW(tblMaster[#Headers]),"00000")
))</f>
        <v>DOC-01081</v>
      </c>
      <c r="B1082" s="49">
        <v>45967</v>
      </c>
      <c r="C1082" s="42" t="s">
        <v>4341</v>
      </c>
      <c r="D1082" s="42" t="s">
        <v>4342</v>
      </c>
      <c r="E1082" s="38" t="s">
        <v>4343</v>
      </c>
      <c r="F1082" s="17" t="s">
        <v>4344</v>
      </c>
      <c r="G1082" s="42" t="s">
        <v>479</v>
      </c>
      <c r="H1082" s="17" t="s">
        <v>17</v>
      </c>
      <c r="I1082" s="18" t="s">
        <v>54</v>
      </c>
      <c r="J1082" s="99" t="s">
        <v>560</v>
      </c>
      <c r="K1082" s="5" t="s">
        <v>4185</v>
      </c>
      <c r="L1082" t="str">
        <f t="shared" si="17"/>
        <v>gedeon.endeshaw85@gmail.com</v>
      </c>
    </row>
    <row r="1083" spans="1:12">
      <c r="A1083" t="str" cm="1">
        <f t="array" ref="A1083">_xlfn.LET(_xlpm.e,L1083,
IF(_xlpm.e="","",
"DOC-"&amp;TEXT(ROW()-ROW(tblMaster[#Headers]),"00000")
))</f>
        <v>DOC-01082</v>
      </c>
      <c r="B1083" s="49">
        <v>45967</v>
      </c>
      <c r="C1083" s="42" t="s">
        <v>4345</v>
      </c>
      <c r="D1083" s="42" t="s">
        <v>4346</v>
      </c>
      <c r="E1083" s="38" t="s">
        <v>4347</v>
      </c>
      <c r="F1083" s="17" t="s">
        <v>4348</v>
      </c>
      <c r="G1083" s="42" t="s">
        <v>4349</v>
      </c>
      <c r="H1083" s="17" t="s">
        <v>496</v>
      </c>
      <c r="I1083" s="17" t="s">
        <v>18</v>
      </c>
      <c r="J1083" s="99" t="s">
        <v>560</v>
      </c>
      <c r="K1083" s="5" t="s">
        <v>4185</v>
      </c>
      <c r="L1083" t="str">
        <f t="shared" si="17"/>
        <v>bonvillbryce@gmail.com</v>
      </c>
    </row>
    <row r="1084" spans="1:12">
      <c r="A1084" t="str" cm="1">
        <f t="array" ref="A1084">_xlfn.LET(_xlpm.e,L1084,
IF(_xlpm.e="","",
"DOC-"&amp;TEXT(ROW()-ROW(tblMaster[#Headers]),"00000")
))</f>
        <v>DOC-01083</v>
      </c>
      <c r="B1084" s="49">
        <v>45967</v>
      </c>
      <c r="C1084" s="42" t="s">
        <v>4350</v>
      </c>
      <c r="D1084" s="42" t="s">
        <v>4351</v>
      </c>
      <c r="E1084" s="38" t="s">
        <v>4352</v>
      </c>
      <c r="F1084" s="17" t="s">
        <v>4353</v>
      </c>
      <c r="G1084" s="42" t="s">
        <v>4335</v>
      </c>
      <c r="H1084" s="17" t="s">
        <v>17</v>
      </c>
      <c r="I1084" s="17" t="s">
        <v>4354</v>
      </c>
      <c r="J1084" s="99" t="s">
        <v>560</v>
      </c>
      <c r="K1084" s="5" t="s">
        <v>4185</v>
      </c>
      <c r="L1084" t="str">
        <f t="shared" si="17"/>
        <v>lily.barkley@nichols.edu</v>
      </c>
    </row>
    <row r="1085" spans="1:12">
      <c r="A1085" t="str" cm="1">
        <f t="array" ref="A1085">_xlfn.LET(_xlpm.e,L1085,
IF(_xlpm.e="","",
"DOC-"&amp;TEXT(ROW()-ROW(tblMaster[#Headers]),"00000")
))</f>
        <v>DOC-01084</v>
      </c>
      <c r="B1085" s="49">
        <v>45967</v>
      </c>
      <c r="C1085" s="42" t="s">
        <v>3214</v>
      </c>
      <c r="D1085" s="42" t="s">
        <v>839</v>
      </c>
      <c r="E1085" s="38" t="s">
        <v>4355</v>
      </c>
      <c r="F1085" s="17" t="s">
        <v>4356</v>
      </c>
      <c r="G1085" s="42" t="s">
        <v>4357</v>
      </c>
      <c r="H1085" s="17" t="s">
        <v>60</v>
      </c>
      <c r="I1085" s="17" t="s">
        <v>18</v>
      </c>
      <c r="J1085" s="99" t="s">
        <v>560</v>
      </c>
      <c r="K1085" s="5" t="s">
        <v>4185</v>
      </c>
      <c r="L1085" t="str">
        <f t="shared" si="17"/>
        <v>jackson.hernandez@nichols.edu</v>
      </c>
    </row>
    <row r="1086" spans="1:12">
      <c r="A1086" t="str" cm="1">
        <f t="array" ref="A1086">_xlfn.LET(_xlpm.e,L1086,
IF(_xlpm.e="","",
"DOC-"&amp;TEXT(ROW()-ROW(tblMaster[#Headers]),"00000")
))</f>
        <v>DOC-01085</v>
      </c>
      <c r="B1086" s="49">
        <v>45968</v>
      </c>
      <c r="C1086" s="42" t="s">
        <v>4358</v>
      </c>
      <c r="D1086" s="42" t="s">
        <v>4359</v>
      </c>
      <c r="E1086" s="38" t="s">
        <v>4360</v>
      </c>
      <c r="F1086" s="17" t="s">
        <v>4361</v>
      </c>
      <c r="G1086" s="42" t="s">
        <v>79</v>
      </c>
      <c r="H1086" s="17" t="s">
        <v>17</v>
      </c>
      <c r="I1086" s="17" t="s">
        <v>18</v>
      </c>
      <c r="J1086" s="99" t="s">
        <v>560</v>
      </c>
      <c r="K1086" s="5" t="s">
        <v>4185</v>
      </c>
      <c r="L1086" t="str">
        <f t="shared" si="17"/>
        <v>harpersage44@gmail.com</v>
      </c>
    </row>
    <row r="1087" spans="1:12">
      <c r="A1087" t="str" cm="1">
        <f t="array" ref="A1087">_xlfn.LET(_xlpm.e,L1087,
IF(_xlpm.e="","",
"DOC-"&amp;TEXT(ROW()-ROW(tblMaster[#Headers]),"00000")
))</f>
        <v>DOC-01086</v>
      </c>
      <c r="B1087" s="49">
        <v>45968</v>
      </c>
      <c r="C1087" s="42" t="s">
        <v>864</v>
      </c>
      <c r="D1087" s="42" t="s">
        <v>4362</v>
      </c>
      <c r="E1087" s="38" t="s">
        <v>4363</v>
      </c>
      <c r="F1087" s="17" t="s">
        <v>4364</v>
      </c>
      <c r="G1087" s="42" t="s">
        <v>2774</v>
      </c>
      <c r="H1087" s="17" t="s">
        <v>17</v>
      </c>
      <c r="I1087" s="18" t="s">
        <v>54</v>
      </c>
      <c r="J1087" s="99" t="s">
        <v>23</v>
      </c>
      <c r="K1087" s="5" t="s">
        <v>4185</v>
      </c>
      <c r="L1087" t="str">
        <f t="shared" si="17"/>
        <v>barboza_matthew@yahoo.com</v>
      </c>
    </row>
    <row r="1088" spans="1:12">
      <c r="A1088" t="str" cm="1">
        <f t="array" ref="A1088">_xlfn.LET(_xlpm.e,L1088,
IF(_xlpm.e="","",
"DOC-"&amp;TEXT(ROW()-ROW(tblMaster[#Headers]),"00000")
))</f>
        <v>DOC-01087</v>
      </c>
      <c r="B1088" s="49">
        <v>45968</v>
      </c>
      <c r="C1088" s="42" t="s">
        <v>4365</v>
      </c>
      <c r="D1088" s="42" t="s">
        <v>4366</v>
      </c>
      <c r="E1088" s="38" t="s">
        <v>4367</v>
      </c>
      <c r="F1088" s="17" t="s">
        <v>4368</v>
      </c>
      <c r="G1088" s="42" t="s">
        <v>4369</v>
      </c>
      <c r="H1088" s="17" t="s">
        <v>17</v>
      </c>
      <c r="I1088" s="17" t="s">
        <v>18</v>
      </c>
      <c r="J1088" s="99" t="s">
        <v>560</v>
      </c>
      <c r="K1088" s="5" t="s">
        <v>4185</v>
      </c>
      <c r="L1088" t="str">
        <f t="shared" si="17"/>
        <v>emmalynnfaria@gmail.com</v>
      </c>
    </row>
    <row r="1089" spans="1:12">
      <c r="A1089" t="str" cm="1">
        <f t="array" ref="A1089">_xlfn.LET(_xlpm.e,L1089,
IF(_xlpm.e="","",
"DOC-"&amp;TEXT(ROW()-ROW(tblMaster[#Headers]),"00000")
))</f>
        <v>DOC-01088</v>
      </c>
      <c r="B1089" s="49">
        <v>45968</v>
      </c>
      <c r="C1089" s="42" t="s">
        <v>4370</v>
      </c>
      <c r="D1089" s="42" t="s">
        <v>4371</v>
      </c>
      <c r="E1089" s="38" t="s">
        <v>4372</v>
      </c>
      <c r="F1089" s="17" t="s">
        <v>4373</v>
      </c>
      <c r="G1089" s="42" t="s">
        <v>4374</v>
      </c>
      <c r="H1089" s="17" t="s">
        <v>17</v>
      </c>
      <c r="I1089" s="17" t="s">
        <v>18</v>
      </c>
      <c r="J1089" s="99" t="s">
        <v>560</v>
      </c>
      <c r="K1089" s="5" t="s">
        <v>4185</v>
      </c>
      <c r="L1089" t="str">
        <f t="shared" si="17"/>
        <v>fontanezivan222@gmail.com</v>
      </c>
    </row>
    <row r="1090" spans="1:12">
      <c r="A1090" t="str" cm="1">
        <f t="array" ref="A1090">_xlfn.LET(_xlpm.e,L1090,
IF(_xlpm.e="","",
"DOC-"&amp;TEXT(ROW()-ROW(tblMaster[#Headers]),"00000")
))</f>
        <v>DOC-01089</v>
      </c>
      <c r="B1090" s="49">
        <v>45968</v>
      </c>
      <c r="C1090" s="42" t="s">
        <v>4375</v>
      </c>
      <c r="D1090" s="42" t="s">
        <v>4376</v>
      </c>
      <c r="E1090" s="38" t="s">
        <v>4377</v>
      </c>
      <c r="F1090" s="17" t="s">
        <v>4378</v>
      </c>
      <c r="G1090" s="42" t="s">
        <v>257</v>
      </c>
      <c r="H1090" s="17" t="s">
        <v>17</v>
      </c>
      <c r="I1090" s="18" t="s">
        <v>54</v>
      </c>
      <c r="J1090" s="99" t="s">
        <v>560</v>
      </c>
      <c r="K1090" s="5" t="s">
        <v>4185</v>
      </c>
      <c r="L1090" t="str">
        <f t="shared" si="17"/>
        <v>quakneshagj@gmail.com</v>
      </c>
    </row>
    <row r="1091" spans="1:12">
      <c r="A1091" t="str" cm="1">
        <f t="array" ref="A1091">_xlfn.LET(_xlpm.e,L1091,
IF(_xlpm.e="","",
"DOC-"&amp;TEXT(ROW()-ROW(tblMaster[#Headers]),"00000")
))</f>
        <v>DOC-01090</v>
      </c>
      <c r="B1091" s="49">
        <v>45971</v>
      </c>
      <c r="C1091" s="42" t="s">
        <v>4379</v>
      </c>
      <c r="D1091" s="42" t="s">
        <v>4380</v>
      </c>
      <c r="E1091" s="38" t="s">
        <v>4381</v>
      </c>
      <c r="F1091" s="17" t="s">
        <v>4382</v>
      </c>
      <c r="G1091" s="42" t="s">
        <v>4383</v>
      </c>
      <c r="H1091" s="17" t="s">
        <v>17</v>
      </c>
      <c r="I1091" s="18" t="s">
        <v>54</v>
      </c>
      <c r="J1091" s="99" t="s">
        <v>66</v>
      </c>
      <c r="K1091" s="5" t="s">
        <v>4185</v>
      </c>
      <c r="L1091" t="str">
        <f t="shared" si="17"/>
        <v>tposusky@gmail.com</v>
      </c>
    </row>
    <row r="1092" spans="1:12">
      <c r="A1092" t="str" cm="1">
        <f t="array" ref="A1092">_xlfn.LET(_xlpm.e,L1092,
IF(_xlpm.e="","",
"DOC-"&amp;TEXT(ROW()-ROW(tblMaster[#Headers]),"00000")
))</f>
        <v>DOC-01091</v>
      </c>
      <c r="B1092" s="49">
        <v>45971</v>
      </c>
      <c r="C1092" s="42" t="s">
        <v>4384</v>
      </c>
      <c r="D1092" s="42" t="s">
        <v>4385</v>
      </c>
      <c r="E1092" s="38" t="s">
        <v>4386</v>
      </c>
      <c r="F1092" s="17" t="s">
        <v>4387</v>
      </c>
      <c r="G1092" s="42" t="s">
        <v>163</v>
      </c>
      <c r="H1092" s="17" t="s">
        <v>17</v>
      </c>
      <c r="I1092" s="18" t="s">
        <v>54</v>
      </c>
      <c r="K1092" s="5" t="s">
        <v>4185</v>
      </c>
      <c r="L1092" t="str">
        <f t="shared" si="17"/>
        <v>barakismusic@gmail.com</v>
      </c>
    </row>
    <row r="1093" spans="1:12">
      <c r="A1093" t="str" cm="1">
        <f t="array" ref="A1093">_xlfn.LET(_xlpm.e,L1093,
IF(_xlpm.e="","",
"DOC-"&amp;TEXT(ROW()-ROW(tblMaster[#Headers]),"00000")
))</f>
        <v>DOC-01092</v>
      </c>
      <c r="B1093" s="49">
        <v>45971</v>
      </c>
      <c r="C1093" s="42" t="s">
        <v>1636</v>
      </c>
      <c r="D1093" s="42" t="s">
        <v>4388</v>
      </c>
      <c r="E1093" s="38" t="s">
        <v>4389</v>
      </c>
      <c r="F1093" s="17" t="s">
        <v>4390</v>
      </c>
      <c r="G1093" s="42" t="s">
        <v>647</v>
      </c>
      <c r="H1093" s="17" t="s">
        <v>496</v>
      </c>
      <c r="I1093" s="18" t="s">
        <v>54</v>
      </c>
      <c r="J1093" s="99" t="s">
        <v>66</v>
      </c>
      <c r="K1093" s="5" t="s">
        <v>4185</v>
      </c>
      <c r="L1093" t="str">
        <f t="shared" si="17"/>
        <v>jamesrscarbrough@gmail.com</v>
      </c>
    </row>
    <row r="1094" spans="1:12">
      <c r="A1094" t="str" cm="1">
        <f t="array" ref="A1094">_xlfn.LET(_xlpm.e,L1094,
IF(_xlpm.e="","",
"DOC-"&amp;TEXT(ROW()-ROW(tblMaster[#Headers]),"00000")
))</f>
        <v>DOC-01093</v>
      </c>
      <c r="B1094" s="49">
        <v>45971</v>
      </c>
      <c r="C1094" s="42" t="s">
        <v>4391</v>
      </c>
      <c r="D1094" s="42" t="s">
        <v>4392</v>
      </c>
      <c r="E1094" s="38" t="s">
        <v>4393</v>
      </c>
      <c r="F1094" s="17" t="s">
        <v>4394</v>
      </c>
      <c r="G1094" s="42" t="s">
        <v>979</v>
      </c>
      <c r="H1094" s="17" t="s">
        <v>17</v>
      </c>
      <c r="I1094" s="18" t="s">
        <v>54</v>
      </c>
      <c r="K1094" s="5" t="s">
        <v>4185</v>
      </c>
      <c r="L1094" t="str">
        <f t="shared" ref="L1094:L1157" si="18">_xlfn.LET(_xlpm.x,E1094,
_xlpm.y,TRIM(CLEAN(SUBSTITUTE(_xlpm.x,CHAR(160)," "))),
LOWER(_xlpm.y))</f>
        <v>brysondawn097@gmail.com</v>
      </c>
    </row>
    <row r="1095" spans="1:12">
      <c r="A1095" t="str" cm="1">
        <f t="array" ref="A1095">_xlfn.LET(_xlpm.e,L1095,
IF(_xlpm.e="","",
"DOC-"&amp;TEXT(ROW()-ROW(tblMaster[#Headers]),"00000")
))</f>
        <v>DOC-01094</v>
      </c>
      <c r="B1095" s="49">
        <v>45971</v>
      </c>
      <c r="C1095" s="42" t="s">
        <v>4395</v>
      </c>
      <c r="D1095" s="42" t="s">
        <v>4396</v>
      </c>
      <c r="E1095" s="38" t="s">
        <v>4397</v>
      </c>
      <c r="F1095" s="17" t="s">
        <v>4398</v>
      </c>
      <c r="G1095" s="42" t="s">
        <v>410</v>
      </c>
      <c r="H1095" s="17" t="s">
        <v>17</v>
      </c>
      <c r="I1095" s="18" t="s">
        <v>54</v>
      </c>
      <c r="K1095" s="5" t="s">
        <v>4185</v>
      </c>
      <c r="L1095" t="str">
        <f t="shared" si="18"/>
        <v>benslawyer1@gmail.com</v>
      </c>
    </row>
    <row r="1096" spans="1:12">
      <c r="A1096" t="str" cm="1">
        <f t="array" ref="A1096">_xlfn.LET(_xlpm.e,L1096,
IF(_xlpm.e="","",
"DOC-"&amp;TEXT(ROW()-ROW(tblMaster[#Headers]),"00000")
))</f>
        <v>DOC-01095</v>
      </c>
      <c r="B1096" s="49">
        <v>45971</v>
      </c>
      <c r="C1096" s="42" t="s">
        <v>4399</v>
      </c>
      <c r="D1096" s="42" t="s">
        <v>1841</v>
      </c>
      <c r="E1096" s="38" t="s">
        <v>4400</v>
      </c>
      <c r="F1096" s="17" t="s">
        <v>4401</v>
      </c>
      <c r="G1096" s="42" t="s">
        <v>2811</v>
      </c>
      <c r="H1096" s="17" t="s">
        <v>17</v>
      </c>
      <c r="I1096" s="18" t="s">
        <v>54</v>
      </c>
      <c r="J1096" s="99" t="s">
        <v>66</v>
      </c>
      <c r="K1096" s="5" t="s">
        <v>4185</v>
      </c>
      <c r="L1096" t="str">
        <f t="shared" si="18"/>
        <v>dominiquenelson1991@gmail.com</v>
      </c>
    </row>
    <row r="1097" spans="1:12">
      <c r="A1097" t="str" cm="1">
        <f t="array" ref="A1097">_xlfn.LET(_xlpm.e,L1097,
IF(_xlpm.e="","",
"DOC-"&amp;TEXT(ROW()-ROW(tblMaster[#Headers]),"00000")
))</f>
        <v>DOC-01096</v>
      </c>
      <c r="B1097" s="49">
        <v>45971</v>
      </c>
      <c r="C1097" s="42" t="s">
        <v>4402</v>
      </c>
      <c r="D1097" s="42" t="s">
        <v>4403</v>
      </c>
      <c r="E1097" s="38" t="s">
        <v>4404</v>
      </c>
      <c r="F1097" s="17" t="s">
        <v>4405</v>
      </c>
      <c r="G1097" s="42" t="s">
        <v>2847</v>
      </c>
      <c r="H1097" s="17" t="s">
        <v>17</v>
      </c>
      <c r="I1097" s="18" t="s">
        <v>54</v>
      </c>
      <c r="K1097" s="5" t="s">
        <v>4185</v>
      </c>
      <c r="L1097" t="str">
        <f t="shared" si="18"/>
        <v>aborden881@gmail.com</v>
      </c>
    </row>
    <row r="1098" spans="1:12">
      <c r="A1098" t="str" cm="1">
        <f t="array" ref="A1098">_xlfn.LET(_xlpm.e,L1098,
IF(_xlpm.e="","",
"DOC-"&amp;TEXT(ROW()-ROW(tblMaster[#Headers]),"00000")
))</f>
        <v>DOC-01097</v>
      </c>
      <c r="B1098" s="49">
        <v>45971</v>
      </c>
      <c r="C1098" s="42" t="s">
        <v>4406</v>
      </c>
      <c r="D1098" s="42" t="s">
        <v>4407</v>
      </c>
      <c r="E1098" s="38" t="s">
        <v>4408</v>
      </c>
      <c r="F1098" s="17" t="s">
        <v>4409</v>
      </c>
      <c r="G1098" s="42" t="s">
        <v>1079</v>
      </c>
      <c r="H1098" s="17" t="s">
        <v>17</v>
      </c>
      <c r="I1098" s="17" t="s">
        <v>2276</v>
      </c>
      <c r="K1098" s="5" t="s">
        <v>4185</v>
      </c>
      <c r="L1098" t="str">
        <f t="shared" si="18"/>
        <v>webert3576@gmail.com</v>
      </c>
    </row>
    <row r="1099" spans="1:12">
      <c r="A1099" t="str" cm="1">
        <f t="array" ref="A1099">_xlfn.LET(_xlpm.e,L1099,
IF(_xlpm.e="","",
"DOC-"&amp;TEXT(ROW()-ROW(tblMaster[#Headers]),"00000")
))</f>
        <v>DOC-01098</v>
      </c>
      <c r="B1099" s="49">
        <v>45971</v>
      </c>
      <c r="C1099" s="42" t="s">
        <v>1211</v>
      </c>
      <c r="D1099" s="42" t="s">
        <v>4410</v>
      </c>
      <c r="E1099" s="38" t="s">
        <v>4411</v>
      </c>
      <c r="F1099" s="17" t="s">
        <v>4412</v>
      </c>
      <c r="G1099" s="42" t="s">
        <v>596</v>
      </c>
      <c r="H1099" s="17" t="s">
        <v>17</v>
      </c>
      <c r="I1099" s="18" t="s">
        <v>101</v>
      </c>
      <c r="J1099" s="99" t="s">
        <v>23</v>
      </c>
      <c r="K1099" s="5" t="s">
        <v>4185</v>
      </c>
      <c r="L1099" t="str">
        <f t="shared" si="18"/>
        <v>tatianamartins1996@icloud.com</v>
      </c>
    </row>
    <row r="1100" spans="1:12">
      <c r="A1100" t="str" cm="1">
        <f t="array" ref="A1100">_xlfn.LET(_xlpm.e,L1100,
IF(_xlpm.e="","",
"DOC-"&amp;TEXT(ROW()-ROW(tblMaster[#Headers]),"00000")
))</f>
        <v>DOC-01099</v>
      </c>
      <c r="B1100" s="49">
        <v>45971</v>
      </c>
      <c r="C1100" s="42" t="s">
        <v>4413</v>
      </c>
      <c r="D1100" s="42" t="s">
        <v>4414</v>
      </c>
      <c r="E1100" s="38" t="s">
        <v>4415</v>
      </c>
      <c r="F1100" s="17" t="s">
        <v>4416</v>
      </c>
      <c r="G1100" s="42" t="s">
        <v>4417</v>
      </c>
      <c r="H1100" s="17" t="s">
        <v>17</v>
      </c>
      <c r="I1100" s="18" t="s">
        <v>101</v>
      </c>
      <c r="J1100" s="99" t="s">
        <v>194</v>
      </c>
      <c r="K1100" s="5" t="s">
        <v>226</v>
      </c>
      <c r="L1100" t="str">
        <f t="shared" si="18"/>
        <v>perlafranco.law@gmail.com</v>
      </c>
    </row>
    <row r="1101" spans="1:12">
      <c r="A1101" t="str" cm="1">
        <f t="array" ref="A1101">_xlfn.LET(_xlpm.e,L1101,
IF(_xlpm.e="","",
"DOC-"&amp;TEXT(ROW()-ROW(tblMaster[#Headers]),"00000")
))</f>
        <v>DOC-01100</v>
      </c>
      <c r="B1101" s="49">
        <v>45971</v>
      </c>
      <c r="C1101" s="42" t="s">
        <v>4418</v>
      </c>
      <c r="D1101" s="42" t="s">
        <v>4419</v>
      </c>
      <c r="E1101" s="38" t="s">
        <v>4420</v>
      </c>
      <c r="F1101" s="17" t="s">
        <v>4421</v>
      </c>
      <c r="G1101" s="42" t="s">
        <v>220</v>
      </c>
      <c r="H1101" s="17" t="s">
        <v>17</v>
      </c>
      <c r="I1101" s="17" t="s">
        <v>2276</v>
      </c>
      <c r="K1101" s="5" t="s">
        <v>4185</v>
      </c>
      <c r="L1101" t="str">
        <f t="shared" si="18"/>
        <v>stevenson.cantave@yahoo.com</v>
      </c>
    </row>
    <row r="1102" spans="1:12">
      <c r="A1102" t="str" cm="1">
        <f t="array" ref="A1102">_xlfn.LET(_xlpm.e,L1102,
IF(_xlpm.e="","",
"DOC-"&amp;TEXT(ROW()-ROW(tblMaster[#Headers]),"00000")
))</f>
        <v>DOC-01101</v>
      </c>
      <c r="B1102" s="49">
        <v>45971</v>
      </c>
      <c r="C1102" s="42" t="s">
        <v>4422</v>
      </c>
      <c r="D1102" s="42" t="s">
        <v>3101</v>
      </c>
      <c r="E1102" s="38" t="s">
        <v>4423</v>
      </c>
      <c r="F1102" s="17" t="s">
        <v>4424</v>
      </c>
      <c r="G1102" s="42" t="s">
        <v>4425</v>
      </c>
      <c r="H1102" s="17" t="s">
        <v>53</v>
      </c>
      <c r="I1102" s="17" t="s">
        <v>2276</v>
      </c>
      <c r="K1102" s="5" t="s">
        <v>4185</v>
      </c>
      <c r="L1102" t="str">
        <f t="shared" si="18"/>
        <v>kenmulry17@gmail.com</v>
      </c>
    </row>
    <row r="1103" spans="1:12">
      <c r="A1103" t="str" cm="1">
        <f t="array" ref="A1103">_xlfn.LET(_xlpm.e,L1103,
IF(_xlpm.e="","",
"DOC-"&amp;TEXT(ROW()-ROW(tblMaster[#Headers]),"00000")
))</f>
        <v>DOC-01102</v>
      </c>
      <c r="B1103" s="49">
        <v>45971</v>
      </c>
      <c r="C1103" s="42" t="s">
        <v>929</v>
      </c>
      <c r="D1103" s="42" t="s">
        <v>4426</v>
      </c>
      <c r="E1103" s="38" t="s">
        <v>4427</v>
      </c>
      <c r="F1103" s="17" t="s">
        <v>4428</v>
      </c>
      <c r="G1103" s="42" t="s">
        <v>33</v>
      </c>
      <c r="H1103" s="17" t="s">
        <v>53</v>
      </c>
      <c r="I1103" s="17" t="s">
        <v>2276</v>
      </c>
      <c r="J1103" s="99" t="s">
        <v>66</v>
      </c>
      <c r="K1103" s="5" t="s">
        <v>4185</v>
      </c>
      <c r="L1103" t="str">
        <f t="shared" si="18"/>
        <v>kevindepina28@gmail.com</v>
      </c>
    </row>
    <row r="1104" spans="1:12">
      <c r="A1104" t="str" cm="1">
        <f t="array" ref="A1104">_xlfn.LET(_xlpm.e,L1104,
IF(_xlpm.e="","",
"DOC-"&amp;TEXT(ROW()-ROW(tblMaster[#Headers]),"00000")
))</f>
        <v>DOC-01103</v>
      </c>
      <c r="B1104" s="49">
        <v>45971</v>
      </c>
      <c r="C1104" s="42" t="s">
        <v>759</v>
      </c>
      <c r="D1104" s="42" t="s">
        <v>4429</v>
      </c>
      <c r="E1104" s="38" t="s">
        <v>4430</v>
      </c>
      <c r="F1104" s="17" t="s">
        <v>4431</v>
      </c>
      <c r="G1104" s="42" t="s">
        <v>544</v>
      </c>
      <c r="H1104" s="17" t="s">
        <v>17</v>
      </c>
      <c r="I1104" s="18" t="s">
        <v>54</v>
      </c>
      <c r="K1104" s="5" t="s">
        <v>4185</v>
      </c>
      <c r="L1104" t="str">
        <f t="shared" si="18"/>
        <v>josemontanez7654@gmail.com</v>
      </c>
    </row>
    <row r="1105" spans="1:12">
      <c r="A1105" t="str" cm="1">
        <f t="array" ref="A1105">_xlfn.LET(_xlpm.e,L1105,
IF(_xlpm.e="","",
"DOC-"&amp;TEXT(ROW()-ROW(tblMaster[#Headers]),"00000")
))</f>
        <v>DOC-01104</v>
      </c>
      <c r="B1105" s="49">
        <v>45973</v>
      </c>
      <c r="C1105" s="42" t="s">
        <v>4432</v>
      </c>
      <c r="D1105" s="42" t="s">
        <v>4433</v>
      </c>
      <c r="E1105" s="38" t="s">
        <v>4434</v>
      </c>
      <c r="F1105" s="17" t="s">
        <v>4435</v>
      </c>
      <c r="G1105" s="42" t="s">
        <v>3521</v>
      </c>
      <c r="H1105" s="17" t="s">
        <v>17</v>
      </c>
      <c r="I1105" s="18" t="s">
        <v>54</v>
      </c>
      <c r="J1105" s="99" t="s">
        <v>23</v>
      </c>
      <c r="K1105" s="5" t="s">
        <v>4185</v>
      </c>
      <c r="L1105" t="str">
        <f t="shared" si="18"/>
        <v>biancadancy12@gmail.com</v>
      </c>
    </row>
    <row r="1106" spans="1:12">
      <c r="A1106" t="str" cm="1">
        <f t="array" ref="A1106">_xlfn.LET(_xlpm.e,L1106,
IF(_xlpm.e="","",
"DOC-"&amp;TEXT(ROW()-ROW(tblMaster[#Headers]),"00000")
))</f>
        <v>DOC-01105</v>
      </c>
      <c r="B1106" s="49">
        <v>45973</v>
      </c>
      <c r="C1106" s="42" t="s">
        <v>4436</v>
      </c>
      <c r="D1106" s="42" t="s">
        <v>4437</v>
      </c>
      <c r="E1106" s="38" t="s">
        <v>4438</v>
      </c>
      <c r="F1106" s="17" t="s">
        <v>4439</v>
      </c>
      <c r="G1106" s="42" t="s">
        <v>4440</v>
      </c>
      <c r="H1106" s="17" t="s">
        <v>153</v>
      </c>
      <c r="I1106" s="18" t="s">
        <v>54</v>
      </c>
      <c r="K1106" s="5" t="s">
        <v>4185</v>
      </c>
      <c r="L1106" t="str">
        <f t="shared" si="18"/>
        <v>lboot15@gmail.com</v>
      </c>
    </row>
    <row r="1107" spans="1:12">
      <c r="A1107" t="str" cm="1">
        <f t="array" ref="A1107">_xlfn.LET(_xlpm.e,L1107,
IF(_xlpm.e="","",
"DOC-"&amp;TEXT(ROW()-ROW(tblMaster[#Headers]),"00000")
))</f>
        <v>DOC-01106</v>
      </c>
      <c r="B1107" s="49">
        <v>45973</v>
      </c>
      <c r="C1107" s="42" t="s">
        <v>2788</v>
      </c>
      <c r="D1107" s="42" t="s">
        <v>4441</v>
      </c>
      <c r="E1107" s="38" t="s">
        <v>4442</v>
      </c>
      <c r="F1107" s="17" t="s">
        <v>4443</v>
      </c>
      <c r="G1107" s="42" t="s">
        <v>4444</v>
      </c>
      <c r="H1107" s="17" t="s">
        <v>17</v>
      </c>
      <c r="I1107" s="18" t="s">
        <v>54</v>
      </c>
      <c r="J1107" s="99" t="s">
        <v>560</v>
      </c>
      <c r="K1107" s="5" t="s">
        <v>4185</v>
      </c>
      <c r="L1107" t="str">
        <f t="shared" si="18"/>
        <v>dylan@sciallis.com</v>
      </c>
    </row>
    <row r="1108" spans="1:12">
      <c r="A1108" t="str" cm="1">
        <f t="array" ref="A1108">_xlfn.LET(_xlpm.e,L1108,
IF(_xlpm.e="","",
"DOC-"&amp;TEXT(ROW()-ROW(tblMaster[#Headers]),"00000")
))</f>
        <v>DOC-01107</v>
      </c>
      <c r="B1108" s="49">
        <v>45973</v>
      </c>
      <c r="C1108" s="42" t="s">
        <v>4445</v>
      </c>
      <c r="D1108" s="42" t="s">
        <v>4446</v>
      </c>
      <c r="E1108" s="38" t="s">
        <v>4447</v>
      </c>
      <c r="F1108" s="17" t="s">
        <v>4448</v>
      </c>
      <c r="G1108" s="42" t="s">
        <v>647</v>
      </c>
      <c r="H1108" s="17" t="s">
        <v>17</v>
      </c>
      <c r="I1108" s="18" t="s">
        <v>54</v>
      </c>
      <c r="J1108" s="99" t="s">
        <v>560</v>
      </c>
      <c r="K1108" s="5" t="s">
        <v>4185</v>
      </c>
      <c r="L1108" t="str">
        <f t="shared" si="18"/>
        <v>12felipecruz@gmail.com</v>
      </c>
    </row>
    <row r="1109" spans="1:12">
      <c r="A1109" t="str" cm="1">
        <f t="array" ref="A1109">_xlfn.LET(_xlpm.e,L1109,
IF(_xlpm.e="","",
"DOC-"&amp;TEXT(ROW()-ROW(tblMaster[#Headers]),"00000")
))</f>
        <v>DOC-01108</v>
      </c>
      <c r="B1109" s="49">
        <v>45973</v>
      </c>
      <c r="C1109" s="42" t="s">
        <v>4449</v>
      </c>
      <c r="D1109" s="42" t="s">
        <v>4450</v>
      </c>
      <c r="E1109" s="38" t="s">
        <v>4451</v>
      </c>
      <c r="F1109" s="17" t="s">
        <v>4452</v>
      </c>
      <c r="G1109" s="42" t="s">
        <v>1324</v>
      </c>
      <c r="H1109" s="17" t="s">
        <v>17</v>
      </c>
      <c r="I1109" s="18" t="s">
        <v>54</v>
      </c>
      <c r="J1109" s="99" t="s">
        <v>560</v>
      </c>
      <c r="K1109" s="5" t="s">
        <v>4185</v>
      </c>
      <c r="L1109" t="str">
        <f t="shared" si="18"/>
        <v>bradleighpedraza@gmail.com</v>
      </c>
    </row>
    <row r="1110" spans="1:12">
      <c r="A1110" t="str" cm="1">
        <f t="array" ref="A1110">_xlfn.LET(_xlpm.e,L1110,
IF(_xlpm.e="","",
"DOC-"&amp;TEXT(ROW()-ROW(tblMaster[#Headers]),"00000")
))</f>
        <v>DOC-01109</v>
      </c>
      <c r="B1110" s="49">
        <v>45973</v>
      </c>
      <c r="C1110" s="42" t="s">
        <v>4453</v>
      </c>
      <c r="D1110" s="42" t="s">
        <v>4454</v>
      </c>
      <c r="E1110" s="38" t="s">
        <v>4455</v>
      </c>
      <c r="F1110" s="17" t="s">
        <v>4456</v>
      </c>
      <c r="G1110" s="42" t="s">
        <v>4457</v>
      </c>
      <c r="H1110" s="17" t="s">
        <v>60</v>
      </c>
      <c r="I1110" s="18" t="s">
        <v>54</v>
      </c>
      <c r="J1110" s="99" t="s">
        <v>560</v>
      </c>
      <c r="K1110" s="5" t="s">
        <v>4185</v>
      </c>
      <c r="L1110" t="str">
        <f t="shared" si="18"/>
        <v>acsloh@gmail.com</v>
      </c>
    </row>
    <row r="1111" spans="1:12">
      <c r="A1111" t="str" cm="1">
        <f t="array" ref="A1111">_xlfn.LET(_xlpm.e,L1111,
IF(_xlpm.e="","",
"DOC-"&amp;TEXT(ROW()-ROW(tblMaster[#Headers]),"00000")
))</f>
        <v>DOC-01110</v>
      </c>
      <c r="B1111" s="49">
        <v>45973</v>
      </c>
      <c r="C1111" s="42" t="s">
        <v>4161</v>
      </c>
      <c r="D1111" s="42" t="s">
        <v>4458</v>
      </c>
      <c r="E1111" s="38" t="s">
        <v>4459</v>
      </c>
      <c r="F1111" s="17" t="s">
        <v>4460</v>
      </c>
      <c r="G1111" s="42" t="s">
        <v>2770</v>
      </c>
      <c r="H1111" s="17" t="s">
        <v>17</v>
      </c>
      <c r="I1111" s="18" t="s">
        <v>54</v>
      </c>
      <c r="J1111" s="99" t="s">
        <v>23</v>
      </c>
      <c r="K1111" s="5" t="s">
        <v>4185</v>
      </c>
      <c r="L1111" t="str">
        <f t="shared" si="18"/>
        <v>ashheise09@gmil.com</v>
      </c>
    </row>
    <row r="1112" spans="1:12">
      <c r="A1112" t="str" cm="1">
        <f t="array" ref="A1112">_xlfn.LET(_xlpm.e,L1112,
IF(_xlpm.e="","",
"DOC-"&amp;TEXT(ROW()-ROW(tblMaster[#Headers]),"00000")
))</f>
        <v>DOC-01111</v>
      </c>
      <c r="B1112" s="49">
        <v>45973</v>
      </c>
      <c r="C1112" s="42" t="s">
        <v>4461</v>
      </c>
      <c r="D1112" s="42" t="s">
        <v>4462</v>
      </c>
      <c r="E1112" s="38" t="s">
        <v>4463</v>
      </c>
      <c r="F1112" s="17" t="s">
        <v>4464</v>
      </c>
      <c r="G1112" s="42" t="s">
        <v>147</v>
      </c>
      <c r="H1112" s="17" t="s">
        <v>17</v>
      </c>
      <c r="I1112" s="18" t="s">
        <v>54</v>
      </c>
      <c r="K1112" s="5" t="s">
        <v>4185</v>
      </c>
      <c r="L1112" t="str">
        <f t="shared" si="18"/>
        <v>ortizchasidy@gmail.com</v>
      </c>
    </row>
    <row r="1113" spans="1:12" ht="18">
      <c r="A1113" t="str" cm="1">
        <f t="array" ref="A1113">_xlfn.LET(_xlpm.e,L1113,
IF(_xlpm.e="","",
"DOC-"&amp;TEXT(ROW()-ROW(tblMaster[#Headers]),"00000")
))</f>
        <v>DOC-01112</v>
      </c>
      <c r="B1113" s="49">
        <v>45973</v>
      </c>
      <c r="C1113" s="42" t="s">
        <v>2169</v>
      </c>
      <c r="D1113" s="65" t="s">
        <v>4465</v>
      </c>
      <c r="E1113" s="38" t="s">
        <v>4466</v>
      </c>
      <c r="F1113" s="17" t="s">
        <v>4467</v>
      </c>
      <c r="G1113" s="42" t="s">
        <v>1100</v>
      </c>
      <c r="H1113" s="17" t="s">
        <v>60</v>
      </c>
      <c r="I1113" s="17" t="s">
        <v>2276</v>
      </c>
      <c r="K1113" s="5" t="s">
        <v>4185</v>
      </c>
      <c r="L1113" t="str">
        <f t="shared" si="18"/>
        <v>dukensonpierre02@outlook.com</v>
      </c>
    </row>
    <row r="1114" spans="1:12">
      <c r="A1114" t="str" cm="1">
        <f t="array" ref="A1114">_xlfn.LET(_xlpm.e,L1114,
IF(_xlpm.e="","",
"DOC-"&amp;TEXT(ROW()-ROW(tblMaster[#Headers]),"00000")
))</f>
        <v>DOC-01113</v>
      </c>
      <c r="B1114" s="49">
        <v>45973</v>
      </c>
      <c r="C1114" s="42" t="s">
        <v>4468</v>
      </c>
      <c r="D1114" s="42" t="s">
        <v>4469</v>
      </c>
      <c r="E1114" s="38" t="s">
        <v>4470</v>
      </c>
      <c r="F1114" s="17" t="s">
        <v>4471</v>
      </c>
      <c r="G1114" s="42" t="s">
        <v>596</v>
      </c>
      <c r="H1114" s="17" t="s">
        <v>17</v>
      </c>
      <c r="I1114" s="18" t="s">
        <v>101</v>
      </c>
      <c r="K1114" s="5" t="s">
        <v>4185</v>
      </c>
      <c r="L1114" t="str">
        <f t="shared" si="18"/>
        <v>dayshawnjeanlouis@icloud.com</v>
      </c>
    </row>
    <row r="1115" spans="1:12">
      <c r="A1115" t="str" cm="1">
        <f t="array" ref="A1115">_xlfn.LET(_xlpm.e,L1115,
IF(_xlpm.e="","",
"DOC-"&amp;TEXT(ROW()-ROW(tblMaster[#Headers]),"00000")
))</f>
        <v>DOC-01114</v>
      </c>
      <c r="B1115" s="49">
        <v>45973</v>
      </c>
      <c r="C1115" s="42" t="s">
        <v>1340</v>
      </c>
      <c r="D1115" s="42" t="s">
        <v>4472</v>
      </c>
      <c r="E1115" s="38" t="s">
        <v>4473</v>
      </c>
      <c r="F1115" s="17" t="s">
        <v>4474</v>
      </c>
      <c r="G1115" s="42" t="s">
        <v>1051</v>
      </c>
      <c r="H1115" s="17" t="s">
        <v>17</v>
      </c>
      <c r="I1115" s="18" t="s">
        <v>101</v>
      </c>
      <c r="K1115" s="5" t="s">
        <v>4185</v>
      </c>
      <c r="L1115" t="str">
        <f t="shared" si="18"/>
        <v>moniqueyisrael@icloud.com</v>
      </c>
    </row>
    <row r="1116" spans="1:12">
      <c r="A1116" t="str" cm="1">
        <f t="array" ref="A1116">_xlfn.LET(_xlpm.e,L1116,
IF(_xlpm.e="","",
"DOC-"&amp;TEXT(ROW()-ROW(tblMaster[#Headers]),"00000")
))</f>
        <v>DOC-01115</v>
      </c>
      <c r="B1116" s="49">
        <v>45973</v>
      </c>
      <c r="C1116" s="42" t="s">
        <v>4475</v>
      </c>
      <c r="D1116" s="42" t="s">
        <v>4476</v>
      </c>
      <c r="E1116" s="38" t="s">
        <v>4477</v>
      </c>
      <c r="F1116" s="17" t="s">
        <v>4478</v>
      </c>
      <c r="G1116" s="42" t="s">
        <v>750</v>
      </c>
      <c r="H1116" s="17" t="s">
        <v>17</v>
      </c>
      <c r="I1116" s="17" t="s">
        <v>2276</v>
      </c>
      <c r="J1116" s="99" t="s">
        <v>560</v>
      </c>
      <c r="K1116" s="5" t="s">
        <v>4185</v>
      </c>
      <c r="L1116" t="str">
        <f t="shared" si="18"/>
        <v>jayvianjavier1604@gmail.com</v>
      </c>
    </row>
    <row r="1117" spans="1:12">
      <c r="A1117" t="str" cm="1">
        <f t="array" ref="A1117">_xlfn.LET(_xlpm.e,L1117,
IF(_xlpm.e="","",
"DOC-"&amp;TEXT(ROW()-ROW(tblMaster[#Headers]),"00000")
))</f>
        <v>DOC-01116</v>
      </c>
      <c r="B1117" s="49">
        <v>45978</v>
      </c>
      <c r="C1117" s="42" t="s">
        <v>4479</v>
      </c>
      <c r="D1117" s="42" t="s">
        <v>4480</v>
      </c>
      <c r="E1117" s="38" t="s">
        <v>4481</v>
      </c>
      <c r="F1117" s="17" t="s">
        <v>4482</v>
      </c>
      <c r="G1117" s="42" t="s">
        <v>79</v>
      </c>
      <c r="H1117" s="17" t="s">
        <v>17</v>
      </c>
      <c r="I1117" s="17" t="s">
        <v>5679</v>
      </c>
      <c r="K1117" s="5" t="s">
        <v>226</v>
      </c>
      <c r="L1117" t="str">
        <f t="shared" si="18"/>
        <v>sonliinda7@gmail.com</v>
      </c>
    </row>
    <row r="1118" spans="1:12">
      <c r="A1118" t="str" cm="1">
        <f t="array" ref="A1118">_xlfn.LET(_xlpm.e,L1118,
IF(_xlpm.e="","",
"DOC-"&amp;TEXT(ROW()-ROW(tblMaster[#Headers]),"00000")
))</f>
        <v>DOC-01117</v>
      </c>
      <c r="B1118" s="49">
        <v>45974</v>
      </c>
      <c r="C1118" s="42" t="s">
        <v>4483</v>
      </c>
      <c r="D1118" s="42" t="s">
        <v>4484</v>
      </c>
      <c r="E1118" s="38" t="s">
        <v>4485</v>
      </c>
      <c r="F1118" s="17" t="s">
        <v>4486</v>
      </c>
      <c r="G1118" s="42" t="s">
        <v>74</v>
      </c>
      <c r="H1118" s="17" t="s">
        <v>17</v>
      </c>
      <c r="I1118" s="18" t="s">
        <v>54</v>
      </c>
      <c r="J1118" s="99" t="s">
        <v>23</v>
      </c>
      <c r="K1118" s="5" t="s">
        <v>4185</v>
      </c>
      <c r="L1118" t="str">
        <f t="shared" si="18"/>
        <v>balthazarvilson18@gmail.com</v>
      </c>
    </row>
    <row r="1119" spans="1:12">
      <c r="A1119" t="str" cm="1">
        <f t="array" ref="A1119">_xlfn.LET(_xlpm.e,L1119,
IF(_xlpm.e="","",
"DOC-"&amp;TEXT(ROW()-ROW(tblMaster[#Headers]),"00000")
))</f>
        <v>DOC-01118</v>
      </c>
      <c r="B1119" s="49">
        <v>45974</v>
      </c>
      <c r="C1119" s="42" t="s">
        <v>700</v>
      </c>
      <c r="D1119" s="42" t="s">
        <v>4487</v>
      </c>
      <c r="E1119" s="38" t="s">
        <v>4488</v>
      </c>
      <c r="F1119" s="17" t="s">
        <v>4489</v>
      </c>
      <c r="G1119" s="42" t="s">
        <v>220</v>
      </c>
      <c r="H1119" s="17" t="s">
        <v>17</v>
      </c>
      <c r="I1119" s="18" t="s">
        <v>54</v>
      </c>
      <c r="K1119" s="5" t="s">
        <v>4185</v>
      </c>
      <c r="L1119" t="str">
        <f t="shared" si="18"/>
        <v>jeanfontil5@gmai.com</v>
      </c>
    </row>
    <row r="1120" spans="1:12">
      <c r="A1120" t="str" cm="1">
        <f t="array" ref="A1120">_xlfn.LET(_xlpm.e,L1120,
IF(_xlpm.e="","",
"DOC-"&amp;TEXT(ROW()-ROW(tblMaster[#Headers]),"00000")
))</f>
        <v>DOC-01119</v>
      </c>
      <c r="B1120" s="49">
        <v>45976</v>
      </c>
      <c r="C1120" s="42" t="s">
        <v>4490</v>
      </c>
      <c r="D1120" s="42" t="s">
        <v>4491</v>
      </c>
      <c r="E1120" s="38" t="s">
        <v>4492</v>
      </c>
      <c r="F1120" s="17" t="s">
        <v>4493</v>
      </c>
      <c r="G1120" s="42" t="s">
        <v>4494</v>
      </c>
      <c r="H1120" s="17" t="s">
        <v>17</v>
      </c>
      <c r="I1120" s="18" t="s">
        <v>54</v>
      </c>
      <c r="K1120" s="5" t="s">
        <v>4185</v>
      </c>
      <c r="L1120" t="str">
        <f t="shared" si="18"/>
        <v>theresaakuffo95@gmail.com</v>
      </c>
    </row>
    <row r="1121" spans="1:12">
      <c r="A1121" t="str" cm="1">
        <f t="array" ref="A1121">_xlfn.LET(_xlpm.e,L1121,
IF(_xlpm.e="","",
"DOC-"&amp;TEXT(ROW()-ROW(tblMaster[#Headers]),"00000")
))</f>
        <v>DOC-01120</v>
      </c>
      <c r="B1121" s="49">
        <v>45976</v>
      </c>
      <c r="C1121" s="42" t="s">
        <v>2904</v>
      </c>
      <c r="D1121" s="42" t="s">
        <v>4495</v>
      </c>
      <c r="E1121" s="38" t="s">
        <v>4496</v>
      </c>
      <c r="F1121" s="17" t="s">
        <v>4497</v>
      </c>
      <c r="G1121" s="42" t="s">
        <v>581</v>
      </c>
      <c r="H1121" s="17" t="s">
        <v>17</v>
      </c>
      <c r="I1121" s="18" t="s">
        <v>54</v>
      </c>
      <c r="K1121" s="5" t="s">
        <v>226</v>
      </c>
      <c r="L1121" t="str">
        <f t="shared" si="18"/>
        <v>ssanz09@icloud.com</v>
      </c>
    </row>
    <row r="1122" spans="1:12">
      <c r="A1122" t="str" cm="1">
        <f t="array" ref="A1122">_xlfn.LET(_xlpm.e,L1122,
IF(_xlpm.e="","",
"DOC-"&amp;TEXT(ROW()-ROW(tblMaster[#Headers]),"00000")
))</f>
        <v>DOC-01121</v>
      </c>
      <c r="B1122" s="49">
        <v>45976</v>
      </c>
      <c r="C1122" s="42" t="s">
        <v>75</v>
      </c>
      <c r="D1122" s="42" t="s">
        <v>4498</v>
      </c>
      <c r="E1122" s="38" t="s">
        <v>4499</v>
      </c>
      <c r="F1122" s="17" t="s">
        <v>4500</v>
      </c>
      <c r="G1122" s="42" t="s">
        <v>4501</v>
      </c>
      <c r="H1122" s="17" t="s">
        <v>17</v>
      </c>
      <c r="I1122" s="18" t="s">
        <v>54</v>
      </c>
      <c r="J1122" s="99" t="s">
        <v>194</v>
      </c>
      <c r="K1122" s="5" t="s">
        <v>4185</v>
      </c>
      <c r="L1122" t="str">
        <f t="shared" si="18"/>
        <v>joshuacantillon1@gmail.com</v>
      </c>
    </row>
    <row r="1123" spans="1:12">
      <c r="A1123" t="str" cm="1">
        <f t="array" ref="A1123">_xlfn.LET(_xlpm.e,L1123,
IF(_xlpm.e="","",
"DOC-"&amp;TEXT(ROW()-ROW(tblMaster[#Headers]),"00000")
))</f>
        <v>DOC-01122</v>
      </c>
      <c r="B1123" s="49">
        <v>45976</v>
      </c>
      <c r="C1123" s="42" t="s">
        <v>4502</v>
      </c>
      <c r="D1123" s="42" t="s">
        <v>4503</v>
      </c>
      <c r="E1123" s="38" t="s">
        <v>4504</v>
      </c>
      <c r="F1123" s="17" t="s">
        <v>4505</v>
      </c>
      <c r="G1123" s="42" t="s">
        <v>591</v>
      </c>
      <c r="H1123" s="17" t="s">
        <v>17</v>
      </c>
      <c r="I1123" s="18" t="s">
        <v>54</v>
      </c>
      <c r="K1123" s="5" t="s">
        <v>4185</v>
      </c>
      <c r="L1123" t="str">
        <f t="shared" si="18"/>
        <v>amps0104@gmail.com</v>
      </c>
    </row>
    <row r="1124" spans="1:12">
      <c r="A1124" t="str" cm="1">
        <f t="array" ref="A1124">_xlfn.LET(_xlpm.e,L1124,
IF(_xlpm.e="","",
"DOC-"&amp;TEXT(ROW()-ROW(tblMaster[#Headers]),"00000")
))</f>
        <v>DOC-01123</v>
      </c>
      <c r="B1124" s="49">
        <v>45976</v>
      </c>
      <c r="C1124" s="42" t="s">
        <v>4506</v>
      </c>
      <c r="D1124" s="42" t="s">
        <v>4507</v>
      </c>
      <c r="E1124" s="38" t="s">
        <v>4508</v>
      </c>
      <c r="F1124" s="17" t="s">
        <v>4509</v>
      </c>
      <c r="G1124" s="42" t="s">
        <v>591</v>
      </c>
      <c r="H1124" s="17" t="s">
        <v>53</v>
      </c>
      <c r="I1124" s="18" t="s">
        <v>54</v>
      </c>
      <c r="J1124" s="99" t="s">
        <v>23</v>
      </c>
      <c r="K1124" s="5" t="s">
        <v>4185</v>
      </c>
      <c r="L1124" t="str">
        <f t="shared" si="18"/>
        <v>woodbury.m.evan@gmail.com</v>
      </c>
    </row>
    <row r="1125" spans="1:12">
      <c r="A1125" t="str" cm="1">
        <f t="array" ref="A1125">_xlfn.LET(_xlpm.e,L1125,
IF(_xlpm.e="","",
"DOC-"&amp;TEXT(ROW()-ROW(tblMaster[#Headers]),"00000")
))</f>
        <v>DOC-01124</v>
      </c>
      <c r="B1125" s="49">
        <v>45976</v>
      </c>
      <c r="C1125" s="42" t="s">
        <v>4510</v>
      </c>
      <c r="D1125" s="42" t="s">
        <v>2019</v>
      </c>
      <c r="E1125" s="38" t="s">
        <v>4511</v>
      </c>
      <c r="F1125" s="17" t="s">
        <v>4512</v>
      </c>
      <c r="G1125" s="42" t="s">
        <v>147</v>
      </c>
      <c r="H1125" s="17" t="s">
        <v>17</v>
      </c>
      <c r="I1125" s="18" t="s">
        <v>54</v>
      </c>
      <c r="K1125" s="5" t="s">
        <v>4185</v>
      </c>
      <c r="L1125" t="str">
        <f t="shared" si="18"/>
        <v>jamieisaac33@gmail.com</v>
      </c>
    </row>
    <row r="1126" spans="1:12">
      <c r="A1126" t="str" cm="1">
        <f t="array" ref="A1126">_xlfn.LET(_xlpm.e,L1126,
IF(_xlpm.e="","",
"DOC-"&amp;TEXT(ROW()-ROW(tblMaster[#Headers]),"00000")
))</f>
        <v>DOC-01125</v>
      </c>
      <c r="B1126" s="49">
        <v>45978</v>
      </c>
      <c r="C1126" s="42" t="s">
        <v>2413</v>
      </c>
      <c r="D1126" s="42" t="s">
        <v>4513</v>
      </c>
      <c r="E1126" s="38" t="s">
        <v>4514</v>
      </c>
      <c r="F1126" s="17" t="s">
        <v>4515</v>
      </c>
      <c r="G1126" s="42" t="s">
        <v>257</v>
      </c>
      <c r="H1126" s="17" t="s">
        <v>17</v>
      </c>
      <c r="I1126" s="18" t="s">
        <v>54</v>
      </c>
      <c r="J1126" s="99" t="s">
        <v>66</v>
      </c>
      <c r="K1126" s="5" t="s">
        <v>4185</v>
      </c>
      <c r="L1126" t="str">
        <f t="shared" si="18"/>
        <v>raymondgresham91@gmail.com</v>
      </c>
    </row>
    <row r="1127" spans="1:12">
      <c r="A1127" t="str" cm="1">
        <f t="array" ref="A1127">_xlfn.LET(_xlpm.e,L1127,
IF(_xlpm.e="","",
"DOC-"&amp;TEXT(ROW()-ROW(tblMaster[#Headers]),"00000")
))</f>
        <v>DOC-01126</v>
      </c>
      <c r="B1127" s="49">
        <v>45978</v>
      </c>
      <c r="C1127" s="42" t="s">
        <v>4516</v>
      </c>
      <c r="D1127" s="42" t="s">
        <v>4517</v>
      </c>
      <c r="E1127" s="38" t="s">
        <v>4518</v>
      </c>
      <c r="F1127" s="17" t="s">
        <v>4519</v>
      </c>
      <c r="G1127" s="42" t="s">
        <v>544</v>
      </c>
      <c r="H1127" s="17" t="s">
        <v>17</v>
      </c>
      <c r="I1127" s="18" t="s">
        <v>54</v>
      </c>
      <c r="K1127" s="5" t="s">
        <v>4185</v>
      </c>
      <c r="L1127" t="str">
        <f t="shared" si="18"/>
        <v>zeriahaleea@gmail.com</v>
      </c>
    </row>
    <row r="1128" spans="1:12">
      <c r="A1128" t="str" cm="1">
        <f t="array" ref="A1128">_xlfn.LET(_xlpm.e,L1128,
IF(_xlpm.e="","",
"DOC-"&amp;TEXT(ROW()-ROW(tblMaster[#Headers]),"00000")
))</f>
        <v>DOC-01127</v>
      </c>
      <c r="B1128" s="49">
        <v>45978</v>
      </c>
      <c r="C1128" s="42" t="s">
        <v>4520</v>
      </c>
      <c r="D1128" s="42" t="s">
        <v>4521</v>
      </c>
      <c r="E1128" s="38" t="s">
        <v>4522</v>
      </c>
      <c r="F1128" s="17" t="s">
        <v>4523</v>
      </c>
      <c r="G1128" s="42" t="s">
        <v>4524</v>
      </c>
      <c r="H1128" s="17" t="s">
        <v>17</v>
      </c>
      <c r="I1128" s="18" t="s">
        <v>54</v>
      </c>
      <c r="J1128" s="99" t="s">
        <v>66</v>
      </c>
      <c r="K1128" s="5" t="s">
        <v>4185</v>
      </c>
      <c r="L1128" t="str">
        <f t="shared" si="18"/>
        <v>jackiehh0817@gmail.com</v>
      </c>
    </row>
    <row r="1129" spans="1:12">
      <c r="A1129" t="str" cm="1">
        <f t="array" ref="A1129">_xlfn.LET(_xlpm.e,L1129,
IF(_xlpm.e="","",
"DOC-"&amp;TEXT(ROW()-ROW(tblMaster[#Headers]),"00000")
))</f>
        <v>DOC-01128</v>
      </c>
      <c r="B1129" s="49">
        <v>45978</v>
      </c>
      <c r="C1129" s="42" t="s">
        <v>4525</v>
      </c>
      <c r="D1129" s="42" t="s">
        <v>4526</v>
      </c>
      <c r="E1129" s="38" t="s">
        <v>4527</v>
      </c>
      <c r="F1129" s="17" t="s">
        <v>4528</v>
      </c>
      <c r="G1129" s="42" t="s">
        <v>4529</v>
      </c>
      <c r="H1129" s="17" t="s">
        <v>17</v>
      </c>
      <c r="I1129" s="18" t="s">
        <v>54</v>
      </c>
      <c r="J1129" s="99" t="s">
        <v>497</v>
      </c>
      <c r="K1129" s="5" t="s">
        <v>4185</v>
      </c>
      <c r="L1129" t="str">
        <f t="shared" si="18"/>
        <v>azariashipman@gmail.com</v>
      </c>
    </row>
    <row r="1130" spans="1:12">
      <c r="A1130" t="str" cm="1">
        <f t="array" ref="A1130">_xlfn.LET(_xlpm.e,L1130,
IF(_xlpm.e="","",
"DOC-"&amp;TEXT(ROW()-ROW(tblMaster[#Headers]),"00000")
))</f>
        <v>DOC-01129</v>
      </c>
      <c r="B1130" s="49">
        <v>45978</v>
      </c>
      <c r="C1130" s="42" t="s">
        <v>4530</v>
      </c>
      <c r="D1130" s="42" t="s">
        <v>4531</v>
      </c>
      <c r="E1130" s="38" t="s">
        <v>4532</v>
      </c>
      <c r="F1130" s="17" t="s">
        <v>4533</v>
      </c>
      <c r="G1130" s="42" t="s">
        <v>4534</v>
      </c>
      <c r="H1130" s="17" t="s">
        <v>17</v>
      </c>
      <c r="I1130" s="18" t="s">
        <v>101</v>
      </c>
      <c r="J1130" s="99" t="s">
        <v>23</v>
      </c>
      <c r="K1130" s="5" t="s">
        <v>4185</v>
      </c>
      <c r="L1130" t="str">
        <f t="shared" si="18"/>
        <v>dmiller01.work@gmail.com</v>
      </c>
    </row>
    <row r="1131" spans="1:12">
      <c r="A1131" t="str" cm="1">
        <f t="array" ref="A1131">_xlfn.LET(_xlpm.e,L1131,
IF(_xlpm.e="","",
"DOC-"&amp;TEXT(ROW()-ROW(tblMaster[#Headers]),"00000")
))</f>
        <v>DOC-01130</v>
      </c>
      <c r="B1131" s="49">
        <v>45978</v>
      </c>
      <c r="C1131" s="42" t="s">
        <v>4535</v>
      </c>
      <c r="D1131" s="42" t="s">
        <v>1114</v>
      </c>
      <c r="E1131" s="38" t="s">
        <v>4536</v>
      </c>
      <c r="F1131" s="17" t="s">
        <v>4537</v>
      </c>
      <c r="G1131" s="42" t="s">
        <v>257</v>
      </c>
      <c r="H1131" s="17" t="s">
        <v>17</v>
      </c>
      <c r="I1131" s="17" t="s">
        <v>2276</v>
      </c>
      <c r="K1131" s="5" t="s">
        <v>4185</v>
      </c>
      <c r="L1131" t="str">
        <f t="shared" si="18"/>
        <v>whytecynthia337@gmail.com</v>
      </c>
    </row>
    <row r="1132" spans="1:12">
      <c r="A1132" t="str" cm="1">
        <f t="array" ref="A1132">_xlfn.LET(_xlpm.e,L1132,
IF(_xlpm.e="","",
"DOC-"&amp;TEXT(ROW()-ROW(tblMaster[#Headers]),"00000")
))</f>
        <v>DOC-01131</v>
      </c>
      <c r="B1132" s="49">
        <v>45978</v>
      </c>
      <c r="C1132" s="42" t="s">
        <v>976</v>
      </c>
      <c r="D1132" s="42" t="s">
        <v>4538</v>
      </c>
      <c r="E1132" s="38" t="s">
        <v>4539</v>
      </c>
      <c r="F1132" s="17" t="s">
        <v>4540</v>
      </c>
      <c r="G1132" s="42"/>
      <c r="H1132" s="17" t="s">
        <v>53</v>
      </c>
      <c r="I1132" s="18" t="s">
        <v>101</v>
      </c>
      <c r="K1132" s="5" t="s">
        <v>4185</v>
      </c>
      <c r="L1132" t="str">
        <f t="shared" si="18"/>
        <v>thomasjgorski@hotmail.com</v>
      </c>
    </row>
    <row r="1133" spans="1:12">
      <c r="A1133" t="str" cm="1">
        <f t="array" ref="A1133">_xlfn.LET(_xlpm.e,L1133,
IF(_xlpm.e="","",
"DOC-"&amp;TEXT(ROW()-ROW(tblMaster[#Headers]),"00000")
))</f>
        <v>DOC-01132</v>
      </c>
      <c r="B1133" s="49">
        <v>45978</v>
      </c>
      <c r="C1133" s="42" t="s">
        <v>4541</v>
      </c>
      <c r="D1133" s="42" t="s">
        <v>4542</v>
      </c>
      <c r="E1133" s="38" t="s">
        <v>4543</v>
      </c>
      <c r="F1133" s="17" t="s">
        <v>4544</v>
      </c>
      <c r="G1133" s="42" t="s">
        <v>4545</v>
      </c>
      <c r="H1133" s="17" t="s">
        <v>53</v>
      </c>
      <c r="I1133" s="18" t="s">
        <v>101</v>
      </c>
      <c r="K1133" s="5" t="s">
        <v>4185</v>
      </c>
      <c r="L1133" t="str">
        <f t="shared" si="18"/>
        <v>fehcostah21@gmail.com</v>
      </c>
    </row>
    <row r="1134" spans="1:12">
      <c r="A1134" t="str" cm="1">
        <f t="array" ref="A1134">_xlfn.LET(_xlpm.e,L1134,
IF(_xlpm.e="","",
"DOC-"&amp;TEXT(ROW()-ROW(tblMaster[#Headers]),"00000")
))</f>
        <v>DOC-01133</v>
      </c>
      <c r="B1134" s="49">
        <v>45978</v>
      </c>
      <c r="C1134" s="42" t="s">
        <v>4546</v>
      </c>
      <c r="D1134" s="42" t="s">
        <v>4547</v>
      </c>
      <c r="E1134" s="38" t="s">
        <v>4548</v>
      </c>
      <c r="F1134" s="17" t="s">
        <v>4549</v>
      </c>
      <c r="G1134" s="42" t="s">
        <v>750</v>
      </c>
      <c r="H1134" s="17" t="s">
        <v>53</v>
      </c>
      <c r="I1134" s="17" t="s">
        <v>2276</v>
      </c>
      <c r="K1134" s="5" t="s">
        <v>4185</v>
      </c>
      <c r="L1134" t="str">
        <f t="shared" si="18"/>
        <v>devonoliveira555@gmail.com</v>
      </c>
    </row>
    <row r="1135" spans="1:12">
      <c r="A1135" t="str" cm="1">
        <f t="array" ref="A1135">_xlfn.LET(_xlpm.e,L1135,
IF(_xlpm.e="","",
"DOC-"&amp;TEXT(ROW()-ROW(tblMaster[#Headers]),"00000")
))</f>
        <v>DOC-01134</v>
      </c>
      <c r="B1135" s="49">
        <v>45978</v>
      </c>
      <c r="C1135" s="42" t="s">
        <v>4192</v>
      </c>
      <c r="D1135" s="42" t="s">
        <v>3431</v>
      </c>
      <c r="E1135" s="38" t="s">
        <v>4550</v>
      </c>
      <c r="F1135" s="17" t="s">
        <v>4551</v>
      </c>
      <c r="G1135" s="42" t="s">
        <v>3380</v>
      </c>
      <c r="H1135" s="17" t="s">
        <v>17</v>
      </c>
      <c r="I1135" s="18" t="s">
        <v>101</v>
      </c>
      <c r="K1135" s="5" t="s">
        <v>4185</v>
      </c>
      <c r="L1135" t="str">
        <f t="shared" si="18"/>
        <v>jonathanreyes54@gmail.com</v>
      </c>
    </row>
    <row r="1136" spans="1:12">
      <c r="A1136" t="str" cm="1">
        <f t="array" ref="A1136">_xlfn.LET(_xlpm.e,L1136,
IF(_xlpm.e="","",
"DOC-"&amp;TEXT(ROW()-ROW(tblMaster[#Headers]),"00000")
))</f>
        <v>DOC-01135</v>
      </c>
      <c r="B1136" s="49">
        <v>45978</v>
      </c>
      <c r="C1136" s="42" t="s">
        <v>4552</v>
      </c>
      <c r="D1136" s="42" t="s">
        <v>4553</v>
      </c>
      <c r="E1136" s="38" t="s">
        <v>4554</v>
      </c>
      <c r="F1136" s="17" t="s">
        <v>4555</v>
      </c>
      <c r="G1136" s="42" t="s">
        <v>276</v>
      </c>
      <c r="H1136" s="17" t="s">
        <v>17</v>
      </c>
      <c r="I1136" s="17" t="s">
        <v>2276</v>
      </c>
      <c r="J1136" s="99" t="s">
        <v>23</v>
      </c>
      <c r="K1136" s="5" t="s">
        <v>4185</v>
      </c>
      <c r="L1136" t="str">
        <f t="shared" si="18"/>
        <v>mergillesem@yahoo.com</v>
      </c>
    </row>
    <row r="1137" spans="1:12">
      <c r="A1137" t="str" cm="1">
        <f t="array" ref="A1137">_xlfn.LET(_xlpm.e,L1137,
IF(_xlpm.e="","",
"DOC-"&amp;TEXT(ROW()-ROW(tblMaster[#Headers]),"00000")
))</f>
        <v>DOC-01136</v>
      </c>
      <c r="B1137" s="49">
        <v>45978</v>
      </c>
      <c r="C1137" s="42" t="s">
        <v>4556</v>
      </c>
      <c r="D1137" s="42" t="s">
        <v>4557</v>
      </c>
      <c r="E1137" s="38" t="s">
        <v>4558</v>
      </c>
      <c r="F1137" s="27" t="s">
        <v>4559</v>
      </c>
      <c r="G1137" s="42" t="s">
        <v>544</v>
      </c>
      <c r="H1137" s="17" t="s">
        <v>17</v>
      </c>
      <c r="I1137" s="17" t="s">
        <v>2276</v>
      </c>
      <c r="J1137" s="99" t="s">
        <v>560</v>
      </c>
      <c r="K1137" s="5" t="s">
        <v>4185</v>
      </c>
      <c r="L1137" t="str">
        <f t="shared" si="18"/>
        <v>therealjustin413@gmail.com</v>
      </c>
    </row>
    <row r="1138" spans="1:12">
      <c r="A1138" t="str" cm="1">
        <f t="array" ref="A1138">_xlfn.LET(_xlpm.e,L1138,
IF(_xlpm.e="","",
"DOC-"&amp;TEXT(ROW()-ROW(tblMaster[#Headers]),"00000")
))</f>
        <v>DOC-01137</v>
      </c>
      <c r="B1138" s="49">
        <v>45978</v>
      </c>
      <c r="C1138" s="42" t="s">
        <v>2950</v>
      </c>
      <c r="D1138" s="42" t="s">
        <v>4560</v>
      </c>
      <c r="E1138" s="38" t="s">
        <v>4561</v>
      </c>
      <c r="F1138" s="17" t="s">
        <v>4562</v>
      </c>
      <c r="G1138" s="42" t="s">
        <v>3095</v>
      </c>
      <c r="H1138" s="17" t="s">
        <v>17</v>
      </c>
      <c r="I1138" s="17" t="s">
        <v>2276</v>
      </c>
      <c r="J1138" s="99" t="s">
        <v>560</v>
      </c>
      <c r="K1138" s="5" t="s">
        <v>4185</v>
      </c>
      <c r="L1138" t="str">
        <f t="shared" si="18"/>
        <v>brendanjamesdonahue@gmail.com</v>
      </c>
    </row>
    <row r="1139" spans="1:12">
      <c r="A1139" t="str" cm="1">
        <f t="array" ref="A1139">_xlfn.LET(_xlpm.e,L1139,
IF(_xlpm.e="","",
"DOC-"&amp;TEXT(ROW()-ROW(tblMaster[#Headers]),"00000")
))</f>
        <v>DOC-01138</v>
      </c>
      <c r="B1139" s="49">
        <v>45978</v>
      </c>
      <c r="C1139" s="42" t="s">
        <v>4563</v>
      </c>
      <c r="D1139" s="42" t="s">
        <v>4564</v>
      </c>
      <c r="E1139" s="38" t="s">
        <v>4565</v>
      </c>
      <c r="F1139" s="17" t="s">
        <v>4566</v>
      </c>
      <c r="G1139" s="42" t="s">
        <v>1084</v>
      </c>
      <c r="H1139" s="17" t="s">
        <v>17</v>
      </c>
      <c r="I1139" s="17" t="s">
        <v>2276</v>
      </c>
      <c r="J1139" s="99" t="s">
        <v>560</v>
      </c>
      <c r="K1139" s="5" t="s">
        <v>4185</v>
      </c>
      <c r="L1139" t="str">
        <f t="shared" si="18"/>
        <v>milliemmmcpherson@gmail.com</v>
      </c>
    </row>
    <row r="1140" spans="1:12">
      <c r="A1140" t="str" cm="1">
        <f t="array" ref="A1140">_xlfn.LET(_xlpm.e,L1140,
IF(_xlpm.e="","",
"DOC-"&amp;TEXT(ROW()-ROW(tblMaster[#Headers]),"00000")
))</f>
        <v>DOC-01139</v>
      </c>
      <c r="B1140" s="49">
        <v>45978</v>
      </c>
      <c r="C1140" s="42" t="s">
        <v>4567</v>
      </c>
      <c r="D1140" s="42" t="s">
        <v>4568</v>
      </c>
      <c r="E1140" s="38" t="s">
        <v>4569</v>
      </c>
      <c r="F1140" s="17" t="s">
        <v>4570</v>
      </c>
      <c r="G1140" s="42" t="s">
        <v>750</v>
      </c>
      <c r="H1140" s="17" t="s">
        <v>17</v>
      </c>
      <c r="I1140" s="17" t="s">
        <v>2276</v>
      </c>
      <c r="J1140" s="99" t="s">
        <v>560</v>
      </c>
      <c r="K1140" s="5" t="s">
        <v>4185</v>
      </c>
      <c r="L1140" t="str">
        <f t="shared" si="18"/>
        <v>jayvianjavier1604@gmail.com</v>
      </c>
    </row>
    <row r="1141" spans="1:12">
      <c r="A1141" t="str" cm="1">
        <f t="array" ref="A1141">_xlfn.LET(_xlpm.e,L1141,
IF(_xlpm.e="","",
"DOC-"&amp;TEXT(ROW()-ROW(tblMaster[#Headers]),"00000")
))</f>
        <v>DOC-01140</v>
      </c>
      <c r="B1141" s="49">
        <v>45978</v>
      </c>
      <c r="C1141" s="42" t="s">
        <v>4571</v>
      </c>
      <c r="D1141" s="42" t="s">
        <v>4572</v>
      </c>
      <c r="E1141" s="38" t="s">
        <v>4573</v>
      </c>
      <c r="F1141" s="17" t="s">
        <v>4574</v>
      </c>
      <c r="G1141" s="42" t="s">
        <v>837</v>
      </c>
      <c r="H1141" s="17" t="s">
        <v>53</v>
      </c>
      <c r="I1141" s="17" t="s">
        <v>2276</v>
      </c>
      <c r="J1141" s="99" t="s">
        <v>560</v>
      </c>
      <c r="K1141" s="5" t="s">
        <v>4185</v>
      </c>
      <c r="L1141" t="str">
        <f t="shared" si="18"/>
        <v>coachredraider@gmail.com</v>
      </c>
    </row>
    <row r="1142" spans="1:12">
      <c r="A1142" t="str" cm="1">
        <f t="array" ref="A1142">_xlfn.LET(_xlpm.e,L1142,
IF(_xlpm.e="","",
"DOC-"&amp;TEXT(ROW()-ROW(tblMaster[#Headers]),"00000")
))</f>
        <v>DOC-01141</v>
      </c>
      <c r="B1142" s="49">
        <v>45978</v>
      </c>
      <c r="C1142" s="42" t="s">
        <v>2622</v>
      </c>
      <c r="D1142" s="42" t="s">
        <v>4575</v>
      </c>
      <c r="E1142" s="38" t="s">
        <v>4576</v>
      </c>
      <c r="F1142" s="17" t="s">
        <v>4577</v>
      </c>
      <c r="G1142" s="42" t="s">
        <v>606</v>
      </c>
      <c r="H1142" s="17" t="s">
        <v>328</v>
      </c>
      <c r="I1142" s="17" t="s">
        <v>2276</v>
      </c>
      <c r="J1142" s="99" t="s">
        <v>66</v>
      </c>
      <c r="K1142" s="5" t="s">
        <v>4185</v>
      </c>
      <c r="L1142" t="str">
        <f t="shared" si="18"/>
        <v>mikeylouis101@gmail.com</v>
      </c>
    </row>
    <row r="1143" spans="1:12">
      <c r="A1143" t="str" cm="1">
        <f t="array" ref="A1143">_xlfn.LET(_xlpm.e,L1143,
IF(_xlpm.e="","",
"DOC-"&amp;TEXT(ROW()-ROW(tblMaster[#Headers]),"00000")
))</f>
        <v>DOC-01142</v>
      </c>
      <c r="B1143" s="49">
        <v>45978</v>
      </c>
      <c r="C1143" s="42" t="s">
        <v>4578</v>
      </c>
      <c r="D1143" s="42" t="s">
        <v>976</v>
      </c>
      <c r="E1143" s="38" t="s">
        <v>4579</v>
      </c>
      <c r="F1143" s="17" t="s">
        <v>4580</v>
      </c>
      <c r="G1143" s="42" t="s">
        <v>811</v>
      </c>
      <c r="H1143" s="17" t="s">
        <v>17</v>
      </c>
      <c r="I1143" s="17" t="s">
        <v>112</v>
      </c>
      <c r="K1143" s="5" t="s">
        <v>4185</v>
      </c>
      <c r="L1143" t="str">
        <f t="shared" si="18"/>
        <v>aaliyahthomas844@gmail.com</v>
      </c>
    </row>
    <row r="1144" spans="1:12">
      <c r="A1144" t="str" cm="1">
        <f t="array" ref="A1144">_xlfn.LET(_xlpm.e,L1144,
IF(_xlpm.e="","",
"DOC-"&amp;TEXT(ROW()-ROW(tblMaster[#Headers]),"00000")
))</f>
        <v>DOC-01143</v>
      </c>
      <c r="B1144" s="49">
        <v>45978</v>
      </c>
      <c r="C1144" s="42" t="s">
        <v>4581</v>
      </c>
      <c r="D1144" s="42" t="s">
        <v>945</v>
      </c>
      <c r="E1144" s="38" t="s">
        <v>4582</v>
      </c>
      <c r="F1144" s="17" t="s">
        <v>4583</v>
      </c>
      <c r="G1144" s="42" t="s">
        <v>147</v>
      </c>
      <c r="H1144" s="17" t="s">
        <v>17</v>
      </c>
      <c r="I1144" s="17" t="s">
        <v>5679</v>
      </c>
      <c r="K1144" s="5" t="s">
        <v>4185</v>
      </c>
      <c r="L1144" t="str">
        <f t="shared" si="18"/>
        <v>wtyquan25@gmail.com</v>
      </c>
    </row>
    <row r="1145" spans="1:12">
      <c r="A1145" t="str" cm="1">
        <f t="array" ref="A1145">_xlfn.LET(_xlpm.e,L1145,
IF(_xlpm.e="","",
"DOC-"&amp;TEXT(ROW()-ROW(tblMaster[#Headers]),"00000")
))</f>
        <v>DOC-01144</v>
      </c>
      <c r="B1145" s="49">
        <v>45978</v>
      </c>
      <c r="C1145" s="42" t="s">
        <v>3121</v>
      </c>
      <c r="D1145" s="42" t="s">
        <v>4584</v>
      </c>
      <c r="E1145" s="38" t="s">
        <v>4585</v>
      </c>
      <c r="F1145" s="17" t="s">
        <v>4586</v>
      </c>
      <c r="G1145" s="42" t="s">
        <v>1954</v>
      </c>
      <c r="H1145" s="17" t="s">
        <v>53</v>
      </c>
      <c r="I1145" s="17"/>
      <c r="K1145" s="5" t="s">
        <v>4185</v>
      </c>
      <c r="L1145" t="str">
        <f t="shared" si="18"/>
        <v>ochijeoliver646@gmail.com</v>
      </c>
    </row>
    <row r="1146" spans="1:12">
      <c r="A1146" t="str" cm="1">
        <f t="array" ref="A1146">_xlfn.LET(_xlpm.e,L1146,
IF(_xlpm.e="","",
"DOC-"&amp;TEXT(ROW()-ROW(tblMaster[#Headers]),"00000")
))</f>
        <v>DOC-01145</v>
      </c>
      <c r="B1146" s="49">
        <v>45978</v>
      </c>
      <c r="C1146" s="42" t="s">
        <v>350</v>
      </c>
      <c r="D1146" s="42" t="s">
        <v>4587</v>
      </c>
      <c r="E1146" s="38" t="s">
        <v>4588</v>
      </c>
      <c r="F1146" s="17" t="s">
        <v>4589</v>
      </c>
      <c r="G1146" s="42" t="s">
        <v>47</v>
      </c>
      <c r="H1146" s="17" t="s">
        <v>17</v>
      </c>
      <c r="I1146" s="17" t="s">
        <v>5679</v>
      </c>
      <c r="J1146" s="99" t="s">
        <v>497</v>
      </c>
      <c r="K1146" s="5" t="s">
        <v>4185</v>
      </c>
      <c r="L1146" t="str">
        <f t="shared" si="18"/>
        <v>richie.labritz@gmail.com</v>
      </c>
    </row>
    <row r="1147" spans="1:12">
      <c r="A1147" t="str" cm="1">
        <f t="array" ref="A1147">_xlfn.LET(_xlpm.e,L1147,
IF(_xlpm.e="","",
"DOC-"&amp;TEXT(ROW()-ROW(tblMaster[#Headers]),"00000")
))</f>
        <v>DOC-01146</v>
      </c>
      <c r="B1147" s="49">
        <v>45978</v>
      </c>
      <c r="C1147" s="42" t="s">
        <v>4506</v>
      </c>
      <c r="D1147" s="42" t="s">
        <v>4590</v>
      </c>
      <c r="E1147" s="38" t="s">
        <v>4591</v>
      </c>
      <c r="F1147" s="17" t="s">
        <v>4592</v>
      </c>
      <c r="G1147" s="42" t="s">
        <v>1061</v>
      </c>
      <c r="H1147" s="17" t="s">
        <v>17</v>
      </c>
      <c r="I1147" s="17" t="s">
        <v>18</v>
      </c>
      <c r="K1147" s="5" t="s">
        <v>4185</v>
      </c>
      <c r="L1147" t="str">
        <f t="shared" si="18"/>
        <v>evanp2529@gmail.com</v>
      </c>
    </row>
    <row r="1148" spans="1:12">
      <c r="A1148" t="str" cm="1">
        <f t="array" ref="A1148">_xlfn.LET(_xlpm.e,L1148,
IF(_xlpm.e="","",
"DOC-"&amp;TEXT(ROW()-ROW(tblMaster[#Headers]),"00000")
))</f>
        <v>DOC-01147</v>
      </c>
      <c r="B1148" s="49">
        <v>45979</v>
      </c>
      <c r="C1148" s="42" t="s">
        <v>4593</v>
      </c>
      <c r="D1148" s="42" t="s">
        <v>4594</v>
      </c>
      <c r="E1148" s="38" t="s">
        <v>4595</v>
      </c>
      <c r="F1148" s="17" t="s">
        <v>4596</v>
      </c>
      <c r="G1148" s="42" t="s">
        <v>106</v>
      </c>
      <c r="H1148" s="17" t="s">
        <v>17</v>
      </c>
      <c r="I1148" s="17" t="s">
        <v>18</v>
      </c>
      <c r="J1148" s="99" t="s">
        <v>23</v>
      </c>
      <c r="K1148" s="5" t="s">
        <v>4185</v>
      </c>
      <c r="L1148" t="str">
        <f t="shared" si="18"/>
        <v>mmenconi@students.stonehill.edu</v>
      </c>
    </row>
    <row r="1149" spans="1:12">
      <c r="A1149" t="str" cm="1">
        <f t="array" ref="A1149">_xlfn.LET(_xlpm.e,L1149,
IF(_xlpm.e="","",
"DOC-"&amp;TEXT(ROW()-ROW(tblMaster[#Headers]),"00000")
))</f>
        <v>DOC-01148</v>
      </c>
      <c r="B1149" s="49">
        <v>45979</v>
      </c>
      <c r="C1149" s="42" t="s">
        <v>938</v>
      </c>
      <c r="D1149" s="42" t="s">
        <v>4597</v>
      </c>
      <c r="E1149" s="38" t="s">
        <v>4598</v>
      </c>
      <c r="F1149" s="17" t="s">
        <v>4599</v>
      </c>
      <c r="G1149" s="42" t="s">
        <v>3986</v>
      </c>
      <c r="H1149" s="17" t="s">
        <v>17</v>
      </c>
      <c r="I1149" s="17" t="s">
        <v>4600</v>
      </c>
      <c r="K1149" s="5" t="s">
        <v>4185</v>
      </c>
      <c r="L1149" t="str">
        <f t="shared" si="18"/>
        <v>estack@students.stonehill.edu</v>
      </c>
    </row>
    <row r="1150" spans="1:12">
      <c r="A1150" t="str" cm="1">
        <f t="array" ref="A1150">_xlfn.LET(_xlpm.e,L1150,
IF(_xlpm.e="","",
"DOC-"&amp;TEXT(ROW()-ROW(tblMaster[#Headers]),"00000")
))</f>
        <v>DOC-01149</v>
      </c>
      <c r="B1150" s="49">
        <v>45979</v>
      </c>
      <c r="C1150" s="42" t="s">
        <v>4601</v>
      </c>
      <c r="D1150" s="42" t="s">
        <v>4602</v>
      </c>
      <c r="E1150" s="38" t="s">
        <v>4603</v>
      </c>
      <c r="F1150" s="17" t="s">
        <v>4604</v>
      </c>
      <c r="G1150" s="42" t="s">
        <v>559</v>
      </c>
      <c r="H1150" s="17" t="s">
        <v>17</v>
      </c>
      <c r="I1150" s="18" t="s">
        <v>54</v>
      </c>
      <c r="K1150" s="5" t="s">
        <v>4185</v>
      </c>
      <c r="L1150" t="str">
        <f t="shared" si="18"/>
        <v>tdquinn91@gmail.com</v>
      </c>
    </row>
    <row r="1151" spans="1:12">
      <c r="A1151" t="str" cm="1">
        <f t="array" ref="A1151">_xlfn.LET(_xlpm.e,L1151,
IF(_xlpm.e="","",
"DOC-"&amp;TEXT(ROW()-ROW(tblMaster[#Headers]),"00000")
))</f>
        <v>DOC-01150</v>
      </c>
      <c r="B1151" s="49">
        <v>45979</v>
      </c>
      <c r="C1151" s="42" t="s">
        <v>4605</v>
      </c>
      <c r="D1151" s="42" t="s">
        <v>4606</v>
      </c>
      <c r="E1151" s="38" t="s">
        <v>4607</v>
      </c>
      <c r="F1151" s="17" t="s">
        <v>4608</v>
      </c>
      <c r="G1151" s="42" t="s">
        <v>3329</v>
      </c>
      <c r="H1151" s="17" t="s">
        <v>4609</v>
      </c>
      <c r="I1151" s="17" t="s">
        <v>4610</v>
      </c>
      <c r="K1151" s="5" t="s">
        <v>4185</v>
      </c>
      <c r="L1151" t="str">
        <f t="shared" si="18"/>
        <v>grc.graciella246@gmail.com</v>
      </c>
    </row>
    <row r="1152" spans="1:12">
      <c r="A1152" t="str" cm="1">
        <f t="array" ref="A1152">_xlfn.LET(_xlpm.e,L1152,
IF(_xlpm.e="","",
"DOC-"&amp;TEXT(ROW()-ROW(tblMaster[#Headers]),"00000")
))</f>
        <v>DOC-01151</v>
      </c>
      <c r="B1152" s="49">
        <v>45979</v>
      </c>
      <c r="C1152" s="42" t="s">
        <v>4611</v>
      </c>
      <c r="D1152" s="42" t="s">
        <v>4612</v>
      </c>
      <c r="E1152" s="38" t="s">
        <v>4613</v>
      </c>
      <c r="F1152" s="17" t="s">
        <v>4614</v>
      </c>
      <c r="G1152" s="42" t="s">
        <v>344</v>
      </c>
      <c r="H1152" s="17" t="s">
        <v>17</v>
      </c>
      <c r="I1152" s="17"/>
      <c r="J1152" s="99" t="s">
        <v>560</v>
      </c>
      <c r="K1152" s="5" t="s">
        <v>4185</v>
      </c>
      <c r="L1152" t="str">
        <f t="shared" si="18"/>
        <v>vrm1015@usnh.edu</v>
      </c>
    </row>
    <row r="1153" spans="1:12">
      <c r="A1153" t="str" cm="1">
        <f t="array" ref="A1153">_xlfn.LET(_xlpm.e,L1153,
IF(_xlpm.e="","",
"DOC-"&amp;TEXT(ROW()-ROW(tblMaster[#Headers]),"00000")
))</f>
        <v>DOC-01152</v>
      </c>
      <c r="B1153" s="49">
        <v>45980</v>
      </c>
      <c r="C1153" s="42" t="s">
        <v>4615</v>
      </c>
      <c r="D1153" s="42" t="s">
        <v>4616</v>
      </c>
      <c r="E1153" s="38" t="s">
        <v>4617</v>
      </c>
      <c r="F1153" s="17" t="s">
        <v>4618</v>
      </c>
      <c r="G1153" s="42" t="s">
        <v>1109</v>
      </c>
      <c r="H1153" s="17" t="s">
        <v>17</v>
      </c>
      <c r="I1153" s="17"/>
      <c r="J1153" s="99" t="s">
        <v>560</v>
      </c>
      <c r="K1153" s="5" t="s">
        <v>4185</v>
      </c>
      <c r="L1153" t="str">
        <f t="shared" si="18"/>
        <v>chanecostephanie@icloud.com</v>
      </c>
    </row>
    <row r="1154" spans="1:12">
      <c r="A1154" t="str" cm="1">
        <f t="array" ref="A1154">_xlfn.LET(_xlpm.e,L1154,
IF(_xlpm.e="","",
"DOC-"&amp;TEXT(ROW()-ROW(tblMaster[#Headers]),"00000")
))</f>
        <v>DOC-01153</v>
      </c>
      <c r="B1154" s="49">
        <v>45980</v>
      </c>
      <c r="C1154" s="42" t="s">
        <v>4619</v>
      </c>
      <c r="D1154" s="42" t="s">
        <v>4620</v>
      </c>
      <c r="E1154" s="38" t="s">
        <v>4621</v>
      </c>
      <c r="F1154" s="17" t="s">
        <v>4622</v>
      </c>
      <c r="G1154" s="42" t="s">
        <v>74</v>
      </c>
      <c r="H1154" s="17" t="s">
        <v>17</v>
      </c>
      <c r="I1154" s="18" t="s">
        <v>54</v>
      </c>
      <c r="J1154" s="99" t="s">
        <v>23</v>
      </c>
      <c r="K1154" s="5" t="s">
        <v>4185</v>
      </c>
      <c r="L1154" t="str">
        <f t="shared" si="18"/>
        <v>averyandrews0@gmail.com</v>
      </c>
    </row>
    <row r="1155" spans="1:12">
      <c r="A1155" t="str" cm="1">
        <f t="array" ref="A1155">_xlfn.LET(_xlpm.e,L1155,
IF(_xlpm.e="","",
"DOC-"&amp;TEXT(ROW()-ROW(tblMaster[#Headers]),"00000")
))</f>
        <v>DOC-01154</v>
      </c>
      <c r="B1155" s="49">
        <v>45980</v>
      </c>
      <c r="C1155" s="42" t="s">
        <v>4623</v>
      </c>
      <c r="D1155" s="42" t="s">
        <v>4624</v>
      </c>
      <c r="E1155" s="38" t="s">
        <v>4625</v>
      </c>
      <c r="F1155" s="17" t="s">
        <v>4626</v>
      </c>
      <c r="G1155" s="42" t="s">
        <v>3729</v>
      </c>
      <c r="H1155" s="17" t="s">
        <v>17</v>
      </c>
      <c r="I1155" s="18" t="s">
        <v>2644</v>
      </c>
      <c r="J1155" s="99" t="s">
        <v>560</v>
      </c>
      <c r="K1155" s="5" t="s">
        <v>4185</v>
      </c>
      <c r="L1155" t="str">
        <f t="shared" si="18"/>
        <v>hullumjanelle@gmail.com</v>
      </c>
    </row>
    <row r="1156" spans="1:12">
      <c r="A1156" t="str" cm="1">
        <f t="array" ref="A1156">_xlfn.LET(_xlpm.e,L1156,
IF(_xlpm.e="","",
"DOC-"&amp;TEXT(ROW()-ROW(tblMaster[#Headers]),"00000")
))</f>
        <v>DOC-01155</v>
      </c>
      <c r="B1156" s="49">
        <v>45980</v>
      </c>
      <c r="C1156" s="42" t="s">
        <v>4627</v>
      </c>
      <c r="D1156" s="42" t="s">
        <v>4628</v>
      </c>
      <c r="E1156" s="38" t="s">
        <v>4629</v>
      </c>
      <c r="F1156" s="17" t="s">
        <v>4630</v>
      </c>
      <c r="G1156" s="42" t="s">
        <v>2456</v>
      </c>
      <c r="H1156" s="17" t="s">
        <v>17</v>
      </c>
      <c r="I1156" s="18" t="s">
        <v>2644</v>
      </c>
      <c r="J1156" s="99" t="s">
        <v>560</v>
      </c>
      <c r="K1156" s="5" t="s">
        <v>4185</v>
      </c>
      <c r="L1156" t="str">
        <f t="shared" si="18"/>
        <v>jalisacanuto@gmail.com</v>
      </c>
    </row>
    <row r="1157" spans="1:12">
      <c r="A1157" t="str" cm="1">
        <f t="array" ref="A1157">_xlfn.LET(_xlpm.e,L1157,
IF(_xlpm.e="","",
"DOC-"&amp;TEXT(ROW()-ROW(tblMaster[#Headers]),"00000")
))</f>
        <v>DOC-01156</v>
      </c>
      <c r="B1157" s="49">
        <v>45980</v>
      </c>
      <c r="C1157" s="42" t="s">
        <v>4631</v>
      </c>
      <c r="D1157" s="42" t="s">
        <v>4632</v>
      </c>
      <c r="E1157" s="38" t="s">
        <v>4633</v>
      </c>
      <c r="F1157" s="17" t="s">
        <v>4634</v>
      </c>
      <c r="G1157" s="42"/>
      <c r="H1157" s="17"/>
      <c r="I1157" s="18" t="s">
        <v>2644</v>
      </c>
      <c r="J1157" s="99" t="s">
        <v>194</v>
      </c>
      <c r="K1157" s="5" t="s">
        <v>4185</v>
      </c>
      <c r="L1157" t="str">
        <f t="shared" si="18"/>
        <v>deborahnellydesouza@icloud.com</v>
      </c>
    </row>
    <row r="1158" spans="1:12">
      <c r="A1158" t="str" cm="1">
        <f t="array" ref="A1158">_xlfn.LET(_xlpm.e,L1158,
IF(_xlpm.e="","",
"DOC-"&amp;TEXT(ROW()-ROW(tblMaster[#Headers]),"00000")
))</f>
        <v>DOC-01157</v>
      </c>
      <c r="B1158" s="49">
        <v>45980</v>
      </c>
      <c r="C1158" s="42" t="s">
        <v>4635</v>
      </c>
      <c r="D1158" s="42" t="s">
        <v>4636</v>
      </c>
      <c r="E1158" s="38" t="s">
        <v>4637</v>
      </c>
      <c r="F1158" s="17" t="s">
        <v>4638</v>
      </c>
      <c r="G1158" s="42" t="s">
        <v>4639</v>
      </c>
      <c r="H1158" s="17" t="s">
        <v>328</v>
      </c>
      <c r="I1158" s="18" t="s">
        <v>2644</v>
      </c>
      <c r="J1158" s="99" t="s">
        <v>66</v>
      </c>
      <c r="K1158" s="5" t="s">
        <v>4185</v>
      </c>
      <c r="L1158" t="str">
        <f t="shared" ref="L1158:L1221" si="19">_xlfn.LET(_xlpm.x,E1158,
_xlpm.y,TRIM(CLEAN(SUBSTITUTE(_xlpm.x,CHAR(160)," "))),
LOWER(_xlpm.y))</f>
        <v>stevenpothier1968@gmail.com</v>
      </c>
    </row>
    <row r="1159" spans="1:12">
      <c r="A1159" t="str" cm="1">
        <f t="array" ref="A1159">_xlfn.LET(_xlpm.e,L1159,
IF(_xlpm.e="","",
"DOC-"&amp;TEXT(ROW()-ROW(tblMaster[#Headers]),"00000")
))</f>
        <v>DOC-01158</v>
      </c>
      <c r="B1159" s="49">
        <v>45980</v>
      </c>
      <c r="C1159" s="42" t="s">
        <v>55</v>
      </c>
      <c r="D1159" s="42" t="s">
        <v>4640</v>
      </c>
      <c r="E1159" s="38" t="s">
        <v>4641</v>
      </c>
      <c r="F1159" s="17" t="s">
        <v>4642</v>
      </c>
      <c r="G1159" s="42" t="s">
        <v>4643</v>
      </c>
      <c r="H1159" s="17" t="s">
        <v>17</v>
      </c>
      <c r="I1159" s="18" t="s">
        <v>2644</v>
      </c>
      <c r="K1159" s="5" t="s">
        <v>4185</v>
      </c>
      <c r="L1159" t="str">
        <f t="shared" si="19"/>
        <v>michaellucia1598@gmail.com</v>
      </c>
    </row>
    <row r="1160" spans="1:12">
      <c r="A1160" t="str" cm="1">
        <f t="array" ref="A1160">_xlfn.LET(_xlpm.e,L1160,
IF(_xlpm.e="","",
"DOC-"&amp;TEXT(ROW()-ROW(tblMaster[#Headers]),"00000")
))</f>
        <v>DOC-01159</v>
      </c>
      <c r="B1160" s="49">
        <v>45980</v>
      </c>
      <c r="C1160" s="42" t="s">
        <v>4644</v>
      </c>
      <c r="D1160" s="42" t="s">
        <v>4645</v>
      </c>
      <c r="E1160" s="142" t="s">
        <v>4646</v>
      </c>
      <c r="F1160" s="17" t="s">
        <v>4647</v>
      </c>
      <c r="G1160" s="42" t="s">
        <v>88</v>
      </c>
      <c r="H1160" s="17" t="s">
        <v>17</v>
      </c>
      <c r="I1160" s="17" t="s">
        <v>18</v>
      </c>
      <c r="J1160" s="99" t="s">
        <v>194</v>
      </c>
      <c r="K1160" s="5" t="s">
        <v>4185</v>
      </c>
      <c r="L1160" t="str">
        <f t="shared" si="19"/>
        <v>depinaalves_rolanda@icloud.com</v>
      </c>
    </row>
    <row r="1161" spans="1:12">
      <c r="A1161" t="str" cm="1">
        <f t="array" ref="A1161">_xlfn.LET(_xlpm.e,L1161,
IF(_xlpm.e="","",
"DOC-"&amp;TEXT(ROW()-ROW(tblMaster[#Headers]),"00000")
))</f>
        <v>DOC-01160</v>
      </c>
      <c r="B1161" s="49">
        <v>45980</v>
      </c>
      <c r="C1161" s="42" t="s">
        <v>4648</v>
      </c>
      <c r="D1161" s="42" t="s">
        <v>4649</v>
      </c>
      <c r="E1161" s="38" t="s">
        <v>4650</v>
      </c>
      <c r="F1161" s="17" t="s">
        <v>4651</v>
      </c>
      <c r="G1161" s="42" t="s">
        <v>142</v>
      </c>
      <c r="H1161" s="17" t="s">
        <v>17</v>
      </c>
      <c r="I1161" s="17" t="s">
        <v>18</v>
      </c>
      <c r="J1161" s="99" t="s">
        <v>560</v>
      </c>
      <c r="K1161" s="5" t="s">
        <v>4185</v>
      </c>
      <c r="L1161" t="str">
        <f t="shared" si="19"/>
        <v>berthanie.phane@gmail.com</v>
      </c>
    </row>
    <row r="1162" spans="1:12">
      <c r="A1162" t="str" cm="1">
        <f t="array" ref="A1162">_xlfn.LET(_xlpm.e,L1162,
IF(_xlpm.e="","",
"DOC-"&amp;TEXT(ROW()-ROW(tblMaster[#Headers]),"00000")
))</f>
        <v>DOC-01161</v>
      </c>
      <c r="B1162" s="49">
        <v>45980</v>
      </c>
      <c r="C1162" s="42" t="s">
        <v>3112</v>
      </c>
      <c r="D1162" s="42" t="s">
        <v>2776</v>
      </c>
      <c r="E1162" s="38" t="s">
        <v>4652</v>
      </c>
      <c r="F1162" s="17" t="s">
        <v>4653</v>
      </c>
      <c r="G1162" s="42" t="s">
        <v>728</v>
      </c>
      <c r="H1162" s="17" t="s">
        <v>17</v>
      </c>
      <c r="I1162" s="17" t="s">
        <v>18</v>
      </c>
      <c r="J1162" s="99" t="s">
        <v>560</v>
      </c>
      <c r="K1162" s="5" t="s">
        <v>4185</v>
      </c>
      <c r="L1162" t="str">
        <f t="shared" si="19"/>
        <v>ericduarte84@gmail.com</v>
      </c>
    </row>
    <row r="1163" spans="1:12">
      <c r="A1163" t="str" cm="1">
        <f t="array" ref="A1163">_xlfn.LET(_xlpm.e,L1163,
IF(_xlpm.e="","",
"DOC-"&amp;TEXT(ROW()-ROW(tblMaster[#Headers]),"00000")
))</f>
        <v>DOC-01162</v>
      </c>
      <c r="B1163" s="49">
        <v>45980</v>
      </c>
      <c r="C1163" s="42" t="s">
        <v>4654</v>
      </c>
      <c r="D1163" s="42" t="s">
        <v>4655</v>
      </c>
      <c r="E1163" s="38" t="s">
        <v>4656</v>
      </c>
      <c r="F1163" s="17" t="s">
        <v>4657</v>
      </c>
      <c r="G1163" s="42" t="s">
        <v>4658</v>
      </c>
      <c r="H1163" s="17" t="s">
        <v>53</v>
      </c>
      <c r="I1163" s="17" t="s">
        <v>4036</v>
      </c>
      <c r="J1163" s="99" t="s">
        <v>560</v>
      </c>
      <c r="K1163" s="5" t="s">
        <v>4185</v>
      </c>
      <c r="L1163" t="str">
        <f t="shared" si="19"/>
        <v>donishehu12345@hotmail.com</v>
      </c>
    </row>
    <row r="1164" spans="1:12">
      <c r="A1164" t="str" cm="1">
        <f t="array" ref="A1164">_xlfn.LET(_xlpm.e,L1164,
IF(_xlpm.e="","",
"DOC-"&amp;TEXT(ROW()-ROW(tblMaster[#Headers]),"00000")
))</f>
        <v>DOC-01163</v>
      </c>
      <c r="B1164" s="49">
        <v>45980</v>
      </c>
      <c r="C1164" s="42" t="s">
        <v>3831</v>
      </c>
      <c r="D1164" s="42" t="s">
        <v>1113</v>
      </c>
      <c r="E1164" s="38" t="s">
        <v>4659</v>
      </c>
      <c r="F1164" s="17" t="s">
        <v>4660</v>
      </c>
      <c r="G1164" s="42" t="s">
        <v>142</v>
      </c>
      <c r="H1164" s="17" t="s">
        <v>17</v>
      </c>
      <c r="I1164" s="17" t="s">
        <v>4661</v>
      </c>
      <c r="J1164" s="99" t="s">
        <v>560</v>
      </c>
      <c r="K1164" s="5" t="s">
        <v>4185</v>
      </c>
      <c r="L1164" t="str">
        <f t="shared" si="19"/>
        <v>johnsonjsph97@gmail.com</v>
      </c>
    </row>
    <row r="1165" spans="1:12">
      <c r="A1165" t="str" cm="1">
        <f t="array" ref="A1165">_xlfn.LET(_xlpm.e,L1165,
IF(_xlpm.e="","",
"DOC-"&amp;TEXT(ROW()-ROW(tblMaster[#Headers]),"00000")
))</f>
        <v>DOC-01164</v>
      </c>
      <c r="B1165" s="49">
        <v>45980</v>
      </c>
      <c r="C1165" s="42" t="s">
        <v>4662</v>
      </c>
      <c r="D1165" s="42" t="s">
        <v>4663</v>
      </c>
      <c r="E1165" s="38" t="s">
        <v>4664</v>
      </c>
      <c r="F1165" s="17" t="s">
        <v>4665</v>
      </c>
      <c r="G1165" s="42" t="s">
        <v>4666</v>
      </c>
      <c r="H1165" s="17" t="s">
        <v>17</v>
      </c>
      <c r="I1165" s="17" t="s">
        <v>18</v>
      </c>
      <c r="J1165" s="99" t="s">
        <v>560</v>
      </c>
      <c r="K1165" s="5" t="s">
        <v>4185</v>
      </c>
      <c r="L1165" t="str">
        <f t="shared" si="19"/>
        <v>madisonp811@gmail.com</v>
      </c>
    </row>
    <row r="1166" spans="1:12">
      <c r="A1166" t="str" cm="1">
        <f t="array" ref="A1166">_xlfn.LET(_xlpm.e,L1166,
IF(_xlpm.e="","",
"DOC-"&amp;TEXT(ROW()-ROW(tblMaster[#Headers]),"00000")
))</f>
        <v>DOC-01165</v>
      </c>
      <c r="B1166" s="49">
        <v>45980</v>
      </c>
      <c r="C1166" s="42" t="s">
        <v>4667</v>
      </c>
      <c r="D1166" s="42" t="s">
        <v>4668</v>
      </c>
      <c r="E1166" s="38" t="s">
        <v>4669</v>
      </c>
      <c r="F1166" s="17" t="s">
        <v>4670</v>
      </c>
      <c r="G1166" s="42" t="s">
        <v>596</v>
      </c>
      <c r="H1166" s="17" t="s">
        <v>17</v>
      </c>
      <c r="I1166" s="17"/>
      <c r="J1166" s="99" t="s">
        <v>23</v>
      </c>
      <c r="K1166" s="5" t="s">
        <v>4185</v>
      </c>
      <c r="L1166" t="str">
        <f t="shared" si="19"/>
        <v>dimmydix78@gmail.com</v>
      </c>
    </row>
    <row r="1167" spans="1:12">
      <c r="A1167" t="str" cm="1">
        <f t="array" ref="A1167">_xlfn.LET(_xlpm.e,L1167,
IF(_xlpm.e="","",
"DOC-"&amp;TEXT(ROW()-ROW(tblMaster[#Headers]),"00000")
))</f>
        <v>DOC-01166</v>
      </c>
      <c r="B1167" s="49">
        <v>45981</v>
      </c>
      <c r="C1167" s="42" t="s">
        <v>4671</v>
      </c>
      <c r="D1167" s="42" t="s">
        <v>4672</v>
      </c>
      <c r="E1167" s="38" t="s">
        <v>4673</v>
      </c>
      <c r="F1167" s="17" t="s">
        <v>4674</v>
      </c>
      <c r="G1167" s="42" t="s">
        <v>163</v>
      </c>
      <c r="H1167" s="17" t="s">
        <v>17</v>
      </c>
      <c r="I1167" s="17" t="s">
        <v>4675</v>
      </c>
      <c r="K1167" s="5" t="s">
        <v>4185</v>
      </c>
      <c r="L1167" t="str">
        <f t="shared" si="19"/>
        <v>yepes.steph@gmail.com</v>
      </c>
    </row>
    <row r="1168" spans="1:12">
      <c r="A1168" t="str" cm="1">
        <f t="array" ref="A1168">_xlfn.LET(_xlpm.e,L1168,
IF(_xlpm.e="","",
"DOC-"&amp;TEXT(ROW()-ROW(tblMaster[#Headers]),"00000")
))</f>
        <v>DOC-01167</v>
      </c>
      <c r="B1168" s="49">
        <v>45981</v>
      </c>
      <c r="C1168" s="42" t="s">
        <v>1938</v>
      </c>
      <c r="D1168" s="42" t="s">
        <v>4676</v>
      </c>
      <c r="E1168" s="38" t="s">
        <v>4677</v>
      </c>
      <c r="F1168" s="17" t="s">
        <v>4678</v>
      </c>
      <c r="G1168" s="42" t="s">
        <v>544</v>
      </c>
      <c r="H1168" s="17" t="s">
        <v>17</v>
      </c>
      <c r="I1168" s="17"/>
      <c r="J1168" s="99" t="s">
        <v>497</v>
      </c>
      <c r="K1168" s="5" t="s">
        <v>4185</v>
      </c>
      <c r="L1168" t="str">
        <f t="shared" si="19"/>
        <v>thayden1720@yahoo.com</v>
      </c>
    </row>
    <row r="1169" spans="1:12">
      <c r="A1169" t="str" cm="1">
        <f t="array" ref="A1169">_xlfn.LET(_xlpm.e,L1169,
IF(_xlpm.e="","",
"DOC-"&amp;TEXT(ROW()-ROW(tblMaster[#Headers]),"00000")
))</f>
        <v>DOC-01168</v>
      </c>
      <c r="B1169" s="49">
        <v>45981</v>
      </c>
      <c r="C1169" s="42" t="s">
        <v>4679</v>
      </c>
      <c r="D1169" s="42" t="s">
        <v>4680</v>
      </c>
      <c r="E1169" s="38" t="s">
        <v>4681</v>
      </c>
      <c r="F1169" s="17" t="s">
        <v>4682</v>
      </c>
      <c r="G1169" s="42" t="s">
        <v>231</v>
      </c>
      <c r="H1169" s="17" t="s">
        <v>17</v>
      </c>
      <c r="I1169" s="17"/>
      <c r="K1169" s="5" t="s">
        <v>4185</v>
      </c>
      <c r="L1169" t="str">
        <f t="shared" si="19"/>
        <v>darcylooney@gmail.com</v>
      </c>
    </row>
    <row r="1170" spans="1:12">
      <c r="A1170" t="str" cm="1">
        <f t="array" ref="A1170">_xlfn.LET(_xlpm.e,L1170,
IF(_xlpm.e="","",
"DOC-"&amp;TEXT(ROW()-ROW(tblMaster[#Headers]),"00000")
))</f>
        <v>DOC-01169</v>
      </c>
      <c r="B1170" s="49">
        <v>45981</v>
      </c>
      <c r="C1170" s="42" t="s">
        <v>4683</v>
      </c>
      <c r="D1170" s="42" t="s">
        <v>1841</v>
      </c>
      <c r="E1170" s="38" t="s">
        <v>4684</v>
      </c>
      <c r="F1170" s="17" t="s">
        <v>4685</v>
      </c>
      <c r="G1170" s="42" t="s">
        <v>4686</v>
      </c>
      <c r="H1170" s="17" t="s">
        <v>370</v>
      </c>
      <c r="I1170" s="17"/>
      <c r="K1170" s="5" t="s">
        <v>4185</v>
      </c>
      <c r="L1170" t="str">
        <f t="shared" si="19"/>
        <v>lance662@gmail.com</v>
      </c>
    </row>
    <row r="1171" spans="1:12">
      <c r="A1171" t="str" cm="1">
        <f t="array" ref="A1171">_xlfn.LET(_xlpm.e,L1171,
IF(_xlpm.e="","",
"DOC-"&amp;TEXT(ROW()-ROW(tblMaster[#Headers]),"00000")
))</f>
        <v>DOC-01170</v>
      </c>
      <c r="B1171" s="49">
        <v>45982</v>
      </c>
      <c r="C1171" s="42" t="s">
        <v>4687</v>
      </c>
      <c r="D1171" s="42" t="s">
        <v>4688</v>
      </c>
      <c r="E1171" s="38" t="s">
        <v>4689</v>
      </c>
      <c r="F1171" s="17" t="s">
        <v>4690</v>
      </c>
      <c r="G1171" s="42" t="s">
        <v>4691</v>
      </c>
      <c r="H1171" s="17" t="s">
        <v>1590</v>
      </c>
      <c r="I1171" s="17" t="s">
        <v>112</v>
      </c>
      <c r="J1171" s="99" t="s">
        <v>497</v>
      </c>
      <c r="K1171" s="5" t="s">
        <v>4185</v>
      </c>
      <c r="L1171" t="str">
        <f t="shared" si="19"/>
        <v>xaviervinnie6@icloud.com</v>
      </c>
    </row>
    <row r="1172" spans="1:12">
      <c r="A1172" t="str" cm="1">
        <f t="array" ref="A1172">_xlfn.LET(_xlpm.e,L1172,
IF(_xlpm.e="","",
"DOC-"&amp;TEXT(ROW()-ROW(tblMaster[#Headers]),"00000")
))</f>
        <v>DOC-01171</v>
      </c>
      <c r="B1172" s="49">
        <v>45982</v>
      </c>
      <c r="C1172" s="42" t="s">
        <v>4692</v>
      </c>
      <c r="D1172" s="42" t="s">
        <v>4693</v>
      </c>
      <c r="E1172" s="38" t="s">
        <v>4694</v>
      </c>
      <c r="F1172" s="17" t="s">
        <v>4695</v>
      </c>
      <c r="G1172" s="42" t="s">
        <v>74</v>
      </c>
      <c r="H1172" s="17" t="s">
        <v>17</v>
      </c>
      <c r="I1172" s="17" t="s">
        <v>2276</v>
      </c>
      <c r="J1172" s="99" t="s">
        <v>23</v>
      </c>
      <c r="K1172" s="5" t="s">
        <v>4185</v>
      </c>
      <c r="L1172" t="str">
        <f t="shared" si="19"/>
        <v>chouston2001@gmail.com</v>
      </c>
    </row>
    <row r="1173" spans="1:12">
      <c r="A1173" t="str" cm="1">
        <f t="array" ref="A1173">_xlfn.LET(_xlpm.e,L1173,
IF(_xlpm.e="","",
"DOC-"&amp;TEXT(ROW()-ROW(tblMaster[#Headers]),"00000")
))</f>
        <v>DOC-01172</v>
      </c>
      <c r="B1173" s="49">
        <v>45982</v>
      </c>
      <c r="C1173" s="42" t="s">
        <v>4696</v>
      </c>
      <c r="D1173" s="42" t="s">
        <v>4697</v>
      </c>
      <c r="E1173" s="38" t="s">
        <v>4698</v>
      </c>
      <c r="F1173" s="17" t="s">
        <v>4699</v>
      </c>
      <c r="G1173" s="42"/>
      <c r="H1173" s="17"/>
      <c r="I1173" s="18" t="s">
        <v>193</v>
      </c>
      <c r="K1173" s="5" t="s">
        <v>4185</v>
      </c>
      <c r="L1173" t="str">
        <f t="shared" si="19"/>
        <v>richiegskin@gmail.com</v>
      </c>
    </row>
    <row r="1174" spans="1:12">
      <c r="A1174" t="str" cm="1">
        <f t="array" ref="A1174">_xlfn.LET(_xlpm.e,L1174,
IF(_xlpm.e="","",
"DOC-"&amp;TEXT(ROW()-ROW(tblMaster[#Headers]),"00000")
))</f>
        <v>DOC-01173</v>
      </c>
      <c r="B1174" s="49">
        <v>45982</v>
      </c>
      <c r="C1174" s="42" t="s">
        <v>4700</v>
      </c>
      <c r="D1174" s="42" t="s">
        <v>4655</v>
      </c>
      <c r="E1174" s="38" t="s">
        <v>4701</v>
      </c>
      <c r="F1174" s="17" t="s">
        <v>4657</v>
      </c>
      <c r="G1174" s="42" t="s">
        <v>4658</v>
      </c>
      <c r="H1174" s="17" t="s">
        <v>17</v>
      </c>
      <c r="I1174" s="17" t="s">
        <v>112</v>
      </c>
      <c r="J1174" s="99" t="s">
        <v>560</v>
      </c>
      <c r="K1174" s="5" t="s">
        <v>4185</v>
      </c>
      <c r="L1174" t="str">
        <f t="shared" si="19"/>
        <v>donishehu12345@hotmail.com</v>
      </c>
    </row>
    <row r="1175" spans="1:12">
      <c r="A1175" t="str" cm="1">
        <f t="array" ref="A1175">_xlfn.LET(_xlpm.e,L1175,
IF(_xlpm.e="","",
"DOC-"&amp;TEXT(ROW()-ROW(tblMaster[#Headers]),"00000")
))</f>
        <v>DOC-01174</v>
      </c>
      <c r="B1175" s="49">
        <v>45985</v>
      </c>
      <c r="C1175" s="42" t="s">
        <v>1938</v>
      </c>
      <c r="D1175" s="42" t="s">
        <v>4702</v>
      </c>
      <c r="E1175" s="38" t="s">
        <v>4703</v>
      </c>
      <c r="F1175" s="17" t="s">
        <v>4704</v>
      </c>
      <c r="G1175" s="42" t="s">
        <v>74</v>
      </c>
      <c r="H1175" s="17" t="s">
        <v>17</v>
      </c>
      <c r="I1175" s="18" t="s">
        <v>54</v>
      </c>
      <c r="J1175" s="99" t="s">
        <v>560</v>
      </c>
      <c r="K1175" s="5" t="s">
        <v>4185</v>
      </c>
      <c r="L1175" t="str">
        <f t="shared" si="19"/>
        <v>mdiaz52419@gmail.com</v>
      </c>
    </row>
    <row r="1176" spans="1:12">
      <c r="A1176" t="str" cm="1">
        <f t="array" ref="A1176">_xlfn.LET(_xlpm.e,L1176,
IF(_xlpm.e="","",
"DOC-"&amp;TEXT(ROW()-ROW(tblMaster[#Headers]),"00000")
))</f>
        <v>DOC-01175</v>
      </c>
      <c r="B1176" s="49">
        <v>45985</v>
      </c>
      <c r="C1176" s="42" t="s">
        <v>4705</v>
      </c>
      <c r="D1176" s="42" t="s">
        <v>4706</v>
      </c>
      <c r="E1176" s="38" t="s">
        <v>4707</v>
      </c>
      <c r="F1176" s="17" t="s">
        <v>4708</v>
      </c>
      <c r="G1176" s="42" t="s">
        <v>979</v>
      </c>
      <c r="H1176" s="17" t="s">
        <v>17</v>
      </c>
      <c r="I1176" s="18" t="s">
        <v>54</v>
      </c>
      <c r="J1176" s="99" t="s">
        <v>560</v>
      </c>
      <c r="K1176" s="5" t="s">
        <v>4185</v>
      </c>
      <c r="L1176" t="str">
        <f t="shared" si="19"/>
        <v>zakjones232@gmail.com</v>
      </c>
    </row>
    <row r="1177" spans="1:12">
      <c r="A1177" t="str" cm="1">
        <f t="array" ref="A1177">_xlfn.LET(_xlpm.e,L1177,
IF(_xlpm.e="","",
"DOC-"&amp;TEXT(ROW()-ROW(tblMaster[#Headers]),"00000")
))</f>
        <v>DOC-01176</v>
      </c>
      <c r="B1177" s="49">
        <v>45985</v>
      </c>
      <c r="C1177" s="42" t="s">
        <v>4709</v>
      </c>
      <c r="D1177" s="42" t="s">
        <v>677</v>
      </c>
      <c r="E1177" s="38" t="s">
        <v>4710</v>
      </c>
      <c r="F1177" s="17" t="s">
        <v>4711</v>
      </c>
      <c r="G1177" s="42" t="s">
        <v>147</v>
      </c>
      <c r="H1177" s="17" t="s">
        <v>17</v>
      </c>
      <c r="I1177" s="18" t="s">
        <v>54</v>
      </c>
      <c r="J1177" s="99" t="s">
        <v>560</v>
      </c>
      <c r="K1177" s="5" t="s">
        <v>4185</v>
      </c>
      <c r="L1177" t="str">
        <f t="shared" si="19"/>
        <v>montezjmiller@gmail.com</v>
      </c>
    </row>
    <row r="1178" spans="1:12">
      <c r="A1178" t="str" cm="1">
        <f t="array" ref="A1178">_xlfn.LET(_xlpm.e,L1178,
IF(_xlpm.e="","",
"DOC-"&amp;TEXT(ROW()-ROW(tblMaster[#Headers]),"00000")
))</f>
        <v>DOC-01177</v>
      </c>
      <c r="B1178" s="49">
        <v>45985</v>
      </c>
      <c r="C1178" s="42" t="s">
        <v>4712</v>
      </c>
      <c r="D1178" s="42" t="s">
        <v>1996</v>
      </c>
      <c r="E1178" s="38" t="s">
        <v>4713</v>
      </c>
      <c r="F1178" s="17" t="s">
        <v>4714</v>
      </c>
      <c r="G1178" s="42" t="s">
        <v>4715</v>
      </c>
      <c r="H1178" s="17" t="s">
        <v>17</v>
      </c>
      <c r="I1178" s="18" t="s">
        <v>54</v>
      </c>
      <c r="J1178" s="99" t="s">
        <v>560</v>
      </c>
      <c r="K1178" s="5" t="s">
        <v>4185</v>
      </c>
      <c r="L1178" t="str">
        <f t="shared" si="19"/>
        <v>starinak96@gmail.com</v>
      </c>
    </row>
    <row r="1179" spans="1:12">
      <c r="A1179" t="str" cm="1">
        <f t="array" ref="A1179">_xlfn.LET(_xlpm.e,L1179,
IF(_xlpm.e="","",
"DOC-"&amp;TEXT(ROW()-ROW(tblMaster[#Headers]),"00000")
))</f>
        <v>DOC-01178</v>
      </c>
      <c r="B1179" s="49">
        <v>45985</v>
      </c>
      <c r="C1179" s="42" t="s">
        <v>567</v>
      </c>
      <c r="D1179" s="42" t="s">
        <v>4716</v>
      </c>
      <c r="E1179" s="38" t="s">
        <v>4717</v>
      </c>
      <c r="F1179" s="17" t="s">
        <v>4718</v>
      </c>
      <c r="G1179" s="42" t="s">
        <v>1929</v>
      </c>
      <c r="H1179" s="17" t="s">
        <v>17</v>
      </c>
      <c r="I1179" s="18" t="s">
        <v>54</v>
      </c>
      <c r="J1179" s="99" t="s">
        <v>23</v>
      </c>
      <c r="K1179" s="5" t="s">
        <v>4185</v>
      </c>
      <c r="L1179" t="str">
        <f t="shared" si="19"/>
        <v>costejeffrey123@gmail.com</v>
      </c>
    </row>
    <row r="1180" spans="1:12">
      <c r="A1180" t="str" cm="1">
        <f t="array" ref="A1180">_xlfn.LET(_xlpm.e,L1180,
IF(_xlpm.e="","",
"DOC-"&amp;TEXT(ROW()-ROW(tblMaster[#Headers]),"00000")
))</f>
        <v>DOC-01179</v>
      </c>
      <c r="B1180" s="49">
        <v>45985</v>
      </c>
      <c r="C1180" s="42" t="s">
        <v>4719</v>
      </c>
      <c r="D1180" s="42" t="s">
        <v>216</v>
      </c>
      <c r="E1180" s="38" t="s">
        <v>4720</v>
      </c>
      <c r="F1180" s="17"/>
      <c r="G1180" s="42"/>
      <c r="H1180" s="17"/>
      <c r="I1180" s="18" t="s">
        <v>101</v>
      </c>
      <c r="K1180" s="5" t="s">
        <v>4185</v>
      </c>
      <c r="L1180" t="str">
        <f t="shared" si="19"/>
        <v>royaltytj2@gmail.com</v>
      </c>
    </row>
    <row r="1181" spans="1:12">
      <c r="A1181" t="str" cm="1">
        <f t="array" ref="A1181">_xlfn.LET(_xlpm.e,L1181,
IF(_xlpm.e="","",
"DOC-"&amp;TEXT(ROW()-ROW(tblMaster[#Headers]),"00000")
))</f>
        <v>DOC-01180</v>
      </c>
      <c r="B1181" s="49">
        <v>45985</v>
      </c>
      <c r="C1181" s="42" t="s">
        <v>4721</v>
      </c>
      <c r="D1181" s="42" t="s">
        <v>4722</v>
      </c>
      <c r="E1181" s="38" t="s">
        <v>4723</v>
      </c>
      <c r="F1181" s="17" t="s">
        <v>4724</v>
      </c>
      <c r="G1181" s="42" t="s">
        <v>4725</v>
      </c>
      <c r="H1181" s="17" t="s">
        <v>4609</v>
      </c>
      <c r="I1181" s="17" t="s">
        <v>2276</v>
      </c>
      <c r="K1181" s="5" t="s">
        <v>4185</v>
      </c>
      <c r="L1181" t="str">
        <f t="shared" si="19"/>
        <v>bawneesioux@gmail.com</v>
      </c>
    </row>
    <row r="1182" spans="1:12">
      <c r="A1182" t="str" cm="1">
        <f t="array" ref="A1182">_xlfn.LET(_xlpm.e,L1182,
IF(_xlpm.e="","",
"DOC-"&amp;TEXT(ROW()-ROW(tblMaster[#Headers]),"00000")
))</f>
        <v>DOC-01181</v>
      </c>
      <c r="B1182" s="49">
        <v>45985</v>
      </c>
      <c r="C1182" s="42" t="s">
        <v>4726</v>
      </c>
      <c r="D1182" s="42" t="s">
        <v>4727</v>
      </c>
      <c r="E1182" s="38" t="s">
        <v>4728</v>
      </c>
      <c r="F1182" s="17" t="s">
        <v>4729</v>
      </c>
      <c r="G1182" s="42" t="s">
        <v>750</v>
      </c>
      <c r="H1182" s="17" t="s">
        <v>4730</v>
      </c>
      <c r="I1182" s="17" t="s">
        <v>2276</v>
      </c>
      <c r="J1182" s="99" t="s">
        <v>497</v>
      </c>
      <c r="K1182" s="5" t="s">
        <v>4185</v>
      </c>
      <c r="L1182" t="str">
        <f t="shared" si="19"/>
        <v>abusayed98@yahoo.com</v>
      </c>
    </row>
    <row r="1183" spans="1:12">
      <c r="A1183" t="str" cm="1">
        <f t="array" ref="A1183">_xlfn.LET(_xlpm.e,L1183,
IF(_xlpm.e="","",
"DOC-"&amp;TEXT(ROW()-ROW(tblMaster[#Headers]),"00000")
))</f>
        <v>DOC-01182</v>
      </c>
      <c r="B1183" s="49">
        <v>45985</v>
      </c>
      <c r="C1183" s="42" t="s">
        <v>527</v>
      </c>
      <c r="D1183" s="42" t="s">
        <v>4731</v>
      </c>
      <c r="E1183" s="38" t="s">
        <v>4732</v>
      </c>
      <c r="F1183" s="17"/>
      <c r="G1183" s="42"/>
      <c r="H1183" s="17"/>
      <c r="I1183" s="18" t="s">
        <v>101</v>
      </c>
      <c r="K1183" s="5" t="s">
        <v>4185</v>
      </c>
      <c r="L1183" t="str">
        <f t="shared" si="19"/>
        <v>jamesthreejz@gmail.com</v>
      </c>
    </row>
    <row r="1184" spans="1:12">
      <c r="A1184" t="str" cm="1">
        <f t="array" ref="A1184">_xlfn.LET(_xlpm.e,L1184,
IF(_xlpm.e="","",
"DOC-"&amp;TEXT(ROW()-ROW(tblMaster[#Headers]),"00000")
))</f>
        <v>DOC-01183</v>
      </c>
      <c r="B1184" s="49">
        <v>45985</v>
      </c>
      <c r="C1184" s="42" t="s">
        <v>4733</v>
      </c>
      <c r="D1184" s="42" t="s">
        <v>4734</v>
      </c>
      <c r="E1184" s="42" t="s">
        <v>4735</v>
      </c>
      <c r="F1184" s="17" t="s">
        <v>4736</v>
      </c>
      <c r="G1184" s="42" t="s">
        <v>2098</v>
      </c>
      <c r="H1184" s="17" t="s">
        <v>17</v>
      </c>
      <c r="I1184" s="18" t="s">
        <v>101</v>
      </c>
      <c r="K1184" s="5" t="s">
        <v>4185</v>
      </c>
      <c r="L1184" t="str">
        <f t="shared" si="19"/>
        <v>gpatel1295@gmail.com</v>
      </c>
    </row>
    <row r="1185" spans="1:12">
      <c r="A1185" t="str" cm="1">
        <f t="array" ref="A1185">_xlfn.LET(_xlpm.e,L1185,
IF(_xlpm.e="","",
"DOC-"&amp;TEXT(ROW()-ROW(tblMaster[#Headers]),"00000")
))</f>
        <v>DOC-01184</v>
      </c>
      <c r="B1185" s="49">
        <v>45985</v>
      </c>
      <c r="C1185" s="42" t="s">
        <v>4737</v>
      </c>
      <c r="D1185" s="42" t="s">
        <v>4738</v>
      </c>
      <c r="E1185" s="38" t="s">
        <v>4739</v>
      </c>
      <c r="F1185" s="17" t="s">
        <v>4740</v>
      </c>
      <c r="G1185" s="42" t="s">
        <v>4741</v>
      </c>
      <c r="H1185" s="17" t="s">
        <v>53</v>
      </c>
      <c r="I1185" s="17" t="s">
        <v>2276</v>
      </c>
      <c r="J1185" s="99" t="s">
        <v>66</v>
      </c>
      <c r="K1185" s="5" t="s">
        <v>4185</v>
      </c>
      <c r="L1185" t="str">
        <f t="shared" si="19"/>
        <v>mikotadros21@gmail.com</v>
      </c>
    </row>
    <row r="1186" spans="1:12">
      <c r="A1186" t="str" cm="1">
        <f t="array" ref="A1186">_xlfn.LET(_xlpm.e,L1186,
IF(_xlpm.e="","",
"DOC-"&amp;TEXT(ROW()-ROW(tblMaster[#Headers]),"00000")
))</f>
        <v>DOC-01185</v>
      </c>
      <c r="B1186" s="49">
        <v>45985</v>
      </c>
      <c r="C1186" s="42" t="s">
        <v>3060</v>
      </c>
      <c r="D1186" s="42" t="s">
        <v>4742</v>
      </c>
      <c r="E1186" s="38" t="s">
        <v>4743</v>
      </c>
      <c r="F1186" s="17" t="s">
        <v>4744</v>
      </c>
      <c r="G1186" s="42" t="s">
        <v>3064</v>
      </c>
      <c r="H1186" s="17" t="s">
        <v>17</v>
      </c>
      <c r="I1186" s="17"/>
      <c r="K1186" s="5" t="s">
        <v>4185</v>
      </c>
      <c r="L1186" t="str">
        <f t="shared" si="19"/>
        <v>nelsonolinares123@gmail.com</v>
      </c>
    </row>
    <row r="1187" spans="1:12">
      <c r="A1187" t="str" cm="1">
        <f t="array" ref="A1187">_xlfn.LET(_xlpm.e,L1187,
IF(_xlpm.e="","",
"DOC-"&amp;TEXT(ROW()-ROW(tblMaster[#Headers]),"00000")
))</f>
        <v>DOC-01186</v>
      </c>
      <c r="B1187" s="49">
        <v>45985</v>
      </c>
      <c r="C1187" s="42" t="s">
        <v>1261</v>
      </c>
      <c r="D1187" s="42" t="s">
        <v>945</v>
      </c>
      <c r="E1187" s="38" t="s">
        <v>4745</v>
      </c>
      <c r="F1187" s="17" t="s">
        <v>4746</v>
      </c>
      <c r="G1187" s="42" t="s">
        <v>4747</v>
      </c>
      <c r="H1187" s="17" t="s">
        <v>4748</v>
      </c>
      <c r="I1187" s="18" t="s">
        <v>54</v>
      </c>
      <c r="K1187" s="5" t="s">
        <v>4185</v>
      </c>
      <c r="L1187" t="str">
        <f t="shared" si="19"/>
        <v>andrewwilliamsphotographs@gmail.com</v>
      </c>
    </row>
    <row r="1188" spans="1:12">
      <c r="A1188" t="str" cm="1">
        <f t="array" ref="A1188">_xlfn.LET(_xlpm.e,L1188,
IF(_xlpm.e="","",
"DOC-"&amp;TEXT(ROW()-ROW(tblMaster[#Headers]),"00000")
))</f>
        <v>DOC-01187</v>
      </c>
      <c r="B1188" s="49">
        <v>45985</v>
      </c>
      <c r="C1188" s="42" t="s">
        <v>4749</v>
      </c>
      <c r="D1188" s="42" t="s">
        <v>287</v>
      </c>
      <c r="E1188" s="38" t="s">
        <v>4750</v>
      </c>
      <c r="F1188" s="17" t="s">
        <v>4751</v>
      </c>
      <c r="G1188" s="42" t="s">
        <v>2088</v>
      </c>
      <c r="H1188" s="17" t="s">
        <v>17</v>
      </c>
      <c r="I1188" s="18" t="s">
        <v>54</v>
      </c>
      <c r="K1188" s="5" t="s">
        <v>4185</v>
      </c>
      <c r="L1188" t="str">
        <f t="shared" si="19"/>
        <v>sixtogonzalez18@hotmail.com</v>
      </c>
    </row>
    <row r="1189" spans="1:12">
      <c r="A1189" t="str" cm="1">
        <f t="array" ref="A1189">_xlfn.LET(_xlpm.e,L1189,
IF(_xlpm.e="","",
"DOC-"&amp;TEXT(ROW()-ROW(tblMaster[#Headers]),"00000")
))</f>
        <v>DOC-01188</v>
      </c>
      <c r="B1189" s="49">
        <v>45985</v>
      </c>
      <c r="C1189" s="42" t="s">
        <v>1316</v>
      </c>
      <c r="D1189" s="42" t="s">
        <v>1744</v>
      </c>
      <c r="E1189" s="38" t="s">
        <v>4752</v>
      </c>
      <c r="F1189" s="17" t="s">
        <v>4753</v>
      </c>
      <c r="G1189" s="42" t="s">
        <v>4754</v>
      </c>
      <c r="H1189" s="17" t="s">
        <v>17</v>
      </c>
      <c r="I1189" s="18" t="s">
        <v>54</v>
      </c>
      <c r="J1189" s="99" t="s">
        <v>560</v>
      </c>
      <c r="K1189" s="5" t="s">
        <v>4185</v>
      </c>
      <c r="L1189" t="str">
        <f t="shared" si="19"/>
        <v>jillianwilliams540@gmail.com</v>
      </c>
    </row>
    <row r="1190" spans="1:12">
      <c r="A1190" t="str" cm="1">
        <f t="array" ref="A1190">_xlfn.LET(_xlpm.e,L1190,
IF(_xlpm.e="","",
"DOC-"&amp;TEXT(ROW()-ROW(tblMaster[#Headers]),"00000")
))</f>
        <v>DOC-01189</v>
      </c>
      <c r="B1190" s="49">
        <v>45986</v>
      </c>
      <c r="C1190" s="42" t="s">
        <v>4755</v>
      </c>
      <c r="D1190" s="42" t="s">
        <v>4756</v>
      </c>
      <c r="E1190" s="38" t="s">
        <v>4757</v>
      </c>
      <c r="F1190" s="17" t="s">
        <v>4758</v>
      </c>
      <c r="G1190" s="42" t="s">
        <v>3506</v>
      </c>
      <c r="H1190" s="17" t="s">
        <v>1590</v>
      </c>
      <c r="I1190" s="18" t="s">
        <v>193</v>
      </c>
      <c r="J1190" s="99" t="s">
        <v>194</v>
      </c>
      <c r="K1190" s="5" t="s">
        <v>4185</v>
      </c>
      <c r="L1190" t="str">
        <f t="shared" si="19"/>
        <v>alexacperrotti@gmail.com</v>
      </c>
    </row>
    <row r="1191" spans="1:12">
      <c r="A1191" t="str" cm="1">
        <f t="array" ref="A1191">_xlfn.LET(_xlpm.e,L1191,
IF(_xlpm.e="","",
"DOC-"&amp;TEXT(ROW()-ROW(tblMaster[#Headers]),"00000")
))</f>
        <v>DOC-01190</v>
      </c>
      <c r="B1191" s="49">
        <v>45986</v>
      </c>
      <c r="C1191" s="42" t="s">
        <v>4759</v>
      </c>
      <c r="D1191" s="42" t="s">
        <v>677</v>
      </c>
      <c r="E1191" s="38" t="s">
        <v>4760</v>
      </c>
      <c r="F1191" s="17" t="s">
        <v>4761</v>
      </c>
      <c r="G1191" s="42" t="s">
        <v>4762</v>
      </c>
      <c r="H1191" s="17" t="s">
        <v>17</v>
      </c>
      <c r="I1191" s="18" t="s">
        <v>54</v>
      </c>
      <c r="J1191" s="99" t="s">
        <v>23</v>
      </c>
      <c r="K1191" s="5" t="s">
        <v>4185</v>
      </c>
      <c r="L1191" t="str">
        <f t="shared" si="19"/>
        <v>trevorm382@gmail.com</v>
      </c>
    </row>
    <row r="1192" spans="1:12">
      <c r="A1192" t="str" cm="1">
        <f t="array" ref="A1192">_xlfn.LET(_xlpm.e,L1192,
IF(_xlpm.e="","",
"DOC-"&amp;TEXT(ROW()-ROW(tblMaster[#Headers]),"00000")
))</f>
        <v>DOC-01191</v>
      </c>
      <c r="B1192" s="49">
        <v>45986</v>
      </c>
      <c r="C1192" s="42" t="s">
        <v>4763</v>
      </c>
      <c r="D1192" s="42" t="s">
        <v>4764</v>
      </c>
      <c r="E1192" s="38" t="s">
        <v>4765</v>
      </c>
      <c r="F1192" s="17" t="s">
        <v>4766</v>
      </c>
      <c r="G1192" s="42" t="s">
        <v>4767</v>
      </c>
      <c r="H1192" s="17" t="s">
        <v>355</v>
      </c>
      <c r="I1192" s="18" t="s">
        <v>54</v>
      </c>
      <c r="J1192" s="99" t="s">
        <v>66</v>
      </c>
      <c r="K1192" s="5" t="s">
        <v>4185</v>
      </c>
      <c r="L1192" t="str">
        <f t="shared" si="19"/>
        <v>geoffreygori87@gmail.com</v>
      </c>
    </row>
    <row r="1193" spans="1:12">
      <c r="A1193" t="str" cm="1">
        <f t="array" ref="A1193">_xlfn.LET(_xlpm.e,L1193,
IF(_xlpm.e="","",
"DOC-"&amp;TEXT(ROW()-ROW(tblMaster[#Headers]),"00000")
))</f>
        <v>DOC-01192</v>
      </c>
      <c r="B1193" s="49">
        <v>45986</v>
      </c>
      <c r="C1193" s="42" t="s">
        <v>480</v>
      </c>
      <c r="D1193" s="42" t="s">
        <v>4768</v>
      </c>
      <c r="E1193" s="38" t="s">
        <v>4769</v>
      </c>
      <c r="F1193" s="17" t="s">
        <v>4770</v>
      </c>
      <c r="G1193" s="42" t="s">
        <v>4771</v>
      </c>
      <c r="H1193" s="17" t="s">
        <v>17</v>
      </c>
      <c r="I1193" s="17" t="s">
        <v>112</v>
      </c>
      <c r="K1193" s="5" t="s">
        <v>4185</v>
      </c>
      <c r="L1193" t="str">
        <f t="shared" si="19"/>
        <v>charliebwin2023@gmail.com</v>
      </c>
    </row>
    <row r="1194" spans="1:12">
      <c r="A1194" t="str" cm="1">
        <f t="array" ref="A1194">_xlfn.LET(_xlpm.e,L1194,
IF(_xlpm.e="","",
"DOC-"&amp;TEXT(ROW()-ROW(tblMaster[#Headers]),"00000")
))</f>
        <v>DOC-01193</v>
      </c>
      <c r="B1194" s="49">
        <v>45986</v>
      </c>
      <c r="C1194" s="42" t="s">
        <v>4772</v>
      </c>
      <c r="D1194" s="42" t="s">
        <v>4663</v>
      </c>
      <c r="E1194" s="42" t="s">
        <v>4773</v>
      </c>
      <c r="F1194" s="17" t="s">
        <v>4665</v>
      </c>
      <c r="G1194" s="42" t="s">
        <v>4774</v>
      </c>
      <c r="H1194" s="17" t="s">
        <v>17</v>
      </c>
      <c r="I1194" s="17" t="s">
        <v>18</v>
      </c>
      <c r="K1194" s="5" t="s">
        <v>4185</v>
      </c>
      <c r="L1194" t="str">
        <f t="shared" si="19"/>
        <v>mpimental35@bristolcc.edu</v>
      </c>
    </row>
    <row r="1195" spans="1:12">
      <c r="A1195" t="str" cm="1">
        <f t="array" ref="A1195">_xlfn.LET(_xlpm.e,L1195,
IF(_xlpm.e="","",
"DOC-"&amp;TEXT(ROW()-ROW(tblMaster[#Headers]),"00000")
))</f>
        <v>DOC-01194</v>
      </c>
      <c r="B1195" s="49">
        <v>45986</v>
      </c>
      <c r="C1195" s="42" t="s">
        <v>4775</v>
      </c>
      <c r="D1195" s="42" t="s">
        <v>2355</v>
      </c>
      <c r="E1195" s="38" t="s">
        <v>4776</v>
      </c>
      <c r="F1195" s="17" t="s">
        <v>4777</v>
      </c>
      <c r="G1195" s="42" t="s">
        <v>257</v>
      </c>
      <c r="H1195" s="17" t="s">
        <v>17</v>
      </c>
      <c r="I1195" s="18" t="s">
        <v>101</v>
      </c>
      <c r="K1195" s="5" t="s">
        <v>4185</v>
      </c>
      <c r="L1195" t="str">
        <f t="shared" si="19"/>
        <v>jonawashington@gmail.com</v>
      </c>
    </row>
    <row r="1196" spans="1:12">
      <c r="A1196" t="str" cm="1">
        <f t="array" ref="A1196">_xlfn.LET(_xlpm.e,L1196,
IF(_xlpm.e="","",
"DOC-"&amp;TEXT(ROW()-ROW(tblMaster[#Headers]),"00000")
))</f>
        <v>DOC-01195</v>
      </c>
      <c r="B1196" s="49">
        <v>45986</v>
      </c>
      <c r="C1196" s="42" t="s">
        <v>4778</v>
      </c>
      <c r="D1196" s="42" t="s">
        <v>4779</v>
      </c>
      <c r="E1196" s="38" t="s">
        <v>4780</v>
      </c>
      <c r="F1196" s="17" t="s">
        <v>4781</v>
      </c>
      <c r="G1196" s="42" t="s">
        <v>479</v>
      </c>
      <c r="H1196" s="17" t="s">
        <v>17</v>
      </c>
      <c r="I1196" s="18" t="s">
        <v>54</v>
      </c>
      <c r="J1196" s="99" t="s">
        <v>66</v>
      </c>
      <c r="K1196" s="5" t="s">
        <v>4185</v>
      </c>
      <c r="L1196" t="str">
        <f t="shared" si="19"/>
        <v>catalinagp12@gmail.com</v>
      </c>
    </row>
    <row r="1197" spans="1:12">
      <c r="A1197" t="str" cm="1">
        <f t="array" ref="A1197">_xlfn.LET(_xlpm.e,L1197,
IF(_xlpm.e="","",
"DOC-"&amp;TEXT(ROW()-ROW(tblMaster[#Headers]),"00000")
))</f>
        <v>DOC-01196</v>
      </c>
      <c r="B1197" s="49">
        <v>45986</v>
      </c>
      <c r="C1197" s="42" t="s">
        <v>4782</v>
      </c>
      <c r="D1197" s="42" t="s">
        <v>4783</v>
      </c>
      <c r="E1197" s="38" t="s">
        <v>4784</v>
      </c>
      <c r="F1197" s="17" t="s">
        <v>4785</v>
      </c>
      <c r="G1197" s="42" t="s">
        <v>257</v>
      </c>
      <c r="H1197" s="17" t="s">
        <v>17</v>
      </c>
      <c r="I1197" s="18" t="s">
        <v>54</v>
      </c>
      <c r="J1197" s="99" t="s">
        <v>23</v>
      </c>
      <c r="K1197" s="5" t="s">
        <v>4185</v>
      </c>
      <c r="L1197" t="str">
        <f t="shared" si="19"/>
        <v>sincerepayne@icloud.com</v>
      </c>
    </row>
    <row r="1198" spans="1:12">
      <c r="A1198" t="str" cm="1">
        <f t="array" ref="A1198">_xlfn.LET(_xlpm.e,L1198,
IF(_xlpm.e="","",
"DOC-"&amp;TEXT(ROW()-ROW(tblMaster[#Headers]),"00000")
))</f>
        <v>DOC-01197</v>
      </c>
      <c r="B1198" s="49">
        <v>45987</v>
      </c>
      <c r="C1198" s="42" t="s">
        <v>4786</v>
      </c>
      <c r="D1198" s="42" t="s">
        <v>4787</v>
      </c>
      <c r="E1198" s="38" t="s">
        <v>4788</v>
      </c>
      <c r="F1198" s="17" t="s">
        <v>4789</v>
      </c>
      <c r="G1198" s="42" t="s">
        <v>4790</v>
      </c>
      <c r="H1198" s="17" t="s">
        <v>153</v>
      </c>
      <c r="I1198" s="18" t="s">
        <v>101</v>
      </c>
      <c r="K1198" s="5" t="s">
        <v>4185</v>
      </c>
      <c r="L1198" t="str">
        <f t="shared" si="19"/>
        <v>naadeevans7@gmail.com</v>
      </c>
    </row>
    <row r="1199" spans="1:12">
      <c r="A1199" t="str" cm="1">
        <f t="array" ref="A1199">_xlfn.LET(_xlpm.e,L1199,
IF(_xlpm.e="","",
"DOC-"&amp;TEXT(ROW()-ROW(tblMaster[#Headers]),"00000")
))</f>
        <v>DOC-01198</v>
      </c>
      <c r="B1199" s="49">
        <v>45989</v>
      </c>
      <c r="C1199" s="42" t="s">
        <v>4791</v>
      </c>
      <c r="D1199" s="42" t="s">
        <v>658</v>
      </c>
      <c r="E1199" s="38" t="s">
        <v>4792</v>
      </c>
      <c r="F1199" s="17" t="s">
        <v>4793</v>
      </c>
      <c r="G1199" s="42" t="s">
        <v>33</v>
      </c>
      <c r="H1199" s="17" t="s">
        <v>17</v>
      </c>
      <c r="I1199" s="18" t="s">
        <v>54</v>
      </c>
      <c r="K1199" s="5" t="s">
        <v>4185</v>
      </c>
      <c r="L1199" t="str">
        <f t="shared" si="19"/>
        <v>louisjurgenson22@gmail.com</v>
      </c>
    </row>
    <row r="1200" spans="1:12">
      <c r="A1200" t="str" cm="1">
        <f t="array" ref="A1200">_xlfn.LET(_xlpm.e,L1200,
IF(_xlpm.e="","",
"DOC-"&amp;TEXT(ROW()-ROW(tblMaster[#Headers]),"00000")
))</f>
        <v>DOC-01199</v>
      </c>
      <c r="B1200" s="49">
        <v>45989</v>
      </c>
      <c r="C1200" s="42" t="s">
        <v>4794</v>
      </c>
      <c r="D1200" s="42" t="s">
        <v>4795</v>
      </c>
      <c r="E1200" s="38" t="s">
        <v>4796</v>
      </c>
      <c r="F1200" s="17" t="s">
        <v>4797</v>
      </c>
      <c r="G1200" s="42" t="s">
        <v>147</v>
      </c>
      <c r="H1200" s="17" t="s">
        <v>17</v>
      </c>
      <c r="I1200" s="18" t="s">
        <v>54</v>
      </c>
      <c r="K1200" s="5" t="s">
        <v>4185</v>
      </c>
      <c r="L1200" t="str">
        <f t="shared" si="19"/>
        <v>adrihmi@yahoo.com</v>
      </c>
    </row>
    <row r="1201" spans="1:12">
      <c r="A1201" t="str" cm="1">
        <f t="array" ref="A1201">_xlfn.LET(_xlpm.e,L1201,
IF(_xlpm.e="","",
"DOC-"&amp;TEXT(ROW()-ROW(tblMaster[#Headers]),"00000")
))</f>
        <v>DOC-01200</v>
      </c>
      <c r="B1201" s="49">
        <v>45989</v>
      </c>
      <c r="C1201" s="42" t="s">
        <v>93</v>
      </c>
      <c r="D1201" s="42" t="s">
        <v>4798</v>
      </c>
      <c r="E1201" s="38" t="s">
        <v>4799</v>
      </c>
      <c r="F1201" s="17" t="s">
        <v>4800</v>
      </c>
      <c r="G1201" s="42" t="s">
        <v>4801</v>
      </c>
      <c r="H1201" s="17" t="s">
        <v>17</v>
      </c>
      <c r="I1201" s="18" t="s">
        <v>54</v>
      </c>
      <c r="J1201" s="99" t="s">
        <v>497</v>
      </c>
      <c r="K1201" s="5" t="s">
        <v>4185</v>
      </c>
      <c r="L1201" t="str">
        <f t="shared" si="19"/>
        <v>purplepop1685@gmail.com</v>
      </c>
    </row>
    <row r="1202" spans="1:12">
      <c r="A1202" t="str" cm="1">
        <f t="array" ref="A1202">_xlfn.LET(_xlpm.e,L1202,
IF(_xlpm.e="","",
"DOC-"&amp;TEXT(ROW()-ROW(tblMaster[#Headers]),"00000")
))</f>
        <v>DOC-01201</v>
      </c>
      <c r="B1202" s="49">
        <v>45989</v>
      </c>
      <c r="C1202" s="42" t="s">
        <v>4802</v>
      </c>
      <c r="D1202" s="42" t="s">
        <v>4803</v>
      </c>
      <c r="E1202" s="38" t="s">
        <v>4804</v>
      </c>
      <c r="F1202" s="17" t="s">
        <v>4805</v>
      </c>
      <c r="G1202" s="42" t="s">
        <v>4806</v>
      </c>
      <c r="H1202" s="17" t="s">
        <v>17</v>
      </c>
      <c r="I1202" s="18" t="s">
        <v>54</v>
      </c>
      <c r="J1202" s="99" t="s">
        <v>66</v>
      </c>
      <c r="K1202" s="5" t="s">
        <v>4185</v>
      </c>
      <c r="L1202" t="str">
        <f t="shared" si="19"/>
        <v>malazarte07@gmail.com</v>
      </c>
    </row>
    <row r="1203" spans="1:12">
      <c r="A1203" t="str" cm="1">
        <f t="array" ref="A1203">_xlfn.LET(_xlpm.e,L1203,
IF(_xlpm.e="","",
"DOC-"&amp;TEXT(ROW()-ROW(tblMaster[#Headers]),"00000")
))</f>
        <v>DOC-01202</v>
      </c>
      <c r="B1203" s="49">
        <v>45989</v>
      </c>
      <c r="C1203" s="42" t="s">
        <v>55</v>
      </c>
      <c r="D1203" s="42" t="s">
        <v>4807</v>
      </c>
      <c r="E1203" s="38" t="s">
        <v>4808</v>
      </c>
      <c r="F1203" s="17" t="s">
        <v>4809</v>
      </c>
      <c r="G1203" s="42" t="s">
        <v>74</v>
      </c>
      <c r="H1203" s="17" t="s">
        <v>17</v>
      </c>
      <c r="I1203" s="18" t="s">
        <v>54</v>
      </c>
      <c r="J1203" s="99" t="s">
        <v>23</v>
      </c>
      <c r="K1203" s="5" t="s">
        <v>4185</v>
      </c>
      <c r="L1203" t="str">
        <f t="shared" si="19"/>
        <v>holdbrookmicheal7@gmail.com</v>
      </c>
    </row>
    <row r="1204" spans="1:12">
      <c r="A1204" t="str" cm="1">
        <f t="array" ref="A1204">_xlfn.LET(_xlpm.e,L1204,
IF(_xlpm.e="","",
"DOC-"&amp;TEXT(ROW()-ROW(tblMaster[#Headers]),"00000")
))</f>
        <v>DOC-01203</v>
      </c>
      <c r="B1204" s="49">
        <v>45989</v>
      </c>
      <c r="C1204" s="42" t="s">
        <v>1925</v>
      </c>
      <c r="D1204" s="42" t="s">
        <v>4810</v>
      </c>
      <c r="E1204" s="38" t="s">
        <v>4811</v>
      </c>
      <c r="F1204" s="17"/>
      <c r="G1204" s="42"/>
      <c r="H1204" s="17"/>
      <c r="I1204" s="18" t="s">
        <v>101</v>
      </c>
      <c r="K1204" s="5" t="s">
        <v>4185</v>
      </c>
      <c r="L1204" t="str">
        <f t="shared" si="19"/>
        <v>tommyleeruiz@gmail.com</v>
      </c>
    </row>
    <row r="1205" spans="1:12">
      <c r="A1205" t="str" cm="1">
        <f t="array" ref="A1205">_xlfn.LET(_xlpm.e,L1205,
IF(_xlpm.e="","",
"DOC-"&amp;TEXT(ROW()-ROW(tblMaster[#Headers]),"00000")
))</f>
        <v>DOC-01204</v>
      </c>
      <c r="B1205" s="49">
        <v>45991</v>
      </c>
      <c r="C1205" s="42" t="s">
        <v>1152</v>
      </c>
      <c r="D1205" s="42" t="s">
        <v>4812</v>
      </c>
      <c r="E1205" s="38" t="s">
        <v>4813</v>
      </c>
      <c r="F1205" s="17" t="s">
        <v>4814</v>
      </c>
      <c r="G1205" s="42" t="s">
        <v>4815</v>
      </c>
      <c r="H1205" s="17" t="s">
        <v>17</v>
      </c>
      <c r="I1205" s="17" t="s">
        <v>2276</v>
      </c>
      <c r="J1205" s="99" t="s">
        <v>497</v>
      </c>
      <c r="K1205" s="5" t="s">
        <v>4185</v>
      </c>
      <c r="L1205" t="str">
        <f t="shared" si="19"/>
        <v>huntermarcelsicard@gmail.com</v>
      </c>
    </row>
    <row r="1206" spans="1:12">
      <c r="A1206" t="str" cm="1">
        <f t="array" ref="A1206">_xlfn.LET(_xlpm.e,L1206,
IF(_xlpm.e="","",
"DOC-"&amp;TEXT(ROW()-ROW(tblMaster[#Headers]),"00000")
))</f>
        <v>DOC-01205</v>
      </c>
      <c r="B1206" s="49">
        <v>45991</v>
      </c>
      <c r="C1206" s="42" t="s">
        <v>2063</v>
      </c>
      <c r="D1206" s="42" t="s">
        <v>4816</v>
      </c>
      <c r="E1206" s="38" t="s">
        <v>4817</v>
      </c>
      <c r="F1206" s="17"/>
      <c r="G1206" s="42" t="s">
        <v>2847</v>
      </c>
      <c r="H1206" s="17" t="s">
        <v>53</v>
      </c>
      <c r="I1206" s="18" t="s">
        <v>101</v>
      </c>
      <c r="K1206" s="5" t="s">
        <v>4185</v>
      </c>
      <c r="L1206" t="str">
        <f t="shared" si="19"/>
        <v>a13cabral@student.bridgew.edu</v>
      </c>
    </row>
    <row r="1207" spans="1:12">
      <c r="A1207" t="str" cm="1">
        <f t="array" ref="A1207">_xlfn.LET(_xlpm.e,L1207,
IF(_xlpm.e="","",
"DOC-"&amp;TEXT(ROW()-ROW(tblMaster[#Headers]),"00000")
))</f>
        <v>DOC-01206</v>
      </c>
      <c r="B1207" s="49">
        <v>45991</v>
      </c>
      <c r="C1207" s="42" t="s">
        <v>4818</v>
      </c>
      <c r="D1207" s="42" t="s">
        <v>4819</v>
      </c>
      <c r="E1207" s="38" t="s">
        <v>4820</v>
      </c>
      <c r="F1207" s="17"/>
      <c r="G1207" s="42"/>
      <c r="H1207" s="17"/>
      <c r="I1207" s="18" t="s">
        <v>101</v>
      </c>
      <c r="K1207" s="5" t="s">
        <v>4185</v>
      </c>
      <c r="L1207" t="str">
        <f t="shared" si="19"/>
        <v>aftaj958@gmail.com</v>
      </c>
    </row>
    <row r="1208" spans="1:12">
      <c r="A1208" t="str" cm="1">
        <f t="array" ref="A1208">_xlfn.LET(_xlpm.e,L1208,
IF(_xlpm.e="","",
"DOC-"&amp;TEXT(ROW()-ROW(tblMaster[#Headers]),"00000")
))</f>
        <v>DOC-01207</v>
      </c>
      <c r="B1208" s="49">
        <v>45991</v>
      </c>
      <c r="C1208" s="42" t="s">
        <v>4821</v>
      </c>
      <c r="D1208" s="42" t="s">
        <v>2573</v>
      </c>
      <c r="E1208" s="38" t="s">
        <v>4822</v>
      </c>
      <c r="F1208" s="17" t="s">
        <v>4823</v>
      </c>
      <c r="G1208" s="42" t="s">
        <v>52</v>
      </c>
      <c r="H1208" s="17" t="s">
        <v>17</v>
      </c>
      <c r="I1208" s="18" t="s">
        <v>101</v>
      </c>
      <c r="K1208" s="5" t="s">
        <v>4185</v>
      </c>
      <c r="L1208" t="str">
        <f t="shared" si="19"/>
        <v>jocelynmorales522@icloud.com</v>
      </c>
    </row>
    <row r="1209" spans="1:12">
      <c r="A1209" t="str" cm="1">
        <f t="array" ref="A1209">_xlfn.LET(_xlpm.e,L1209,
IF(_xlpm.e="","",
"DOC-"&amp;TEXT(ROW()-ROW(tblMaster[#Headers]),"00000")
))</f>
        <v>DOC-01208</v>
      </c>
      <c r="B1209" s="49">
        <v>45991</v>
      </c>
      <c r="C1209" s="42" t="s">
        <v>4824</v>
      </c>
      <c r="D1209" s="42" t="s">
        <v>4825</v>
      </c>
      <c r="E1209" s="38" t="s">
        <v>4826</v>
      </c>
      <c r="F1209" s="17" t="s">
        <v>4827</v>
      </c>
      <c r="G1209" s="42" t="s">
        <v>544</v>
      </c>
      <c r="H1209" s="17" t="s">
        <v>17</v>
      </c>
      <c r="I1209" s="18" t="s">
        <v>54</v>
      </c>
      <c r="J1209" s="99" t="s">
        <v>23</v>
      </c>
      <c r="K1209" s="5" t="s">
        <v>4185</v>
      </c>
      <c r="L1209" t="str">
        <f t="shared" si="19"/>
        <v>jaysonalvarez1515@gmail.com</v>
      </c>
    </row>
    <row r="1210" spans="1:12">
      <c r="A1210" t="str" cm="1">
        <f t="array" ref="A1210">_xlfn.LET(_xlpm.e,L1210,
IF(_xlpm.e="","",
"DOC-"&amp;TEXT(ROW()-ROW(tblMaster[#Headers]),"00000")
))</f>
        <v>DOC-01209</v>
      </c>
      <c r="B1210" s="49">
        <v>45991</v>
      </c>
      <c r="C1210" s="42" t="s">
        <v>4828</v>
      </c>
      <c r="D1210" s="42" t="s">
        <v>1193</v>
      </c>
      <c r="E1210" s="38" t="s">
        <v>4829</v>
      </c>
      <c r="F1210" s="17" t="s">
        <v>4830</v>
      </c>
      <c r="G1210" s="42" t="s">
        <v>4831</v>
      </c>
      <c r="H1210" s="17" t="s">
        <v>17</v>
      </c>
      <c r="I1210" s="18" t="s">
        <v>54</v>
      </c>
      <c r="K1210" s="5" t="s">
        <v>4185</v>
      </c>
      <c r="L1210" t="str">
        <f t="shared" si="19"/>
        <v>brennenryan12@yahoo.com</v>
      </c>
    </row>
    <row r="1211" spans="1:12">
      <c r="A1211" t="str" cm="1">
        <f t="array" ref="A1211">_xlfn.LET(_xlpm.e,L1211,
IF(_xlpm.e="","",
"DOC-"&amp;TEXT(ROW()-ROW(tblMaster[#Headers]),"00000")
))</f>
        <v>DOC-01210</v>
      </c>
      <c r="B1211" s="49">
        <v>45992</v>
      </c>
      <c r="C1211" s="42" t="s">
        <v>4832</v>
      </c>
      <c r="D1211" s="42" t="s">
        <v>4833</v>
      </c>
      <c r="E1211" s="38" t="s">
        <v>4834</v>
      </c>
      <c r="F1211" s="17" t="s">
        <v>4835</v>
      </c>
      <c r="G1211" s="42" t="s">
        <v>4836</v>
      </c>
      <c r="H1211" s="17"/>
      <c r="I1211" s="17" t="s">
        <v>112</v>
      </c>
      <c r="K1211" s="5" t="s">
        <v>4185</v>
      </c>
      <c r="L1211" t="str">
        <f t="shared" si="19"/>
        <v>ginjah340@gmail.com</v>
      </c>
    </row>
    <row r="1212" spans="1:12">
      <c r="A1212" t="str" cm="1">
        <f t="array" ref="A1212">_xlfn.LET(_xlpm.e,L1212,
IF(_xlpm.e="","",
"DOC-"&amp;TEXT(ROW()-ROW(tblMaster[#Headers]),"00000")
))</f>
        <v>DOC-01211</v>
      </c>
      <c r="B1212" s="49">
        <v>45992</v>
      </c>
      <c r="C1212" s="42" t="s">
        <v>4837</v>
      </c>
      <c r="D1212" s="42" t="s">
        <v>4838</v>
      </c>
      <c r="E1212" s="38" t="s">
        <v>4839</v>
      </c>
      <c r="F1212" s="17" t="s">
        <v>4840</v>
      </c>
      <c r="G1212" s="42" t="s">
        <v>2770</v>
      </c>
      <c r="H1212" s="17" t="s">
        <v>17</v>
      </c>
      <c r="I1212" s="17" t="s">
        <v>112</v>
      </c>
      <c r="J1212" s="99" t="s">
        <v>66</v>
      </c>
      <c r="K1212" s="5" t="s">
        <v>4185</v>
      </c>
      <c r="L1212" t="str">
        <f t="shared" si="19"/>
        <v>artcm711@gmail.com</v>
      </c>
    </row>
    <row r="1213" spans="1:12">
      <c r="A1213" t="str" cm="1">
        <f t="array" ref="A1213">_xlfn.LET(_xlpm.e,L1213,
IF(_xlpm.e="","",
"DOC-"&amp;TEXT(ROW()-ROW(tblMaster[#Headers]),"00000")
))</f>
        <v>DOC-01212</v>
      </c>
      <c r="B1213" s="49">
        <v>45992</v>
      </c>
      <c r="C1213" s="42" t="s">
        <v>4841</v>
      </c>
      <c r="D1213" s="42" t="s">
        <v>4842</v>
      </c>
      <c r="E1213" s="38" t="s">
        <v>4843</v>
      </c>
      <c r="F1213" s="17" t="s">
        <v>4844</v>
      </c>
      <c r="G1213" s="42" t="s">
        <v>742</v>
      </c>
      <c r="H1213" s="17" t="s">
        <v>53</v>
      </c>
      <c r="I1213" s="17" t="s">
        <v>2276</v>
      </c>
      <c r="K1213" s="5" t="s">
        <v>4185</v>
      </c>
      <c r="L1213" t="str">
        <f t="shared" si="19"/>
        <v>haydenwaack@gmail.com</v>
      </c>
    </row>
    <row r="1214" spans="1:12">
      <c r="A1214" t="str" cm="1">
        <f t="array" ref="A1214">_xlfn.LET(_xlpm.e,L1214,
IF(_xlpm.e="","",
"DOC-"&amp;TEXT(ROW()-ROW(tblMaster[#Headers]),"00000")
))</f>
        <v>DOC-01213</v>
      </c>
      <c r="B1214" s="49">
        <v>45992</v>
      </c>
      <c r="C1214" s="42" t="s">
        <v>4845</v>
      </c>
      <c r="D1214" s="42" t="s">
        <v>4846</v>
      </c>
      <c r="E1214" s="38" t="s">
        <v>4847</v>
      </c>
      <c r="F1214" s="17" t="s">
        <v>4848</v>
      </c>
      <c r="G1214" s="42" t="s">
        <v>4849</v>
      </c>
      <c r="H1214" s="17" t="s">
        <v>4850</v>
      </c>
      <c r="I1214" s="18" t="s">
        <v>101</v>
      </c>
      <c r="J1214" s="99" t="s">
        <v>194</v>
      </c>
      <c r="K1214" s="5" t="s">
        <v>4185</v>
      </c>
      <c r="L1214" t="str">
        <f t="shared" si="19"/>
        <v>travishenshaw@yahoo.com</v>
      </c>
    </row>
    <row r="1215" spans="1:12">
      <c r="A1215" t="str" cm="1">
        <f t="array" ref="A1215">_xlfn.LET(_xlpm.e,L1215,
IF(_xlpm.e="","",
"DOC-"&amp;TEXT(ROW()-ROW(tblMaster[#Headers]),"00000")
))</f>
        <v>DOC-01214</v>
      </c>
      <c r="B1215" s="49">
        <v>45992</v>
      </c>
      <c r="C1215" s="42" t="s">
        <v>4851</v>
      </c>
      <c r="D1215" s="42" t="s">
        <v>4852</v>
      </c>
      <c r="E1215" s="38" t="s">
        <v>4853</v>
      </c>
      <c r="F1215" s="17" t="s">
        <v>4854</v>
      </c>
      <c r="G1215" s="42" t="s">
        <v>74</v>
      </c>
      <c r="H1215" s="17" t="s">
        <v>17</v>
      </c>
      <c r="I1215" s="17" t="s">
        <v>2276</v>
      </c>
      <c r="J1215" s="99" t="s">
        <v>23</v>
      </c>
      <c r="K1215" s="5" t="s">
        <v>4185</v>
      </c>
      <c r="L1215" t="str">
        <f t="shared" si="19"/>
        <v>lawrencesulonteh@gmail.com</v>
      </c>
    </row>
    <row r="1216" spans="1:12" ht="15.75">
      <c r="A1216" t="str" cm="1">
        <f t="array" ref="A1216">_xlfn.LET(_xlpm.e,L1216,
IF(_xlpm.e="","",
"DOC-"&amp;TEXT(ROW()-ROW(tblMaster[#Headers]),"00000")
))</f>
        <v>DOC-01215</v>
      </c>
      <c r="B1216" s="49">
        <v>45992</v>
      </c>
      <c r="C1216" s="53" t="s">
        <v>1225</v>
      </c>
      <c r="D1216" s="42" t="s">
        <v>4855</v>
      </c>
      <c r="E1216" s="38" t="s">
        <v>4856</v>
      </c>
      <c r="F1216" s="17"/>
      <c r="G1216" s="42"/>
      <c r="H1216" s="17" t="s">
        <v>17</v>
      </c>
      <c r="I1216" s="17"/>
      <c r="K1216" s="5" t="s">
        <v>226</v>
      </c>
      <c r="L1216" t="str">
        <f t="shared" si="19"/>
        <v>emilymelissa8@gmail.com</v>
      </c>
    </row>
    <row r="1217" spans="1:12">
      <c r="A1217" t="str" cm="1">
        <f t="array" ref="A1217">_xlfn.LET(_xlpm.e,L1217,
IF(_xlpm.e="","",
"DOC-"&amp;TEXT(ROW()-ROW(tblMaster[#Headers]),"00000")
))</f>
        <v>DOC-01216</v>
      </c>
      <c r="B1217" s="49">
        <v>45992</v>
      </c>
      <c r="C1217" s="42" t="s">
        <v>4857</v>
      </c>
      <c r="D1217" s="42" t="s">
        <v>4858</v>
      </c>
      <c r="E1217" s="38" t="s">
        <v>4859</v>
      </c>
      <c r="F1217" s="17" t="s">
        <v>4860</v>
      </c>
      <c r="G1217" s="42" t="s">
        <v>2080</v>
      </c>
      <c r="H1217" s="17" t="s">
        <v>53</v>
      </c>
      <c r="I1217" s="17" t="s">
        <v>4036</v>
      </c>
      <c r="J1217" s="99" t="s">
        <v>497</v>
      </c>
      <c r="K1217" s="5" t="s">
        <v>4185</v>
      </c>
      <c r="L1217" t="str">
        <f t="shared" si="19"/>
        <v>desousar347@gmail.com</v>
      </c>
    </row>
    <row r="1218" spans="1:12">
      <c r="A1218" t="str" cm="1">
        <f t="array" ref="A1218">_xlfn.LET(_xlpm.e,L1218,
IF(_xlpm.e="","",
"DOC-"&amp;TEXT(ROW()-ROW(tblMaster[#Headers]),"00000")
))</f>
        <v>DOC-01217</v>
      </c>
      <c r="B1218" s="49">
        <v>45992</v>
      </c>
      <c r="C1218" s="42" t="s">
        <v>175</v>
      </c>
      <c r="D1218" s="42" t="s">
        <v>4861</v>
      </c>
      <c r="E1218" s="38" t="s">
        <v>4862</v>
      </c>
      <c r="F1218" s="17" t="s">
        <v>4863</v>
      </c>
      <c r="G1218" s="42" t="s">
        <v>4864</v>
      </c>
      <c r="H1218" s="17" t="s">
        <v>17</v>
      </c>
      <c r="I1218" s="17" t="s">
        <v>4036</v>
      </c>
      <c r="J1218" s="99" t="s">
        <v>560</v>
      </c>
      <c r="K1218" s="5" t="s">
        <v>4185</v>
      </c>
      <c r="L1218" t="str">
        <f t="shared" si="19"/>
        <v>ncormier86@yahoo.com</v>
      </c>
    </row>
    <row r="1219" spans="1:12" ht="15.75">
      <c r="A1219" t="str" cm="1">
        <f t="array" ref="A1219">_xlfn.LET(_xlpm.e,L1219,
IF(_xlpm.e="","",
"DOC-"&amp;TEXT(ROW()-ROW(tblMaster[#Headers]),"00000")
))</f>
        <v>DOC-01218</v>
      </c>
      <c r="B1219" s="49">
        <v>45993</v>
      </c>
      <c r="C1219" s="42" t="s">
        <v>778</v>
      </c>
      <c r="D1219" s="66" t="s">
        <v>4865</v>
      </c>
      <c r="E1219" s="38" t="s">
        <v>4866</v>
      </c>
      <c r="F1219" s="17" t="s">
        <v>4867</v>
      </c>
      <c r="G1219" s="42" t="s">
        <v>281</v>
      </c>
      <c r="H1219" s="17" t="s">
        <v>17</v>
      </c>
      <c r="I1219" s="18" t="s">
        <v>54</v>
      </c>
      <c r="J1219" s="99" t="s">
        <v>560</v>
      </c>
      <c r="K1219" s="5" t="s">
        <v>4185</v>
      </c>
      <c r="L1219" t="str">
        <f t="shared" si="19"/>
        <v>michaelpineda549@gmail.com</v>
      </c>
    </row>
    <row r="1220" spans="1:12">
      <c r="A1220" t="str" cm="1">
        <f t="array" ref="A1220">_xlfn.LET(_xlpm.e,L1220,
IF(_xlpm.e="","",
"DOC-"&amp;TEXT(ROW()-ROW(tblMaster[#Headers]),"00000")
))</f>
        <v>DOC-01219</v>
      </c>
      <c r="B1220" s="49">
        <v>45993</v>
      </c>
      <c r="C1220" s="42" t="s">
        <v>4611</v>
      </c>
      <c r="D1220" s="42" t="s">
        <v>4868</v>
      </c>
      <c r="E1220" s="38" t="s">
        <v>4869</v>
      </c>
      <c r="F1220" s="17" t="s">
        <v>4870</v>
      </c>
      <c r="G1220" s="42" t="s">
        <v>410</v>
      </c>
      <c r="H1220" s="17" t="s">
        <v>17</v>
      </c>
      <c r="I1220" s="18" t="s">
        <v>54</v>
      </c>
      <c r="J1220" s="99" t="s">
        <v>560</v>
      </c>
      <c r="K1220" s="5" t="s">
        <v>4185</v>
      </c>
      <c r="L1220" t="str">
        <f t="shared" si="19"/>
        <v>vmallada01@gmail.com</v>
      </c>
    </row>
    <row r="1221" spans="1:12">
      <c r="A1221" t="str" cm="1">
        <f t="array" ref="A1221">_xlfn.LET(_xlpm.e,L1221,
IF(_xlpm.e="","",
"DOC-"&amp;TEXT(ROW()-ROW(tblMaster[#Headers]),"00000")
))</f>
        <v>DOC-01220</v>
      </c>
      <c r="B1221" s="49">
        <v>45993</v>
      </c>
      <c r="C1221" s="42" t="s">
        <v>3112</v>
      </c>
      <c r="D1221" s="42" t="s">
        <v>4871</v>
      </c>
      <c r="E1221" s="38" t="s">
        <v>4872</v>
      </c>
      <c r="F1221" s="17" t="s">
        <v>4873</v>
      </c>
      <c r="G1221" s="42"/>
      <c r="H1221" s="17"/>
      <c r="I1221" s="18" t="s">
        <v>54</v>
      </c>
      <c r="J1221" s="99" t="s">
        <v>23</v>
      </c>
      <c r="K1221" s="5" t="s">
        <v>4185</v>
      </c>
      <c r="L1221" t="str">
        <f t="shared" si="19"/>
        <v>eric.jpitts@yahoo.com</v>
      </c>
    </row>
    <row r="1222" spans="1:12">
      <c r="A1222" t="str" cm="1">
        <f t="array" ref="A1222">_xlfn.LET(_xlpm.e,L1222,
IF(_xlpm.e="","",
"DOC-"&amp;TEXT(ROW()-ROW(tblMaster[#Headers]),"00000")
))</f>
        <v>DOC-01221</v>
      </c>
      <c r="B1222" s="49">
        <v>45993</v>
      </c>
      <c r="C1222" s="42" t="s">
        <v>4874</v>
      </c>
      <c r="D1222" s="42" t="s">
        <v>4875</v>
      </c>
      <c r="E1222" s="38" t="s">
        <v>4876</v>
      </c>
      <c r="F1222" s="17" t="s">
        <v>4877</v>
      </c>
      <c r="G1222" s="42" t="s">
        <v>1162</v>
      </c>
      <c r="H1222" s="17" t="s">
        <v>17</v>
      </c>
      <c r="I1222" s="18" t="s">
        <v>54</v>
      </c>
      <c r="J1222" s="99" t="s">
        <v>194</v>
      </c>
      <c r="K1222" s="5" t="s">
        <v>4185</v>
      </c>
      <c r="L1222" t="str">
        <f t="shared" ref="L1222:L1285" si="20">_xlfn.LET(_xlpm.x,E1222,
_xlpm.y,TRIM(CLEAN(SUBSTITUTE(_xlpm.x,CHAR(160)," "))),
LOWER(_xlpm.y))</f>
        <v>mlcolon2401@student.stcc.edu</v>
      </c>
    </row>
    <row r="1223" spans="1:12">
      <c r="A1223" t="str" cm="1">
        <f t="array" ref="A1223">_xlfn.LET(_xlpm.e,L1223,
IF(_xlpm.e="","",
"DOC-"&amp;TEXT(ROW()-ROW(tblMaster[#Headers]),"00000")
))</f>
        <v>DOC-01222</v>
      </c>
      <c r="B1223" s="49">
        <v>45994</v>
      </c>
      <c r="C1223" s="42" t="s">
        <v>4878</v>
      </c>
      <c r="D1223" s="42" t="s">
        <v>4879</v>
      </c>
      <c r="E1223" s="38" t="s">
        <v>4880</v>
      </c>
      <c r="F1223" s="17" t="s">
        <v>4881</v>
      </c>
      <c r="G1223" s="42" t="s">
        <v>138</v>
      </c>
      <c r="H1223" s="17" t="s">
        <v>17</v>
      </c>
      <c r="I1223" s="18" t="s">
        <v>54</v>
      </c>
      <c r="J1223" s="99" t="s">
        <v>66</v>
      </c>
      <c r="K1223" s="5" t="s">
        <v>4185</v>
      </c>
      <c r="L1223" t="str">
        <f t="shared" si="20"/>
        <v>nectali_aguilar@yahoo.com</v>
      </c>
    </row>
    <row r="1224" spans="1:12">
      <c r="A1224" t="str" cm="1">
        <f t="array" ref="A1224">_xlfn.LET(_xlpm.e,L1224,
IF(_xlpm.e="","",
"DOC-"&amp;TEXT(ROW()-ROW(tblMaster[#Headers]),"00000")
))</f>
        <v>DOC-01223</v>
      </c>
      <c r="B1224" s="49">
        <v>45994</v>
      </c>
      <c r="C1224" s="42" t="s">
        <v>2206</v>
      </c>
      <c r="D1224" s="42" t="s">
        <v>4882</v>
      </c>
      <c r="E1224" s="38" t="s">
        <v>4883</v>
      </c>
      <c r="F1224" s="17" t="s">
        <v>4884</v>
      </c>
      <c r="G1224" s="42" t="s">
        <v>276</v>
      </c>
      <c r="H1224" s="17" t="s">
        <v>17</v>
      </c>
      <c r="I1224" s="18" t="s">
        <v>54</v>
      </c>
      <c r="J1224" s="99" t="s">
        <v>66</v>
      </c>
      <c r="K1224" s="5" t="s">
        <v>4185</v>
      </c>
      <c r="L1224" t="str">
        <f t="shared" si="20"/>
        <v>jab72090@gmail.com</v>
      </c>
    </row>
    <row r="1225" spans="1:12">
      <c r="A1225" t="str" cm="1">
        <f t="array" ref="A1225">_xlfn.LET(_xlpm.e,L1225,
IF(_xlpm.e="","",
"DOC-"&amp;TEXT(ROW()-ROW(tblMaster[#Headers]),"00000")
))</f>
        <v>DOC-01224</v>
      </c>
      <c r="B1225" s="49">
        <v>45994</v>
      </c>
      <c r="C1225" s="42" t="s">
        <v>2063</v>
      </c>
      <c r="D1225" s="42" t="s">
        <v>4885</v>
      </c>
      <c r="E1225" s="38" t="s">
        <v>4886</v>
      </c>
      <c r="F1225" s="17" t="s">
        <v>4887</v>
      </c>
      <c r="G1225" s="42" t="s">
        <v>4888</v>
      </c>
      <c r="H1225" s="17" t="s">
        <v>53</v>
      </c>
      <c r="I1225" s="18" t="s">
        <v>54</v>
      </c>
      <c r="J1225" s="99" t="s">
        <v>560</v>
      </c>
      <c r="K1225" s="5" t="s">
        <v>4185</v>
      </c>
      <c r="L1225" t="str">
        <f t="shared" si="20"/>
        <v>robidouxalexis.1@gmail.com</v>
      </c>
    </row>
    <row r="1226" spans="1:12">
      <c r="A1226" t="str" cm="1">
        <f t="array" ref="A1226">_xlfn.LET(_xlpm.e,L1226,
IF(_xlpm.e="","",
"DOC-"&amp;TEXT(ROW()-ROW(tblMaster[#Headers]),"00000")
))</f>
        <v>DOC-01225</v>
      </c>
      <c r="B1226" s="49">
        <v>45994</v>
      </c>
      <c r="C1226" s="42" t="s">
        <v>700</v>
      </c>
      <c r="D1226" s="42" t="s">
        <v>4889</v>
      </c>
      <c r="E1226" s="38" t="s">
        <v>4890</v>
      </c>
      <c r="F1226" s="17" t="s">
        <v>4891</v>
      </c>
      <c r="G1226" s="42" t="s">
        <v>257</v>
      </c>
      <c r="H1226" s="17" t="s">
        <v>17</v>
      </c>
      <c r="I1226" s="17" t="s">
        <v>2276</v>
      </c>
      <c r="J1226" s="99" t="s">
        <v>560</v>
      </c>
      <c r="K1226" s="5" t="s">
        <v>4185</v>
      </c>
      <c r="L1226" t="str">
        <f t="shared" si="20"/>
        <v>jpj7330@gmail.com</v>
      </c>
    </row>
    <row r="1227" spans="1:12">
      <c r="A1227" t="str" cm="1">
        <f t="array" ref="A1227">_xlfn.LET(_xlpm.e,L1227,
IF(_xlpm.e="","",
"DOC-"&amp;TEXT(ROW()-ROW(tblMaster[#Headers]),"00000")
))</f>
        <v>DOC-01226</v>
      </c>
      <c r="B1227" s="49">
        <v>45995</v>
      </c>
      <c r="C1227" s="42" t="s">
        <v>4892</v>
      </c>
      <c r="D1227" s="42" t="s">
        <v>4893</v>
      </c>
      <c r="E1227" s="38" t="s">
        <v>4894</v>
      </c>
      <c r="F1227" s="17" t="s">
        <v>4895</v>
      </c>
      <c r="G1227" s="42" t="s">
        <v>581</v>
      </c>
      <c r="H1227" s="17" t="s">
        <v>17</v>
      </c>
      <c r="I1227" s="18" t="s">
        <v>54</v>
      </c>
      <c r="J1227" s="99" t="s">
        <v>23</v>
      </c>
      <c r="K1227" s="5" t="s">
        <v>4185</v>
      </c>
      <c r="L1227" t="str">
        <f t="shared" si="20"/>
        <v>rohansaggar1@gmail.com</v>
      </c>
    </row>
    <row r="1228" spans="1:12">
      <c r="A1228" t="str" cm="1">
        <f t="array" ref="A1228">_xlfn.LET(_xlpm.e,L1228,
IF(_xlpm.e="","",
"DOC-"&amp;TEXT(ROW()-ROW(tblMaster[#Headers]),"00000")
))</f>
        <v>DOC-01227</v>
      </c>
      <c r="B1228" s="49">
        <v>45995</v>
      </c>
      <c r="C1228" s="42" t="s">
        <v>4896</v>
      </c>
      <c r="D1228" s="42" t="s">
        <v>1790</v>
      </c>
      <c r="E1228" s="38" t="s">
        <v>4897</v>
      </c>
      <c r="F1228" s="17"/>
      <c r="G1228" s="42"/>
      <c r="H1228" s="17"/>
      <c r="I1228" s="18" t="s">
        <v>101</v>
      </c>
      <c r="J1228" s="99" t="s">
        <v>194</v>
      </c>
      <c r="K1228" s="5" t="s">
        <v>4185</v>
      </c>
      <c r="L1228" t="str">
        <f t="shared" si="20"/>
        <v>nerlande.paul@gmail.com</v>
      </c>
    </row>
    <row r="1229" spans="1:12">
      <c r="A1229" t="str" cm="1">
        <f t="array" ref="A1229">_xlfn.LET(_xlpm.e,L1229,
IF(_xlpm.e="","",
"DOC-"&amp;TEXT(ROW()-ROW(tblMaster[#Headers]),"00000")
))</f>
        <v>DOC-01228</v>
      </c>
      <c r="B1229" s="49">
        <v>45994</v>
      </c>
      <c r="C1229" s="42" t="s">
        <v>4898</v>
      </c>
      <c r="D1229" s="42" t="s">
        <v>4899</v>
      </c>
      <c r="E1229" s="38" t="s">
        <v>4900</v>
      </c>
      <c r="F1229" s="17" t="s">
        <v>1643</v>
      </c>
      <c r="G1229" s="42" t="s">
        <v>74</v>
      </c>
      <c r="H1229" s="17" t="s">
        <v>17</v>
      </c>
      <c r="I1229" s="17" t="s">
        <v>112</v>
      </c>
      <c r="J1229" s="99" t="s">
        <v>497</v>
      </c>
      <c r="K1229" s="5" t="s">
        <v>4185</v>
      </c>
      <c r="L1229" t="str">
        <f t="shared" si="20"/>
        <v>sadiqansu@yahoo.com</v>
      </c>
    </row>
    <row r="1230" spans="1:12">
      <c r="A1230" t="str" cm="1">
        <f t="array" ref="A1230">_xlfn.LET(_xlpm.e,L1230,
IF(_xlpm.e="","",
"DOC-"&amp;TEXT(ROW()-ROW(tblMaster[#Headers]),"00000")
))</f>
        <v/>
      </c>
      <c r="B1230" s="49">
        <v>45995</v>
      </c>
      <c r="C1230" s="42" t="s">
        <v>4901</v>
      </c>
      <c r="D1230" s="67" t="s">
        <v>4902</v>
      </c>
      <c r="E1230" s="42"/>
      <c r="F1230" s="17" t="s">
        <v>4903</v>
      </c>
      <c r="G1230" s="42" t="s">
        <v>257</v>
      </c>
      <c r="H1230" s="17" t="s">
        <v>17</v>
      </c>
      <c r="I1230" s="17" t="s">
        <v>112</v>
      </c>
      <c r="K1230" s="5" t="s">
        <v>4185</v>
      </c>
      <c r="L1230" t="str">
        <f t="shared" si="20"/>
        <v/>
      </c>
    </row>
    <row r="1231" spans="1:12">
      <c r="A1231" t="str" cm="1">
        <f t="array" ref="A1231">_xlfn.LET(_xlpm.e,L1231,
IF(_xlpm.e="","",
"DOC-"&amp;TEXT(ROW()-ROW(tblMaster[#Headers]),"00000")
))</f>
        <v>DOC-01230</v>
      </c>
      <c r="B1231" s="49">
        <v>45995</v>
      </c>
      <c r="C1231" s="42" t="s">
        <v>4904</v>
      </c>
      <c r="D1231" s="42" t="s">
        <v>4905</v>
      </c>
      <c r="E1231" s="38" t="s">
        <v>4906</v>
      </c>
      <c r="F1231" s="17" t="s">
        <v>4907</v>
      </c>
      <c r="G1231" s="42" t="s">
        <v>74</v>
      </c>
      <c r="H1231" s="17" t="s">
        <v>17</v>
      </c>
      <c r="I1231" s="17"/>
      <c r="J1231" s="99" t="s">
        <v>560</v>
      </c>
      <c r="K1231" s="5" t="s">
        <v>4185</v>
      </c>
      <c r="L1231" t="str">
        <f t="shared" si="20"/>
        <v>jeovanny.lantigua@hotmail.com</v>
      </c>
    </row>
    <row r="1232" spans="1:12">
      <c r="A1232" t="str" cm="1">
        <f t="array" ref="A1232">_xlfn.LET(_xlpm.e,L1232,
IF(_xlpm.e="","",
"DOC-"&amp;TEXT(ROW()-ROW(tblMaster[#Headers]),"00000")
))</f>
        <v>DOC-01231</v>
      </c>
      <c r="B1232" s="49">
        <v>45995</v>
      </c>
      <c r="C1232" s="42" t="s">
        <v>4908</v>
      </c>
      <c r="D1232" s="42" t="s">
        <v>4909</v>
      </c>
      <c r="E1232" s="38" t="s">
        <v>4910</v>
      </c>
      <c r="F1232" s="17"/>
      <c r="G1232" s="42"/>
      <c r="H1232" s="17"/>
      <c r="I1232" s="18" t="s">
        <v>101</v>
      </c>
      <c r="J1232" s="99" t="s">
        <v>194</v>
      </c>
      <c r="K1232" s="5" t="s">
        <v>4185</v>
      </c>
      <c r="L1232" t="str">
        <f t="shared" si="20"/>
        <v>flaviat1985@gmail.com</v>
      </c>
    </row>
    <row r="1233" spans="1:12">
      <c r="A1233" t="str" cm="1">
        <f t="array" ref="A1233">_xlfn.LET(_xlpm.e,L1233,
IF(_xlpm.e="","",
"DOC-"&amp;TEXT(ROW()-ROW(tblMaster[#Headers]),"00000")
))</f>
        <v>DOC-01232</v>
      </c>
      <c r="B1233" s="49">
        <v>45996</v>
      </c>
      <c r="C1233" s="42" t="s">
        <v>3959</v>
      </c>
      <c r="D1233" s="42" t="s">
        <v>4911</v>
      </c>
      <c r="E1233" s="38" t="s">
        <v>4912</v>
      </c>
      <c r="F1233" s="17" t="s">
        <v>4913</v>
      </c>
      <c r="G1233" s="42" t="s">
        <v>3548</v>
      </c>
      <c r="H1233" s="17" t="s">
        <v>4914</v>
      </c>
      <c r="I1233" s="18" t="s">
        <v>54</v>
      </c>
      <c r="J1233" s="99" t="s">
        <v>23</v>
      </c>
      <c r="K1233" s="5" t="s">
        <v>4185</v>
      </c>
      <c r="L1233" t="str">
        <f t="shared" si="20"/>
        <v>samuelj368@gmail.com</v>
      </c>
    </row>
    <row r="1234" spans="1:12">
      <c r="A1234" t="str" cm="1">
        <f t="array" ref="A1234">_xlfn.LET(_xlpm.e,L1234,
IF(_xlpm.e="","",
"DOC-"&amp;TEXT(ROW()-ROW(tblMaster[#Headers]),"00000")
))</f>
        <v>DOC-01233</v>
      </c>
      <c r="B1234" s="49">
        <v>45996</v>
      </c>
      <c r="C1234" s="42" t="s">
        <v>4915</v>
      </c>
      <c r="D1234" s="42" t="s">
        <v>4916</v>
      </c>
      <c r="E1234" s="38" t="s">
        <v>4917</v>
      </c>
      <c r="F1234" s="17" t="s">
        <v>4918</v>
      </c>
      <c r="G1234" s="42" t="s">
        <v>4919</v>
      </c>
      <c r="H1234" s="17" t="s">
        <v>237</v>
      </c>
      <c r="I1234" s="18" t="s">
        <v>54</v>
      </c>
      <c r="K1234" s="5" t="s">
        <v>4185</v>
      </c>
      <c r="L1234" t="str">
        <f t="shared" si="20"/>
        <v>nanaapp02@gmail.com</v>
      </c>
    </row>
    <row r="1235" spans="1:12">
      <c r="A1235" t="str" cm="1">
        <f t="array" ref="A1235">_xlfn.LET(_xlpm.e,L1235,
IF(_xlpm.e="","",
"DOC-"&amp;TEXT(ROW()-ROW(tblMaster[#Headers]),"00000")
))</f>
        <v>DOC-01234</v>
      </c>
      <c r="B1235" s="49">
        <v>45996</v>
      </c>
      <c r="C1235" s="42" t="s">
        <v>4920</v>
      </c>
      <c r="D1235" s="68" t="s">
        <v>4921</v>
      </c>
      <c r="E1235" s="38" t="s">
        <v>4922</v>
      </c>
      <c r="F1235" s="17" t="s">
        <v>2183</v>
      </c>
      <c r="G1235" s="42" t="s">
        <v>4923</v>
      </c>
      <c r="H1235" s="17" t="s">
        <v>496</v>
      </c>
      <c r="I1235" s="18" t="s">
        <v>54</v>
      </c>
      <c r="K1235" s="5" t="s">
        <v>4185</v>
      </c>
      <c r="L1235" t="str">
        <f t="shared" si="20"/>
        <v>cenat.michou@gmail.com</v>
      </c>
    </row>
    <row r="1236" spans="1:12">
      <c r="A1236" t="str" cm="1">
        <f t="array" ref="A1236">_xlfn.LET(_xlpm.e,L1236,
IF(_xlpm.e="","",
"DOC-"&amp;TEXT(ROW()-ROW(tblMaster[#Headers]),"00000")
))</f>
        <v>DOC-01235</v>
      </c>
      <c r="B1236" s="49">
        <v>45999</v>
      </c>
      <c r="C1236" s="42" t="s">
        <v>4924</v>
      </c>
      <c r="D1236" s="66" t="s">
        <v>4925</v>
      </c>
      <c r="E1236" s="38" t="s">
        <v>4926</v>
      </c>
      <c r="F1236" s="17" t="s">
        <v>4927</v>
      </c>
      <c r="G1236" s="42" t="s">
        <v>1777</v>
      </c>
      <c r="H1236" s="17" t="s">
        <v>17</v>
      </c>
      <c r="I1236" s="18" t="s">
        <v>54</v>
      </c>
      <c r="J1236" s="99" t="s">
        <v>194</v>
      </c>
      <c r="K1236" s="5" t="s">
        <v>4185</v>
      </c>
      <c r="L1236" t="str">
        <f t="shared" si="20"/>
        <v>holiveira2400@gmail.com</v>
      </c>
    </row>
    <row r="1237" spans="1:12">
      <c r="A1237" t="str" cm="1">
        <f t="array" ref="A1237">_xlfn.LET(_xlpm.e,L1237,
IF(_xlpm.e="","",
"DOC-"&amp;TEXT(ROW()-ROW(tblMaster[#Headers]),"00000")
))</f>
        <v>DOC-01236</v>
      </c>
      <c r="B1237" s="49">
        <v>45999</v>
      </c>
      <c r="C1237" s="42" t="s">
        <v>4928</v>
      </c>
      <c r="D1237" s="42" t="s">
        <v>4929</v>
      </c>
      <c r="E1237" s="38" t="s">
        <v>4930</v>
      </c>
      <c r="F1237" s="17" t="s">
        <v>4931</v>
      </c>
      <c r="G1237" s="42" t="s">
        <v>123</v>
      </c>
      <c r="H1237" s="17" t="s">
        <v>60</v>
      </c>
      <c r="I1237" s="18" t="s">
        <v>54</v>
      </c>
      <c r="J1237" s="99" t="s">
        <v>560</v>
      </c>
      <c r="K1237" s="5" t="s">
        <v>4185</v>
      </c>
      <c r="L1237" t="str">
        <f t="shared" si="20"/>
        <v>hayesfrances29@yahoo.com</v>
      </c>
    </row>
    <row r="1238" spans="1:12">
      <c r="A1238" t="str" cm="1">
        <f t="array" ref="A1238">_xlfn.LET(_xlpm.e,L1238,
IF(_xlpm.e="","",
"DOC-"&amp;TEXT(ROW()-ROW(tblMaster[#Headers]),"00000")
))</f>
        <v>DOC-01237</v>
      </c>
      <c r="B1238" s="49">
        <v>45999</v>
      </c>
      <c r="C1238" s="42" t="s">
        <v>12</v>
      </c>
      <c r="D1238" s="42" t="s">
        <v>4932</v>
      </c>
      <c r="E1238" s="38" t="s">
        <v>4933</v>
      </c>
      <c r="F1238" s="17" t="s">
        <v>4934</v>
      </c>
      <c r="G1238" s="42" t="s">
        <v>4935</v>
      </c>
      <c r="H1238" s="17" t="s">
        <v>60</v>
      </c>
      <c r="I1238" s="18" t="s">
        <v>54</v>
      </c>
      <c r="J1238" s="99" t="s">
        <v>560</v>
      </c>
      <c r="K1238" s="5" t="s">
        <v>4185</v>
      </c>
      <c r="L1238" t="str">
        <f t="shared" si="20"/>
        <v>josfarfann@gmail.com</v>
      </c>
    </row>
    <row r="1239" spans="1:12">
      <c r="A1239" t="str" cm="1">
        <f t="array" ref="A1239">_xlfn.LET(_xlpm.e,L1239,
IF(_xlpm.e="","",
"DOC-"&amp;TEXT(ROW()-ROW(tblMaster[#Headers]),"00000")
))</f>
        <v>DOC-01238</v>
      </c>
      <c r="B1239" s="49">
        <v>45999</v>
      </c>
      <c r="C1239" s="42" t="s">
        <v>55</v>
      </c>
      <c r="D1239" s="42" t="s">
        <v>4936</v>
      </c>
      <c r="E1239" s="38" t="s">
        <v>4937</v>
      </c>
      <c r="F1239" s="17" t="s">
        <v>4938</v>
      </c>
      <c r="G1239" s="42" t="s">
        <v>2408</v>
      </c>
      <c r="H1239" s="17" t="s">
        <v>17</v>
      </c>
      <c r="I1239" s="18" t="s">
        <v>54</v>
      </c>
      <c r="J1239" s="99" t="s">
        <v>560</v>
      </c>
      <c r="K1239" s="5" t="s">
        <v>4185</v>
      </c>
      <c r="L1239" t="str">
        <f t="shared" si="20"/>
        <v>mikeacq@outlook.com</v>
      </c>
    </row>
    <row r="1240" spans="1:12">
      <c r="A1240" t="str" cm="1">
        <f t="array" ref="A1240">_xlfn.LET(_xlpm.e,L1240,
IF(_xlpm.e="","",
"DOC-"&amp;TEXT(ROW()-ROW(tblMaster[#Headers]),"00000")
))</f>
        <v/>
      </c>
      <c r="B1240" s="49"/>
      <c r="C1240" s="42"/>
      <c r="D1240" s="42"/>
      <c r="E1240" s="38"/>
      <c r="F1240" s="17"/>
      <c r="G1240" s="42"/>
      <c r="H1240" s="17"/>
      <c r="I1240" s="17"/>
      <c r="L1240" t="str">
        <f t="shared" si="20"/>
        <v/>
      </c>
    </row>
    <row r="1241" spans="1:12">
      <c r="A1241" t="str" cm="1">
        <f t="array" ref="A1241">_xlfn.LET(_xlpm.e,L1241,
IF(_xlpm.e="","",
"DOC-"&amp;TEXT(ROW()-ROW(tblMaster[#Headers]),"00000")
))</f>
        <v>DOC-01240</v>
      </c>
      <c r="B1241" s="49">
        <v>45999</v>
      </c>
      <c r="C1241" s="42" t="s">
        <v>4939</v>
      </c>
      <c r="D1241" s="42" t="s">
        <v>4940</v>
      </c>
      <c r="E1241" s="38" t="s">
        <v>4941</v>
      </c>
      <c r="F1241" s="17" t="s">
        <v>4942</v>
      </c>
      <c r="G1241" s="42" t="s">
        <v>2417</v>
      </c>
      <c r="H1241" s="17" t="s">
        <v>4943</v>
      </c>
      <c r="I1241" s="17" t="s">
        <v>2276</v>
      </c>
      <c r="J1241" s="99" t="s">
        <v>497</v>
      </c>
      <c r="K1241" s="5" t="s">
        <v>4185</v>
      </c>
      <c r="L1241" t="str">
        <f t="shared" si="20"/>
        <v>vpamphil@yahoo.com</v>
      </c>
    </row>
    <row r="1242" spans="1:12">
      <c r="A1242" t="str" cm="1">
        <f t="array" ref="A1242">_xlfn.LET(_xlpm.e,L1242,
IF(_xlpm.e="","",
"DOC-"&amp;TEXT(ROW()-ROW(tblMaster[#Headers]),"00000")
))</f>
        <v>DOC-01241</v>
      </c>
      <c r="B1242" s="49">
        <v>45999</v>
      </c>
      <c r="C1242" s="42" t="s">
        <v>4944</v>
      </c>
      <c r="D1242" s="42" t="s">
        <v>4945</v>
      </c>
      <c r="E1242" s="38" t="s">
        <v>4946</v>
      </c>
      <c r="F1242" s="17" t="s">
        <v>4947</v>
      </c>
      <c r="G1242" s="42"/>
      <c r="H1242" s="17"/>
      <c r="I1242" s="17" t="s">
        <v>2276</v>
      </c>
      <c r="J1242" s="99" t="s">
        <v>194</v>
      </c>
      <c r="K1242" s="5" t="s">
        <v>226</v>
      </c>
      <c r="L1242" t="str">
        <f t="shared" si="20"/>
        <v>andralisss525@gmail.com</v>
      </c>
    </row>
    <row r="1243" spans="1:12">
      <c r="A1243" t="str" cm="1">
        <f t="array" ref="A1243">_xlfn.LET(_xlpm.e,L1243,
IF(_xlpm.e="","",
"DOC-"&amp;TEXT(ROW()-ROW(tblMaster[#Headers]),"00000")
))</f>
        <v>DOC-01242</v>
      </c>
      <c r="B1243" s="49">
        <v>46000</v>
      </c>
      <c r="C1243" s="42" t="s">
        <v>1946</v>
      </c>
      <c r="D1243" s="42" t="s">
        <v>4948</v>
      </c>
      <c r="E1243" s="38" t="s">
        <v>4949</v>
      </c>
      <c r="F1243" s="17" t="s">
        <v>4950</v>
      </c>
      <c r="G1243" s="42" t="s">
        <v>4951</v>
      </c>
      <c r="H1243" s="17" t="s">
        <v>1590</v>
      </c>
      <c r="I1243" s="18" t="s">
        <v>54</v>
      </c>
      <c r="K1243" s="5" t="s">
        <v>4185</v>
      </c>
      <c r="L1243" t="str">
        <f t="shared" si="20"/>
        <v>searchfgold67899@live.com</v>
      </c>
    </row>
    <row r="1244" spans="1:12">
      <c r="A1244" t="str" cm="1">
        <f t="array" ref="A1244">_xlfn.LET(_xlpm.e,L1244,
IF(_xlpm.e="","",
"DOC-"&amp;TEXT(ROW()-ROW(tblMaster[#Headers]),"00000")
))</f>
        <v>DOC-01243</v>
      </c>
      <c r="B1244" s="49">
        <v>46000</v>
      </c>
      <c r="C1244" s="42" t="s">
        <v>567</v>
      </c>
      <c r="D1244" s="42" t="s">
        <v>4952</v>
      </c>
      <c r="E1244" s="38" t="s">
        <v>4953</v>
      </c>
      <c r="F1244" s="17" t="s">
        <v>4954</v>
      </c>
      <c r="G1244" s="42" t="s">
        <v>1693</v>
      </c>
      <c r="H1244" s="17" t="s">
        <v>17</v>
      </c>
      <c r="I1244" s="18" t="s">
        <v>54</v>
      </c>
      <c r="K1244" s="5" t="s">
        <v>4185</v>
      </c>
      <c r="L1244" t="str">
        <f t="shared" si="20"/>
        <v>jforbes984@aol.com</v>
      </c>
    </row>
    <row r="1245" spans="1:12">
      <c r="A1245" t="str" cm="1">
        <f t="array" ref="A1245">_xlfn.LET(_xlpm.e,L1245,
IF(_xlpm.e="","",
"DOC-"&amp;TEXT(ROW()-ROW(tblMaster[#Headers]),"00000")
))</f>
        <v>DOC-01244</v>
      </c>
      <c r="B1245" s="49">
        <v>46000</v>
      </c>
      <c r="C1245" s="42" t="s">
        <v>4955</v>
      </c>
      <c r="D1245" s="42" t="s">
        <v>4956</v>
      </c>
      <c r="E1245" s="38" t="s">
        <v>4957</v>
      </c>
      <c r="F1245" s="17" t="s">
        <v>4958</v>
      </c>
      <c r="G1245" s="42" t="s">
        <v>3158</v>
      </c>
      <c r="H1245" s="17" t="s">
        <v>17</v>
      </c>
      <c r="I1245" s="18" t="s">
        <v>54</v>
      </c>
      <c r="J1245" s="99" t="s">
        <v>23</v>
      </c>
      <c r="K1245" s="5" t="s">
        <v>4185</v>
      </c>
      <c r="L1245" t="str">
        <f t="shared" si="20"/>
        <v>xjamesvalentinx@hotmail.com</v>
      </c>
    </row>
    <row r="1246" spans="1:12">
      <c r="A1246" t="str" cm="1">
        <f t="array" ref="A1246">_xlfn.LET(_xlpm.e,L1246,
IF(_xlpm.e="","",
"DOC-"&amp;TEXT(ROW()-ROW(tblMaster[#Headers]),"00000")
))</f>
        <v>DOC-01245</v>
      </c>
      <c r="B1246" s="49">
        <v>46000</v>
      </c>
      <c r="C1246" s="42" t="s">
        <v>4959</v>
      </c>
      <c r="D1246" s="42" t="s">
        <v>4960</v>
      </c>
      <c r="E1246" s="38" t="s">
        <v>4961</v>
      </c>
      <c r="F1246" s="17" t="s">
        <v>4962</v>
      </c>
      <c r="G1246" s="42" t="s">
        <v>4963</v>
      </c>
      <c r="H1246" s="17" t="s">
        <v>267</v>
      </c>
      <c r="I1246" s="18" t="s">
        <v>54</v>
      </c>
      <c r="K1246" s="5" t="s">
        <v>4185</v>
      </c>
      <c r="L1246" t="str">
        <f t="shared" si="20"/>
        <v>jonbosco25@gmail.com</v>
      </c>
    </row>
    <row r="1247" spans="1:12">
      <c r="A1247" t="str" cm="1">
        <f t="array" ref="A1247">_xlfn.LET(_xlpm.e,L1247,
IF(_xlpm.e="","",
"DOC-"&amp;TEXT(ROW()-ROW(tblMaster[#Headers]),"00000")
))</f>
        <v>DOC-01246</v>
      </c>
      <c r="B1247" s="49">
        <v>46000</v>
      </c>
      <c r="C1247" s="42" t="s">
        <v>4964</v>
      </c>
      <c r="D1247" s="42" t="s">
        <v>4965</v>
      </c>
      <c r="E1247" s="38" t="s">
        <v>4966</v>
      </c>
      <c r="F1247" s="17" t="s">
        <v>4967</v>
      </c>
      <c r="G1247" s="42" t="s">
        <v>1109</v>
      </c>
      <c r="H1247" s="17" t="s">
        <v>17</v>
      </c>
      <c r="I1247" s="18" t="s">
        <v>54</v>
      </c>
      <c r="J1247" s="99" t="s">
        <v>497</v>
      </c>
      <c r="K1247" s="5" t="s">
        <v>4185</v>
      </c>
      <c r="L1247" t="str">
        <f t="shared" si="20"/>
        <v>mayabraz76@gmail.com</v>
      </c>
    </row>
    <row r="1248" spans="1:12">
      <c r="A1248" t="str" cm="1">
        <f t="array" ref="A1248">_xlfn.LET(_xlpm.e,L1248,
IF(_xlpm.e="","",
"DOC-"&amp;TEXT(ROW()-ROW(tblMaster[#Headers]),"00000")
))</f>
        <v>DOC-01247</v>
      </c>
      <c r="B1248" s="49">
        <v>46000</v>
      </c>
      <c r="C1248" s="42" t="s">
        <v>4968</v>
      </c>
      <c r="D1248" s="42" t="s">
        <v>4969</v>
      </c>
      <c r="E1248" s="38" t="s">
        <v>4970</v>
      </c>
      <c r="F1248" s="17" t="s">
        <v>4971</v>
      </c>
      <c r="G1248" s="42" t="s">
        <v>59</v>
      </c>
      <c r="H1248" s="17" t="s">
        <v>60</v>
      </c>
      <c r="I1248" s="18" t="s">
        <v>101</v>
      </c>
      <c r="K1248" s="5" t="s">
        <v>4185</v>
      </c>
      <c r="L1248" t="str">
        <f t="shared" si="20"/>
        <v>linkz1993@gmail.com</v>
      </c>
    </row>
    <row r="1249" spans="1:12">
      <c r="A1249" t="str" cm="1">
        <f t="array" ref="A1249">_xlfn.LET(_xlpm.e,L1249,
IF(_xlpm.e="","",
"DOC-"&amp;TEXT(ROW()-ROW(tblMaster[#Headers]),"00000")
))</f>
        <v>DOC-01248</v>
      </c>
      <c r="B1249" s="49">
        <v>46000</v>
      </c>
      <c r="C1249" s="42" t="s">
        <v>2904</v>
      </c>
      <c r="D1249" s="42" t="s">
        <v>4972</v>
      </c>
      <c r="E1249" s="38" t="s">
        <v>4973</v>
      </c>
      <c r="F1249" s="17" t="s">
        <v>4974</v>
      </c>
      <c r="G1249" s="42" t="s">
        <v>74</v>
      </c>
      <c r="H1249" s="17" t="s">
        <v>53</v>
      </c>
      <c r="I1249" s="18" t="s">
        <v>101</v>
      </c>
      <c r="K1249" s="5" t="s">
        <v>4185</v>
      </c>
      <c r="L1249" t="str">
        <f t="shared" si="20"/>
        <v>stevebelmix@gmail.com</v>
      </c>
    </row>
    <row r="1250" spans="1:12">
      <c r="A1250" t="str" cm="1">
        <f t="array" ref="A1250">_xlfn.LET(_xlpm.e,L1250,
IF(_xlpm.e="","",
"DOC-"&amp;TEXT(ROW()-ROW(tblMaster[#Headers]),"00000")
))</f>
        <v>DOC-01249</v>
      </c>
      <c r="B1250" s="49">
        <v>46000</v>
      </c>
      <c r="C1250" s="42" t="s">
        <v>4975</v>
      </c>
      <c r="D1250" s="42" t="s">
        <v>4976</v>
      </c>
      <c r="E1250" s="38" t="s">
        <v>4977</v>
      </c>
      <c r="F1250" s="17" t="s">
        <v>4978</v>
      </c>
      <c r="G1250" s="42" t="s">
        <v>4979</v>
      </c>
      <c r="H1250" s="17" t="s">
        <v>496</v>
      </c>
      <c r="I1250" s="18" t="s">
        <v>54</v>
      </c>
      <c r="K1250" s="5" t="s">
        <v>4185</v>
      </c>
      <c r="L1250" t="str">
        <f t="shared" si="20"/>
        <v>mariia.perederko@jjay.cuny.edu</v>
      </c>
    </row>
    <row r="1251" spans="1:12">
      <c r="A1251" t="str" cm="1">
        <f t="array" ref="A1251">_xlfn.LET(_xlpm.e,L1251,
IF(_xlpm.e="","",
"DOC-"&amp;TEXT(ROW()-ROW(tblMaster[#Headers]),"00000")
))</f>
        <v>DOC-01250</v>
      </c>
      <c r="B1251" s="49">
        <v>46000</v>
      </c>
      <c r="C1251" s="42" t="s">
        <v>4980</v>
      </c>
      <c r="D1251" s="42" t="s">
        <v>4981</v>
      </c>
      <c r="E1251" s="38" t="s">
        <v>4982</v>
      </c>
      <c r="F1251" s="17" t="s">
        <v>4983</v>
      </c>
      <c r="G1251" s="42" t="s">
        <v>257</v>
      </c>
      <c r="H1251" s="17" t="s">
        <v>53</v>
      </c>
      <c r="I1251" s="18" t="s">
        <v>54</v>
      </c>
      <c r="K1251" s="5" t="s">
        <v>4185</v>
      </c>
      <c r="L1251" t="str">
        <f t="shared" si="20"/>
        <v>yuritarver27@gmail.com</v>
      </c>
    </row>
    <row r="1252" spans="1:12">
      <c r="A1252" t="str" cm="1">
        <f t="array" ref="A1252">_xlfn.LET(_xlpm.e,L1252,
IF(_xlpm.e="","",
"DOC-"&amp;TEXT(ROW()-ROW(tblMaster[#Headers]),"00000")
))</f>
        <v>DOC-01251</v>
      </c>
      <c r="B1252" s="49">
        <v>46000</v>
      </c>
      <c r="C1252" s="42" t="s">
        <v>258</v>
      </c>
      <c r="D1252" s="42" t="s">
        <v>4984</v>
      </c>
      <c r="E1252" s="38" t="s">
        <v>4985</v>
      </c>
      <c r="F1252" s="17" t="s">
        <v>4986</v>
      </c>
      <c r="G1252" s="42" t="s">
        <v>74</v>
      </c>
      <c r="H1252" s="17" t="s">
        <v>53</v>
      </c>
      <c r="I1252" s="17" t="s">
        <v>2276</v>
      </c>
      <c r="K1252" s="5" t="s">
        <v>4185</v>
      </c>
      <c r="L1252" t="str">
        <f t="shared" si="20"/>
        <v>shicorasaydee@icloud.com</v>
      </c>
    </row>
    <row r="1253" spans="1:12">
      <c r="A1253" t="str" cm="1">
        <f t="array" ref="A1253">_xlfn.LET(_xlpm.e,L1253,
IF(_xlpm.e="","",
"DOC-"&amp;TEXT(ROW()-ROW(tblMaster[#Headers]),"00000")
))</f>
        <v>DOC-01252</v>
      </c>
      <c r="B1253" s="49">
        <v>46000</v>
      </c>
      <c r="C1253" s="42" t="s">
        <v>709</v>
      </c>
      <c r="D1253" s="42" t="s">
        <v>4987</v>
      </c>
      <c r="E1253" s="38" t="s">
        <v>4988</v>
      </c>
      <c r="F1253" s="17" t="s">
        <v>4989</v>
      </c>
      <c r="G1253" s="42" t="s">
        <v>4990</v>
      </c>
      <c r="H1253" s="17" t="s">
        <v>53</v>
      </c>
      <c r="I1253" s="18" t="s">
        <v>54</v>
      </c>
      <c r="K1253" s="5" t="s">
        <v>4185</v>
      </c>
      <c r="L1253" t="str">
        <f t="shared" si="20"/>
        <v>krieldriel@gmail.com</v>
      </c>
    </row>
    <row r="1254" spans="1:12">
      <c r="A1254" t="str" cm="1">
        <f t="array" ref="A1254">_xlfn.LET(_xlpm.e,L1254,
IF(_xlpm.e="","",
"DOC-"&amp;TEXT(ROW()-ROW(tblMaster[#Headers]),"00000")
))</f>
        <v>DOC-01253</v>
      </c>
      <c r="B1254" s="49">
        <v>46000</v>
      </c>
      <c r="C1254" s="42" t="s">
        <v>729</v>
      </c>
      <c r="D1254" s="42" t="s">
        <v>346</v>
      </c>
      <c r="E1254" s="38" t="s">
        <v>4991</v>
      </c>
      <c r="F1254" s="17" t="s">
        <v>4992</v>
      </c>
      <c r="G1254" s="42" t="s">
        <v>539</v>
      </c>
      <c r="H1254" s="17" t="s">
        <v>53</v>
      </c>
      <c r="I1254" s="18" t="s">
        <v>54</v>
      </c>
      <c r="K1254" s="5" t="s">
        <v>4185</v>
      </c>
      <c r="L1254" t="str">
        <f t="shared" si="20"/>
        <v>emarsh24@yahoo.com</v>
      </c>
    </row>
    <row r="1255" spans="1:12">
      <c r="A1255" t="str" cm="1">
        <f t="array" ref="A1255">_xlfn.LET(_xlpm.e,L1255,
IF(_xlpm.e="","",
"DOC-"&amp;TEXT(ROW()-ROW(tblMaster[#Headers]),"00000")
))</f>
        <v>DOC-01254</v>
      </c>
      <c r="B1255" s="49">
        <v>46000</v>
      </c>
      <c r="C1255" s="42" t="s">
        <v>4993</v>
      </c>
      <c r="D1255" s="42" t="s">
        <v>4994</v>
      </c>
      <c r="E1255" s="38" t="s">
        <v>4995</v>
      </c>
      <c r="F1255" s="17" t="s">
        <v>4996</v>
      </c>
      <c r="G1255" s="42" t="s">
        <v>52</v>
      </c>
      <c r="H1255" s="17" t="s">
        <v>53</v>
      </c>
      <c r="I1255" s="18" t="s">
        <v>54</v>
      </c>
      <c r="K1255" s="5" t="s">
        <v>4185</v>
      </c>
      <c r="L1255" t="str">
        <f t="shared" si="20"/>
        <v>marcelin.alert@gmail.com</v>
      </c>
    </row>
    <row r="1256" spans="1:12">
      <c r="A1256" t="str" cm="1">
        <f t="array" ref="A1256">_xlfn.LET(_xlpm.e,L1256,
IF(_xlpm.e="","",
"DOC-"&amp;TEXT(ROW()-ROW(tblMaster[#Headers]),"00000")
))</f>
        <v>DOC-01255</v>
      </c>
      <c r="B1256" s="49">
        <v>46000</v>
      </c>
      <c r="C1256" s="42" t="s">
        <v>4997</v>
      </c>
      <c r="D1256" s="42" t="s">
        <v>4998</v>
      </c>
      <c r="E1256" s="38" t="s">
        <v>4999</v>
      </c>
      <c r="F1256" s="17" t="s">
        <v>5000</v>
      </c>
      <c r="G1256" s="42" t="s">
        <v>123</v>
      </c>
      <c r="H1256" s="17" t="s">
        <v>53</v>
      </c>
      <c r="I1256" s="18" t="s">
        <v>54</v>
      </c>
      <c r="K1256" s="5" t="s">
        <v>4185</v>
      </c>
      <c r="L1256" t="str">
        <f t="shared" si="20"/>
        <v>arnaldo.floresreyes@icloud.com</v>
      </c>
    </row>
    <row r="1257" spans="1:12">
      <c r="A1257" t="str" cm="1">
        <f t="array" ref="A1257">_xlfn.LET(_xlpm.e,L1257,
IF(_xlpm.e="","",
"DOC-"&amp;TEXT(ROW()-ROW(tblMaster[#Headers]),"00000")
))</f>
        <v>DOC-01256</v>
      </c>
      <c r="B1257" s="49">
        <v>46001</v>
      </c>
      <c r="C1257" s="42" t="s">
        <v>733</v>
      </c>
      <c r="D1257" s="42" t="s">
        <v>5001</v>
      </c>
      <c r="E1257" s="38" t="s">
        <v>5002</v>
      </c>
      <c r="F1257" s="17" t="s">
        <v>5003</v>
      </c>
      <c r="G1257" s="42" t="s">
        <v>47</v>
      </c>
      <c r="H1257" s="17" t="s">
        <v>53</v>
      </c>
      <c r="I1257" s="18" t="s">
        <v>54</v>
      </c>
      <c r="K1257" s="5" t="s">
        <v>4185</v>
      </c>
      <c r="L1257" t="str">
        <f t="shared" si="20"/>
        <v>danielpagan2005@gmail.com</v>
      </c>
    </row>
    <row r="1258" spans="1:12">
      <c r="A1258" t="str" cm="1">
        <f t="array" ref="A1258">_xlfn.LET(_xlpm.e,L1258,
IF(_xlpm.e="","",
"DOC-"&amp;TEXT(ROW()-ROW(tblMaster[#Headers]),"00000")
))</f>
        <v>DOC-01257</v>
      </c>
      <c r="B1258" s="49">
        <v>46001</v>
      </c>
      <c r="C1258" s="42" t="s">
        <v>5004</v>
      </c>
      <c r="D1258" s="42" t="s">
        <v>5005</v>
      </c>
      <c r="E1258" s="38" t="s">
        <v>5006</v>
      </c>
      <c r="F1258" s="17" t="s">
        <v>5007</v>
      </c>
      <c r="G1258" s="42"/>
      <c r="H1258" s="17"/>
      <c r="I1258" s="18" t="s">
        <v>54</v>
      </c>
      <c r="K1258" s="5" t="s">
        <v>4185</v>
      </c>
      <c r="L1258" t="str">
        <f t="shared" si="20"/>
        <v>cici050619@gmail.com</v>
      </c>
    </row>
    <row r="1259" spans="1:12">
      <c r="A1259" t="str" cm="1">
        <f t="array" ref="A1259">_xlfn.LET(_xlpm.e,L1259,
IF(_xlpm.e="","",
"DOC-"&amp;TEXT(ROW()-ROW(tblMaster[#Headers]),"00000")
))</f>
        <v>DOC-01258</v>
      </c>
      <c r="B1259" s="49" t="s">
        <v>5008</v>
      </c>
      <c r="C1259" s="42" t="s">
        <v>5009</v>
      </c>
      <c r="D1259" s="42" t="s">
        <v>5010</v>
      </c>
      <c r="E1259" s="38" t="s">
        <v>5011</v>
      </c>
      <c r="F1259" s="17"/>
      <c r="G1259" s="42" t="s">
        <v>5012</v>
      </c>
      <c r="H1259" s="17" t="s">
        <v>17</v>
      </c>
      <c r="I1259" s="17" t="s">
        <v>2276</v>
      </c>
      <c r="K1259" s="5" t="s">
        <v>4185</v>
      </c>
      <c r="L1259" t="str">
        <f t="shared" si="20"/>
        <v>garciafps1@outlook.com</v>
      </c>
    </row>
    <row r="1260" spans="1:12">
      <c r="A1260" t="str" cm="1">
        <f t="array" ref="A1260">_xlfn.LET(_xlpm.e,L1260,
IF(_xlpm.e="","",
"DOC-"&amp;TEXT(ROW()-ROW(tblMaster[#Headers]),"00000")
))</f>
        <v>DOC-01259</v>
      </c>
      <c r="B1260" s="49">
        <v>46001.85</v>
      </c>
      <c r="C1260" s="42" t="s">
        <v>5013</v>
      </c>
      <c r="D1260" s="42" t="s">
        <v>5014</v>
      </c>
      <c r="E1260" s="42" t="s">
        <v>5015</v>
      </c>
      <c r="F1260" s="17" t="s">
        <v>5016</v>
      </c>
      <c r="G1260" s="42" t="s">
        <v>2088</v>
      </c>
      <c r="H1260" s="17" t="s">
        <v>17</v>
      </c>
      <c r="I1260" s="17" t="s">
        <v>5679</v>
      </c>
      <c r="J1260" s="99" t="s">
        <v>194</v>
      </c>
      <c r="K1260" s="5" t="s">
        <v>226</v>
      </c>
      <c r="L1260" t="str">
        <f t="shared" si="20"/>
        <v>awojobiafeez@yahoo.com</v>
      </c>
    </row>
    <row r="1261" spans="1:12">
      <c r="A1261" t="str" cm="1">
        <f t="array" ref="A1261">_xlfn.LET(_xlpm.e,L1261,
IF(_xlpm.e="","",
"DOC-"&amp;TEXT(ROW()-ROW(tblMaster[#Headers]),"00000")
))</f>
        <v>DOC-01260</v>
      </c>
      <c r="B1261" s="49">
        <v>46001.861805555556</v>
      </c>
      <c r="C1261" s="42" t="s">
        <v>4772</v>
      </c>
      <c r="D1261" s="42" t="s">
        <v>5017</v>
      </c>
      <c r="E1261" s="42" t="s">
        <v>5018</v>
      </c>
      <c r="F1261" s="17" t="s">
        <v>5019</v>
      </c>
      <c r="G1261" s="42" t="s">
        <v>544</v>
      </c>
      <c r="H1261" s="17" t="s">
        <v>17</v>
      </c>
      <c r="I1261" s="17" t="s">
        <v>18</v>
      </c>
      <c r="K1261" s="5" t="s">
        <v>4185</v>
      </c>
      <c r="L1261" t="str">
        <f t="shared" si="20"/>
        <v>madison.glaze@icloud.com</v>
      </c>
    </row>
    <row r="1262" spans="1:12">
      <c r="A1262" t="str" cm="1">
        <f t="array" ref="A1262">_xlfn.LET(_xlpm.e,L1262,
IF(_xlpm.e="","",
"DOC-"&amp;TEXT(ROW()-ROW(tblMaster[#Headers]),"00000")
))</f>
        <v>DOC-01261</v>
      </c>
      <c r="B1262" s="49">
        <v>46006</v>
      </c>
      <c r="C1262" s="42" t="s">
        <v>5020</v>
      </c>
      <c r="D1262" s="42" t="s">
        <v>5021</v>
      </c>
      <c r="E1262" s="38" t="s">
        <v>5022</v>
      </c>
      <c r="F1262" s="17" t="s">
        <v>5023</v>
      </c>
      <c r="G1262" s="42" t="s">
        <v>5024</v>
      </c>
      <c r="H1262" s="17" t="s">
        <v>5025</v>
      </c>
      <c r="I1262" s="18" t="s">
        <v>54</v>
      </c>
      <c r="K1262" s="5" t="s">
        <v>4185</v>
      </c>
      <c r="L1262" t="str">
        <f t="shared" si="20"/>
        <v>jorgeiri0728@gmail.com</v>
      </c>
    </row>
    <row r="1263" spans="1:12">
      <c r="A1263" t="str" cm="1">
        <f t="array" ref="A1263">_xlfn.LET(_xlpm.e,L1263,
IF(_xlpm.e="","",
"DOC-"&amp;TEXT(ROW()-ROW(tblMaster[#Headers]),"00000")
))</f>
        <v>DOC-01262</v>
      </c>
      <c r="B1263" s="49">
        <v>46006</v>
      </c>
      <c r="C1263" s="42" t="s">
        <v>93</v>
      </c>
      <c r="D1263" s="42" t="s">
        <v>5026</v>
      </c>
      <c r="E1263" s="38" t="s">
        <v>5027</v>
      </c>
      <c r="F1263" s="17" t="s">
        <v>5028</v>
      </c>
      <c r="G1263" s="42" t="s">
        <v>5029</v>
      </c>
      <c r="H1263" s="17" t="s">
        <v>53</v>
      </c>
      <c r="I1263" s="18" t="s">
        <v>54</v>
      </c>
      <c r="K1263" s="5" t="s">
        <v>4185</v>
      </c>
      <c r="L1263" t="str">
        <f t="shared" si="20"/>
        <v>santaellajessica97@gmail.com</v>
      </c>
    </row>
    <row r="1264" spans="1:12">
      <c r="A1264" t="str" cm="1">
        <f t="array" ref="A1264">_xlfn.LET(_xlpm.e,L1264,
IF(_xlpm.e="","",
"DOC-"&amp;TEXT(ROW()-ROW(tblMaster[#Headers]),"00000")
))</f>
        <v>DOC-01263</v>
      </c>
      <c r="B1264" s="49">
        <v>46006</v>
      </c>
      <c r="C1264" s="42" t="s">
        <v>5030</v>
      </c>
      <c r="D1264" s="42" t="s">
        <v>5031</v>
      </c>
      <c r="E1264" s="38" t="s">
        <v>5032</v>
      </c>
      <c r="F1264" s="17" t="s">
        <v>5033</v>
      </c>
      <c r="G1264" s="42" t="s">
        <v>5034</v>
      </c>
      <c r="H1264" s="17" t="s">
        <v>267</v>
      </c>
      <c r="I1264" s="18" t="s">
        <v>54</v>
      </c>
      <c r="K1264" s="5" t="s">
        <v>4185</v>
      </c>
      <c r="L1264" t="str">
        <f t="shared" si="20"/>
        <v>monttnt@aol.com</v>
      </c>
    </row>
    <row r="1265" spans="1:12">
      <c r="A1265" t="str" cm="1">
        <f t="array" ref="A1265">_xlfn.LET(_xlpm.e,L1265,
IF(_xlpm.e="","",
"DOC-"&amp;TEXT(ROW()-ROW(tblMaster[#Headers]),"00000")
))</f>
        <v>DOC-01264</v>
      </c>
      <c r="B1265" s="49">
        <v>46006</v>
      </c>
      <c r="C1265" s="42" t="s">
        <v>5035</v>
      </c>
      <c r="D1265" s="42" t="s">
        <v>5036</v>
      </c>
      <c r="E1265" s="38" t="s">
        <v>5037</v>
      </c>
      <c r="F1265" s="17" t="s">
        <v>5038</v>
      </c>
      <c r="G1265" s="42" t="s">
        <v>33</v>
      </c>
      <c r="H1265" s="17" t="s">
        <v>17</v>
      </c>
      <c r="I1265" s="18" t="s">
        <v>54</v>
      </c>
      <c r="J1265" s="99" t="s">
        <v>194</v>
      </c>
      <c r="K1265" s="5" t="s">
        <v>4185</v>
      </c>
      <c r="L1265" t="str">
        <f t="shared" si="20"/>
        <v>seriousking0511@gmail.com</v>
      </c>
    </row>
    <row r="1266" spans="1:12">
      <c r="A1266" t="str" cm="1">
        <f t="array" ref="A1266">_xlfn.LET(_xlpm.e,L1266,
IF(_xlpm.e="","",
"DOC-"&amp;TEXT(ROW()-ROW(tblMaster[#Headers]),"00000")
))</f>
        <v>DOC-01265</v>
      </c>
      <c r="B1266" s="49">
        <v>46006</v>
      </c>
      <c r="C1266" s="42" t="s">
        <v>5039</v>
      </c>
      <c r="D1266" s="42" t="s">
        <v>5040</v>
      </c>
      <c r="E1266" s="38" t="s">
        <v>5041</v>
      </c>
      <c r="F1266" s="17" t="s">
        <v>5042</v>
      </c>
      <c r="G1266" s="42" t="s">
        <v>257</v>
      </c>
      <c r="H1266" s="17" t="s">
        <v>53</v>
      </c>
      <c r="I1266" s="18" t="s">
        <v>54</v>
      </c>
      <c r="K1266" s="5" t="s">
        <v>4185</v>
      </c>
      <c r="L1266" t="str">
        <f t="shared" si="20"/>
        <v>judeaf265@gmail.com</v>
      </c>
    </row>
    <row r="1267" spans="1:12">
      <c r="A1267" t="str" cm="1">
        <f t="array" ref="A1267">_xlfn.LET(_xlpm.e,L1267,
IF(_xlpm.e="","",
"DOC-"&amp;TEXT(ROW()-ROW(tblMaster[#Headers]),"00000")
))</f>
        <v>DOC-01266</v>
      </c>
      <c r="B1267" s="49">
        <v>46006</v>
      </c>
      <c r="C1267" s="42" t="s">
        <v>5043</v>
      </c>
      <c r="D1267" s="42" t="s">
        <v>5044</v>
      </c>
      <c r="E1267" s="38" t="s">
        <v>5045</v>
      </c>
      <c r="F1267" s="17" t="s">
        <v>5046</v>
      </c>
      <c r="G1267" s="42" t="s">
        <v>410</v>
      </c>
      <c r="H1267" s="17" t="s">
        <v>53</v>
      </c>
      <c r="I1267" s="18" t="s">
        <v>54</v>
      </c>
      <c r="K1267" s="5" t="s">
        <v>4185</v>
      </c>
      <c r="L1267" t="str">
        <f t="shared" si="20"/>
        <v>tmit12498@gmail.com</v>
      </c>
    </row>
    <row r="1268" spans="1:12">
      <c r="A1268" t="str" cm="1">
        <f t="array" ref="A1268">_xlfn.LET(_xlpm.e,L1268,
IF(_xlpm.e="","",
"DOC-"&amp;TEXT(ROW()-ROW(tblMaster[#Headers]),"00000")
))</f>
        <v>DOC-01267</v>
      </c>
      <c r="B1268" s="49">
        <v>46006</v>
      </c>
      <c r="C1268" s="42" t="s">
        <v>2149</v>
      </c>
      <c r="D1268" s="42" t="s">
        <v>5047</v>
      </c>
      <c r="E1268" s="38" t="s">
        <v>5048</v>
      </c>
      <c r="F1268" s="17" t="s">
        <v>5049</v>
      </c>
      <c r="G1268" s="42" t="s">
        <v>634</v>
      </c>
      <c r="H1268" s="17" t="s">
        <v>17</v>
      </c>
      <c r="I1268" s="18" t="s">
        <v>54</v>
      </c>
      <c r="K1268" s="5" t="s">
        <v>4185</v>
      </c>
      <c r="L1268" t="str">
        <f t="shared" si="20"/>
        <v>alexis.jimenez289@gmail.com</v>
      </c>
    </row>
    <row r="1269" spans="1:12">
      <c r="A1269" t="str" cm="1">
        <f t="array" ref="A1269">_xlfn.LET(_xlpm.e,L1269,
IF(_xlpm.e="","",
"DOC-"&amp;TEXT(ROW()-ROW(tblMaster[#Headers]),"00000")
))</f>
        <v>DOC-01268</v>
      </c>
      <c r="B1269" s="49">
        <v>46006</v>
      </c>
      <c r="C1269" s="42" t="s">
        <v>1193</v>
      </c>
      <c r="D1269" s="42" t="s">
        <v>5050</v>
      </c>
      <c r="E1269" s="38" t="s">
        <v>5051</v>
      </c>
      <c r="F1269" s="17" t="s">
        <v>5052</v>
      </c>
      <c r="G1269" s="42" t="s">
        <v>5053</v>
      </c>
      <c r="H1269" s="17" t="s">
        <v>53</v>
      </c>
      <c r="I1269" s="18" t="s">
        <v>54</v>
      </c>
      <c r="J1269" s="99" t="s">
        <v>66</v>
      </c>
      <c r="K1269" s="5" t="s">
        <v>4185</v>
      </c>
      <c r="L1269" t="str">
        <f t="shared" si="20"/>
        <v>rhunt25@lsu.edu</v>
      </c>
    </row>
    <row r="1270" spans="1:12">
      <c r="A1270" t="str" cm="1">
        <f t="array" ref="A1270">_xlfn.LET(_xlpm.e,L1270,
IF(_xlpm.e="","",
"DOC-"&amp;TEXT(ROW()-ROW(tblMaster[#Headers]),"00000")
))</f>
        <v>DOC-01269</v>
      </c>
      <c r="B1270" s="49">
        <v>46006</v>
      </c>
      <c r="C1270" s="42" t="s">
        <v>2116</v>
      </c>
      <c r="D1270" s="42" t="s">
        <v>5054</v>
      </c>
      <c r="E1270" s="38" t="s">
        <v>5055</v>
      </c>
      <c r="F1270" s="17" t="s">
        <v>5056</v>
      </c>
      <c r="G1270" s="42" t="s">
        <v>5053</v>
      </c>
      <c r="H1270" s="17" t="s">
        <v>17</v>
      </c>
      <c r="I1270" s="18" t="s">
        <v>54</v>
      </c>
      <c r="K1270" s="5" t="s">
        <v>4185</v>
      </c>
      <c r="L1270" t="str">
        <f t="shared" si="20"/>
        <v>williamson4590@gmail.com</v>
      </c>
    </row>
    <row r="1271" spans="1:12">
      <c r="A1271" t="str" cm="1">
        <f t="array" ref="A1271">_xlfn.LET(_xlpm.e,L1271,
IF(_xlpm.e="","",
"DOC-"&amp;TEXT(ROW()-ROW(tblMaster[#Headers]),"00000")
))</f>
        <v>DOC-01270</v>
      </c>
      <c r="B1271" s="49">
        <v>46006</v>
      </c>
      <c r="C1271" s="42" t="s">
        <v>5057</v>
      </c>
      <c r="D1271" s="42" t="s">
        <v>5058</v>
      </c>
      <c r="E1271" s="38" t="s">
        <v>5059</v>
      </c>
      <c r="F1271" s="17" t="s">
        <v>5060</v>
      </c>
      <c r="G1271" s="42" t="s">
        <v>2205</v>
      </c>
      <c r="H1271" s="17" t="s">
        <v>17</v>
      </c>
      <c r="I1271" s="18" t="s">
        <v>54</v>
      </c>
      <c r="J1271" s="99" t="s">
        <v>194</v>
      </c>
      <c r="K1271" s="5" t="s">
        <v>4185</v>
      </c>
      <c r="L1271" t="str">
        <f t="shared" si="20"/>
        <v>tmtito@gmail.com</v>
      </c>
    </row>
    <row r="1272" spans="1:12">
      <c r="A1272" t="str" cm="1">
        <f t="array" ref="A1272">_xlfn.LET(_xlpm.e,L1272,
IF(_xlpm.e="","",
"DOC-"&amp;TEXT(ROW()-ROW(tblMaster[#Headers]),"00000")
))</f>
        <v>DOC-01271</v>
      </c>
      <c r="B1272" s="49">
        <v>46006</v>
      </c>
      <c r="C1272" s="42" t="s">
        <v>5061</v>
      </c>
      <c r="D1272" s="42" t="s">
        <v>5062</v>
      </c>
      <c r="E1272" s="38" t="s">
        <v>5063</v>
      </c>
      <c r="F1272" s="17" t="s">
        <v>5064</v>
      </c>
      <c r="G1272" s="42" t="s">
        <v>5065</v>
      </c>
      <c r="H1272" s="17" t="s">
        <v>17</v>
      </c>
      <c r="I1272" s="18" t="s">
        <v>54</v>
      </c>
      <c r="K1272" s="5" t="s">
        <v>4185</v>
      </c>
      <c r="L1272" t="str">
        <f t="shared" si="20"/>
        <v>melijagurung95@gmail.com</v>
      </c>
    </row>
    <row r="1273" spans="1:12">
      <c r="A1273" t="str" cm="1">
        <f t="array" ref="A1273">_xlfn.LET(_xlpm.e,L1273,
IF(_xlpm.e="","",
"DOC-"&amp;TEXT(ROW()-ROW(tblMaster[#Headers]),"00000")
))</f>
        <v/>
      </c>
      <c r="B1273" s="49">
        <v>46006</v>
      </c>
      <c r="C1273" s="42" t="s">
        <v>1526</v>
      </c>
      <c r="D1273" s="42" t="s">
        <v>5066</v>
      </c>
      <c r="E1273" s="42"/>
      <c r="F1273" s="17" t="s">
        <v>5067</v>
      </c>
      <c r="G1273" s="42" t="s">
        <v>5068</v>
      </c>
      <c r="H1273" s="17" t="s">
        <v>17</v>
      </c>
      <c r="I1273" s="17" t="s">
        <v>112</v>
      </c>
      <c r="K1273" s="5" t="s">
        <v>4185</v>
      </c>
      <c r="L1273" t="str">
        <f t="shared" si="20"/>
        <v/>
      </c>
    </row>
    <row r="1274" spans="1:12">
      <c r="A1274" t="str" cm="1">
        <f t="array" ref="A1274">_xlfn.LET(_xlpm.e,L1274,
IF(_xlpm.e="","",
"DOC-"&amp;TEXT(ROW()-ROW(tblMaster[#Headers]),"00000")
))</f>
        <v>DOC-01273</v>
      </c>
      <c r="B1274" s="49">
        <v>46006</v>
      </c>
      <c r="C1274" s="42" t="s">
        <v>4161</v>
      </c>
      <c r="D1274" s="42" t="s">
        <v>5069</v>
      </c>
      <c r="E1274" s="38" t="s">
        <v>5070</v>
      </c>
      <c r="F1274" s="17" t="s">
        <v>5071</v>
      </c>
      <c r="G1274" s="42" t="s">
        <v>2779</v>
      </c>
      <c r="H1274" s="17" t="s">
        <v>53</v>
      </c>
      <c r="I1274" s="18" t="s">
        <v>101</v>
      </c>
      <c r="K1274" s="5" t="s">
        <v>4185</v>
      </c>
      <c r="L1274" t="str">
        <f t="shared" si="20"/>
        <v>ashleykellyb@icloud.com</v>
      </c>
    </row>
    <row r="1275" spans="1:12">
      <c r="A1275" t="str" cm="1">
        <f t="array" ref="A1275">_xlfn.LET(_xlpm.e,L1275,
IF(_xlpm.e="","",
"DOC-"&amp;TEXT(ROW()-ROW(tblMaster[#Headers]),"00000")
))</f>
        <v>DOC-01274</v>
      </c>
      <c r="B1275" s="49">
        <v>46006</v>
      </c>
      <c r="C1275" s="42" t="s">
        <v>1798</v>
      </c>
      <c r="D1275" s="42" t="s">
        <v>5072</v>
      </c>
      <c r="E1275" s="38" t="s">
        <v>5073</v>
      </c>
      <c r="F1275" s="17" t="s">
        <v>5074</v>
      </c>
      <c r="G1275" s="42" t="s">
        <v>5075</v>
      </c>
      <c r="H1275" s="17" t="s">
        <v>53</v>
      </c>
      <c r="I1275" s="18" t="s">
        <v>54</v>
      </c>
      <c r="K1275" s="5" t="s">
        <v>4185</v>
      </c>
      <c r="L1275" t="str">
        <f t="shared" si="20"/>
        <v>ibaskin1011@gmail.com</v>
      </c>
    </row>
    <row r="1276" spans="1:12">
      <c r="A1276" t="str" cm="1">
        <f t="array" ref="A1276">_xlfn.LET(_xlpm.e,L1276,
IF(_xlpm.e="","",
"DOC-"&amp;TEXT(ROW()-ROW(tblMaster[#Headers]),"00000")
))</f>
        <v>DOC-01275</v>
      </c>
      <c r="B1276" s="49">
        <v>46006</v>
      </c>
      <c r="C1276" s="42" t="s">
        <v>5076</v>
      </c>
      <c r="D1276" s="42" t="s">
        <v>5077</v>
      </c>
      <c r="E1276" s="38" t="s">
        <v>5078</v>
      </c>
      <c r="F1276" s="17" t="s">
        <v>5079</v>
      </c>
      <c r="G1276" s="42" t="s">
        <v>2456</v>
      </c>
      <c r="H1276" s="17" t="s">
        <v>17</v>
      </c>
      <c r="I1276" s="18" t="s">
        <v>54</v>
      </c>
      <c r="K1276" s="5" t="s">
        <v>4185</v>
      </c>
      <c r="L1276" t="str">
        <f t="shared" si="20"/>
        <v>annie.n.mccall@doc.state.ma.us</v>
      </c>
    </row>
    <row r="1277" spans="1:12">
      <c r="A1277" t="str" cm="1">
        <f t="array" ref="A1277">_xlfn.LET(_xlpm.e,L1277,
IF(_xlpm.e="","",
"DOC-"&amp;TEXT(ROW()-ROW(tblMaster[#Headers]),"00000")
))</f>
        <v>DOC-01276</v>
      </c>
      <c r="B1277" s="49">
        <v>46006</v>
      </c>
      <c r="C1277" s="42" t="s">
        <v>4878</v>
      </c>
      <c r="D1277" s="42" t="s">
        <v>5080</v>
      </c>
      <c r="E1277" s="38" t="s">
        <v>5081</v>
      </c>
      <c r="F1277" s="17"/>
      <c r="G1277" s="42"/>
      <c r="H1277" s="17" t="s">
        <v>17</v>
      </c>
      <c r="I1277" s="18" t="s">
        <v>54</v>
      </c>
      <c r="K1277" s="5" t="s">
        <v>4185</v>
      </c>
      <c r="L1277" t="str">
        <f t="shared" si="20"/>
        <v>nectali_aguilar@yahoo.com</v>
      </c>
    </row>
    <row r="1278" spans="1:12">
      <c r="A1278" t="str" cm="1">
        <f t="array" ref="A1278">_xlfn.LET(_xlpm.e,L1278,
IF(_xlpm.e="","",
"DOC-"&amp;TEXT(ROW()-ROW(tblMaster[#Headers]),"00000")
))</f>
        <v>DOC-01277</v>
      </c>
      <c r="B1278" s="49">
        <v>46006</v>
      </c>
      <c r="C1278" s="42" t="s">
        <v>3730</v>
      </c>
      <c r="D1278" s="42" t="s">
        <v>5082</v>
      </c>
      <c r="E1278" s="38" t="s">
        <v>5083</v>
      </c>
      <c r="F1278" s="17" t="s">
        <v>5084</v>
      </c>
      <c r="G1278" s="42" t="s">
        <v>1538</v>
      </c>
      <c r="H1278" s="17" t="s">
        <v>17</v>
      </c>
      <c r="I1278" s="18" t="s">
        <v>54</v>
      </c>
      <c r="J1278" s="99" t="s">
        <v>560</v>
      </c>
      <c r="K1278" s="5" t="s">
        <v>4185</v>
      </c>
      <c r="L1278" t="str">
        <f t="shared" si="20"/>
        <v>lawebb1515@gmail.com</v>
      </c>
    </row>
    <row r="1279" spans="1:12">
      <c r="A1279" t="str" cm="1">
        <f t="array" ref="A1279">_xlfn.LET(_xlpm.e,L1279,
IF(_xlpm.e="","",
"DOC-"&amp;TEXT(ROW()-ROW(tblMaster[#Headers]),"00000")
))</f>
        <v>DOC-01278</v>
      </c>
      <c r="B1279" s="49">
        <v>46007</v>
      </c>
      <c r="C1279" s="42" t="s">
        <v>5085</v>
      </c>
      <c r="D1279" s="42" t="s">
        <v>5086</v>
      </c>
      <c r="E1279" s="38" t="s">
        <v>5087</v>
      </c>
      <c r="F1279" s="17" t="s">
        <v>5088</v>
      </c>
      <c r="G1279" s="42" t="s">
        <v>502</v>
      </c>
      <c r="H1279" s="17" t="s">
        <v>17</v>
      </c>
      <c r="I1279" s="18" t="s">
        <v>54</v>
      </c>
      <c r="J1279" s="99" t="s">
        <v>194</v>
      </c>
      <c r="K1279" s="5" t="s">
        <v>4185</v>
      </c>
      <c r="L1279" t="str">
        <f t="shared" si="20"/>
        <v>durandyvesday@gmail.com</v>
      </c>
    </row>
    <row r="1280" spans="1:12">
      <c r="A1280" t="str" cm="1">
        <f t="array" ref="A1280">_xlfn.LET(_xlpm.e,L1280,
IF(_xlpm.e="","",
"DOC-"&amp;TEXT(ROW()-ROW(tblMaster[#Headers]),"00000")
))</f>
        <v>DOC-01279</v>
      </c>
      <c r="B1280" s="49">
        <v>46007</v>
      </c>
      <c r="C1280" s="42" t="s">
        <v>5089</v>
      </c>
      <c r="D1280" s="42" t="s">
        <v>5090</v>
      </c>
      <c r="E1280" s="38" t="s">
        <v>5091</v>
      </c>
      <c r="F1280" s="17" t="s">
        <v>5092</v>
      </c>
      <c r="G1280" s="42" t="s">
        <v>581</v>
      </c>
      <c r="H1280" s="17" t="s">
        <v>17</v>
      </c>
      <c r="I1280" s="18" t="s">
        <v>54</v>
      </c>
      <c r="K1280" s="5" t="s">
        <v>4185</v>
      </c>
      <c r="L1280" t="str">
        <f t="shared" si="20"/>
        <v>stanleystlouis14@yahoo.com</v>
      </c>
    </row>
    <row r="1281" spans="1:12">
      <c r="A1281" t="str" cm="1">
        <f t="array" ref="A1281">_xlfn.LET(_xlpm.e,L1281,
IF(_xlpm.e="","",
"DOC-"&amp;TEXT(ROW()-ROW(tblMaster[#Headers]),"00000")
))</f>
        <v>DOC-01280</v>
      </c>
      <c r="B1281" s="49">
        <v>46007</v>
      </c>
      <c r="C1281" s="42" t="s">
        <v>5093</v>
      </c>
      <c r="D1281" s="42" t="s">
        <v>2796</v>
      </c>
      <c r="E1281" s="38" t="s">
        <v>5094</v>
      </c>
      <c r="F1281" s="17" t="s">
        <v>5095</v>
      </c>
      <c r="G1281" s="42" t="s">
        <v>74</v>
      </c>
      <c r="H1281" s="17" t="s">
        <v>17</v>
      </c>
      <c r="I1281" s="18" t="s">
        <v>101</v>
      </c>
      <c r="K1281" s="5" t="s">
        <v>4185</v>
      </c>
      <c r="L1281" t="str">
        <f t="shared" si="20"/>
        <v>vazquezonix8@gmail.com</v>
      </c>
    </row>
    <row r="1282" spans="1:12">
      <c r="A1282" t="str" cm="1">
        <f t="array" ref="A1282">_xlfn.LET(_xlpm.e,L1282,
IF(_xlpm.e="","",
"DOC-"&amp;TEXT(ROW()-ROW(tblMaster[#Headers]),"00000")
))</f>
        <v>DOC-01281</v>
      </c>
      <c r="B1282" s="49">
        <v>46007</v>
      </c>
      <c r="C1282" s="42" t="s">
        <v>5096</v>
      </c>
      <c r="D1282" s="42" t="s">
        <v>5097</v>
      </c>
      <c r="E1282" s="38" t="s">
        <v>5098</v>
      </c>
      <c r="F1282" s="17" t="s">
        <v>5099</v>
      </c>
      <c r="G1282" s="42" t="s">
        <v>5100</v>
      </c>
      <c r="H1282" s="17" t="s">
        <v>17</v>
      </c>
      <c r="I1282" s="18" t="s">
        <v>101</v>
      </c>
      <c r="J1282" s="99" t="s">
        <v>497</v>
      </c>
      <c r="K1282" s="5" t="s">
        <v>4185</v>
      </c>
      <c r="L1282" t="str">
        <f t="shared" si="20"/>
        <v>henrymutes8@gmail.com</v>
      </c>
    </row>
    <row r="1283" spans="1:12">
      <c r="A1283" t="str" cm="1">
        <f t="array" ref="A1283">_xlfn.LET(_xlpm.e,L1283,
IF(_xlpm.e="","",
"DOC-"&amp;TEXT(ROW()-ROW(tblMaster[#Headers]),"00000")
))</f>
        <v>DOC-01282</v>
      </c>
      <c r="B1283" s="49">
        <v>46007</v>
      </c>
      <c r="C1283" s="42" t="s">
        <v>1307</v>
      </c>
      <c r="D1283" s="42" t="s">
        <v>5101</v>
      </c>
      <c r="E1283" s="38" t="s">
        <v>5102</v>
      </c>
      <c r="F1283" s="17"/>
      <c r="G1283" s="42" t="s">
        <v>675</v>
      </c>
      <c r="H1283" s="17" t="s">
        <v>17</v>
      </c>
      <c r="I1283" s="17" t="s">
        <v>2276</v>
      </c>
      <c r="K1283" s="5" t="s">
        <v>4185</v>
      </c>
      <c r="L1283" t="str">
        <f t="shared" si="20"/>
        <v>anthony@eturfcare.com</v>
      </c>
    </row>
    <row r="1284" spans="1:12">
      <c r="A1284" t="str" cm="1">
        <f t="array" ref="A1284">_xlfn.LET(_xlpm.e,L1284,
IF(_xlpm.e="","",
"DOC-"&amp;TEXT(ROW()-ROW(tblMaster[#Headers]),"00000")
))</f>
        <v>DOC-01283</v>
      </c>
      <c r="B1284" s="49">
        <v>46007</v>
      </c>
      <c r="C1284" s="42" t="s">
        <v>2671</v>
      </c>
      <c r="D1284" s="42" t="s">
        <v>2672</v>
      </c>
      <c r="E1284" s="38" t="s">
        <v>5103</v>
      </c>
      <c r="F1284" s="17" t="s">
        <v>5104</v>
      </c>
      <c r="G1284" s="42" t="s">
        <v>5105</v>
      </c>
      <c r="H1284" s="17" t="s">
        <v>267</v>
      </c>
      <c r="I1284" s="17" t="s">
        <v>2276</v>
      </c>
      <c r="K1284" s="5" t="s">
        <v>4185</v>
      </c>
      <c r="L1284" t="str">
        <f t="shared" si="20"/>
        <v>mauriceafrancis82@gmail.com</v>
      </c>
    </row>
    <row r="1285" spans="1:12">
      <c r="A1285" t="str" cm="1">
        <f t="array" ref="A1285">_xlfn.LET(_xlpm.e,L1285,
IF(_xlpm.e="","",
"DOC-"&amp;TEXT(ROW()-ROW(tblMaster[#Headers]),"00000")
))</f>
        <v/>
      </c>
      <c r="B1285" s="49">
        <v>46007</v>
      </c>
      <c r="C1285" s="42" t="s">
        <v>272</v>
      </c>
      <c r="D1285" s="42" t="s">
        <v>5106</v>
      </c>
      <c r="E1285" s="42"/>
      <c r="F1285" s="17" t="s">
        <v>5107</v>
      </c>
      <c r="G1285" s="42" t="s">
        <v>74</v>
      </c>
      <c r="H1285" s="17" t="s">
        <v>17</v>
      </c>
      <c r="I1285" s="17" t="s">
        <v>2276</v>
      </c>
      <c r="J1285" s="99" t="s">
        <v>194</v>
      </c>
      <c r="K1285" s="5" t="s">
        <v>4185</v>
      </c>
      <c r="L1285" t="str">
        <f t="shared" si="20"/>
        <v/>
      </c>
    </row>
    <row r="1286" spans="1:12">
      <c r="A1286" t="str" cm="1">
        <f t="array" ref="A1286">_xlfn.LET(_xlpm.e,L1286,
IF(_xlpm.e="","",
"DOC-"&amp;TEXT(ROW()-ROW(tblMaster[#Headers]),"00000")
))</f>
        <v>DOC-01285</v>
      </c>
      <c r="B1286" s="49">
        <v>46007</v>
      </c>
      <c r="C1286" s="42" t="s">
        <v>5108</v>
      </c>
      <c r="D1286" s="42" t="s">
        <v>5109</v>
      </c>
      <c r="E1286" s="38" t="s">
        <v>5110</v>
      </c>
      <c r="F1286" s="17" t="s">
        <v>5111</v>
      </c>
      <c r="G1286" s="42" t="s">
        <v>1954</v>
      </c>
      <c r="H1286" s="17" t="s">
        <v>53</v>
      </c>
      <c r="I1286" s="18" t="s">
        <v>54</v>
      </c>
      <c r="K1286" s="5" t="s">
        <v>4185</v>
      </c>
      <c r="L1286" t="str">
        <f t="shared" ref="L1286:L1349" si="21">_xlfn.LET(_xlpm.x,E1286,
_xlpm.y,TRIM(CLEAN(SUBSTITUTE(_xlpm.x,CHAR(160)," "))),
LOWER(_xlpm.y))</f>
        <v>shagafta@gmail.com</v>
      </c>
    </row>
    <row r="1287" spans="1:12">
      <c r="A1287" t="str" cm="1">
        <f t="array" ref="A1287">_xlfn.LET(_xlpm.e,L1287,
IF(_xlpm.e="","",
"DOC-"&amp;TEXT(ROW()-ROW(tblMaster[#Headers]),"00000")
))</f>
        <v>DOC-01286</v>
      </c>
      <c r="B1287" s="49">
        <v>46008</v>
      </c>
      <c r="C1287" s="42" t="s">
        <v>1623</v>
      </c>
      <c r="D1287" s="42" t="s">
        <v>5112</v>
      </c>
      <c r="E1287" s="38" t="s">
        <v>5113</v>
      </c>
      <c r="F1287" s="17" t="s">
        <v>5114</v>
      </c>
      <c r="G1287" s="42" t="s">
        <v>33</v>
      </c>
      <c r="H1287" s="17" t="s">
        <v>17</v>
      </c>
      <c r="I1287" s="18" t="s">
        <v>54</v>
      </c>
      <c r="J1287" s="99" t="s">
        <v>66</v>
      </c>
      <c r="K1287" s="5" t="s">
        <v>4185</v>
      </c>
      <c r="L1287" t="str">
        <f t="shared" si="21"/>
        <v>mrcarlosbarbosa@gmail.com</v>
      </c>
    </row>
    <row r="1288" spans="1:12">
      <c r="A1288" t="str" cm="1">
        <f t="array" ref="A1288">_xlfn.LET(_xlpm.e,L1288,
IF(_xlpm.e="","",
"DOC-"&amp;TEXT(ROW()-ROW(tblMaster[#Headers]),"00000")
))</f>
        <v>DOC-01287</v>
      </c>
      <c r="B1288" s="49">
        <v>46009</v>
      </c>
      <c r="C1288" s="42" t="s">
        <v>3112</v>
      </c>
      <c r="D1288" s="42" t="s">
        <v>5115</v>
      </c>
      <c r="E1288" s="38" t="s">
        <v>5116</v>
      </c>
      <c r="F1288" s="17" t="s">
        <v>5117</v>
      </c>
      <c r="G1288" s="42" t="s">
        <v>5118</v>
      </c>
      <c r="H1288" s="17" t="s">
        <v>53</v>
      </c>
      <c r="I1288" s="18" t="s">
        <v>54</v>
      </c>
      <c r="K1288" s="5" t="s">
        <v>4185</v>
      </c>
      <c r="L1288" t="str">
        <f t="shared" si="21"/>
        <v>mcdaideric@gmail.com</v>
      </c>
    </row>
    <row r="1289" spans="1:12">
      <c r="A1289" t="str" cm="1">
        <f t="array" ref="A1289">_xlfn.LET(_xlpm.e,L1289,
IF(_xlpm.e="","",
"DOC-"&amp;TEXT(ROW()-ROW(tblMaster[#Headers]),"00000")
))</f>
        <v>DOC-01288</v>
      </c>
      <c r="B1289" s="49">
        <v>46009</v>
      </c>
      <c r="C1289" s="42" t="s">
        <v>527</v>
      </c>
      <c r="D1289" s="42" t="s">
        <v>5119</v>
      </c>
      <c r="E1289" s="38" t="s">
        <v>5120</v>
      </c>
      <c r="F1289" s="17" t="s">
        <v>5121</v>
      </c>
      <c r="G1289" s="42" t="s">
        <v>2027</v>
      </c>
      <c r="H1289" s="17" t="s">
        <v>267</v>
      </c>
      <c r="I1289" s="18" t="s">
        <v>54</v>
      </c>
      <c r="K1289" s="5" t="s">
        <v>4185</v>
      </c>
      <c r="L1289" t="str">
        <f t="shared" si="21"/>
        <v>edwardjames928@icloud.com</v>
      </c>
    </row>
    <row r="1290" spans="1:12">
      <c r="A1290" t="str" cm="1">
        <f t="array" ref="A1290">_xlfn.LET(_xlpm.e,L1290,
IF(_xlpm.e="","",
"DOC-"&amp;TEXT(ROW()-ROW(tblMaster[#Headers]),"00000")
))</f>
        <v>DOC-01289</v>
      </c>
      <c r="B1290" s="49">
        <v>46013</v>
      </c>
      <c r="C1290" s="42" t="s">
        <v>5122</v>
      </c>
      <c r="D1290" s="42" t="s">
        <v>5123</v>
      </c>
      <c r="E1290" s="38" t="s">
        <v>5124</v>
      </c>
      <c r="F1290" s="17" t="s">
        <v>5125</v>
      </c>
      <c r="G1290" s="42" t="s">
        <v>1109</v>
      </c>
      <c r="H1290" s="17" t="s">
        <v>17</v>
      </c>
      <c r="I1290" s="18" t="s">
        <v>54</v>
      </c>
      <c r="K1290" s="5" t="s">
        <v>4185</v>
      </c>
      <c r="L1290" t="str">
        <f t="shared" si="21"/>
        <v>morpeau2023@gmail.com</v>
      </c>
    </row>
    <row r="1291" spans="1:12">
      <c r="A1291" t="str" cm="1">
        <f t="array" ref="A1291">_xlfn.LET(_xlpm.e,L1291,
IF(_xlpm.e="","",
"DOC-"&amp;TEXT(ROW()-ROW(tblMaster[#Headers]),"00000")
))</f>
        <v>DOC-01290</v>
      </c>
      <c r="B1291" s="49">
        <v>46013</v>
      </c>
      <c r="C1291" s="42" t="s">
        <v>5126</v>
      </c>
      <c r="D1291" s="42" t="s">
        <v>5127</v>
      </c>
      <c r="E1291" s="38" t="s">
        <v>5128</v>
      </c>
      <c r="F1291" s="17" t="s">
        <v>5129</v>
      </c>
      <c r="G1291" s="42" t="s">
        <v>1963</v>
      </c>
      <c r="H1291" s="17" t="s">
        <v>496</v>
      </c>
      <c r="I1291" s="18" t="s">
        <v>54</v>
      </c>
      <c r="J1291" s="99" t="s">
        <v>194</v>
      </c>
      <c r="K1291" s="5" t="s">
        <v>4185</v>
      </c>
      <c r="L1291" t="str">
        <f t="shared" si="21"/>
        <v>kogstarghana@gmail.com</v>
      </c>
    </row>
    <row r="1292" spans="1:12">
      <c r="A1292" t="str" cm="1">
        <f t="array" ref="A1292">_xlfn.LET(_xlpm.e,L1292,
IF(_xlpm.e="","",
"DOC-"&amp;TEXT(ROW()-ROW(tblMaster[#Headers]),"00000")
))</f>
        <v>DOC-01291</v>
      </c>
      <c r="B1292" s="49">
        <v>46013</v>
      </c>
      <c r="C1292" s="42" t="s">
        <v>5130</v>
      </c>
      <c r="D1292" s="42" t="s">
        <v>5131</v>
      </c>
      <c r="E1292" s="38" t="s">
        <v>5132</v>
      </c>
      <c r="F1292" s="17" t="s">
        <v>5133</v>
      </c>
      <c r="G1292" s="42" t="s">
        <v>276</v>
      </c>
      <c r="H1292" s="17" t="s">
        <v>17</v>
      </c>
      <c r="I1292" s="18" t="s">
        <v>54</v>
      </c>
      <c r="K1292" s="5" t="s">
        <v>4185</v>
      </c>
      <c r="L1292" t="str">
        <f t="shared" si="21"/>
        <v>dredejesus4@gmail.com</v>
      </c>
    </row>
    <row r="1293" spans="1:12">
      <c r="A1293" t="str" cm="1">
        <f t="array" ref="A1293">_xlfn.LET(_xlpm.e,L1293,
IF(_xlpm.e="","",
"DOC-"&amp;TEXT(ROW()-ROW(tblMaster[#Headers]),"00000")
))</f>
        <v>DOC-01292</v>
      </c>
      <c r="B1293" s="49">
        <v>46013</v>
      </c>
      <c r="C1293" s="42" t="s">
        <v>5134</v>
      </c>
      <c r="D1293" s="42" t="s">
        <v>5135</v>
      </c>
      <c r="E1293" s="38" t="s">
        <v>5136</v>
      </c>
      <c r="F1293" s="17" t="s">
        <v>5137</v>
      </c>
      <c r="G1293" s="42" t="s">
        <v>257</v>
      </c>
      <c r="H1293" s="17" t="s">
        <v>17</v>
      </c>
      <c r="I1293" s="18" t="s">
        <v>54</v>
      </c>
      <c r="K1293" s="5" t="s">
        <v>4185</v>
      </c>
      <c r="L1293" t="str">
        <f t="shared" si="21"/>
        <v>mizanibenjamin22@gmail.com</v>
      </c>
    </row>
    <row r="1294" spans="1:12">
      <c r="A1294" t="str" cm="1">
        <f t="array" ref="A1294">_xlfn.LET(_xlpm.e,L1294,
IF(_xlpm.e="","",
"DOC-"&amp;TEXT(ROW()-ROW(tblMaster[#Headers]),"00000")
))</f>
        <v>DOC-01293</v>
      </c>
      <c r="B1294" s="49">
        <v>46013</v>
      </c>
      <c r="C1294" s="42" t="s">
        <v>1785</v>
      </c>
      <c r="D1294" s="42" t="s">
        <v>5138</v>
      </c>
      <c r="E1294" s="38" t="s">
        <v>5139</v>
      </c>
      <c r="F1294" s="17" t="s">
        <v>5140</v>
      </c>
      <c r="G1294" s="42" t="s">
        <v>837</v>
      </c>
      <c r="H1294" s="17" t="s">
        <v>17</v>
      </c>
      <c r="I1294" s="18" t="s">
        <v>54</v>
      </c>
      <c r="J1294" s="99" t="s">
        <v>66</v>
      </c>
      <c r="K1294" s="5" t="s">
        <v>4185</v>
      </c>
      <c r="L1294" t="str">
        <f t="shared" si="21"/>
        <v>elijrolle@gmail.com</v>
      </c>
    </row>
    <row r="1295" spans="1:12">
      <c r="A1295" t="str" cm="1">
        <f t="array" ref="A1295">_xlfn.LET(_xlpm.e,L1295,
IF(_xlpm.e="","",
"DOC-"&amp;TEXT(ROW()-ROW(tblMaster[#Headers]),"00000")
))</f>
        <v>DOC-01294</v>
      </c>
      <c r="B1295" s="49">
        <v>46013</v>
      </c>
      <c r="C1295" s="42" t="s">
        <v>5141</v>
      </c>
      <c r="D1295" s="42" t="s">
        <v>5142</v>
      </c>
      <c r="E1295" s="38" t="s">
        <v>5143</v>
      </c>
      <c r="F1295" s="17" t="s">
        <v>5144</v>
      </c>
      <c r="G1295" s="42" t="s">
        <v>581</v>
      </c>
      <c r="H1295" s="17" t="s">
        <v>17</v>
      </c>
      <c r="I1295" s="18" t="s">
        <v>54</v>
      </c>
      <c r="K1295" s="5" t="s">
        <v>4185</v>
      </c>
      <c r="L1295" t="str">
        <f t="shared" si="21"/>
        <v>juliaoliveiradias00@gmail.com</v>
      </c>
    </row>
    <row r="1296" spans="1:12">
      <c r="A1296" t="str" cm="1">
        <f t="array" ref="A1296">_xlfn.LET(_xlpm.e,L1296,
IF(_xlpm.e="","",
"DOC-"&amp;TEXT(ROW()-ROW(tblMaster[#Headers]),"00000")
))</f>
        <v>DOC-01295</v>
      </c>
      <c r="B1296" s="49">
        <v>46013</v>
      </c>
      <c r="C1296" s="42" t="s">
        <v>2875</v>
      </c>
      <c r="D1296" s="42" t="s">
        <v>5145</v>
      </c>
      <c r="E1296" s="38" t="s">
        <v>5146</v>
      </c>
      <c r="F1296" s="17" t="s">
        <v>5147</v>
      </c>
      <c r="G1296" s="42" t="s">
        <v>5148</v>
      </c>
      <c r="H1296" s="17" t="s">
        <v>17</v>
      </c>
      <c r="I1296" s="18" t="s">
        <v>54</v>
      </c>
      <c r="K1296" s="5" t="s">
        <v>4185</v>
      </c>
      <c r="L1296" t="str">
        <f t="shared" si="21"/>
        <v>jordan.warren497@gmail.com</v>
      </c>
    </row>
    <row r="1297" spans="1:12">
      <c r="A1297" t="str" cm="1">
        <f t="array" ref="A1297">_xlfn.LET(_xlpm.e,L1297,
IF(_xlpm.e="","",
"DOC-"&amp;TEXT(ROW()-ROW(tblMaster[#Headers]),"00000")
))</f>
        <v>DOC-01296</v>
      </c>
      <c r="B1297" s="49">
        <v>46013</v>
      </c>
      <c r="C1297" s="42" t="s">
        <v>778</v>
      </c>
      <c r="D1297" s="42" t="s">
        <v>5149</v>
      </c>
      <c r="E1297" s="38" t="s">
        <v>5150</v>
      </c>
      <c r="F1297" s="17" t="s">
        <v>5151</v>
      </c>
      <c r="G1297" s="42" t="s">
        <v>5152</v>
      </c>
      <c r="H1297" s="17" t="s">
        <v>17</v>
      </c>
      <c r="I1297" s="18" t="s">
        <v>54</v>
      </c>
      <c r="J1297" s="99" t="s">
        <v>194</v>
      </c>
      <c r="K1297" s="5" t="s">
        <v>4185</v>
      </c>
      <c r="L1297" t="str">
        <f t="shared" si="21"/>
        <v>michaelpafume@gmail.com</v>
      </c>
    </row>
    <row r="1298" spans="1:12">
      <c r="A1298" t="str" cm="1">
        <f t="array" ref="A1298">_xlfn.LET(_xlpm.e,L1298,
IF(_xlpm.e="","",
"DOC-"&amp;TEXT(ROW()-ROW(tblMaster[#Headers]),"00000")
))</f>
        <v>DOC-01297</v>
      </c>
      <c r="B1298" s="49">
        <v>46013</v>
      </c>
      <c r="C1298" s="42" t="s">
        <v>148</v>
      </c>
      <c r="D1298" s="42" t="s">
        <v>5153</v>
      </c>
      <c r="E1298" s="38" t="s">
        <v>5154</v>
      </c>
      <c r="F1298" s="17" t="s">
        <v>5155</v>
      </c>
      <c r="G1298" s="42" t="s">
        <v>138</v>
      </c>
      <c r="H1298" s="17" t="s">
        <v>17</v>
      </c>
      <c r="I1298" s="18" t="s">
        <v>54</v>
      </c>
      <c r="K1298" s="5" t="s">
        <v>4185</v>
      </c>
      <c r="L1298" t="str">
        <f t="shared" si="21"/>
        <v>asulkis@gmail.com</v>
      </c>
    </row>
    <row r="1299" spans="1:12">
      <c r="A1299" t="str" cm="1">
        <f t="array" ref="A1299">_xlfn.LET(_xlpm.e,L1299,
IF(_xlpm.e="","",
"DOC-"&amp;TEXT(ROW()-ROW(tblMaster[#Headers]),"00000")
))</f>
        <v>DOC-01298</v>
      </c>
      <c r="B1299" s="49">
        <v>46013</v>
      </c>
      <c r="C1299" s="42" t="s">
        <v>5156</v>
      </c>
      <c r="D1299" s="42" t="s">
        <v>5157</v>
      </c>
      <c r="E1299" s="38" t="s">
        <v>5158</v>
      </c>
      <c r="F1299" s="17" t="s">
        <v>5159</v>
      </c>
      <c r="G1299" s="42" t="s">
        <v>1162</v>
      </c>
      <c r="H1299" s="17" t="s">
        <v>17</v>
      </c>
      <c r="I1299" s="18" t="s">
        <v>54</v>
      </c>
      <c r="K1299" s="5" t="s">
        <v>4185</v>
      </c>
      <c r="L1299" t="str">
        <f t="shared" si="21"/>
        <v>parksdelilah488@email.com</v>
      </c>
    </row>
    <row r="1300" spans="1:12">
      <c r="A1300" t="str" cm="1">
        <f t="array" ref="A1300">_xlfn.LET(_xlpm.e,L1300,
IF(_xlpm.e="","",
"DOC-"&amp;TEXT(ROW()-ROW(tblMaster[#Headers]),"00000")
))</f>
        <v>DOC-01299</v>
      </c>
      <c r="B1300" s="49">
        <v>46013</v>
      </c>
      <c r="C1300" s="42" t="s">
        <v>5160</v>
      </c>
      <c r="D1300" s="42" t="s">
        <v>5161</v>
      </c>
      <c r="E1300" s="38" t="s">
        <v>5162</v>
      </c>
      <c r="F1300" s="17" t="s">
        <v>5163</v>
      </c>
      <c r="G1300" s="42" t="s">
        <v>5164</v>
      </c>
      <c r="H1300" s="17" t="s">
        <v>17</v>
      </c>
      <c r="I1300" s="18" t="s">
        <v>54</v>
      </c>
      <c r="J1300" s="99" t="s">
        <v>194</v>
      </c>
      <c r="K1300" s="5" t="s">
        <v>4185</v>
      </c>
      <c r="L1300" t="str">
        <f t="shared" si="21"/>
        <v>bayo.animashaun@yahoo.com</v>
      </c>
    </row>
    <row r="1301" spans="1:12">
      <c r="A1301" t="str" cm="1">
        <f t="array" ref="A1301">_xlfn.LET(_xlpm.e,L1301,
IF(_xlpm.e="","",
"DOC-"&amp;TEXT(ROW()-ROW(tblMaster[#Headers]),"00000")
))</f>
        <v>DOC-01300</v>
      </c>
      <c r="B1301" s="49">
        <v>46013</v>
      </c>
      <c r="C1301" s="42" t="s">
        <v>5165</v>
      </c>
      <c r="D1301" s="42" t="s">
        <v>5166</v>
      </c>
      <c r="E1301" s="38" t="s">
        <v>5167</v>
      </c>
      <c r="F1301" s="17"/>
      <c r="G1301" s="42"/>
      <c r="H1301" s="17"/>
      <c r="I1301" s="18" t="s">
        <v>101</v>
      </c>
      <c r="J1301" s="99" t="s">
        <v>66</v>
      </c>
      <c r="K1301" s="5" t="s">
        <v>4185</v>
      </c>
      <c r="L1301" t="str">
        <f t="shared" si="21"/>
        <v>noel.rosado85@icloud.com</v>
      </c>
    </row>
    <row r="1302" spans="1:12">
      <c r="A1302" t="str" cm="1">
        <f t="array" ref="A1302">_xlfn.LET(_xlpm.e,L1302,
IF(_xlpm.e="","",
"DOC-"&amp;TEXT(ROW()-ROW(tblMaster[#Headers]),"00000")
))</f>
        <v>DOC-01301</v>
      </c>
      <c r="B1302" s="49">
        <v>46013</v>
      </c>
      <c r="C1302" s="42" t="s">
        <v>5168</v>
      </c>
      <c r="D1302" s="42" t="s">
        <v>5169</v>
      </c>
      <c r="E1302" s="38" t="s">
        <v>5170</v>
      </c>
      <c r="F1302" s="17" t="s">
        <v>5171</v>
      </c>
      <c r="G1302" s="42" t="s">
        <v>2205</v>
      </c>
      <c r="H1302" s="17" t="s">
        <v>17</v>
      </c>
      <c r="I1302" s="18" t="s">
        <v>101</v>
      </c>
      <c r="K1302" s="5" t="s">
        <v>4185</v>
      </c>
      <c r="L1302" t="str">
        <f t="shared" si="21"/>
        <v>oseibonsu450@yahoo.com</v>
      </c>
    </row>
    <row r="1303" spans="1:12">
      <c r="A1303" t="str" cm="1">
        <f t="array" ref="A1303">_xlfn.LET(_xlpm.e,L1303,
IF(_xlpm.e="","",
"DOC-"&amp;TEXT(ROW()-ROW(tblMaster[#Headers]),"00000")
))</f>
        <v>DOC-01302</v>
      </c>
      <c r="B1303" s="49">
        <v>46013</v>
      </c>
      <c r="C1303" s="42" t="s">
        <v>5172</v>
      </c>
      <c r="D1303" s="42" t="s">
        <v>658</v>
      </c>
      <c r="E1303" s="38" t="s">
        <v>5173</v>
      </c>
      <c r="F1303" s="17" t="s">
        <v>5174</v>
      </c>
      <c r="G1303" s="42"/>
      <c r="H1303" s="17"/>
      <c r="I1303" s="18" t="s">
        <v>101</v>
      </c>
      <c r="K1303" s="5" t="s">
        <v>4185</v>
      </c>
      <c r="L1303" t="str">
        <f t="shared" si="21"/>
        <v>arleylouis90@gmail.com</v>
      </c>
    </row>
    <row r="1304" spans="1:12" ht="15.75">
      <c r="A1304" t="str" cm="1">
        <f t="array" ref="A1304">_xlfn.LET(_xlpm.e,L1304,
IF(_xlpm.e="","",
"DOC-"&amp;TEXT(ROW()-ROW(tblMaster[#Headers]),"00000")
))</f>
        <v>DOC-01303</v>
      </c>
      <c r="B1304" s="49">
        <v>46013</v>
      </c>
      <c r="C1304" s="54" t="s">
        <v>5175</v>
      </c>
      <c r="D1304" s="42" t="s">
        <v>5176</v>
      </c>
      <c r="E1304" s="38" t="s">
        <v>5177</v>
      </c>
      <c r="F1304" s="17" t="s">
        <v>5178</v>
      </c>
      <c r="G1304" s="42" t="s">
        <v>257</v>
      </c>
      <c r="H1304" s="17" t="s">
        <v>17</v>
      </c>
      <c r="I1304" s="18" t="s">
        <v>101</v>
      </c>
      <c r="K1304" s="5" t="s">
        <v>4185</v>
      </c>
      <c r="L1304" t="str">
        <f t="shared" si="21"/>
        <v>shyanngore04@gmail.com</v>
      </c>
    </row>
    <row r="1305" spans="1:12">
      <c r="A1305" t="str" cm="1">
        <f t="array" ref="A1305">_xlfn.LET(_xlpm.e,L1305,
IF(_xlpm.e="","",
"DOC-"&amp;TEXT(ROW()-ROW(tblMaster[#Headers]),"00000")
))</f>
        <v>DOC-01304</v>
      </c>
      <c r="B1305" s="49">
        <v>46013</v>
      </c>
      <c r="C1305" s="42" t="s">
        <v>5179</v>
      </c>
      <c r="D1305" s="42" t="s">
        <v>5180</v>
      </c>
      <c r="E1305" s="38" t="s">
        <v>5181</v>
      </c>
      <c r="F1305" s="17"/>
      <c r="G1305" s="42"/>
      <c r="H1305" s="17"/>
      <c r="I1305" s="18" t="s">
        <v>101</v>
      </c>
      <c r="K1305" s="5" t="s">
        <v>4185</v>
      </c>
      <c r="L1305" t="str">
        <f t="shared" si="21"/>
        <v>romilda58@icloud.com</v>
      </c>
    </row>
    <row r="1306" spans="1:12">
      <c r="A1306" t="str" cm="1">
        <f t="array" ref="A1306">_xlfn.LET(_xlpm.e,L1306,
IF(_xlpm.e="","",
"DOC-"&amp;TEXT(ROW()-ROW(tblMaster[#Headers]),"00000")
))</f>
        <v>DOC-01305</v>
      </c>
      <c r="B1306" s="49">
        <v>46013</v>
      </c>
      <c r="C1306" s="42" t="s">
        <v>491</v>
      </c>
      <c r="D1306" s="42" t="s">
        <v>5182</v>
      </c>
      <c r="E1306" s="38" t="s">
        <v>5183</v>
      </c>
      <c r="F1306" s="17" t="s">
        <v>5184</v>
      </c>
      <c r="G1306" s="42" t="s">
        <v>257</v>
      </c>
      <c r="H1306" s="17" t="s">
        <v>17</v>
      </c>
      <c r="I1306" s="18" t="s">
        <v>54</v>
      </c>
      <c r="K1306" s="5" t="s">
        <v>4185</v>
      </c>
      <c r="L1306" t="str">
        <f t="shared" si="21"/>
        <v>agolder857@gmail.com</v>
      </c>
    </row>
    <row r="1307" spans="1:12">
      <c r="A1307" t="str" cm="1">
        <f t="array" ref="A1307">_xlfn.LET(_xlpm.e,L1307,
IF(_xlpm.e="","",
"DOC-"&amp;TEXT(ROW()-ROW(tblMaster[#Headers]),"00000")
))</f>
        <v>DOC-01306</v>
      </c>
      <c r="B1307" s="49">
        <v>46014</v>
      </c>
      <c r="C1307" s="42" t="s">
        <v>2393</v>
      </c>
      <c r="D1307" s="42" t="s">
        <v>5185</v>
      </c>
      <c r="E1307" s="38" t="s">
        <v>5186</v>
      </c>
      <c r="F1307" s="17"/>
      <c r="G1307" s="42" t="s">
        <v>2472</v>
      </c>
      <c r="H1307" s="17" t="s">
        <v>17</v>
      </c>
      <c r="I1307" s="17" t="s">
        <v>2276</v>
      </c>
      <c r="K1307" s="5" t="s">
        <v>4185</v>
      </c>
      <c r="L1307" t="str">
        <f t="shared" si="21"/>
        <v>patrickstellato89@gmail.com</v>
      </c>
    </row>
    <row r="1308" spans="1:12">
      <c r="A1308" t="str" cm="1">
        <f t="array" ref="A1308">_xlfn.LET(_xlpm.e,L1308,
IF(_xlpm.e="","",
"DOC-"&amp;TEXT(ROW()-ROW(tblMaster[#Headers]),"00000")
))</f>
        <v>DOC-01307</v>
      </c>
      <c r="B1308" s="49">
        <v>46014</v>
      </c>
      <c r="C1308" s="42" t="s">
        <v>5187</v>
      </c>
      <c r="D1308" s="42" t="s">
        <v>5188</v>
      </c>
      <c r="E1308" s="38" t="s">
        <v>5189</v>
      </c>
      <c r="F1308" s="17" t="s">
        <v>5190</v>
      </c>
      <c r="G1308" s="42" t="s">
        <v>59</v>
      </c>
      <c r="H1308" s="17" t="s">
        <v>60</v>
      </c>
      <c r="I1308" s="18" t="s">
        <v>101</v>
      </c>
      <c r="J1308" s="99" t="s">
        <v>560</v>
      </c>
      <c r="K1308" s="5" t="s">
        <v>4185</v>
      </c>
      <c r="L1308" t="str">
        <f t="shared" si="21"/>
        <v>taniacvaz@icloud.com</v>
      </c>
    </row>
    <row r="1309" spans="1:12">
      <c r="A1309" t="str" cm="1">
        <f t="array" ref="A1309">_xlfn.LET(_xlpm.e,L1309,
IF(_xlpm.e="","",
"DOC-"&amp;TEXT(ROW()-ROW(tblMaster[#Headers]),"00000")
))</f>
        <v/>
      </c>
      <c r="B1309" s="49">
        <v>46014</v>
      </c>
      <c r="C1309" s="42" t="s">
        <v>5191</v>
      </c>
      <c r="D1309" s="42" t="s">
        <v>1397</v>
      </c>
      <c r="E1309" s="39"/>
      <c r="F1309" s="17" t="s">
        <v>5192</v>
      </c>
      <c r="G1309" s="42" t="s">
        <v>88</v>
      </c>
      <c r="H1309" s="17" t="s">
        <v>17</v>
      </c>
      <c r="I1309" s="17" t="s">
        <v>2276</v>
      </c>
      <c r="K1309" s="5" t="s">
        <v>4185</v>
      </c>
      <c r="L1309" t="str">
        <f t="shared" si="21"/>
        <v/>
      </c>
    </row>
    <row r="1310" spans="1:12">
      <c r="A1310" t="str" cm="1">
        <f t="array" ref="A1310">_xlfn.LET(_xlpm.e,L1310,
IF(_xlpm.e="","",
"DOC-"&amp;TEXT(ROW()-ROW(tblMaster[#Headers]),"00000")
))</f>
        <v>DOC-01309</v>
      </c>
      <c r="B1310" s="49">
        <v>46014</v>
      </c>
      <c r="C1310" s="42" t="s">
        <v>5193</v>
      </c>
      <c r="D1310" s="42" t="s">
        <v>5194</v>
      </c>
      <c r="E1310" s="38" t="s">
        <v>5195</v>
      </c>
      <c r="F1310" s="17" t="s">
        <v>5196</v>
      </c>
      <c r="G1310" s="42" t="s">
        <v>591</v>
      </c>
      <c r="H1310" s="17" t="s">
        <v>17</v>
      </c>
      <c r="I1310" s="18" t="s">
        <v>54</v>
      </c>
      <c r="K1310" s="5" t="s">
        <v>4185</v>
      </c>
      <c r="L1310" t="str">
        <f t="shared" si="21"/>
        <v>shufelt21@yahoo.com</v>
      </c>
    </row>
    <row r="1311" spans="1:12">
      <c r="A1311" t="str" cm="1">
        <f t="array" ref="A1311">_xlfn.LET(_xlpm.e,L1311,
IF(_xlpm.e="","",
"DOC-"&amp;TEXT(ROW()-ROW(tblMaster[#Headers]),"00000")
))</f>
        <v>DOC-01310</v>
      </c>
      <c r="B1311" s="49">
        <v>46014</v>
      </c>
      <c r="C1311" s="42" t="s">
        <v>5197</v>
      </c>
      <c r="D1311" s="42" t="s">
        <v>5198</v>
      </c>
      <c r="E1311" s="38" t="s">
        <v>5199</v>
      </c>
      <c r="F1311" s="17" t="s">
        <v>5200</v>
      </c>
      <c r="G1311" s="42" t="s">
        <v>5201</v>
      </c>
      <c r="H1311" s="17" t="s">
        <v>620</v>
      </c>
      <c r="I1311" s="18" t="s">
        <v>101</v>
      </c>
      <c r="K1311" s="5" t="s">
        <v>4185</v>
      </c>
      <c r="L1311" t="str">
        <f t="shared" si="21"/>
        <v>emekaogwu@myyahoo.com</v>
      </c>
    </row>
    <row r="1312" spans="1:12">
      <c r="A1312" t="str" cm="1">
        <f t="array" ref="A1312">_xlfn.LET(_xlpm.e,L1312,
IF(_xlpm.e="","",
"DOC-"&amp;TEXT(ROW()-ROW(tblMaster[#Headers]),"00000")
))</f>
        <v>DOC-01311</v>
      </c>
      <c r="B1312" s="49">
        <v>46015</v>
      </c>
      <c r="C1312" s="42" t="s">
        <v>2143</v>
      </c>
      <c r="D1312" s="42" t="s">
        <v>5202</v>
      </c>
      <c r="E1312" s="38" t="s">
        <v>5203</v>
      </c>
      <c r="F1312" s="17" t="s">
        <v>5204</v>
      </c>
      <c r="G1312" s="42" t="s">
        <v>5205</v>
      </c>
      <c r="H1312" s="17" t="s">
        <v>17</v>
      </c>
      <c r="I1312" s="18" t="s">
        <v>54</v>
      </c>
      <c r="K1312" s="5" t="s">
        <v>4185</v>
      </c>
      <c r="L1312" t="str">
        <f t="shared" si="21"/>
        <v>goriswork@gmail.com</v>
      </c>
    </row>
    <row r="1313" spans="1:12">
      <c r="A1313" t="str" cm="1">
        <f t="array" ref="A1313">_xlfn.LET(_xlpm.e,L1313,
IF(_xlpm.e="","",
"DOC-"&amp;TEXT(ROW()-ROW(tblMaster[#Headers]),"00000")
))</f>
        <v>DOC-01312</v>
      </c>
      <c r="B1313" s="49">
        <v>46015</v>
      </c>
      <c r="C1313" s="42" t="s">
        <v>2896</v>
      </c>
      <c r="D1313" s="42" t="s">
        <v>5206</v>
      </c>
      <c r="E1313" s="38" t="s">
        <v>5207</v>
      </c>
      <c r="F1313" s="17" t="s">
        <v>5208</v>
      </c>
      <c r="G1313" s="42" t="s">
        <v>5209</v>
      </c>
      <c r="H1313" s="17" t="s">
        <v>17</v>
      </c>
      <c r="I1313" s="18" t="s">
        <v>54</v>
      </c>
      <c r="J1313" s="99" t="s">
        <v>194</v>
      </c>
      <c r="K1313" s="5" t="s">
        <v>4185</v>
      </c>
      <c r="L1313" t="str">
        <f t="shared" si="21"/>
        <v>oppong214@yahoo.com</v>
      </c>
    </row>
    <row r="1314" spans="1:12">
      <c r="A1314" t="str" cm="1">
        <f t="array" ref="A1314">_xlfn.LET(_xlpm.e,L1314,
IF(_xlpm.e="","",
"DOC-"&amp;TEXT(ROW()-ROW(tblMaster[#Headers]),"00000")
))</f>
        <v>DOC-01313</v>
      </c>
      <c r="B1314" s="49">
        <v>46015</v>
      </c>
      <c r="C1314" s="42" t="s">
        <v>5210</v>
      </c>
      <c r="D1314" s="42" t="s">
        <v>5211</v>
      </c>
      <c r="E1314" s="38" t="s">
        <v>5212</v>
      </c>
      <c r="F1314" s="17" t="s">
        <v>5213</v>
      </c>
      <c r="G1314" s="42" t="s">
        <v>842</v>
      </c>
      <c r="H1314" s="17" t="s">
        <v>17</v>
      </c>
      <c r="I1314" s="18" t="s">
        <v>54</v>
      </c>
      <c r="J1314" s="99" t="s">
        <v>194</v>
      </c>
      <c r="K1314" s="5" t="s">
        <v>4185</v>
      </c>
      <c r="L1314" t="str">
        <f t="shared" si="21"/>
        <v>ricardoeugene322@gmail.com</v>
      </c>
    </row>
    <row r="1315" spans="1:12">
      <c r="A1315" t="str" cm="1">
        <f t="array" ref="A1315">_xlfn.LET(_xlpm.e,L1315,
IF(_xlpm.e="","",
"DOC-"&amp;TEXT(ROW()-ROW(tblMaster[#Headers]),"00000")
))</f>
        <v>DOC-01314</v>
      </c>
      <c r="B1315" s="49">
        <v>46015</v>
      </c>
      <c r="C1315" s="42" t="s">
        <v>5214</v>
      </c>
      <c r="D1315" s="42" t="s">
        <v>5215</v>
      </c>
      <c r="E1315" s="38" t="s">
        <v>5216</v>
      </c>
      <c r="F1315" s="17" t="s">
        <v>5217</v>
      </c>
      <c r="G1315" s="42" t="s">
        <v>438</v>
      </c>
      <c r="H1315" s="17" t="s">
        <v>17</v>
      </c>
      <c r="I1315" s="18" t="s">
        <v>101</v>
      </c>
      <c r="K1315" s="5" t="s">
        <v>4185</v>
      </c>
      <c r="L1315" t="str">
        <f t="shared" si="21"/>
        <v>yquannygtk@gmail.com</v>
      </c>
    </row>
    <row r="1316" spans="1:12">
      <c r="A1316" t="str" cm="1">
        <f t="array" ref="A1316">_xlfn.LET(_xlpm.e,L1316,
IF(_xlpm.e="","",
"DOC-"&amp;TEXT(ROW()-ROW(tblMaster[#Headers]),"00000")
))</f>
        <v>DOC-01315</v>
      </c>
      <c r="B1316" s="49">
        <v>46017</v>
      </c>
      <c r="C1316" s="42" t="s">
        <v>527</v>
      </c>
      <c r="D1316" s="42" t="s">
        <v>5218</v>
      </c>
      <c r="E1316" s="38" t="s">
        <v>5219</v>
      </c>
      <c r="F1316" s="17" t="s">
        <v>5220</v>
      </c>
      <c r="G1316" s="42" t="s">
        <v>5221</v>
      </c>
      <c r="H1316" s="17" t="s">
        <v>496</v>
      </c>
      <c r="I1316" s="18" t="s">
        <v>54</v>
      </c>
      <c r="K1316" s="5" t="s">
        <v>4185</v>
      </c>
      <c r="L1316" t="str">
        <f t="shared" si="21"/>
        <v>evangamoakooutreach@yahoo.com</v>
      </c>
    </row>
    <row r="1317" spans="1:12">
      <c r="A1317" t="str" cm="1">
        <f t="array" ref="A1317">_xlfn.LET(_xlpm.e,L1317,
IF(_xlpm.e="","",
"DOC-"&amp;TEXT(ROW()-ROW(tblMaster[#Headers]),"00000")
))</f>
        <v>DOC-01316</v>
      </c>
      <c r="B1317" s="49">
        <v>46017</v>
      </c>
      <c r="C1317" s="42" t="s">
        <v>1910</v>
      </c>
      <c r="D1317" s="42" t="s">
        <v>5222</v>
      </c>
      <c r="E1317" s="38" t="s">
        <v>5223</v>
      </c>
      <c r="F1317" s="17" t="s">
        <v>5224</v>
      </c>
      <c r="G1317" s="42" t="s">
        <v>33</v>
      </c>
      <c r="H1317" s="17" t="s">
        <v>17</v>
      </c>
      <c r="I1317" s="18" t="s">
        <v>54</v>
      </c>
      <c r="J1317" s="99" t="s">
        <v>560</v>
      </c>
      <c r="K1317" s="5" t="s">
        <v>4185</v>
      </c>
      <c r="L1317" t="str">
        <f t="shared" si="21"/>
        <v>steev3jobs@gmail.com</v>
      </c>
    </row>
    <row r="1318" spans="1:12">
      <c r="A1318" t="str" cm="1">
        <f t="array" ref="A1318">_xlfn.LET(_xlpm.e,L1318,
IF(_xlpm.e="","",
"DOC-"&amp;TEXT(ROW()-ROW(tblMaster[#Headers]),"00000")
))</f>
        <v>DOC-01317</v>
      </c>
      <c r="B1318" s="49">
        <v>46017</v>
      </c>
      <c r="C1318" s="42" t="s">
        <v>5225</v>
      </c>
      <c r="D1318" s="42" t="s">
        <v>5226</v>
      </c>
      <c r="E1318" s="38" t="s">
        <v>5227</v>
      </c>
      <c r="F1318" s="17" t="s">
        <v>5228</v>
      </c>
      <c r="G1318" s="42"/>
      <c r="H1318" s="17"/>
      <c r="I1318" s="18" t="s">
        <v>54</v>
      </c>
      <c r="J1318" s="99" t="s">
        <v>497</v>
      </c>
      <c r="K1318" s="5" t="s">
        <v>4185</v>
      </c>
      <c r="L1318" t="str">
        <f t="shared" si="21"/>
        <v>mhcorliss@gmail.com</v>
      </c>
    </row>
    <row r="1319" spans="1:12">
      <c r="A1319" t="str" cm="1">
        <f t="array" ref="A1319">_xlfn.LET(_xlpm.e,L1319,
IF(_xlpm.e="","",
"DOC-"&amp;TEXT(ROW()-ROW(tblMaster[#Headers]),"00000")
))</f>
        <v>DOC-01318</v>
      </c>
      <c r="B1319" s="49">
        <v>46017</v>
      </c>
      <c r="C1319" s="42" t="s">
        <v>1946</v>
      </c>
      <c r="D1319" s="42" t="s">
        <v>5229</v>
      </c>
      <c r="E1319" s="38" t="s">
        <v>5230</v>
      </c>
      <c r="F1319" s="17" t="s">
        <v>5231</v>
      </c>
      <c r="G1319" s="42" t="s">
        <v>596</v>
      </c>
      <c r="H1319" s="17" t="s">
        <v>17</v>
      </c>
      <c r="I1319" s="18" t="s">
        <v>54</v>
      </c>
      <c r="K1319" s="5" t="s">
        <v>4185</v>
      </c>
      <c r="L1319" t="str">
        <f t="shared" si="21"/>
        <v>rchrdbnhr@gmail.com</v>
      </c>
    </row>
    <row r="1320" spans="1:12">
      <c r="A1320" t="str" cm="1">
        <f t="array" ref="A1320">_xlfn.LET(_xlpm.e,L1320,
IF(_xlpm.e="","",
"DOC-"&amp;TEXT(ROW()-ROW(tblMaster[#Headers]),"00000")
))</f>
        <v>DOC-01319</v>
      </c>
      <c r="B1320" s="49">
        <v>46017</v>
      </c>
      <c r="C1320" s="42" t="s">
        <v>5232</v>
      </c>
      <c r="D1320" s="42" t="s">
        <v>5233</v>
      </c>
      <c r="E1320" s="38" t="s">
        <v>5234</v>
      </c>
      <c r="F1320" s="17" t="s">
        <v>5235</v>
      </c>
      <c r="G1320" s="42" t="s">
        <v>634</v>
      </c>
      <c r="H1320" s="17" t="s">
        <v>17</v>
      </c>
      <c r="I1320" s="18" t="s">
        <v>54</v>
      </c>
      <c r="K1320" s="5" t="s">
        <v>4185</v>
      </c>
      <c r="L1320" t="str">
        <f t="shared" si="21"/>
        <v>ozzyjrp@yahoo.com</v>
      </c>
    </row>
    <row r="1321" spans="1:12">
      <c r="A1321" t="str" cm="1">
        <f t="array" ref="A1321">_xlfn.LET(_xlpm.e,L1321,
IF(_xlpm.e="","",
"DOC-"&amp;TEXT(ROW()-ROW(tblMaster[#Headers]),"00000")
))</f>
        <v>DOC-01320</v>
      </c>
      <c r="B1321" s="49">
        <v>46017</v>
      </c>
      <c r="C1321" s="42" t="s">
        <v>3329</v>
      </c>
      <c r="D1321" s="42" t="s">
        <v>5236</v>
      </c>
      <c r="E1321" s="38" t="s">
        <v>5237</v>
      </c>
      <c r="F1321" s="17"/>
      <c r="G1321" s="42"/>
      <c r="H1321" s="17"/>
      <c r="I1321" s="18" t="s">
        <v>101</v>
      </c>
      <c r="K1321" s="5" t="s">
        <v>4185</v>
      </c>
      <c r="L1321" t="str">
        <f t="shared" si="21"/>
        <v>jeffreytroh@yahoo.com</v>
      </c>
    </row>
    <row r="1322" spans="1:12">
      <c r="A1322" t="str" cm="1">
        <f t="array" ref="A1322">_xlfn.LET(_xlpm.e,L1322,
IF(_xlpm.e="","",
"DOC-"&amp;TEXT(ROW()-ROW(tblMaster[#Headers]),"00000")
))</f>
        <v>DOC-01321</v>
      </c>
      <c r="B1322" s="49">
        <v>46017</v>
      </c>
      <c r="C1322" s="42" t="s">
        <v>5238</v>
      </c>
      <c r="D1322" s="42" t="s">
        <v>5239</v>
      </c>
      <c r="E1322" s="38" t="s">
        <v>5240</v>
      </c>
      <c r="F1322" s="17" t="s">
        <v>5241</v>
      </c>
      <c r="G1322" s="42" t="s">
        <v>2049</v>
      </c>
      <c r="H1322" s="17" t="s">
        <v>53</v>
      </c>
      <c r="I1322" s="18" t="s">
        <v>101</v>
      </c>
      <c r="K1322" s="5" t="s">
        <v>4185</v>
      </c>
      <c r="L1322" t="str">
        <f t="shared" si="21"/>
        <v>christinepeters1224@yahoo.com</v>
      </c>
    </row>
    <row r="1323" spans="1:12">
      <c r="A1323" t="str" cm="1">
        <f t="array" ref="A1323">_xlfn.LET(_xlpm.e,L1323,
IF(_xlpm.e="","",
"DOC-"&amp;TEXT(ROW()-ROW(tblMaster[#Headers]),"00000")
))</f>
        <v>DOC-01322</v>
      </c>
      <c r="B1323" s="49" t="s">
        <v>5242</v>
      </c>
      <c r="C1323" s="42" t="s">
        <v>5243</v>
      </c>
      <c r="D1323" s="42" t="s">
        <v>5244</v>
      </c>
      <c r="E1323" s="38" t="s">
        <v>5245</v>
      </c>
      <c r="F1323" s="17" t="s">
        <v>5246</v>
      </c>
      <c r="G1323" s="42" t="s">
        <v>1456</v>
      </c>
      <c r="H1323" s="17"/>
      <c r="I1323" s="18" t="s">
        <v>54</v>
      </c>
      <c r="K1323" s="5" t="s">
        <v>4185</v>
      </c>
      <c r="L1323" t="str">
        <f t="shared" si="21"/>
        <v>alsoncelenice655@gmail.com</v>
      </c>
    </row>
    <row r="1324" spans="1:12">
      <c r="A1324" t="str" cm="1">
        <f t="array" ref="A1324">_xlfn.LET(_xlpm.e,L1324,
IF(_xlpm.e="","",
"DOC-"&amp;TEXT(ROW()-ROW(tblMaster[#Headers]),"00000")
))</f>
        <v>DOC-01323</v>
      </c>
      <c r="B1324" s="49">
        <v>46020</v>
      </c>
      <c r="C1324" s="42" t="s">
        <v>5247</v>
      </c>
      <c r="D1324" s="42" t="s">
        <v>5248</v>
      </c>
      <c r="E1324" s="38" t="s">
        <v>5249</v>
      </c>
      <c r="F1324" s="17" t="s">
        <v>5250</v>
      </c>
      <c r="G1324" s="42" t="s">
        <v>596</v>
      </c>
      <c r="H1324" s="17" t="s">
        <v>17</v>
      </c>
      <c r="I1324" s="18" t="s">
        <v>54</v>
      </c>
      <c r="K1324" s="5" t="s">
        <v>4185</v>
      </c>
      <c r="L1324" t="str">
        <f t="shared" si="21"/>
        <v>asouza.1987.as@gmail.com</v>
      </c>
    </row>
    <row r="1325" spans="1:12">
      <c r="A1325" t="str" cm="1">
        <f t="array" ref="A1325">_xlfn.LET(_xlpm.e,L1325,
IF(_xlpm.e="","",
"DOC-"&amp;TEXT(ROW()-ROW(tblMaster[#Headers]),"00000")
))</f>
        <v>DOC-01324</v>
      </c>
      <c r="B1325" s="49">
        <v>46020</v>
      </c>
      <c r="C1325" s="42" t="s">
        <v>5251</v>
      </c>
      <c r="D1325" s="42" t="s">
        <v>5252</v>
      </c>
      <c r="E1325" s="38" t="s">
        <v>5253</v>
      </c>
      <c r="F1325" s="17" t="s">
        <v>5254</v>
      </c>
      <c r="G1325" s="42" t="s">
        <v>257</v>
      </c>
      <c r="H1325" s="17"/>
      <c r="I1325" s="18" t="s">
        <v>54</v>
      </c>
      <c r="K1325" s="5" t="s">
        <v>4185</v>
      </c>
      <c r="L1325" t="str">
        <f t="shared" si="21"/>
        <v>mikeking3333@gmail.com</v>
      </c>
    </row>
    <row r="1326" spans="1:12">
      <c r="A1326" t="str" cm="1">
        <f t="array" ref="A1326">_xlfn.LET(_xlpm.e,L1326,
IF(_xlpm.e="","",
"DOC-"&amp;TEXT(ROW()-ROW(tblMaster[#Headers]),"00000")
))</f>
        <v>DOC-01325</v>
      </c>
      <c r="B1326" s="49">
        <v>46020</v>
      </c>
      <c r="C1326" s="42" t="s">
        <v>5255</v>
      </c>
      <c r="D1326" s="42" t="s">
        <v>5256</v>
      </c>
      <c r="E1326" s="38" t="s">
        <v>5257</v>
      </c>
      <c r="F1326" s="17" t="s">
        <v>5258</v>
      </c>
      <c r="G1326" s="42" t="s">
        <v>5259</v>
      </c>
      <c r="H1326" s="17" t="s">
        <v>17</v>
      </c>
      <c r="I1326" s="18" t="s">
        <v>54</v>
      </c>
      <c r="K1326" s="5" t="s">
        <v>4185</v>
      </c>
      <c r="L1326" t="str">
        <f t="shared" si="21"/>
        <v>cassandracabrera2018@gmail.com</v>
      </c>
    </row>
    <row r="1327" spans="1:12">
      <c r="A1327" t="str" cm="1">
        <f t="array" ref="A1327">_xlfn.LET(_xlpm.e,L1327,
IF(_xlpm.e="","",
"DOC-"&amp;TEXT(ROW()-ROW(tblMaster[#Headers]),"00000")
))</f>
        <v>DOC-01326</v>
      </c>
      <c r="B1327" s="49">
        <v>46020</v>
      </c>
      <c r="C1327" s="42" t="s">
        <v>5260</v>
      </c>
      <c r="D1327" s="42" t="s">
        <v>2573</v>
      </c>
      <c r="E1327" s="38" t="s">
        <v>5261</v>
      </c>
      <c r="F1327" s="17" t="s">
        <v>5262</v>
      </c>
      <c r="G1327" s="42" t="s">
        <v>5263</v>
      </c>
      <c r="H1327" s="17" t="s">
        <v>153</v>
      </c>
      <c r="I1327" s="18" t="s">
        <v>54</v>
      </c>
      <c r="K1327" s="5" t="s">
        <v>4185</v>
      </c>
      <c r="L1327" t="str">
        <f t="shared" si="21"/>
        <v>moralesasher71@gmail.com</v>
      </c>
    </row>
    <row r="1328" spans="1:12">
      <c r="A1328" t="str" cm="1">
        <f t="array" ref="A1328">_xlfn.LET(_xlpm.e,L1328,
IF(_xlpm.e="","",
"DOC-"&amp;TEXT(ROW()-ROW(tblMaster[#Headers]),"00000")
))</f>
        <v>DOC-01327</v>
      </c>
      <c r="B1328" s="49">
        <v>46020</v>
      </c>
      <c r="C1328" s="42" t="s">
        <v>5264</v>
      </c>
      <c r="D1328" s="42" t="s">
        <v>5265</v>
      </c>
      <c r="E1328" s="38" t="s">
        <v>5266</v>
      </c>
      <c r="F1328" s="17" t="s">
        <v>5267</v>
      </c>
      <c r="G1328" s="42" t="s">
        <v>979</v>
      </c>
      <c r="H1328" s="17" t="s">
        <v>17</v>
      </c>
      <c r="I1328" s="18" t="s">
        <v>54</v>
      </c>
      <c r="K1328" s="5" t="s">
        <v>4185</v>
      </c>
      <c r="L1328" t="str">
        <f t="shared" si="21"/>
        <v>goldafigaro23@gmail.com</v>
      </c>
    </row>
    <row r="1329" spans="1:12">
      <c r="A1329" t="str" cm="1">
        <f t="array" ref="A1329">_xlfn.LET(_xlpm.e,L1329,
IF(_xlpm.e="","",
"DOC-"&amp;TEXT(ROW()-ROW(tblMaster[#Headers]),"00000")
))</f>
        <v>DOC-01328</v>
      </c>
      <c r="B1329" s="49">
        <v>46020</v>
      </c>
      <c r="C1329" s="42" t="s">
        <v>5268</v>
      </c>
      <c r="D1329" s="42" t="s">
        <v>5269</v>
      </c>
      <c r="E1329" s="38" t="s">
        <v>5270</v>
      </c>
      <c r="F1329" s="17" t="s">
        <v>5271</v>
      </c>
      <c r="G1329" s="42" t="s">
        <v>5272</v>
      </c>
      <c r="H1329" s="17" t="s">
        <v>490</v>
      </c>
      <c r="I1329" s="18" t="s">
        <v>54</v>
      </c>
      <c r="J1329" s="99" t="s">
        <v>66</v>
      </c>
      <c r="K1329" s="5" t="s">
        <v>4185</v>
      </c>
      <c r="L1329" t="str">
        <f t="shared" si="21"/>
        <v>bopeter44@yahoo.com</v>
      </c>
    </row>
    <row r="1330" spans="1:12">
      <c r="A1330" t="str" cm="1">
        <f t="array" ref="A1330">_xlfn.LET(_xlpm.e,L1330,
IF(_xlpm.e="","",
"DOC-"&amp;TEXT(ROW()-ROW(tblMaster[#Headers]),"00000")
))</f>
        <v>DOC-01329</v>
      </c>
      <c r="B1330" s="49">
        <v>46020</v>
      </c>
      <c r="C1330" s="42" t="s">
        <v>5273</v>
      </c>
      <c r="D1330" s="42" t="s">
        <v>5274</v>
      </c>
      <c r="E1330" s="38" t="s">
        <v>5275</v>
      </c>
      <c r="F1330" s="17" t="s">
        <v>5276</v>
      </c>
      <c r="G1330" s="42" t="s">
        <v>142</v>
      </c>
      <c r="H1330" s="17" t="s">
        <v>53</v>
      </c>
      <c r="I1330" s="18" t="s">
        <v>101</v>
      </c>
      <c r="K1330" s="5" t="s">
        <v>4185</v>
      </c>
      <c r="L1330" t="str">
        <f t="shared" si="21"/>
        <v>ceannindyous@icloud.com</v>
      </c>
    </row>
    <row r="1331" spans="1:12">
      <c r="A1331" t="str" cm="1">
        <f t="array" ref="A1331">_xlfn.LET(_xlpm.e,L1331,
IF(_xlpm.e="","",
"DOC-"&amp;TEXT(ROW()-ROW(tblMaster[#Headers]),"00000")
))</f>
        <v>DOC-01330</v>
      </c>
      <c r="B1331" s="49">
        <v>46020</v>
      </c>
      <c r="C1331" s="42" t="s">
        <v>719</v>
      </c>
      <c r="D1331" s="42" t="s">
        <v>5277</v>
      </c>
      <c r="E1331" s="38" t="s">
        <v>5278</v>
      </c>
      <c r="F1331" s="17" t="s">
        <v>5279</v>
      </c>
      <c r="G1331" s="42" t="s">
        <v>5280</v>
      </c>
      <c r="H1331" s="17" t="s">
        <v>60</v>
      </c>
      <c r="I1331" s="18" t="s">
        <v>101</v>
      </c>
      <c r="K1331" s="5" t="s">
        <v>4185</v>
      </c>
      <c r="L1331" t="str">
        <f t="shared" si="21"/>
        <v>vanessadaniellecouto@gmail.com</v>
      </c>
    </row>
    <row r="1332" spans="1:12">
      <c r="A1332" t="str" cm="1">
        <f t="array" ref="A1332">_xlfn.LET(_xlpm.e,L1332,
IF(_xlpm.e="","",
"DOC-"&amp;TEXT(ROW()-ROW(tblMaster[#Headers]),"00000")
))</f>
        <v>DOC-01331</v>
      </c>
      <c r="B1332" s="49">
        <v>46020</v>
      </c>
      <c r="C1332" s="42" t="s">
        <v>5281</v>
      </c>
      <c r="D1332" s="42" t="s">
        <v>5282</v>
      </c>
      <c r="E1332" s="38" t="s">
        <v>5283</v>
      </c>
      <c r="F1332" s="17" t="s">
        <v>5284</v>
      </c>
      <c r="G1332" s="42" t="s">
        <v>5285</v>
      </c>
      <c r="H1332" s="17" t="s">
        <v>17</v>
      </c>
      <c r="I1332" s="18" t="s">
        <v>101</v>
      </c>
      <c r="K1332" s="5" t="s">
        <v>4185</v>
      </c>
      <c r="L1332" t="str">
        <f t="shared" si="21"/>
        <v>ednahpaul@gmail.com</v>
      </c>
    </row>
    <row r="1333" spans="1:12">
      <c r="A1333" t="str" cm="1">
        <f t="array" ref="A1333">_xlfn.LET(_xlpm.e,L1333,
IF(_xlpm.e="","",
"DOC-"&amp;TEXT(ROW()-ROW(tblMaster[#Headers]),"00000")
))</f>
        <v>DOC-01332</v>
      </c>
      <c r="B1333" s="49">
        <v>46020</v>
      </c>
      <c r="C1333" s="42" t="s">
        <v>5286</v>
      </c>
      <c r="D1333" s="42" t="s">
        <v>5287</v>
      </c>
      <c r="E1333" s="38" t="s">
        <v>5288</v>
      </c>
      <c r="F1333" s="17" t="s">
        <v>5289</v>
      </c>
      <c r="G1333" s="42" t="s">
        <v>5290</v>
      </c>
      <c r="H1333" s="17" t="s">
        <v>17</v>
      </c>
      <c r="I1333" s="18" t="s">
        <v>101</v>
      </c>
      <c r="J1333" s="99" t="s">
        <v>497</v>
      </c>
      <c r="K1333" s="5" t="s">
        <v>4185</v>
      </c>
      <c r="L1333" t="str">
        <f t="shared" si="21"/>
        <v>ortiz.raul64@gmail.com</v>
      </c>
    </row>
    <row r="1334" spans="1:12">
      <c r="A1334" t="str" cm="1">
        <f t="array" ref="A1334">_xlfn.LET(_xlpm.e,L1334,
IF(_xlpm.e="","",
"DOC-"&amp;TEXT(ROW()-ROW(tblMaster[#Headers]),"00000")
))</f>
        <v>DOC-01333</v>
      </c>
      <c r="B1334" s="49">
        <v>46020</v>
      </c>
      <c r="C1334" s="42" t="s">
        <v>5291</v>
      </c>
      <c r="D1334" s="42" t="s">
        <v>5292</v>
      </c>
      <c r="E1334" s="38" t="s">
        <v>5293</v>
      </c>
      <c r="F1334" s="17" t="s">
        <v>5294</v>
      </c>
      <c r="G1334" s="42" t="s">
        <v>33</v>
      </c>
      <c r="H1334" s="17" t="s">
        <v>17</v>
      </c>
      <c r="I1334" s="18" t="s">
        <v>101</v>
      </c>
      <c r="K1334" s="5" t="s">
        <v>4185</v>
      </c>
      <c r="L1334" t="str">
        <f t="shared" si="21"/>
        <v>aaronatherton2@gmail.com</v>
      </c>
    </row>
    <row r="1335" spans="1:12">
      <c r="A1335" t="str" cm="1">
        <f t="array" ref="A1335">_xlfn.LET(_xlpm.e,L1335,
IF(_xlpm.e="","",
"DOC-"&amp;TEXT(ROW()-ROW(tblMaster[#Headers]),"00000")
))</f>
        <v>DOC-01334</v>
      </c>
      <c r="B1335" s="49">
        <v>46020</v>
      </c>
      <c r="C1335" s="42" t="s">
        <v>2896</v>
      </c>
      <c r="D1335" s="42" t="s">
        <v>5295</v>
      </c>
      <c r="E1335" s="38" t="s">
        <v>5296</v>
      </c>
      <c r="F1335" s="17" t="s">
        <v>5297</v>
      </c>
      <c r="G1335" s="42" t="s">
        <v>5298</v>
      </c>
      <c r="H1335" s="17"/>
      <c r="I1335" s="18" t="s">
        <v>101</v>
      </c>
      <c r="K1335" s="5" t="s">
        <v>4185</v>
      </c>
      <c r="L1335" t="str">
        <f t="shared" si="21"/>
        <v>oppong214@yahoo.com</v>
      </c>
    </row>
    <row r="1336" spans="1:12">
      <c r="A1336" t="str" cm="1">
        <f t="array" ref="A1336">_xlfn.LET(_xlpm.e,L1336,
IF(_xlpm.e="","",
"DOC-"&amp;TEXT(ROW()-ROW(tblMaster[#Headers]),"00000")
))</f>
        <v>DOC-01335</v>
      </c>
      <c r="B1336" s="49">
        <v>46020</v>
      </c>
      <c r="C1336" s="42" t="s">
        <v>5299</v>
      </c>
      <c r="D1336" s="42" t="s">
        <v>5300</v>
      </c>
      <c r="E1336" s="38" t="s">
        <v>5301</v>
      </c>
      <c r="F1336" s="17" t="s">
        <v>5302</v>
      </c>
      <c r="G1336" s="42" t="s">
        <v>5303</v>
      </c>
      <c r="H1336" s="17" t="s">
        <v>17</v>
      </c>
      <c r="I1336" s="18" t="s">
        <v>101</v>
      </c>
      <c r="K1336" s="5" t="s">
        <v>4185</v>
      </c>
      <c r="L1336" t="str">
        <f t="shared" si="21"/>
        <v>kelseylynnprovost@gmail.com</v>
      </c>
    </row>
    <row r="1337" spans="1:12">
      <c r="A1337" t="str" cm="1">
        <f t="array" ref="A1337">_xlfn.LET(_xlpm.e,L1337,
IF(_xlpm.e="","",
"DOC-"&amp;TEXT(ROW()-ROW(tblMaster[#Headers]),"00000")
))</f>
        <v>DOC-01336</v>
      </c>
      <c r="B1337" s="49">
        <v>46020</v>
      </c>
      <c r="C1337" s="42" t="s">
        <v>5304</v>
      </c>
      <c r="D1337" s="42" t="s">
        <v>5305</v>
      </c>
      <c r="E1337" s="38" t="s">
        <v>5306</v>
      </c>
      <c r="F1337" s="17" t="s">
        <v>5307</v>
      </c>
      <c r="G1337" s="42" t="s">
        <v>147</v>
      </c>
      <c r="H1337" s="17" t="s">
        <v>17</v>
      </c>
      <c r="I1337" s="18" t="s">
        <v>101</v>
      </c>
      <c r="K1337" s="5" t="s">
        <v>4185</v>
      </c>
      <c r="L1337" t="str">
        <f t="shared" si="21"/>
        <v>kpadilla@tapestryhealth.org</v>
      </c>
    </row>
    <row r="1338" spans="1:12">
      <c r="A1338" t="str" cm="1">
        <f t="array" ref="A1338">_xlfn.LET(_xlpm.e,L1338,
IF(_xlpm.e="","",
"DOC-"&amp;TEXT(ROW()-ROW(tblMaster[#Headers]),"00000")
))</f>
        <v>DOC-01337</v>
      </c>
      <c r="B1338" s="49">
        <v>46020</v>
      </c>
      <c r="C1338" s="42" t="s">
        <v>5308</v>
      </c>
      <c r="D1338" s="42" t="s">
        <v>5309</v>
      </c>
      <c r="E1338" s="38" t="s">
        <v>5310</v>
      </c>
      <c r="F1338" s="17" t="s">
        <v>5311</v>
      </c>
      <c r="G1338" s="42" t="s">
        <v>5312</v>
      </c>
      <c r="H1338" s="17" t="s">
        <v>17</v>
      </c>
      <c r="I1338" s="17" t="s">
        <v>2276</v>
      </c>
      <c r="K1338" s="5" t="s">
        <v>4185</v>
      </c>
      <c r="L1338" t="str">
        <f t="shared" si="21"/>
        <v>romariocousins37@gmail.com</v>
      </c>
    </row>
    <row r="1339" spans="1:12">
      <c r="A1339" t="str" cm="1">
        <f t="array" ref="A1339">_xlfn.LET(_xlpm.e,L1339,
IF(_xlpm.e="","",
"DOC-"&amp;TEXT(ROW()-ROW(tblMaster[#Headers]),"00000")
))</f>
        <v>DOC-01338</v>
      </c>
      <c r="B1339" s="49">
        <v>46020</v>
      </c>
      <c r="C1339" s="42" t="s">
        <v>3220</v>
      </c>
      <c r="D1339" s="42" t="s">
        <v>5313</v>
      </c>
      <c r="E1339" s="38" t="s">
        <v>5314</v>
      </c>
      <c r="F1339" s="17" t="s">
        <v>5315</v>
      </c>
      <c r="G1339" s="42" t="s">
        <v>74</v>
      </c>
      <c r="H1339" s="17"/>
      <c r="I1339" s="18" t="s">
        <v>101</v>
      </c>
      <c r="J1339" s="99" t="s">
        <v>66</v>
      </c>
      <c r="K1339" s="5" t="s">
        <v>4185</v>
      </c>
      <c r="L1339" t="str">
        <f t="shared" si="21"/>
        <v>rllopezquiles98@gmail.com</v>
      </c>
    </row>
    <row r="1340" spans="1:12">
      <c r="A1340" t="str" cm="1">
        <f t="array" ref="A1340">_xlfn.LET(_xlpm.e,L1340,
IF(_xlpm.e="","",
"DOC-"&amp;TEXT(ROW()-ROW(tblMaster[#Headers]),"00000")
))</f>
        <v>DOC-01339</v>
      </c>
      <c r="B1340" s="49">
        <v>46021</v>
      </c>
      <c r="C1340" s="42" t="s">
        <v>5126</v>
      </c>
      <c r="D1340" s="42" t="s">
        <v>5316</v>
      </c>
      <c r="E1340" s="38" t="s">
        <v>5317</v>
      </c>
      <c r="F1340" s="17" t="s">
        <v>5318</v>
      </c>
      <c r="G1340" s="42" t="s">
        <v>4693</v>
      </c>
      <c r="H1340" s="17" t="s">
        <v>153</v>
      </c>
      <c r="I1340" s="18" t="s">
        <v>101</v>
      </c>
      <c r="K1340" s="5" t="s">
        <v>4185</v>
      </c>
      <c r="L1340" t="str">
        <f t="shared" si="21"/>
        <v>eantwi@loandepot.com</v>
      </c>
    </row>
    <row r="1341" spans="1:12">
      <c r="A1341" t="str" cm="1">
        <f t="array" ref="A1341">_xlfn.LET(_xlpm.e,L1341,
IF(_xlpm.e="","",
"DOC-"&amp;TEXT(ROW()-ROW(tblMaster[#Headers]),"00000")
))</f>
        <v>DOC-01340</v>
      </c>
      <c r="B1341" s="49">
        <v>46021</v>
      </c>
      <c r="C1341" s="42" t="s">
        <v>5319</v>
      </c>
      <c r="D1341" s="42" t="s">
        <v>3861</v>
      </c>
      <c r="E1341" s="38" t="s">
        <v>5320</v>
      </c>
      <c r="F1341" s="17" t="s">
        <v>5321</v>
      </c>
      <c r="G1341" s="42" t="s">
        <v>88</v>
      </c>
      <c r="H1341" s="17" t="s">
        <v>17</v>
      </c>
      <c r="I1341" s="18" t="s">
        <v>101</v>
      </c>
      <c r="J1341" s="99" t="s">
        <v>66</v>
      </c>
      <c r="K1341" s="5" t="s">
        <v>4185</v>
      </c>
      <c r="L1341" t="str">
        <f t="shared" si="21"/>
        <v>i.armand@aol.com</v>
      </c>
    </row>
    <row r="1342" spans="1:12">
      <c r="A1342" t="str" cm="1">
        <f t="array" ref="A1342">_xlfn.LET(_xlpm.e,L1342,
IF(_xlpm.e="","",
"DOC-"&amp;TEXT(ROW()-ROW(tblMaster[#Headers]),"00000")
))</f>
        <v>DOC-01341</v>
      </c>
      <c r="B1342" s="49">
        <v>46021</v>
      </c>
      <c r="C1342" s="42" t="s">
        <v>5322</v>
      </c>
      <c r="D1342" s="42" t="s">
        <v>425</v>
      </c>
      <c r="E1342" s="38" t="s">
        <v>5323</v>
      </c>
      <c r="F1342" s="17" t="s">
        <v>5324</v>
      </c>
      <c r="G1342" s="42" t="s">
        <v>601</v>
      </c>
      <c r="H1342" s="17" t="s">
        <v>17</v>
      </c>
      <c r="I1342" s="18" t="s">
        <v>101</v>
      </c>
      <c r="J1342" s="99" t="s">
        <v>560</v>
      </c>
      <c r="K1342" s="5" t="s">
        <v>4185</v>
      </c>
      <c r="L1342" t="str">
        <f t="shared" si="21"/>
        <v>jerulopes21@gmail.com</v>
      </c>
    </row>
    <row r="1343" spans="1:12">
      <c r="A1343" t="str" cm="1">
        <f t="array" ref="A1343">_xlfn.LET(_xlpm.e,L1343,
IF(_xlpm.e="","",
"DOC-"&amp;TEXT(ROW()-ROW(tblMaster[#Headers]),"00000")
))</f>
        <v>DOC-01342</v>
      </c>
      <c r="B1343" s="49">
        <v>46021</v>
      </c>
      <c r="C1343" s="42" t="s">
        <v>5325</v>
      </c>
      <c r="D1343" s="42" t="s">
        <v>5326</v>
      </c>
      <c r="E1343" s="38" t="s">
        <v>5327</v>
      </c>
      <c r="F1343" s="17" t="s">
        <v>5328</v>
      </c>
      <c r="G1343" s="42" t="s">
        <v>5329</v>
      </c>
      <c r="H1343" s="17" t="s">
        <v>1590</v>
      </c>
      <c r="I1343" s="18" t="s">
        <v>54</v>
      </c>
      <c r="K1343" s="5" t="s">
        <v>4185</v>
      </c>
      <c r="L1343" t="str">
        <f t="shared" si="21"/>
        <v>mskrystalgrace3@gmail.com</v>
      </c>
    </row>
    <row r="1344" spans="1:12">
      <c r="A1344" t="str" cm="1">
        <f t="array" ref="A1344">_xlfn.LET(_xlpm.e,L1344,
IF(_xlpm.e="","",
"DOC-"&amp;TEXT(ROW()-ROW(tblMaster[#Headers]),"00000")
))</f>
        <v>DOC-01343</v>
      </c>
      <c r="B1344" s="49">
        <v>46022</v>
      </c>
      <c r="C1344" s="42" t="s">
        <v>5330</v>
      </c>
      <c r="D1344" s="42" t="s">
        <v>5331</v>
      </c>
      <c r="E1344" s="38" t="s">
        <v>5332</v>
      </c>
      <c r="F1344" s="17"/>
      <c r="G1344" s="42"/>
      <c r="H1344" s="17"/>
      <c r="I1344" s="18" t="s">
        <v>101</v>
      </c>
      <c r="J1344" s="99" t="s">
        <v>66</v>
      </c>
      <c r="K1344" s="5" t="s">
        <v>4185</v>
      </c>
      <c r="L1344" t="str">
        <f t="shared" si="21"/>
        <v>kyeraachristiana24@gmail.com</v>
      </c>
    </row>
    <row r="1345" spans="1:12">
      <c r="A1345" t="str" cm="1">
        <f t="array" ref="A1345">_xlfn.LET(_xlpm.e,L1345,
IF(_xlpm.e="","",
"DOC-"&amp;TEXT(ROW()-ROW(tblMaster[#Headers]),"00000")
))</f>
        <v>DOC-01344</v>
      </c>
      <c r="B1345" s="49">
        <v>46022</v>
      </c>
      <c r="C1345" s="42" t="s">
        <v>2856</v>
      </c>
      <c r="D1345" s="42" t="s">
        <v>5333</v>
      </c>
      <c r="E1345" s="38" t="s">
        <v>5334</v>
      </c>
      <c r="F1345" s="17" t="s">
        <v>5335</v>
      </c>
      <c r="G1345" s="42" t="s">
        <v>1109</v>
      </c>
      <c r="H1345" s="17" t="s">
        <v>17</v>
      </c>
      <c r="I1345" s="18" t="s">
        <v>54</v>
      </c>
      <c r="J1345" s="99" t="s">
        <v>66</v>
      </c>
      <c r="K1345" s="5" t="s">
        <v>4185</v>
      </c>
      <c r="L1345" t="str">
        <f t="shared" si="21"/>
        <v>elijahfoley@ymail.com</v>
      </c>
    </row>
    <row r="1346" spans="1:12">
      <c r="A1346" t="str" cm="1">
        <f t="array" ref="A1346">_xlfn.LET(_xlpm.e,L1346,
IF(_xlpm.e="","",
"DOC-"&amp;TEXT(ROW()-ROW(tblMaster[#Headers]),"00000")
))</f>
        <v>DOC-01345</v>
      </c>
      <c r="B1346" s="49">
        <v>46022</v>
      </c>
      <c r="C1346" s="42" t="s">
        <v>5336</v>
      </c>
      <c r="D1346" s="42" t="s">
        <v>5337</v>
      </c>
      <c r="E1346" s="38" t="s">
        <v>5338</v>
      </c>
      <c r="F1346" s="17" t="s">
        <v>5339</v>
      </c>
      <c r="G1346" s="42" t="s">
        <v>74</v>
      </c>
      <c r="H1346" s="17" t="s">
        <v>17</v>
      </c>
      <c r="I1346" s="18" t="s">
        <v>54</v>
      </c>
      <c r="J1346" s="99" t="s">
        <v>66</v>
      </c>
      <c r="K1346" s="5" t="s">
        <v>4185</v>
      </c>
      <c r="L1346" t="str">
        <f t="shared" si="21"/>
        <v>sebastianlariosa@yahoo.com</v>
      </c>
    </row>
    <row r="1347" spans="1:12">
      <c r="A1347" t="str" cm="1">
        <f t="array" ref="A1347">_xlfn.LET(_xlpm.e,L1347,
IF(_xlpm.e="","",
"DOC-"&amp;TEXT(ROW()-ROW(tblMaster[#Headers]),"00000")
))</f>
        <v>DOC-01346</v>
      </c>
      <c r="B1347" s="49">
        <v>46023</v>
      </c>
      <c r="C1347" s="17" t="s">
        <v>5340</v>
      </c>
      <c r="D1347" s="17" t="s">
        <v>5341</v>
      </c>
      <c r="E1347" s="123" t="s">
        <v>5342</v>
      </c>
      <c r="F1347" s="17" t="s">
        <v>5343</v>
      </c>
      <c r="G1347" s="17" t="s">
        <v>2408</v>
      </c>
      <c r="H1347" s="17" t="s">
        <v>17</v>
      </c>
      <c r="I1347" s="18" t="s">
        <v>54</v>
      </c>
      <c r="J1347" s="99" t="s">
        <v>560</v>
      </c>
      <c r="K1347" s="5" t="s">
        <v>4185</v>
      </c>
      <c r="L1347" t="str">
        <f t="shared" si="21"/>
        <v>sdifronzo31@gmail.com</v>
      </c>
    </row>
    <row r="1348" spans="1:12">
      <c r="A1348" t="str" cm="1">
        <f t="array" ref="A1348">_xlfn.LET(_xlpm.e,L1348,
IF(_xlpm.e="","",
"DOC-"&amp;TEXT(ROW()-ROW(tblMaster[#Headers]),"00000")
))</f>
        <v>DOC-01347</v>
      </c>
      <c r="B1348" s="49">
        <v>46023</v>
      </c>
      <c r="C1348" s="42" t="s">
        <v>5344</v>
      </c>
      <c r="D1348" s="42" t="s">
        <v>5345</v>
      </c>
      <c r="E1348" s="38" t="s">
        <v>5346</v>
      </c>
      <c r="F1348" s="17" t="s">
        <v>5347</v>
      </c>
      <c r="G1348" s="42" t="s">
        <v>5348</v>
      </c>
      <c r="H1348" s="17" t="s">
        <v>17</v>
      </c>
      <c r="I1348" s="18" t="s">
        <v>54</v>
      </c>
      <c r="J1348" s="99" t="s">
        <v>118</v>
      </c>
      <c r="K1348" s="5" t="s">
        <v>4185</v>
      </c>
      <c r="L1348" t="str">
        <f t="shared" si="21"/>
        <v>dalishamarrero1@gmail.com</v>
      </c>
    </row>
    <row r="1349" spans="1:12">
      <c r="A1349" t="str" cm="1">
        <f t="array" ref="A1349">_xlfn.LET(_xlpm.e,L1349,
IF(_xlpm.e="","",
"DOC-"&amp;TEXT(ROW()-ROW(tblMaster[#Headers]),"00000")
))</f>
        <v>DOC-01348</v>
      </c>
      <c r="B1349" s="49">
        <v>46023</v>
      </c>
      <c r="C1349" s="42" t="s">
        <v>5349</v>
      </c>
      <c r="D1349" s="42" t="s">
        <v>5350</v>
      </c>
      <c r="E1349" s="38" t="s">
        <v>5351</v>
      </c>
      <c r="F1349" s="17" t="s">
        <v>5352</v>
      </c>
      <c r="G1349" s="42" t="s">
        <v>138</v>
      </c>
      <c r="H1349" s="17" t="s">
        <v>17</v>
      </c>
      <c r="I1349" s="18" t="s">
        <v>54</v>
      </c>
      <c r="J1349" s="99" t="s">
        <v>23</v>
      </c>
      <c r="K1349" s="5" t="s">
        <v>4185</v>
      </c>
      <c r="L1349" t="str">
        <f t="shared" si="21"/>
        <v>marinovelasquez87@gmail.com</v>
      </c>
    </row>
    <row r="1350" spans="1:12">
      <c r="A1350" t="str" cm="1">
        <f t="array" ref="A1350">_xlfn.LET(_xlpm.e,L1350,
IF(_xlpm.e="","",
"DOC-"&amp;TEXT(ROW()-ROW(tblMaster[#Headers]),"00000")
))</f>
        <v>DOC-01349</v>
      </c>
      <c r="B1350" s="49">
        <v>46023</v>
      </c>
      <c r="C1350" s="42" t="s">
        <v>80</v>
      </c>
      <c r="D1350" s="42" t="s">
        <v>1273</v>
      </c>
      <c r="E1350" s="38" t="s">
        <v>5353</v>
      </c>
      <c r="F1350" s="17" t="s">
        <v>5354</v>
      </c>
      <c r="G1350" s="42" t="s">
        <v>74</v>
      </c>
      <c r="H1350" s="17" t="s">
        <v>17</v>
      </c>
      <c r="I1350" s="18" t="s">
        <v>54</v>
      </c>
      <c r="J1350" s="99" t="s">
        <v>66</v>
      </c>
      <c r="K1350" s="5" t="s">
        <v>4185</v>
      </c>
      <c r="L1350" t="str">
        <f t="shared" ref="L1350:L1413" si="22">_xlfn.LET(_xlpm.x,E1350,
_xlpm.y,TRIM(CLEAN(SUBSTITUTE(_xlpm.x,CHAR(160)," "))),
LOWER(_xlpm.y))</f>
        <v>karenmms305@gmail.com</v>
      </c>
    </row>
    <row r="1351" spans="1:12">
      <c r="A1351" t="str" cm="1">
        <f t="array" ref="A1351">_xlfn.LET(_xlpm.e,L1351,
IF(_xlpm.e="","",
"DOC-"&amp;TEXT(ROW()-ROW(tblMaster[#Headers]),"00000")
))</f>
        <v>DOC-01350</v>
      </c>
      <c r="B1351" s="49">
        <v>46023</v>
      </c>
      <c r="C1351" s="42" t="s">
        <v>2690</v>
      </c>
      <c r="D1351" s="42" t="s">
        <v>5355</v>
      </c>
      <c r="E1351" s="38" t="s">
        <v>5356</v>
      </c>
      <c r="F1351" s="17" t="s">
        <v>5357</v>
      </c>
      <c r="G1351" s="42" t="s">
        <v>5358</v>
      </c>
      <c r="H1351" s="17" t="s">
        <v>267</v>
      </c>
      <c r="I1351" s="18" t="s">
        <v>54</v>
      </c>
      <c r="J1351" s="99" t="s">
        <v>194</v>
      </c>
      <c r="K1351" s="5" t="s">
        <v>4185</v>
      </c>
      <c r="L1351" t="str">
        <f t="shared" si="22"/>
        <v>tj.beckford29@yahoo.com</v>
      </c>
    </row>
    <row r="1352" spans="1:12">
      <c r="A1352" t="str" cm="1">
        <f t="array" ref="A1352">_xlfn.LET(_xlpm.e,L1352,
IF(_xlpm.e="","",
"DOC-"&amp;TEXT(ROW()-ROW(tblMaster[#Headers]),"00000")
))</f>
        <v>DOC-01351</v>
      </c>
      <c r="B1352" s="49">
        <v>46023</v>
      </c>
      <c r="C1352" s="42" t="s">
        <v>5359</v>
      </c>
      <c r="D1352" s="42" t="s">
        <v>5360</v>
      </c>
      <c r="E1352" s="38" t="s">
        <v>5361</v>
      </c>
      <c r="F1352" s="17" t="s">
        <v>5362</v>
      </c>
      <c r="G1352" s="42"/>
      <c r="H1352" s="17"/>
      <c r="I1352" s="18" t="s">
        <v>54</v>
      </c>
      <c r="J1352" s="99" t="s">
        <v>497</v>
      </c>
      <c r="K1352" s="5" t="s">
        <v>4185</v>
      </c>
      <c r="L1352" t="str">
        <f t="shared" si="22"/>
        <v>niveahmcintosh@gmail.com</v>
      </c>
    </row>
    <row r="1353" spans="1:12">
      <c r="A1353" t="str" cm="1">
        <f t="array" ref="A1353">_xlfn.LET(_xlpm.e,L1353,
IF(_xlpm.e="","",
"DOC-"&amp;TEXT(ROW()-ROW(tblMaster[#Headers]),"00000")
))</f>
        <v>DOC-01352</v>
      </c>
      <c r="B1353" s="49">
        <v>46023</v>
      </c>
      <c r="C1353" s="42" t="s">
        <v>4032</v>
      </c>
      <c r="D1353" s="42" t="s">
        <v>5363</v>
      </c>
      <c r="E1353" s="38" t="s">
        <v>5364</v>
      </c>
      <c r="F1353" s="17" t="s">
        <v>5365</v>
      </c>
      <c r="G1353" s="42" t="s">
        <v>750</v>
      </c>
      <c r="H1353" s="17" t="s">
        <v>17</v>
      </c>
      <c r="I1353" s="18" t="s">
        <v>54</v>
      </c>
      <c r="J1353" s="99" t="s">
        <v>118</v>
      </c>
      <c r="K1353" s="5" t="s">
        <v>4185</v>
      </c>
      <c r="L1353" t="str">
        <f t="shared" si="22"/>
        <v>edlopez282@gmail.com</v>
      </c>
    </row>
    <row r="1354" spans="1:12">
      <c r="A1354" t="str" cm="1">
        <f t="array" ref="A1354">_xlfn.LET(_xlpm.e,L1354,
IF(_xlpm.e="","",
"DOC-"&amp;TEXT(ROW()-ROW(tblMaster[#Headers]),"00000")
))</f>
        <v>DOC-01353</v>
      </c>
      <c r="B1354" s="49">
        <v>46023</v>
      </c>
      <c r="C1354" s="17" t="s">
        <v>5366</v>
      </c>
      <c r="D1354" s="17" t="s">
        <v>5367</v>
      </c>
      <c r="E1354" s="123" t="s">
        <v>5368</v>
      </c>
      <c r="F1354" s="17"/>
      <c r="G1354" s="17"/>
      <c r="H1354" s="17"/>
      <c r="I1354" s="18" t="s">
        <v>101</v>
      </c>
      <c r="J1354" s="99" t="s">
        <v>560</v>
      </c>
      <c r="K1354" s="5" t="s">
        <v>4185</v>
      </c>
      <c r="L1354" t="str">
        <f t="shared" si="22"/>
        <v>centeredbodycare@gmail.com</v>
      </c>
    </row>
    <row r="1355" spans="1:12">
      <c r="A1355" t="str" cm="1">
        <f t="array" ref="A1355">_xlfn.LET(_xlpm.e,L1355,
IF(_xlpm.e="","",
"DOC-"&amp;TEXT(ROW()-ROW(tblMaster[#Headers]),"00000")
))</f>
        <v>DOC-01354</v>
      </c>
      <c r="B1355" s="49">
        <v>46023</v>
      </c>
      <c r="C1355" s="42" t="s">
        <v>5369</v>
      </c>
      <c r="D1355" s="42" t="s">
        <v>5370</v>
      </c>
      <c r="E1355" s="38" t="s">
        <v>5371</v>
      </c>
      <c r="F1355" s="17" t="s">
        <v>5372</v>
      </c>
      <c r="G1355" s="42" t="s">
        <v>220</v>
      </c>
      <c r="H1355" s="17" t="s">
        <v>17</v>
      </c>
      <c r="I1355" s="18" t="s">
        <v>101</v>
      </c>
      <c r="J1355" s="99" t="s">
        <v>23</v>
      </c>
      <c r="K1355" s="5" t="s">
        <v>4185</v>
      </c>
      <c r="L1355" t="str">
        <f t="shared" si="22"/>
        <v>bencheleyauguste32@gmail.com</v>
      </c>
    </row>
    <row r="1356" spans="1:12">
      <c r="A1356" t="str" cm="1">
        <f t="array" ref="A1356">_xlfn.LET(_xlpm.e,L1356,
IF(_xlpm.e="","",
"DOC-"&amp;TEXT(ROW()-ROW(tblMaster[#Headers]),"00000")
))</f>
        <v>DOC-01355</v>
      </c>
      <c r="B1356" s="49">
        <v>46023</v>
      </c>
      <c r="C1356" s="42" t="s">
        <v>1825</v>
      </c>
      <c r="D1356" s="42" t="s">
        <v>5373</v>
      </c>
      <c r="E1356" s="38" t="s">
        <v>5374</v>
      </c>
      <c r="F1356" s="17" t="s">
        <v>5375</v>
      </c>
      <c r="G1356" s="42" t="s">
        <v>88</v>
      </c>
      <c r="H1356" s="17" t="s">
        <v>17</v>
      </c>
      <c r="I1356" s="18" t="s">
        <v>101</v>
      </c>
      <c r="J1356" s="99" t="s">
        <v>497</v>
      </c>
      <c r="K1356" s="5" t="s">
        <v>4185</v>
      </c>
      <c r="L1356" t="str">
        <f t="shared" si="22"/>
        <v>jocelynbrooks345@gmail.com</v>
      </c>
    </row>
    <row r="1357" spans="1:12">
      <c r="A1357" t="str" cm="1">
        <f t="array" ref="A1357">_xlfn.LET(_xlpm.e,L1357,
IF(_xlpm.e="","",
"DOC-"&amp;TEXT(ROW()-ROW(tblMaster[#Headers]),"00000")
))</f>
        <v>DOC-01356</v>
      </c>
      <c r="B1357" s="49">
        <v>46023</v>
      </c>
      <c r="C1357" s="42" t="s">
        <v>5376</v>
      </c>
      <c r="D1357" s="42" t="s">
        <v>657</v>
      </c>
      <c r="E1357" s="38" t="s">
        <v>5377</v>
      </c>
      <c r="F1357" s="17" t="s">
        <v>5378</v>
      </c>
      <c r="G1357" s="42" t="s">
        <v>257</v>
      </c>
      <c r="H1357" s="17" t="s">
        <v>17</v>
      </c>
      <c r="I1357" s="17" t="s">
        <v>2276</v>
      </c>
      <c r="J1357" s="99" t="s">
        <v>194</v>
      </c>
      <c r="K1357" s="5" t="s">
        <v>4185</v>
      </c>
      <c r="L1357" t="str">
        <f t="shared" si="22"/>
        <v>kennyjulien03@gmail.com</v>
      </c>
    </row>
    <row r="1358" spans="1:12">
      <c r="A1358" t="str" cm="1">
        <f t="array" ref="A1358">_xlfn.LET(_xlpm.e,L1358,
IF(_xlpm.e="","",
"DOC-"&amp;TEXT(ROW()-ROW(tblMaster[#Headers]),"00000")
))</f>
        <v>DOC-01357</v>
      </c>
      <c r="B1358" s="49">
        <v>46024</v>
      </c>
      <c r="C1358" s="42" t="s">
        <v>5379</v>
      </c>
      <c r="D1358" s="42" t="s">
        <v>216</v>
      </c>
      <c r="E1358" s="38" t="s">
        <v>5380</v>
      </c>
      <c r="F1358" s="17" t="s">
        <v>5381</v>
      </c>
      <c r="G1358" s="42" t="s">
        <v>257</v>
      </c>
      <c r="H1358" s="17" t="s">
        <v>53</v>
      </c>
      <c r="I1358" s="18" t="s">
        <v>54</v>
      </c>
      <c r="J1358" s="99" t="s">
        <v>66</v>
      </c>
      <c r="K1358" s="5" t="s">
        <v>4185</v>
      </c>
      <c r="L1358" t="str">
        <f t="shared" si="22"/>
        <v>keiyarajohnson02@gmail.com</v>
      </c>
    </row>
    <row r="1359" spans="1:12">
      <c r="A1359" t="str" cm="1">
        <f t="array" ref="A1359">_xlfn.LET(_xlpm.e,L1359,
IF(_xlpm.e="","",
"DOC-"&amp;TEXT(ROW()-ROW(tblMaster[#Headers]),"00000")
))</f>
        <v>DOC-01358</v>
      </c>
      <c r="B1359" s="49">
        <v>46024</v>
      </c>
      <c r="C1359" s="42" t="s">
        <v>5382</v>
      </c>
      <c r="D1359" s="42" t="s">
        <v>5383</v>
      </c>
      <c r="E1359" s="38" t="s">
        <v>5384</v>
      </c>
      <c r="F1359" s="17" t="s">
        <v>5385</v>
      </c>
      <c r="G1359" s="42" t="s">
        <v>5386</v>
      </c>
      <c r="H1359" s="17" t="s">
        <v>153</v>
      </c>
      <c r="I1359" s="17"/>
      <c r="J1359" s="99" t="s">
        <v>118</v>
      </c>
      <c r="K1359" s="5" t="s">
        <v>4185</v>
      </c>
      <c r="L1359" t="str">
        <f t="shared" si="22"/>
        <v>amakye.kwabenat@gmail.com</v>
      </c>
    </row>
    <row r="1360" spans="1:12">
      <c r="A1360" t="str" cm="1">
        <f t="array" ref="A1360">_xlfn.LET(_xlpm.e,L1360,
IF(_xlpm.e="","",
"DOC-"&amp;TEXT(ROW()-ROW(tblMaster[#Headers]),"00000")
))</f>
        <v>DOC-01359</v>
      </c>
      <c r="B1360" s="49">
        <v>46027</v>
      </c>
      <c r="C1360" s="17" t="s">
        <v>55</v>
      </c>
      <c r="D1360" s="17" t="s">
        <v>5387</v>
      </c>
      <c r="E1360" s="123" t="s">
        <v>5388</v>
      </c>
      <c r="F1360" s="17" t="s">
        <v>5389</v>
      </c>
      <c r="G1360" s="17" t="s">
        <v>147</v>
      </c>
      <c r="H1360" s="17" t="s">
        <v>53</v>
      </c>
      <c r="I1360" s="18" t="s">
        <v>54</v>
      </c>
      <c r="J1360" s="99" t="s">
        <v>560</v>
      </c>
      <c r="K1360" s="5" t="s">
        <v>4185</v>
      </c>
      <c r="L1360" t="str">
        <f t="shared" si="22"/>
        <v>413bikelife.rico@gmail.com</v>
      </c>
    </row>
    <row r="1361" spans="1:12">
      <c r="A1361" t="str" cm="1">
        <f t="array" ref="A1361">_xlfn.LET(_xlpm.e,L1361,
IF(_xlpm.e="","",
"DOC-"&amp;TEXT(ROW()-ROW(tblMaster[#Headers]),"00000")
))</f>
        <v>DOC-01360</v>
      </c>
      <c r="B1361" s="49">
        <v>46027</v>
      </c>
      <c r="C1361" s="42" t="s">
        <v>5390</v>
      </c>
      <c r="D1361" s="42" t="s">
        <v>5391</v>
      </c>
      <c r="E1361" s="38" t="s">
        <v>5392</v>
      </c>
      <c r="F1361" s="17" t="s">
        <v>5393</v>
      </c>
      <c r="G1361" s="42" t="s">
        <v>106</v>
      </c>
      <c r="H1361" s="17" t="s">
        <v>53</v>
      </c>
      <c r="I1361" s="18" t="s">
        <v>54</v>
      </c>
      <c r="J1361" s="99" t="s">
        <v>23</v>
      </c>
      <c r="K1361" s="5" t="s">
        <v>4185</v>
      </c>
      <c r="L1361" t="str">
        <f t="shared" si="22"/>
        <v>fosterneila37@gmail.com</v>
      </c>
    </row>
    <row r="1362" spans="1:12">
      <c r="A1362" t="str" cm="1">
        <f t="array" ref="A1362">_xlfn.LET(_xlpm.e,L1362,
IF(_xlpm.e="","",
"DOC-"&amp;TEXT(ROW()-ROW(tblMaster[#Headers]),"00000")
))</f>
        <v>DOC-01361</v>
      </c>
      <c r="B1362" s="49">
        <v>46027</v>
      </c>
      <c r="C1362" s="42" t="s">
        <v>5394</v>
      </c>
      <c r="D1362" s="42" t="s">
        <v>5395</v>
      </c>
      <c r="E1362" s="38" t="s">
        <v>5396</v>
      </c>
      <c r="F1362" s="17" t="s">
        <v>5397</v>
      </c>
      <c r="G1362" s="42" t="s">
        <v>5398</v>
      </c>
      <c r="H1362" s="17" t="s">
        <v>1029</v>
      </c>
      <c r="I1362" s="18" t="s">
        <v>54</v>
      </c>
      <c r="J1362" s="99" t="s">
        <v>497</v>
      </c>
      <c r="K1362" s="5" t="s">
        <v>4185</v>
      </c>
      <c r="L1362" t="str">
        <f t="shared" si="22"/>
        <v>latasia.mclendon321@gmail.com</v>
      </c>
    </row>
    <row r="1363" spans="1:12">
      <c r="A1363" t="str" cm="1">
        <f t="array" ref="A1363">_xlfn.LET(_xlpm.e,L1363,
IF(_xlpm.e="","",
"DOC-"&amp;TEXT(ROW()-ROW(tblMaster[#Headers]),"00000")
))</f>
        <v>DOC-01362</v>
      </c>
      <c r="B1363" s="49">
        <v>46027</v>
      </c>
      <c r="C1363" s="42" t="s">
        <v>1798</v>
      </c>
      <c r="D1363" s="42" t="s">
        <v>5399</v>
      </c>
      <c r="E1363" s="38" t="s">
        <v>5400</v>
      </c>
      <c r="F1363" s="17" t="s">
        <v>5401</v>
      </c>
      <c r="G1363" s="42" t="s">
        <v>147</v>
      </c>
      <c r="H1363" s="17" t="s">
        <v>53</v>
      </c>
      <c r="I1363" s="18" t="s">
        <v>54</v>
      </c>
      <c r="J1363" s="99" t="s">
        <v>194</v>
      </c>
      <c r="K1363" s="5" t="s">
        <v>4185</v>
      </c>
      <c r="L1363" t="str">
        <f t="shared" si="22"/>
        <v>lockedin298@gmail.com</v>
      </c>
    </row>
    <row r="1364" spans="1:12">
      <c r="A1364" t="str" cm="1">
        <f t="array" ref="A1364">_xlfn.LET(_xlpm.e,L1364,
IF(_xlpm.e="","",
"DOC-"&amp;TEXT(ROW()-ROW(tblMaster[#Headers]),"00000")
))</f>
        <v>DOC-01363</v>
      </c>
      <c r="B1364" s="49">
        <v>46027</v>
      </c>
      <c r="C1364" s="42" t="s">
        <v>5402</v>
      </c>
      <c r="D1364" s="42" t="s">
        <v>2024</v>
      </c>
      <c r="E1364" s="38" t="s">
        <v>5403</v>
      </c>
      <c r="F1364" s="17" t="s">
        <v>5404</v>
      </c>
      <c r="G1364" s="42" t="s">
        <v>123</v>
      </c>
      <c r="H1364" s="17" t="s">
        <v>60</v>
      </c>
      <c r="I1364" s="18" t="s">
        <v>54</v>
      </c>
      <c r="J1364" s="99" t="s">
        <v>66</v>
      </c>
      <c r="K1364" s="5" t="s">
        <v>4185</v>
      </c>
      <c r="L1364" t="str">
        <f t="shared" si="22"/>
        <v>ariel.williams13@snhu.edu</v>
      </c>
    </row>
    <row r="1365" spans="1:12">
      <c r="A1365" t="str" cm="1">
        <f t="array" ref="A1365">_xlfn.LET(_xlpm.e,L1365,
IF(_xlpm.e="","",
"DOC-"&amp;TEXT(ROW()-ROW(tblMaster[#Headers]),"00000")
))</f>
        <v>DOC-01364</v>
      </c>
      <c r="B1365" s="49">
        <v>46027</v>
      </c>
      <c r="C1365" s="42" t="s">
        <v>1623</v>
      </c>
      <c r="D1365" s="42" t="s">
        <v>416</v>
      </c>
      <c r="E1365" s="38" t="s">
        <v>5405</v>
      </c>
      <c r="F1365" s="17" t="s">
        <v>5406</v>
      </c>
      <c r="G1365" s="42" t="s">
        <v>163</v>
      </c>
      <c r="H1365" s="17" t="s">
        <v>17</v>
      </c>
      <c r="I1365" s="18" t="s">
        <v>54</v>
      </c>
      <c r="J1365" s="99" t="s">
        <v>118</v>
      </c>
      <c r="K1365" s="5" t="s">
        <v>4185</v>
      </c>
      <c r="L1365" t="str">
        <f t="shared" si="22"/>
        <v>ogcarlos282@gmail.com</v>
      </c>
    </row>
    <row r="1366" spans="1:12">
      <c r="A1366" t="str" cm="1">
        <f t="array" ref="A1366">_xlfn.LET(_xlpm.e,L1366,
IF(_xlpm.e="","",
"DOC-"&amp;TEXT(ROW()-ROW(tblMaster[#Headers]),"00000")
))</f>
        <v>DOC-01365</v>
      </c>
      <c r="B1366" s="49">
        <v>46027</v>
      </c>
      <c r="C1366" s="17" t="s">
        <v>5407</v>
      </c>
      <c r="D1366" s="17" t="s">
        <v>5408</v>
      </c>
      <c r="E1366" s="123" t="s">
        <v>5409</v>
      </c>
      <c r="F1366" s="17" t="s">
        <v>5410</v>
      </c>
      <c r="G1366" s="17" t="s">
        <v>2770</v>
      </c>
      <c r="H1366" s="17" t="s">
        <v>17</v>
      </c>
      <c r="I1366" s="18" t="s">
        <v>54</v>
      </c>
      <c r="J1366" s="99" t="s">
        <v>560</v>
      </c>
      <c r="K1366" s="5" t="s">
        <v>4185</v>
      </c>
      <c r="L1366" t="str">
        <f t="shared" si="22"/>
        <v>villodas92@gmail.com</v>
      </c>
    </row>
    <row r="1367" spans="1:12">
      <c r="A1367" t="str" cm="1">
        <f t="array" ref="A1367">_xlfn.LET(_xlpm.e,L1367,
IF(_xlpm.e="","",
"DOC-"&amp;TEXT(ROW()-ROW(tblMaster[#Headers]),"00000")
))</f>
        <v>DOC-01366</v>
      </c>
      <c r="B1367" s="49">
        <v>46027</v>
      </c>
      <c r="C1367" s="42" t="s">
        <v>1825</v>
      </c>
      <c r="D1367" s="42" t="s">
        <v>1826</v>
      </c>
      <c r="E1367" s="38" t="s">
        <v>5411</v>
      </c>
      <c r="F1367" s="17" t="s">
        <v>5412</v>
      </c>
      <c r="G1367" s="42" t="s">
        <v>88</v>
      </c>
      <c r="H1367" s="17" t="s">
        <v>17</v>
      </c>
      <c r="I1367" s="18" t="s">
        <v>54</v>
      </c>
      <c r="J1367" s="99" t="s">
        <v>23</v>
      </c>
      <c r="K1367" s="5" t="s">
        <v>4185</v>
      </c>
      <c r="L1367" t="str">
        <f t="shared" si="22"/>
        <v>jocelynbrooks123@gmail.com</v>
      </c>
    </row>
    <row r="1368" spans="1:12">
      <c r="A1368" t="str" cm="1">
        <f t="array" ref="A1368">_xlfn.LET(_xlpm.e,L1368,
IF(_xlpm.e="","",
"DOC-"&amp;TEXT(ROW()-ROW(tblMaster[#Headers]),"00000")
))</f>
        <v>DOC-01367</v>
      </c>
      <c r="B1368" s="49">
        <v>46027</v>
      </c>
      <c r="C1368" s="42" t="s">
        <v>5413</v>
      </c>
      <c r="D1368" s="42" t="s">
        <v>5414</v>
      </c>
      <c r="E1368" s="38" t="s">
        <v>5415</v>
      </c>
      <c r="F1368" s="17" t="s">
        <v>5416</v>
      </c>
      <c r="G1368" s="42" t="s">
        <v>728</v>
      </c>
      <c r="H1368" s="17" t="s">
        <v>17</v>
      </c>
      <c r="I1368" s="18" t="s">
        <v>54</v>
      </c>
      <c r="J1368" s="99" t="s">
        <v>66</v>
      </c>
      <c r="K1368" s="5" t="s">
        <v>4185</v>
      </c>
      <c r="L1368" t="str">
        <f t="shared" si="22"/>
        <v>leilamathieu0@gmail.com</v>
      </c>
    </row>
    <row r="1369" spans="1:12">
      <c r="A1369" t="str" cm="1">
        <f t="array" ref="A1369">_xlfn.LET(_xlpm.e,L1369,
IF(_xlpm.e="","",
"DOC-"&amp;TEXT(ROW()-ROW(tblMaster[#Headers]),"00000")
))</f>
        <v>DOC-01368</v>
      </c>
      <c r="B1369" s="49">
        <v>46027</v>
      </c>
      <c r="C1369" s="42" t="s">
        <v>5417</v>
      </c>
      <c r="D1369" s="42" t="s">
        <v>5418</v>
      </c>
      <c r="E1369" s="38" t="s">
        <v>5419</v>
      </c>
      <c r="F1369" s="17" t="s">
        <v>5420</v>
      </c>
      <c r="G1369" s="42" t="s">
        <v>5421</v>
      </c>
      <c r="H1369" s="17" t="s">
        <v>1875</v>
      </c>
      <c r="I1369" s="18" t="s">
        <v>54</v>
      </c>
      <c r="J1369" s="99" t="s">
        <v>497</v>
      </c>
      <c r="K1369" s="5" t="s">
        <v>4185</v>
      </c>
      <c r="L1369" t="str">
        <f t="shared" si="22"/>
        <v>shebby.lizzette@gmail.com</v>
      </c>
    </row>
    <row r="1370" spans="1:12">
      <c r="A1370" t="str" cm="1">
        <f t="array" ref="A1370">_xlfn.LET(_xlpm.e,L1370,
IF(_xlpm.e="","",
"DOC-"&amp;TEXT(ROW()-ROW(tblMaster[#Headers]),"00000")
))</f>
        <v>DOC-01369</v>
      </c>
      <c r="B1370" s="49">
        <v>46027</v>
      </c>
      <c r="C1370" s="42" t="s">
        <v>724</v>
      </c>
      <c r="D1370" s="42" t="s">
        <v>5422</v>
      </c>
      <c r="E1370" s="38" t="s">
        <v>5423</v>
      </c>
      <c r="F1370" s="17" t="s">
        <v>5424</v>
      </c>
      <c r="G1370" s="42" t="s">
        <v>5425</v>
      </c>
      <c r="H1370" s="17" t="s">
        <v>17</v>
      </c>
      <c r="I1370" s="18" t="s">
        <v>54</v>
      </c>
      <c r="J1370" s="99" t="s">
        <v>497</v>
      </c>
      <c r="K1370" s="5" t="s">
        <v>4185</v>
      </c>
      <c r="L1370" t="str">
        <f t="shared" si="22"/>
        <v>josephshumsky@protonmail.com</v>
      </c>
    </row>
    <row r="1371" spans="1:12">
      <c r="A1371" t="str" cm="1">
        <f t="array" ref="A1371">_xlfn.LET(_xlpm.e,L1371,
IF(_xlpm.e="","",
"DOC-"&amp;TEXT(ROW()-ROW(tblMaster[#Headers]),"00000")
))</f>
        <v>DOC-01370</v>
      </c>
      <c r="B1371" s="49">
        <v>46027</v>
      </c>
      <c r="C1371" s="42" t="s">
        <v>527</v>
      </c>
      <c r="D1371" s="42" t="s">
        <v>5426</v>
      </c>
      <c r="E1371" s="38" t="s">
        <v>5427</v>
      </c>
      <c r="F1371" s="17" t="s">
        <v>5428</v>
      </c>
      <c r="G1371" s="42" t="s">
        <v>5429</v>
      </c>
      <c r="H1371" s="17" t="s">
        <v>60</v>
      </c>
      <c r="I1371" s="17" t="s">
        <v>2276</v>
      </c>
      <c r="J1371" s="99" t="s">
        <v>194</v>
      </c>
      <c r="K1371" s="5" t="s">
        <v>4185</v>
      </c>
      <c r="L1371" t="str">
        <f t="shared" si="22"/>
        <v>jamesebridges3@gmail.com</v>
      </c>
    </row>
    <row r="1372" spans="1:12">
      <c r="A1372" t="str" cm="1">
        <f t="array" ref="A1372">_xlfn.LET(_xlpm.e,L1372,
IF(_xlpm.e="","",
"DOC-"&amp;TEXT(ROW()-ROW(tblMaster[#Headers]),"00000")
))</f>
        <v>DOC-01371</v>
      </c>
      <c r="B1372" s="49">
        <v>46027</v>
      </c>
      <c r="C1372" s="42" t="s">
        <v>5430</v>
      </c>
      <c r="D1372" s="42" t="s">
        <v>5431</v>
      </c>
      <c r="E1372" s="38" t="s">
        <v>5432</v>
      </c>
      <c r="F1372" s="17" t="s">
        <v>5433</v>
      </c>
      <c r="G1372" s="42" t="s">
        <v>2847</v>
      </c>
      <c r="H1372" s="17" t="s">
        <v>17</v>
      </c>
      <c r="I1372" s="17" t="s">
        <v>2276</v>
      </c>
      <c r="J1372" s="99" t="s">
        <v>194</v>
      </c>
      <c r="K1372" s="5" t="s">
        <v>4185</v>
      </c>
      <c r="L1372" t="str">
        <f t="shared" si="22"/>
        <v>nwokesunny22@gmail.com</v>
      </c>
    </row>
    <row r="1373" spans="1:12">
      <c r="A1373" t="str" cm="1">
        <f t="array" ref="A1373">_xlfn.LET(_xlpm.e,L1373,
IF(_xlpm.e="","",
"DOC-"&amp;TEXT(ROW()-ROW(tblMaster[#Headers]),"00000")
))</f>
        <v/>
      </c>
      <c r="B1373" s="49">
        <v>46027</v>
      </c>
      <c r="C1373" s="42" t="s">
        <v>5434</v>
      </c>
      <c r="D1373" s="42" t="s">
        <v>5435</v>
      </c>
      <c r="E1373" s="42"/>
      <c r="F1373" s="17" t="s">
        <v>5436</v>
      </c>
      <c r="G1373" s="42" t="s">
        <v>74</v>
      </c>
      <c r="H1373" s="17" t="s">
        <v>17</v>
      </c>
      <c r="I1373" s="17" t="s">
        <v>2276</v>
      </c>
      <c r="J1373" s="99" t="s">
        <v>66</v>
      </c>
      <c r="K1373" s="5" t="s">
        <v>4185</v>
      </c>
      <c r="L1373" t="str">
        <f t="shared" si="22"/>
        <v/>
      </c>
    </row>
    <row r="1374" spans="1:12">
      <c r="A1374" t="str" cm="1">
        <f t="array" ref="A1374">_xlfn.LET(_xlpm.e,L1374,
IF(_xlpm.e="","",
"DOC-"&amp;TEXT(ROW()-ROW(tblMaster[#Headers]),"00000")
))</f>
        <v>DOC-01373</v>
      </c>
      <c r="B1374" s="49">
        <v>46027</v>
      </c>
      <c r="C1374" s="42" t="s">
        <v>5437</v>
      </c>
      <c r="D1374" s="42" t="s">
        <v>5438</v>
      </c>
      <c r="E1374" s="38" t="s">
        <v>5439</v>
      </c>
      <c r="F1374" s="17" t="s">
        <v>5440</v>
      </c>
      <c r="G1374" s="42" t="s">
        <v>2787</v>
      </c>
      <c r="H1374" s="17" t="s">
        <v>53</v>
      </c>
      <c r="I1374" s="18" t="s">
        <v>101</v>
      </c>
      <c r="J1374" s="99" t="s">
        <v>118</v>
      </c>
      <c r="K1374" s="5" t="s">
        <v>4185</v>
      </c>
      <c r="L1374" t="str">
        <f t="shared" si="22"/>
        <v>jrivbaihern159@gmail.com</v>
      </c>
    </row>
    <row r="1375" spans="1:12">
      <c r="A1375" t="str" cm="1">
        <f t="array" ref="A1375">_xlfn.LET(_xlpm.e,L1375,
IF(_xlpm.e="","",
"DOC-"&amp;TEXT(ROW()-ROW(tblMaster[#Headers]),"00000")
))</f>
        <v>DOC-01374</v>
      </c>
      <c r="B1375" s="49">
        <v>46027</v>
      </c>
      <c r="C1375" s="17" t="s">
        <v>2807</v>
      </c>
      <c r="D1375" s="17" t="s">
        <v>5441</v>
      </c>
      <c r="E1375" s="123" t="s">
        <v>5442</v>
      </c>
      <c r="F1375" s="17" t="s">
        <v>5443</v>
      </c>
      <c r="G1375" s="17" t="s">
        <v>276</v>
      </c>
      <c r="H1375" s="17" t="s">
        <v>53</v>
      </c>
      <c r="I1375" s="18" t="s">
        <v>101</v>
      </c>
      <c r="J1375" s="99" t="s">
        <v>560</v>
      </c>
      <c r="K1375" s="5" t="s">
        <v>4185</v>
      </c>
      <c r="L1375" t="str">
        <f t="shared" si="22"/>
        <v>edygarraud15@aol.com</v>
      </c>
    </row>
    <row r="1376" spans="1:12">
      <c r="A1376" t="str" cm="1">
        <f t="array" ref="A1376">_xlfn.LET(_xlpm.e,L1376,
IF(_xlpm.e="","",
"DOC-"&amp;TEXT(ROW()-ROW(tblMaster[#Headers]),"00000")
))</f>
        <v>DOC-01375</v>
      </c>
      <c r="B1376" s="49">
        <v>46027</v>
      </c>
      <c r="C1376" s="42" t="s">
        <v>2622</v>
      </c>
      <c r="D1376" s="42" t="s">
        <v>3136</v>
      </c>
      <c r="E1376" s="38" t="s">
        <v>5444</v>
      </c>
      <c r="F1376" s="17" t="s">
        <v>5445</v>
      </c>
      <c r="G1376" s="42" t="s">
        <v>5446</v>
      </c>
      <c r="H1376" s="17" t="s">
        <v>17</v>
      </c>
      <c r="I1376" s="18" t="s">
        <v>101</v>
      </c>
      <c r="J1376" s="99" t="s">
        <v>23</v>
      </c>
      <c r="K1376" s="5" t="s">
        <v>4185</v>
      </c>
      <c r="L1376" t="str">
        <f t="shared" si="22"/>
        <v>mtyyoung@gmail.com</v>
      </c>
    </row>
    <row r="1377" spans="1:12">
      <c r="A1377" t="str" cm="1">
        <f t="array" ref="A1377">_xlfn.LET(_xlpm.e,L1377,
IF(_xlpm.e="","",
"DOC-"&amp;TEXT(ROW()-ROW(tblMaster[#Headers]),"00000")
))</f>
        <v>DOC-01376</v>
      </c>
      <c r="B1377" s="49">
        <v>46027</v>
      </c>
      <c r="C1377" s="42" t="s">
        <v>4571</v>
      </c>
      <c r="D1377" s="42" t="s">
        <v>5447</v>
      </c>
      <c r="E1377" s="38" t="s">
        <v>5448</v>
      </c>
      <c r="F1377" s="17" t="s">
        <v>5449</v>
      </c>
      <c r="G1377" s="42"/>
      <c r="H1377" s="17"/>
      <c r="I1377" s="18" t="s">
        <v>193</v>
      </c>
      <c r="J1377" s="99" t="s">
        <v>497</v>
      </c>
      <c r="K1377" s="5" t="s">
        <v>4185</v>
      </c>
      <c r="L1377" t="str">
        <f t="shared" si="22"/>
        <v>joelburgos2822@icloud.com</v>
      </c>
    </row>
    <row r="1378" spans="1:12">
      <c r="A1378" t="str" cm="1">
        <f t="array" ref="A1378">_xlfn.LET(_xlpm.e,L1378,
IF(_xlpm.e="","",
"DOC-"&amp;TEXT(ROW()-ROW(tblMaster[#Headers]),"00000")
))</f>
        <v>DOC-01377</v>
      </c>
      <c r="B1378" s="49">
        <v>46027</v>
      </c>
      <c r="C1378" s="42" t="s">
        <v>5450</v>
      </c>
      <c r="D1378" s="42" t="s">
        <v>5451</v>
      </c>
      <c r="E1378" s="38" t="s">
        <v>5452</v>
      </c>
      <c r="F1378" s="17" t="s">
        <v>5453</v>
      </c>
      <c r="G1378" s="42" t="s">
        <v>74</v>
      </c>
      <c r="H1378" s="17" t="s">
        <v>53</v>
      </c>
      <c r="I1378" s="18" t="s">
        <v>193</v>
      </c>
      <c r="J1378" s="99" t="s">
        <v>194</v>
      </c>
      <c r="K1378" s="5" t="s">
        <v>4185</v>
      </c>
      <c r="L1378" t="str">
        <f t="shared" si="22"/>
        <v>maderawilfer@gmail.com</v>
      </c>
    </row>
    <row r="1379" spans="1:12">
      <c r="A1379" t="str" cm="1">
        <f t="array" ref="A1379">_xlfn.LET(_xlpm.e,L1379,
IF(_xlpm.e="","",
"DOC-"&amp;TEXT(ROW()-ROW(tblMaster[#Headers]),"00000")
))</f>
        <v>DOC-01378</v>
      </c>
      <c r="B1379" s="49">
        <v>46027</v>
      </c>
      <c r="C1379" s="42" t="s">
        <v>4161</v>
      </c>
      <c r="D1379" s="42" t="s">
        <v>5454</v>
      </c>
      <c r="E1379" s="38" t="s">
        <v>5455</v>
      </c>
      <c r="F1379" s="17" t="s">
        <v>5456</v>
      </c>
      <c r="G1379" s="42" t="s">
        <v>74</v>
      </c>
      <c r="H1379" s="17" t="s">
        <v>53</v>
      </c>
      <c r="I1379" s="18" t="s">
        <v>193</v>
      </c>
      <c r="J1379" s="99" t="s">
        <v>66</v>
      </c>
      <c r="K1379" s="5" t="s">
        <v>4185</v>
      </c>
      <c r="L1379" t="str">
        <f t="shared" si="22"/>
        <v>liriano126@gmail.com</v>
      </c>
    </row>
    <row r="1380" spans="1:12">
      <c r="A1380" t="str" cm="1">
        <f t="array" ref="A1380">_xlfn.LET(_xlpm.e,L1380,
IF(_xlpm.e="","",
"DOC-"&amp;TEXT(ROW()-ROW(tblMaster[#Headers]),"00000")
))</f>
        <v>DOC-01379</v>
      </c>
      <c r="B1380" s="49">
        <v>46027</v>
      </c>
      <c r="C1380" s="42" t="s">
        <v>5457</v>
      </c>
      <c r="D1380" s="42" t="s">
        <v>5458</v>
      </c>
      <c r="E1380" s="38" t="s">
        <v>5459</v>
      </c>
      <c r="F1380" s="17" t="s">
        <v>5460</v>
      </c>
      <c r="G1380" s="42" t="s">
        <v>5461</v>
      </c>
      <c r="H1380" s="17" t="s">
        <v>53</v>
      </c>
      <c r="I1380" s="18" t="s">
        <v>54</v>
      </c>
      <c r="J1380" s="99" t="s">
        <v>118</v>
      </c>
      <c r="K1380" s="5" t="s">
        <v>4185</v>
      </c>
      <c r="L1380" t="str">
        <f t="shared" si="22"/>
        <v>nickolaystewart5@gmail.com</v>
      </c>
    </row>
    <row r="1381" spans="1:12">
      <c r="A1381" t="str" cm="1">
        <f t="array" ref="A1381">_xlfn.LET(_xlpm.e,L1381,
IF(_xlpm.e="","",
"DOC-"&amp;TEXT(ROW()-ROW(tblMaster[#Headers]),"00000")
))</f>
        <v>DOC-01380</v>
      </c>
      <c r="B1381" s="49">
        <v>46028</v>
      </c>
      <c r="C1381" s="17" t="s">
        <v>5462</v>
      </c>
      <c r="D1381" s="17" t="s">
        <v>5463</v>
      </c>
      <c r="E1381" s="123" t="s">
        <v>5464</v>
      </c>
      <c r="F1381" s="17" t="s">
        <v>5465</v>
      </c>
      <c r="G1381" s="17" t="s">
        <v>5466</v>
      </c>
      <c r="H1381" s="17" t="s">
        <v>17</v>
      </c>
      <c r="I1381" s="18" t="s">
        <v>54</v>
      </c>
      <c r="J1381" s="99" t="s">
        <v>560</v>
      </c>
      <c r="K1381" s="5" t="s">
        <v>4185</v>
      </c>
      <c r="L1381" t="str">
        <f t="shared" si="22"/>
        <v>itsbawithang@yahoo.com</v>
      </c>
    </row>
    <row r="1382" spans="1:12">
      <c r="A1382" t="str" cm="1">
        <f t="array" ref="A1382">_xlfn.LET(_xlpm.e,L1382,
IF(_xlpm.e="","",
"DOC-"&amp;TEXT(ROW()-ROW(tblMaster[#Headers]),"00000")
))</f>
        <v>DOC-01381</v>
      </c>
      <c r="B1382" s="49">
        <v>46028</v>
      </c>
      <c r="C1382" s="42" t="s">
        <v>5467</v>
      </c>
      <c r="D1382" s="42" t="s">
        <v>5468</v>
      </c>
      <c r="E1382" s="38" t="s">
        <v>5469</v>
      </c>
      <c r="F1382" s="17" t="s">
        <v>5470</v>
      </c>
      <c r="G1382" s="42" t="s">
        <v>612</v>
      </c>
      <c r="H1382" s="17" t="s">
        <v>888</v>
      </c>
      <c r="I1382" s="18" t="s">
        <v>54</v>
      </c>
      <c r="J1382" s="99" t="s">
        <v>23</v>
      </c>
      <c r="K1382" s="5" t="s">
        <v>4185</v>
      </c>
      <c r="L1382" t="str">
        <f t="shared" si="22"/>
        <v>akemeugocha@gmail.com</v>
      </c>
    </row>
    <row r="1383" spans="1:12">
      <c r="A1383" t="str" cm="1">
        <f t="array" ref="A1383">_xlfn.LET(_xlpm.e,L1383,
IF(_xlpm.e="","",
"DOC-"&amp;TEXT(ROW()-ROW(tblMaster[#Headers]),"00000")
))</f>
        <v>DOC-01382</v>
      </c>
      <c r="B1383" s="49">
        <v>46028</v>
      </c>
      <c r="C1383" s="42" t="s">
        <v>5471</v>
      </c>
      <c r="D1383" s="42" t="s">
        <v>5472</v>
      </c>
      <c r="E1383" s="38" t="s">
        <v>5473</v>
      </c>
      <c r="F1383" s="17" t="s">
        <v>5474</v>
      </c>
      <c r="G1383" s="42" t="s">
        <v>5475</v>
      </c>
      <c r="H1383" s="17" t="s">
        <v>17</v>
      </c>
      <c r="I1383" s="18" t="s">
        <v>54</v>
      </c>
      <c r="J1383" s="99" t="s">
        <v>497</v>
      </c>
      <c r="K1383" s="5" t="s">
        <v>4185</v>
      </c>
      <c r="L1383" t="str">
        <f t="shared" si="22"/>
        <v>nchristenson@umass.edu</v>
      </c>
    </row>
    <row r="1384" spans="1:12">
      <c r="A1384" t="str" cm="1">
        <f t="array" ref="A1384">_xlfn.LET(_xlpm.e,L1384,
IF(_xlpm.e="","",
"DOC-"&amp;TEXT(ROW()-ROW(tblMaster[#Headers]),"00000")
))</f>
        <v>DOC-01383</v>
      </c>
      <c r="B1384" s="49">
        <v>46028</v>
      </c>
      <c r="C1384" s="42" t="s">
        <v>5476</v>
      </c>
      <c r="D1384" s="42" t="s">
        <v>1595</v>
      </c>
      <c r="E1384" s="38" t="s">
        <v>5477</v>
      </c>
      <c r="F1384" s="17"/>
      <c r="G1384" s="42" t="s">
        <v>591</v>
      </c>
      <c r="H1384" s="17" t="s">
        <v>17</v>
      </c>
      <c r="I1384" s="17" t="s">
        <v>112</v>
      </c>
      <c r="J1384" s="99" t="s">
        <v>194</v>
      </c>
      <c r="K1384" s="5" t="s">
        <v>4185</v>
      </c>
      <c r="L1384" t="str">
        <f t="shared" si="22"/>
        <v>walt359@gmail.com</v>
      </c>
    </row>
    <row r="1385" spans="1:12">
      <c r="A1385" t="str" cm="1">
        <f t="array" ref="A1385">_xlfn.LET(_xlpm.e,L1385,
IF(_xlpm.e="","",
"DOC-"&amp;TEXT(ROW()-ROW(tblMaster[#Headers]),"00000")
))</f>
        <v>DOC-01384</v>
      </c>
      <c r="B1385" s="49">
        <v>46028</v>
      </c>
      <c r="C1385" s="42" t="s">
        <v>5478</v>
      </c>
      <c r="D1385" s="42" t="s">
        <v>1925</v>
      </c>
      <c r="E1385" s="38" t="s">
        <v>5479</v>
      </c>
      <c r="F1385" s="17" t="s">
        <v>5480</v>
      </c>
      <c r="G1385" s="42" t="s">
        <v>837</v>
      </c>
      <c r="H1385" s="17" t="s">
        <v>17</v>
      </c>
      <c r="I1385" s="17" t="s">
        <v>112</v>
      </c>
      <c r="J1385" s="99" t="s">
        <v>66</v>
      </c>
      <c r="K1385" s="5" t="s">
        <v>4185</v>
      </c>
      <c r="L1385" t="str">
        <f t="shared" si="22"/>
        <v>shaquillethomas95@gmail.com</v>
      </c>
    </row>
    <row r="1386" spans="1:12">
      <c r="A1386" t="str" cm="1">
        <f t="array" ref="A1386">_xlfn.LET(_xlpm.e,L1386,
IF(_xlpm.e="","",
"DOC-"&amp;TEXT(ROW()-ROW(tblMaster[#Headers]),"00000")
))</f>
        <v>DOC-01385</v>
      </c>
      <c r="B1386" s="49">
        <v>46028</v>
      </c>
      <c r="C1386" s="42" t="s">
        <v>384</v>
      </c>
      <c r="D1386" s="42" t="s">
        <v>385</v>
      </c>
      <c r="E1386" s="38" t="s">
        <v>5481</v>
      </c>
      <c r="F1386" s="17"/>
      <c r="G1386" s="42"/>
      <c r="H1386" s="17"/>
      <c r="I1386" s="18" t="s">
        <v>101</v>
      </c>
      <c r="J1386" s="99" t="s">
        <v>118</v>
      </c>
      <c r="K1386" s="5" t="s">
        <v>4185</v>
      </c>
      <c r="L1386" t="str">
        <f t="shared" si="22"/>
        <v>molegeertilien@gmail.com</v>
      </c>
    </row>
    <row r="1387" spans="1:12">
      <c r="A1387" t="str" cm="1">
        <f t="array" ref="A1387">_xlfn.LET(_xlpm.e,L1387,
IF(_xlpm.e="","",
"DOC-"&amp;TEXT(ROW()-ROW(tblMaster[#Headers]),"00000")
))</f>
        <v>DOC-01386</v>
      </c>
      <c r="B1387" s="49">
        <v>46028</v>
      </c>
      <c r="C1387" s="17" t="s">
        <v>5482</v>
      </c>
      <c r="D1387" s="17" t="s">
        <v>5483</v>
      </c>
      <c r="E1387" s="123" t="s">
        <v>5484</v>
      </c>
      <c r="F1387" s="17" t="s">
        <v>5485</v>
      </c>
      <c r="G1387" s="17" t="s">
        <v>5429</v>
      </c>
      <c r="H1387" s="17" t="s">
        <v>328</v>
      </c>
      <c r="I1387" s="18" t="s">
        <v>101</v>
      </c>
      <c r="J1387" s="99" t="s">
        <v>560</v>
      </c>
      <c r="K1387" s="5" t="s">
        <v>4185</v>
      </c>
      <c r="L1387" t="str">
        <f t="shared" si="22"/>
        <v>jayfgarcia94@gmail.com</v>
      </c>
    </row>
    <row r="1388" spans="1:12">
      <c r="A1388" t="str" cm="1">
        <f t="array" ref="A1388">_xlfn.LET(_xlpm.e,L1388,
IF(_xlpm.e="","",
"DOC-"&amp;TEXT(ROW()-ROW(tblMaster[#Headers]),"00000")
))</f>
        <v>DOC-01387</v>
      </c>
      <c r="B1388" s="49">
        <v>46028</v>
      </c>
      <c r="C1388" s="42" t="s">
        <v>5486</v>
      </c>
      <c r="D1388" s="42" t="s">
        <v>4855</v>
      </c>
      <c r="E1388" s="38" t="s">
        <v>5487</v>
      </c>
      <c r="F1388" s="17" t="s">
        <v>5488</v>
      </c>
      <c r="G1388" s="42" t="s">
        <v>5489</v>
      </c>
      <c r="H1388" s="17" t="s">
        <v>4748</v>
      </c>
      <c r="I1388" s="18" t="s">
        <v>54</v>
      </c>
      <c r="J1388" s="99" t="s">
        <v>23</v>
      </c>
      <c r="K1388" s="5" t="s">
        <v>4185</v>
      </c>
      <c r="L1388" t="str">
        <f t="shared" si="22"/>
        <v>deniseltorresmd@gmail.com</v>
      </c>
    </row>
    <row r="1389" spans="1:12">
      <c r="A1389" t="str" cm="1">
        <f t="array" ref="A1389">_xlfn.LET(_xlpm.e,L1389,
IF(_xlpm.e="","",
"DOC-"&amp;TEXT(ROW()-ROW(tblMaster[#Headers]),"00000")
))</f>
        <v>DOC-01388</v>
      </c>
      <c r="B1389" s="49">
        <v>46028</v>
      </c>
      <c r="C1389" s="42" t="s">
        <v>5057</v>
      </c>
      <c r="D1389" s="42" t="s">
        <v>5490</v>
      </c>
      <c r="E1389" s="38" t="s">
        <v>5491</v>
      </c>
      <c r="F1389" s="17" t="s">
        <v>5492</v>
      </c>
      <c r="G1389" s="42" t="s">
        <v>5493</v>
      </c>
      <c r="H1389" s="17" t="s">
        <v>17</v>
      </c>
      <c r="I1389" s="18" t="s">
        <v>54</v>
      </c>
      <c r="J1389" s="99" t="s">
        <v>66</v>
      </c>
      <c r="K1389" s="5" t="s">
        <v>4185</v>
      </c>
      <c r="L1389" t="str">
        <f t="shared" si="22"/>
        <v>tmtito@gmail.com</v>
      </c>
    </row>
    <row r="1390" spans="1:12">
      <c r="A1390" t="str" cm="1">
        <f t="array" ref="A1390">_xlfn.LET(_xlpm.e,L1390,
IF(_xlpm.e="","",
"DOC-"&amp;TEXT(ROW()-ROW(tblMaster[#Headers]),"00000")
))</f>
        <v>DOC-01389</v>
      </c>
      <c r="B1390" s="49">
        <v>46029</v>
      </c>
      <c r="C1390" s="42" t="s">
        <v>5494</v>
      </c>
      <c r="D1390" s="42" t="s">
        <v>5495</v>
      </c>
      <c r="E1390" s="38" t="s">
        <v>5496</v>
      </c>
      <c r="F1390" s="17" t="s">
        <v>5497</v>
      </c>
      <c r="G1390" s="42" t="s">
        <v>5498</v>
      </c>
      <c r="H1390" s="17" t="s">
        <v>267</v>
      </c>
      <c r="I1390" s="18" t="s">
        <v>54</v>
      </c>
      <c r="J1390" s="99" t="s">
        <v>194</v>
      </c>
      <c r="K1390" s="5" t="s">
        <v>4185</v>
      </c>
      <c r="L1390" t="str">
        <f t="shared" si="22"/>
        <v>owenpapciak771@gmail.com</v>
      </c>
    </row>
    <row r="1391" spans="1:12">
      <c r="A1391" t="str" cm="1">
        <f t="array" ref="A1391">_xlfn.LET(_xlpm.e,L1391,
IF(_xlpm.e="","",
"DOC-"&amp;TEXT(ROW()-ROW(tblMaster[#Headers]),"00000")
))</f>
        <v>DOC-01390</v>
      </c>
      <c r="B1391" s="49">
        <v>46029</v>
      </c>
      <c r="C1391" s="42" t="s">
        <v>5499</v>
      </c>
      <c r="D1391" s="42" t="s">
        <v>5500</v>
      </c>
      <c r="E1391" s="38" t="s">
        <v>5501</v>
      </c>
      <c r="F1391" s="17" t="s">
        <v>5502</v>
      </c>
      <c r="G1391" s="42" t="s">
        <v>257</v>
      </c>
      <c r="H1391" s="17" t="s">
        <v>17</v>
      </c>
      <c r="I1391" s="18" t="s">
        <v>54</v>
      </c>
      <c r="J1391" s="99" t="s">
        <v>497</v>
      </c>
      <c r="K1391" s="5" t="s">
        <v>4185</v>
      </c>
      <c r="L1391" t="str">
        <f t="shared" si="22"/>
        <v>nydeafr@gmail.com</v>
      </c>
    </row>
    <row r="1392" spans="1:12">
      <c r="A1392" t="str" cm="1">
        <f t="array" ref="A1392">_xlfn.LET(_xlpm.e,L1392,
IF(_xlpm.e="","",
"DOC-"&amp;TEXT(ROW()-ROW(tblMaster[#Headers]),"00000")
))</f>
        <v>DOC-01391</v>
      </c>
      <c r="B1392" s="49">
        <v>46029</v>
      </c>
      <c r="C1392" s="42" t="s">
        <v>5503</v>
      </c>
      <c r="D1392" s="42" t="s">
        <v>5504</v>
      </c>
      <c r="E1392" s="38" t="s">
        <v>5505</v>
      </c>
      <c r="F1392" s="17" t="s">
        <v>5506</v>
      </c>
      <c r="G1392" s="42" t="s">
        <v>5075</v>
      </c>
      <c r="H1392" s="17" t="s">
        <v>17</v>
      </c>
      <c r="I1392" s="18" t="s">
        <v>54</v>
      </c>
      <c r="J1392" s="99" t="s">
        <v>66</v>
      </c>
      <c r="K1392" s="5" t="s">
        <v>4185</v>
      </c>
      <c r="L1392" t="str">
        <f t="shared" si="22"/>
        <v>gumenitatjana@yahoo.com</v>
      </c>
    </row>
    <row r="1393" spans="1:12">
      <c r="A1393" t="str" cm="1">
        <f t="array" ref="A1393">_xlfn.LET(_xlpm.e,L1393,
IF(_xlpm.e="","",
"DOC-"&amp;TEXT(ROW()-ROW(tblMaster[#Headers]),"00000")
))</f>
        <v>DOC-01392</v>
      </c>
      <c r="B1393" s="49">
        <v>46029</v>
      </c>
      <c r="C1393" s="42" t="s">
        <v>5507</v>
      </c>
      <c r="D1393" s="42" t="s">
        <v>5507</v>
      </c>
      <c r="E1393" s="38" t="s">
        <v>5508</v>
      </c>
      <c r="F1393" s="17" t="s">
        <v>5509</v>
      </c>
      <c r="G1393" s="42" t="s">
        <v>133</v>
      </c>
      <c r="H1393" s="17" t="s">
        <v>17</v>
      </c>
      <c r="I1393" s="18" t="s">
        <v>54</v>
      </c>
      <c r="J1393" s="99" t="s">
        <v>194</v>
      </c>
      <c r="K1393" s="5" t="s">
        <v>4185</v>
      </c>
      <c r="L1393" t="str">
        <f t="shared" si="22"/>
        <v>asif.khan.bd677@gmail.com</v>
      </c>
    </row>
    <row r="1394" spans="1:12">
      <c r="A1394" t="str" cm="1">
        <f t="array" ref="A1394">_xlfn.LET(_xlpm.e,L1394,
IF(_xlpm.e="","",
"DOC-"&amp;TEXT(ROW()-ROW(tblMaster[#Headers]),"00000")
))</f>
        <v>DOC-01393</v>
      </c>
      <c r="B1394" s="49">
        <v>46029</v>
      </c>
      <c r="C1394" s="42" t="s">
        <v>2875</v>
      </c>
      <c r="D1394" s="42" t="s">
        <v>5510</v>
      </c>
      <c r="E1394" s="38" t="s">
        <v>5511</v>
      </c>
      <c r="F1394" s="17" t="s">
        <v>5512</v>
      </c>
      <c r="G1394" s="42" t="s">
        <v>544</v>
      </c>
      <c r="H1394" s="17" t="s">
        <v>17</v>
      </c>
      <c r="I1394" s="18" t="s">
        <v>54</v>
      </c>
      <c r="J1394" s="99" t="s">
        <v>66</v>
      </c>
      <c r="K1394" s="5" t="s">
        <v>4185</v>
      </c>
      <c r="L1394" t="str">
        <f t="shared" si="22"/>
        <v>jordangates70068@gmail.com</v>
      </c>
    </row>
    <row r="1395" spans="1:12">
      <c r="A1395" t="str" cm="1">
        <f t="array" ref="A1395">_xlfn.LET(_xlpm.e,L1395,
IF(_xlpm.e="","",
"DOC-"&amp;TEXT(ROW()-ROW(tblMaster[#Headers]),"00000")
))</f>
        <v>DOC-01394</v>
      </c>
      <c r="B1395" s="49">
        <v>46029</v>
      </c>
      <c r="C1395" s="42" t="s">
        <v>5513</v>
      </c>
      <c r="D1395" s="42" t="s">
        <v>5514</v>
      </c>
      <c r="E1395" s="38" t="s">
        <v>5515</v>
      </c>
      <c r="F1395" s="17" t="s">
        <v>5516</v>
      </c>
      <c r="G1395" s="42" t="s">
        <v>133</v>
      </c>
      <c r="H1395" s="17" t="s">
        <v>17</v>
      </c>
      <c r="I1395" s="18" t="s">
        <v>54</v>
      </c>
      <c r="J1395" s="99" t="s">
        <v>118</v>
      </c>
      <c r="K1395" s="5" t="s">
        <v>4185</v>
      </c>
      <c r="L1395" t="str">
        <f t="shared" si="22"/>
        <v>yini200@icloud.com</v>
      </c>
    </row>
    <row r="1396" spans="1:12">
      <c r="A1396" t="str" cm="1">
        <f t="array" ref="A1396">_xlfn.LET(_xlpm.e,L1396,
IF(_xlpm.e="","",
"DOC-"&amp;TEXT(ROW()-ROW(tblMaster[#Headers]),"00000")
))</f>
        <v>DOC-01395</v>
      </c>
      <c r="B1396" s="49">
        <v>46029</v>
      </c>
      <c r="C1396" s="17" t="s">
        <v>5517</v>
      </c>
      <c r="D1396" s="17" t="s">
        <v>5518</v>
      </c>
      <c r="E1396" s="123" t="s">
        <v>5519</v>
      </c>
      <c r="F1396" s="17" t="s">
        <v>5520</v>
      </c>
      <c r="G1396" s="17"/>
      <c r="H1396" s="17"/>
      <c r="I1396" s="18" t="s">
        <v>101</v>
      </c>
      <c r="J1396" s="99" t="s">
        <v>560</v>
      </c>
      <c r="K1396" s="5" t="s">
        <v>4185</v>
      </c>
      <c r="L1396" t="str">
        <f t="shared" si="22"/>
        <v>nkemgerard@gmail.com</v>
      </c>
    </row>
    <row r="1397" spans="1:12">
      <c r="A1397" t="str" cm="1">
        <f t="array" ref="A1397">_xlfn.LET(_xlpm.e,L1397,
IF(_xlpm.e="","",
"DOC-"&amp;TEXT(ROW()-ROW(tblMaster[#Headers]),"00000")
))</f>
        <v>DOC-01396</v>
      </c>
      <c r="B1397" s="49">
        <v>46029</v>
      </c>
      <c r="C1397" s="42" t="s">
        <v>1938</v>
      </c>
      <c r="D1397" s="42" t="s">
        <v>5521</v>
      </c>
      <c r="E1397" s="38" t="s">
        <v>5522</v>
      </c>
      <c r="F1397" s="17" t="s">
        <v>5523</v>
      </c>
      <c r="G1397" s="42" t="s">
        <v>5524</v>
      </c>
      <c r="H1397" s="17"/>
      <c r="I1397" s="18" t="s">
        <v>101</v>
      </c>
      <c r="J1397" s="99" t="s">
        <v>23</v>
      </c>
      <c r="K1397" s="5" t="s">
        <v>4185</v>
      </c>
      <c r="L1397" t="str">
        <f t="shared" si="22"/>
        <v>demary420@gmail.com</v>
      </c>
    </row>
    <row r="1398" spans="1:12">
      <c r="A1398" t="str" cm="1">
        <f t="array" ref="A1398">_xlfn.LET(_xlpm.e,L1398,
IF(_xlpm.e="","",
"DOC-"&amp;TEXT(ROW()-ROW(tblMaster[#Headers]),"00000")
))</f>
        <v>DOC-01397</v>
      </c>
      <c r="B1398" s="49">
        <v>46029</v>
      </c>
      <c r="C1398" s="42" t="s">
        <v>5525</v>
      </c>
      <c r="D1398" s="42" t="s">
        <v>2034</v>
      </c>
      <c r="E1398" s="38" t="s">
        <v>5526</v>
      </c>
      <c r="F1398" s="17" t="s">
        <v>5527</v>
      </c>
      <c r="G1398" s="42" t="s">
        <v>782</v>
      </c>
      <c r="H1398" s="17"/>
      <c r="I1398" s="18" t="s">
        <v>101</v>
      </c>
      <c r="J1398" s="99" t="s">
        <v>66</v>
      </c>
      <c r="K1398" s="5" t="s">
        <v>4185</v>
      </c>
      <c r="L1398" t="str">
        <f t="shared" si="22"/>
        <v>tecaterunner@gmail.com</v>
      </c>
    </row>
    <row r="1399" spans="1:12">
      <c r="A1399" t="str" cm="1">
        <f t="array" ref="A1399">_xlfn.LET(_xlpm.e,L1399,
IF(_xlpm.e="","",
"DOC-"&amp;TEXT(ROW()-ROW(tblMaster[#Headers]),"00000")
))</f>
        <v>DOC-01398</v>
      </c>
      <c r="B1399" s="49">
        <v>46029</v>
      </c>
      <c r="C1399" s="42" t="s">
        <v>653</v>
      </c>
      <c r="D1399" s="42" t="s">
        <v>5528</v>
      </c>
      <c r="E1399" s="38" t="s">
        <v>5529</v>
      </c>
      <c r="F1399" s="17" t="s">
        <v>5530</v>
      </c>
      <c r="G1399" s="42" t="s">
        <v>74</v>
      </c>
      <c r="H1399" s="17" t="s">
        <v>17</v>
      </c>
      <c r="I1399" s="18" t="s">
        <v>101</v>
      </c>
      <c r="J1399" s="99" t="s">
        <v>497</v>
      </c>
      <c r="K1399" s="5" t="s">
        <v>4185</v>
      </c>
      <c r="L1399" t="str">
        <f t="shared" si="22"/>
        <v>andy36.as@gmail.com</v>
      </c>
    </row>
    <row r="1400" spans="1:12">
      <c r="A1400" t="str" cm="1">
        <f t="array" ref="A1400">_xlfn.LET(_xlpm.e,L1400,
IF(_xlpm.e="","",
"DOC-"&amp;TEXT(ROW()-ROW(tblMaster[#Headers]),"00000")
))</f>
        <v>DOC-01399</v>
      </c>
      <c r="B1400" s="49">
        <v>46029</v>
      </c>
      <c r="C1400" s="42" t="s">
        <v>5531</v>
      </c>
      <c r="D1400" s="42" t="s">
        <v>1474</v>
      </c>
      <c r="E1400" s="38" t="s">
        <v>5532</v>
      </c>
      <c r="F1400" s="17" t="s">
        <v>5533</v>
      </c>
      <c r="G1400" s="42" t="s">
        <v>544</v>
      </c>
      <c r="H1400" s="17" t="s">
        <v>17</v>
      </c>
      <c r="I1400" s="18" t="s">
        <v>101</v>
      </c>
      <c r="J1400" s="99" t="s">
        <v>194</v>
      </c>
      <c r="K1400" s="5" t="s">
        <v>4185</v>
      </c>
      <c r="L1400" t="str">
        <f t="shared" si="22"/>
        <v>colonkamaris@yahoo.com</v>
      </c>
    </row>
    <row r="1401" spans="1:12">
      <c r="A1401" t="str" cm="1">
        <f t="array" ref="A1401">_xlfn.LET(_xlpm.e,L1401,
IF(_xlpm.e="","",
"DOC-"&amp;TEXT(ROW()-ROW(tblMaster[#Headers]),"00000")
))</f>
        <v>DOC-01400</v>
      </c>
      <c r="B1401" s="49">
        <v>46029</v>
      </c>
      <c r="C1401" s="42" t="s">
        <v>5534</v>
      </c>
      <c r="D1401" s="42" t="s">
        <v>5535</v>
      </c>
      <c r="E1401" s="38" t="s">
        <v>5536</v>
      </c>
      <c r="F1401" s="17" t="s">
        <v>5537</v>
      </c>
      <c r="G1401" s="42" t="s">
        <v>74</v>
      </c>
      <c r="H1401" s="17" t="s">
        <v>17</v>
      </c>
      <c r="I1401" s="18" t="s">
        <v>101</v>
      </c>
      <c r="J1401" s="99" t="s">
        <v>66</v>
      </c>
      <c r="K1401" s="5" t="s">
        <v>4185</v>
      </c>
      <c r="L1401" t="str">
        <f t="shared" si="22"/>
        <v>moisesviana1975@gmail.com</v>
      </c>
    </row>
    <row r="1402" spans="1:12">
      <c r="A1402" t="str" cm="1">
        <f t="array" ref="A1402">_xlfn.LET(_xlpm.e,L1402,
IF(_xlpm.e="","",
"DOC-"&amp;TEXT(ROW()-ROW(tblMaster[#Headers]),"00000")
))</f>
        <v>DOC-01401</v>
      </c>
      <c r="B1402" s="49">
        <v>46030</v>
      </c>
      <c r="C1402" s="42" t="s">
        <v>55</v>
      </c>
      <c r="D1402" s="42" t="s">
        <v>5538</v>
      </c>
      <c r="E1402" s="38" t="s">
        <v>5539</v>
      </c>
      <c r="F1402" s="17" t="s">
        <v>5389</v>
      </c>
      <c r="G1402" s="42" t="s">
        <v>544</v>
      </c>
      <c r="H1402" s="17" t="s">
        <v>17</v>
      </c>
      <c r="I1402" s="18" t="s">
        <v>54</v>
      </c>
      <c r="J1402" s="99" t="s">
        <v>118</v>
      </c>
      <c r="K1402" s="5" t="s">
        <v>4185</v>
      </c>
      <c r="L1402" t="str">
        <f t="shared" si="22"/>
        <v>rico.chinito2025@gmail.com</v>
      </c>
    </row>
    <row r="1403" spans="1:12">
      <c r="A1403" t="str" cm="1">
        <f t="array" ref="A1403">_xlfn.LET(_xlpm.e,L1403,
IF(_xlpm.e="","",
"DOC-"&amp;TEXT(ROW()-ROW(tblMaster[#Headers]),"00000")
))</f>
        <v>DOC-01402</v>
      </c>
      <c r="B1403" s="49">
        <v>46030</v>
      </c>
      <c r="C1403" s="17" t="s">
        <v>5540</v>
      </c>
      <c r="D1403" s="17" t="s">
        <v>5541</v>
      </c>
      <c r="E1403" s="123" t="s">
        <v>5542</v>
      </c>
      <c r="F1403" s="17" t="s">
        <v>5543</v>
      </c>
      <c r="G1403" s="17" t="s">
        <v>5544</v>
      </c>
      <c r="H1403" s="17" t="s">
        <v>5545</v>
      </c>
      <c r="I1403" s="17" t="s">
        <v>2276</v>
      </c>
      <c r="J1403" s="99" t="s">
        <v>560</v>
      </c>
      <c r="K1403" s="5" t="s">
        <v>4185</v>
      </c>
      <c r="L1403" t="str">
        <f t="shared" si="22"/>
        <v>brandonwolf590@gmail.com</v>
      </c>
    </row>
    <row r="1404" spans="1:12">
      <c r="A1404" t="str" cm="1">
        <f t="array" ref="A1404">_xlfn.LET(_xlpm.e,L1404,
IF(_xlpm.e="","",
"DOC-"&amp;TEXT(ROW()-ROW(tblMaster[#Headers]),"00000")
))</f>
        <v>DOC-01403</v>
      </c>
      <c r="B1404" s="48">
        <v>46030.604861111111</v>
      </c>
      <c r="C1404" s="42" t="s">
        <v>3995</v>
      </c>
      <c r="D1404" s="42" t="s">
        <v>3182</v>
      </c>
      <c r="E1404" s="42" t="s">
        <v>5546</v>
      </c>
      <c r="F1404" s="17" t="s">
        <v>3996</v>
      </c>
      <c r="G1404" s="42" t="s">
        <v>52</v>
      </c>
      <c r="H1404" s="17" t="s">
        <v>17</v>
      </c>
      <c r="I1404" s="17" t="s">
        <v>18</v>
      </c>
      <c r="J1404" s="99" t="s">
        <v>194</v>
      </c>
      <c r="K1404" s="5" t="s">
        <v>4185</v>
      </c>
      <c r="L1404" t="str">
        <f t="shared" si="22"/>
        <v>iwill4fam@gmail.com</v>
      </c>
    </row>
    <row r="1405" spans="1:12">
      <c r="A1405" t="str" cm="1">
        <f t="array" ref="A1405">_xlfn.LET(_xlpm.e,L1405,
IF(_xlpm.e="","",
"DOC-"&amp;TEXT(ROW()-ROW(tblMaster[#Headers]),"00000")
))</f>
        <v>DOC-01404</v>
      </c>
      <c r="B1405" s="49">
        <v>45665</v>
      </c>
      <c r="C1405" s="42" t="s">
        <v>5547</v>
      </c>
      <c r="D1405" s="42" t="s">
        <v>5547</v>
      </c>
      <c r="E1405" s="38" t="s">
        <v>5548</v>
      </c>
      <c r="F1405" s="17" t="s">
        <v>5549</v>
      </c>
      <c r="G1405" s="42" t="s">
        <v>5550</v>
      </c>
      <c r="H1405" s="17" t="s">
        <v>17</v>
      </c>
      <c r="I1405" s="18" t="s">
        <v>54</v>
      </c>
      <c r="J1405" s="99" t="s">
        <v>23</v>
      </c>
      <c r="K1405" s="5" t="s">
        <v>4185</v>
      </c>
      <c r="L1405" t="str">
        <f t="shared" si="22"/>
        <v>jdjovin@hotmail.com</v>
      </c>
    </row>
    <row r="1406" spans="1:12">
      <c r="A1406" t="str" cm="1">
        <f t="array" ref="A1406">_xlfn.LET(_xlpm.e,L1406,
IF(_xlpm.e="","",
"DOC-"&amp;TEXT(ROW()-ROW(tblMaster[#Headers]),"00000")
))</f>
        <v>DOC-01405</v>
      </c>
      <c r="B1406" s="49">
        <v>45666</v>
      </c>
      <c r="C1406" s="42" t="s">
        <v>5551</v>
      </c>
      <c r="D1406" s="42" t="s">
        <v>5552</v>
      </c>
      <c r="E1406" s="38" t="s">
        <v>5553</v>
      </c>
      <c r="F1406" s="17" t="s">
        <v>5554</v>
      </c>
      <c r="G1406" s="42" t="s">
        <v>3602</v>
      </c>
      <c r="H1406" s="17" t="s">
        <v>17</v>
      </c>
      <c r="I1406" s="18" t="s">
        <v>54</v>
      </c>
      <c r="J1406" s="99" t="s">
        <v>66</v>
      </c>
      <c r="K1406" s="5" t="s">
        <v>4185</v>
      </c>
      <c r="L1406" t="str">
        <f t="shared" si="22"/>
        <v>jaelynexcellent@gmail.com</v>
      </c>
    </row>
    <row r="1407" spans="1:12">
      <c r="A1407" t="str" cm="1">
        <f t="array" ref="A1407">_xlfn.LET(_xlpm.e,L1407,
IF(_xlpm.e="","",
"DOC-"&amp;TEXT(ROW()-ROW(tblMaster[#Headers]),"00000")
))</f>
        <v>DOC-01406</v>
      </c>
      <c r="B1407" s="49">
        <v>46031</v>
      </c>
      <c r="C1407" s="42" t="s">
        <v>1871</v>
      </c>
      <c r="D1407" s="42" t="s">
        <v>5555</v>
      </c>
      <c r="E1407" s="42" t="s">
        <v>5556</v>
      </c>
      <c r="F1407" s="17" t="s">
        <v>5557</v>
      </c>
      <c r="G1407" s="42" t="s">
        <v>79</v>
      </c>
      <c r="H1407" s="17" t="s">
        <v>17</v>
      </c>
      <c r="I1407" s="17" t="s">
        <v>18</v>
      </c>
      <c r="J1407" s="99" t="s">
        <v>497</v>
      </c>
      <c r="K1407" s="5" t="s">
        <v>4185</v>
      </c>
      <c r="L1407" t="str">
        <f t="shared" si="22"/>
        <v>nicholasnassar367@gmail.com</v>
      </c>
    </row>
    <row r="1408" spans="1:12">
      <c r="A1408" t="str" cm="1">
        <f t="array" ref="A1408">_xlfn.LET(_xlpm.e,L1408,
IF(_xlpm.e="","",
"DOC-"&amp;TEXT(ROW()-ROW(tblMaster[#Headers]),"00000")
))</f>
        <v>DOC-01407</v>
      </c>
      <c r="B1408" s="49">
        <v>46031</v>
      </c>
      <c r="C1408" s="42" t="s">
        <v>5558</v>
      </c>
      <c r="D1408" s="42" t="s">
        <v>5559</v>
      </c>
      <c r="E1408" s="43" t="s">
        <v>5560</v>
      </c>
      <c r="F1408" s="17" t="s">
        <v>5561</v>
      </c>
      <c r="G1408" s="42" t="s">
        <v>3434</v>
      </c>
      <c r="H1408" s="17" t="s">
        <v>5562</v>
      </c>
      <c r="I1408" s="18" t="s">
        <v>193</v>
      </c>
      <c r="J1408" s="99" t="s">
        <v>194</v>
      </c>
      <c r="K1408" s="5" t="s">
        <v>4185</v>
      </c>
      <c r="L1408" t="str">
        <f t="shared" si="22"/>
        <v>tamabang95@yahoo.com</v>
      </c>
    </row>
    <row r="1409" spans="1:12">
      <c r="A1409" t="str" cm="1">
        <f t="array" ref="A1409">_xlfn.LET(_xlpm.e,L1409,
IF(_xlpm.e="","",
"DOC-"&amp;TEXT(ROW()-ROW(tblMaster[#Headers]),"00000")
))</f>
        <v>DOC-01408</v>
      </c>
      <c r="B1409" s="49">
        <v>46034</v>
      </c>
      <c r="C1409" s="42" t="s">
        <v>5563</v>
      </c>
      <c r="D1409" s="42" t="s">
        <v>5564</v>
      </c>
      <c r="E1409" s="42" t="s">
        <v>5565</v>
      </c>
      <c r="F1409" s="17" t="s">
        <v>5566</v>
      </c>
      <c r="G1409" s="42" t="s">
        <v>5012</v>
      </c>
      <c r="H1409" s="17" t="s">
        <v>17</v>
      </c>
      <c r="I1409" s="17" t="s">
        <v>5567</v>
      </c>
      <c r="J1409" s="99" t="s">
        <v>497</v>
      </c>
      <c r="K1409" s="5" t="s">
        <v>4185</v>
      </c>
      <c r="L1409" t="str">
        <f t="shared" si="22"/>
        <v>leo19.jp@gmail.com</v>
      </c>
    </row>
    <row r="1410" spans="1:12">
      <c r="A1410" t="str" cm="1">
        <f t="array" ref="A1410">_xlfn.LET(_xlpm.e,L1410,
IF(_xlpm.e="","",
"DOC-"&amp;TEXT(ROW()-ROW(tblMaster[#Headers]),"00000")
))</f>
        <v>DOC-01409</v>
      </c>
      <c r="B1410" s="49">
        <v>46034</v>
      </c>
      <c r="C1410" s="42" t="s">
        <v>5568</v>
      </c>
      <c r="D1410" s="42" t="s">
        <v>5569</v>
      </c>
      <c r="E1410" s="38" t="s">
        <v>5570</v>
      </c>
      <c r="F1410" s="17" t="s">
        <v>5571</v>
      </c>
      <c r="G1410" s="42" t="s">
        <v>1416</v>
      </c>
      <c r="H1410" s="17" t="s">
        <v>17</v>
      </c>
      <c r="I1410" s="18" t="s">
        <v>54</v>
      </c>
      <c r="J1410" s="99" t="s">
        <v>66</v>
      </c>
      <c r="K1410" s="5" t="s">
        <v>4185</v>
      </c>
      <c r="L1410" t="str">
        <f t="shared" si="22"/>
        <v>branden.sostre@yahoo.com</v>
      </c>
    </row>
    <row r="1411" spans="1:12">
      <c r="A1411" t="str" cm="1">
        <f t="array" ref="A1411">_xlfn.LET(_xlpm.e,L1411,
IF(_xlpm.e="","",
"DOC-"&amp;TEXT(ROW()-ROW(tblMaster[#Headers]),"00000")
))</f>
        <v>DOC-01410</v>
      </c>
      <c r="B1411" s="49">
        <v>46034</v>
      </c>
      <c r="C1411" s="42" t="s">
        <v>5572</v>
      </c>
      <c r="D1411" s="42" t="s">
        <v>5573</v>
      </c>
      <c r="E1411" s="38" t="s">
        <v>5574</v>
      </c>
      <c r="F1411" s="17" t="s">
        <v>5575</v>
      </c>
      <c r="G1411" s="42" t="s">
        <v>276</v>
      </c>
      <c r="H1411" s="17" t="s">
        <v>17</v>
      </c>
      <c r="I1411" s="18" t="s">
        <v>54</v>
      </c>
      <c r="J1411" s="99" t="s">
        <v>118</v>
      </c>
      <c r="K1411" s="5" t="s">
        <v>4185</v>
      </c>
      <c r="L1411" t="str">
        <f t="shared" si="22"/>
        <v>euclidesandradegomes@gmail.com</v>
      </c>
    </row>
    <row r="1412" spans="1:12">
      <c r="A1412" t="str" cm="1">
        <f t="array" ref="A1412">_xlfn.LET(_xlpm.e,L1412,
IF(_xlpm.e="","",
"DOC-"&amp;TEXT(ROW()-ROW(tblMaster[#Headers]),"00000")
))</f>
        <v>DOC-01411</v>
      </c>
      <c r="B1412" s="49">
        <v>46034</v>
      </c>
      <c r="C1412" s="42" t="s">
        <v>5576</v>
      </c>
      <c r="D1412" s="42" t="s">
        <v>5577</v>
      </c>
      <c r="E1412" s="38" t="s">
        <v>5578</v>
      </c>
      <c r="F1412" s="17" t="s">
        <v>5579</v>
      </c>
      <c r="G1412" s="42" t="s">
        <v>5580</v>
      </c>
      <c r="H1412" s="17" t="s">
        <v>17</v>
      </c>
      <c r="I1412" s="18" t="s">
        <v>54</v>
      </c>
      <c r="J1412" s="99" t="s">
        <v>497</v>
      </c>
      <c r="K1412" s="5" t="s">
        <v>4185</v>
      </c>
      <c r="L1412" t="str">
        <f t="shared" si="22"/>
        <v>camcassidy06@gmail.com</v>
      </c>
    </row>
    <row r="1413" spans="1:12">
      <c r="A1413" t="str" cm="1">
        <f t="array" ref="A1413">_xlfn.LET(_xlpm.e,L1413,
IF(_xlpm.e="","",
"DOC-"&amp;TEXT(ROW()-ROW(tblMaster[#Headers]),"00000")
))</f>
        <v>DOC-01412</v>
      </c>
      <c r="B1413" s="49">
        <v>46034</v>
      </c>
      <c r="C1413" s="17" t="s">
        <v>5581</v>
      </c>
      <c r="D1413" s="17" t="s">
        <v>1353</v>
      </c>
      <c r="E1413" s="123" t="s">
        <v>5582</v>
      </c>
      <c r="F1413" s="17" t="s">
        <v>5583</v>
      </c>
      <c r="G1413" s="17" t="s">
        <v>4801</v>
      </c>
      <c r="H1413" s="17" t="s">
        <v>17</v>
      </c>
      <c r="I1413" s="18" t="s">
        <v>54</v>
      </c>
      <c r="J1413" s="99" t="s">
        <v>560</v>
      </c>
      <c r="K1413" s="5" t="s">
        <v>4185</v>
      </c>
      <c r="L1413" t="str">
        <f t="shared" si="22"/>
        <v>metavinylmorgan@gmail.com</v>
      </c>
    </row>
    <row r="1414" spans="1:12">
      <c r="A1414" t="str" cm="1">
        <f t="array" ref="A1414">_xlfn.LET(_xlpm.e,L1414,
IF(_xlpm.e="","",
"DOC-"&amp;TEXT(ROW()-ROW(tblMaster[#Headers]),"00000")
))</f>
        <v>DOC-01413</v>
      </c>
      <c r="B1414" s="49">
        <v>46034</v>
      </c>
      <c r="C1414" s="42" t="s">
        <v>55</v>
      </c>
      <c r="D1414" s="42" t="s">
        <v>5584</v>
      </c>
      <c r="E1414" s="38" t="s">
        <v>5585</v>
      </c>
      <c r="F1414" s="17" t="s">
        <v>5586</v>
      </c>
      <c r="G1414" s="42" t="s">
        <v>1639</v>
      </c>
      <c r="H1414" s="17" t="s">
        <v>17</v>
      </c>
      <c r="I1414" s="18" t="s">
        <v>54</v>
      </c>
      <c r="J1414" s="99" t="s">
        <v>23</v>
      </c>
      <c r="K1414" s="5" t="s">
        <v>4185</v>
      </c>
      <c r="L1414" t="str">
        <f t="shared" ref="L1414:L1477" si="23">_xlfn.LET(_xlpm.x,E1414,
_xlpm.y,TRIM(CLEAN(SUBSTITUTE(_xlpm.x,CHAR(160)," "))),
LOWER(_xlpm.y))</f>
        <v>mikeyrut36@gmail.com</v>
      </c>
    </row>
    <row r="1415" spans="1:12">
      <c r="A1415" t="str" cm="1">
        <f t="array" ref="A1415">_xlfn.LET(_xlpm.e,L1415,
IF(_xlpm.e="","",
"DOC-"&amp;TEXT(ROW()-ROW(tblMaster[#Headers]),"00000")
))</f>
        <v>DOC-01414</v>
      </c>
      <c r="B1415" s="49">
        <v>46034</v>
      </c>
      <c r="C1415" s="42" t="s">
        <v>1152</v>
      </c>
      <c r="D1415" s="42" t="s">
        <v>5587</v>
      </c>
      <c r="E1415" s="38" t="s">
        <v>5588</v>
      </c>
      <c r="F1415" s="17" t="s">
        <v>5589</v>
      </c>
      <c r="G1415" s="42" t="s">
        <v>16</v>
      </c>
      <c r="H1415" s="17" t="s">
        <v>17</v>
      </c>
      <c r="I1415" s="18" t="s">
        <v>54</v>
      </c>
      <c r="J1415" s="99" t="s">
        <v>497</v>
      </c>
      <c r="K1415" s="5" t="s">
        <v>4185</v>
      </c>
      <c r="L1415" t="str">
        <f t="shared" si="23"/>
        <v>hollingworthpaulhunter@gmail.com</v>
      </c>
    </row>
    <row r="1416" spans="1:12">
      <c r="A1416" t="str" cm="1">
        <f t="array" ref="A1416">_xlfn.LET(_xlpm.e,L1416,
IF(_xlpm.e="","",
"DOC-"&amp;TEXT(ROW()-ROW(tblMaster[#Headers]),"00000")
))</f>
        <v>DOC-01415</v>
      </c>
      <c r="B1416" s="49">
        <v>46034</v>
      </c>
      <c r="C1416" s="42" t="s">
        <v>5590</v>
      </c>
      <c r="D1416" s="42" t="s">
        <v>5591</v>
      </c>
      <c r="E1416" s="38" t="s">
        <v>5592</v>
      </c>
      <c r="F1416" s="17" t="s">
        <v>5593</v>
      </c>
      <c r="G1416" s="42" t="s">
        <v>52</v>
      </c>
      <c r="H1416" s="17" t="s">
        <v>17</v>
      </c>
      <c r="I1416" s="18" t="s">
        <v>54</v>
      </c>
      <c r="J1416" s="99" t="s">
        <v>66</v>
      </c>
      <c r="K1416" s="5" t="s">
        <v>4185</v>
      </c>
      <c r="L1416" t="str">
        <f t="shared" si="23"/>
        <v>yairkoenig@gmail.com</v>
      </c>
    </row>
    <row r="1417" spans="1:12">
      <c r="A1417" t="str" cm="1">
        <f t="array" ref="A1417">_xlfn.LET(_xlpm.e,L1417,
IF(_xlpm.e="","",
"DOC-"&amp;TEXT(ROW()-ROW(tblMaster[#Headers]),"00000")
))</f>
        <v>DOC-01416</v>
      </c>
      <c r="B1417" s="49">
        <v>46034</v>
      </c>
      <c r="C1417" s="42" t="s">
        <v>5594</v>
      </c>
      <c r="D1417" s="42" t="s">
        <v>5595</v>
      </c>
      <c r="E1417" s="38" t="s">
        <v>5596</v>
      </c>
      <c r="F1417" s="17" t="s">
        <v>5597</v>
      </c>
      <c r="G1417" s="42" t="s">
        <v>419</v>
      </c>
      <c r="H1417" s="17" t="s">
        <v>17</v>
      </c>
      <c r="I1417" s="18" t="s">
        <v>54</v>
      </c>
      <c r="J1417" s="99" t="s">
        <v>194</v>
      </c>
      <c r="K1417" s="5" t="s">
        <v>4185</v>
      </c>
      <c r="L1417" t="str">
        <f t="shared" si="23"/>
        <v>davis.leisa@yahoo.com</v>
      </c>
    </row>
    <row r="1418" spans="1:12">
      <c r="A1418" t="str" cm="1">
        <f t="array" ref="A1418">_xlfn.LET(_xlpm.e,L1418,
IF(_xlpm.e="","",
"DOC-"&amp;TEXT(ROW()-ROW(tblMaster[#Headers]),"00000")
))</f>
        <v>DOC-01417</v>
      </c>
      <c r="B1418" s="49">
        <v>46034</v>
      </c>
      <c r="C1418" s="42" t="s">
        <v>5598</v>
      </c>
      <c r="D1418" s="42" t="s">
        <v>5599</v>
      </c>
      <c r="E1418" s="38" t="s">
        <v>5600</v>
      </c>
      <c r="F1418" s="17" t="s">
        <v>5601</v>
      </c>
      <c r="G1418" s="42" t="s">
        <v>128</v>
      </c>
      <c r="H1418" s="17" t="s">
        <v>17</v>
      </c>
      <c r="I1418" s="18" t="s">
        <v>54</v>
      </c>
      <c r="J1418" s="99" t="s">
        <v>66</v>
      </c>
      <c r="K1418" s="5" t="s">
        <v>4185</v>
      </c>
      <c r="L1418" t="str">
        <f t="shared" si="23"/>
        <v>achley67@gmail.com</v>
      </c>
    </row>
    <row r="1419" spans="1:12">
      <c r="A1419" t="str" cm="1">
        <f t="array" ref="A1419">_xlfn.LET(_xlpm.e,L1419,
IF(_xlpm.e="","",
"DOC-"&amp;TEXT(ROW()-ROW(tblMaster[#Headers]),"00000")
))</f>
        <v>DOC-01418</v>
      </c>
      <c r="B1419" s="49">
        <v>46034</v>
      </c>
      <c r="C1419" s="42" t="s">
        <v>5602</v>
      </c>
      <c r="D1419" s="42" t="s">
        <v>5603</v>
      </c>
      <c r="E1419" s="38" t="s">
        <v>5604</v>
      </c>
      <c r="F1419" s="17" t="s">
        <v>5605</v>
      </c>
      <c r="G1419" s="42" t="s">
        <v>4335</v>
      </c>
      <c r="H1419" s="17" t="s">
        <v>17</v>
      </c>
      <c r="I1419" s="18" t="s">
        <v>54</v>
      </c>
      <c r="J1419" s="99" t="s">
        <v>118</v>
      </c>
      <c r="K1419" s="5" t="s">
        <v>4185</v>
      </c>
      <c r="L1419" t="str">
        <f t="shared" si="23"/>
        <v>tlounsbury99@gmail.com</v>
      </c>
    </row>
    <row r="1420" spans="1:12">
      <c r="A1420" t="str" cm="1">
        <f t="array" ref="A1420">_xlfn.LET(_xlpm.e,L1420,
IF(_xlpm.e="","",
"DOC-"&amp;TEXT(ROW()-ROW(tblMaster[#Headers]),"00000")
))</f>
        <v>DOC-01419</v>
      </c>
      <c r="B1420" s="49">
        <v>46034</v>
      </c>
      <c r="C1420" s="42" t="s">
        <v>934</v>
      </c>
      <c r="D1420" s="42" t="s">
        <v>5606</v>
      </c>
      <c r="E1420" s="38" t="s">
        <v>5607</v>
      </c>
      <c r="F1420" s="17" t="s">
        <v>5608</v>
      </c>
      <c r="G1420" s="42" t="s">
        <v>59</v>
      </c>
      <c r="H1420" s="17" t="s">
        <v>60</v>
      </c>
      <c r="I1420" s="18" t="s">
        <v>54</v>
      </c>
      <c r="J1420" s="99" t="s">
        <v>66</v>
      </c>
      <c r="K1420" s="5" t="s">
        <v>4185</v>
      </c>
      <c r="L1420" t="str">
        <f t="shared" si="23"/>
        <v>davidtengbeh@gmail.com</v>
      </c>
    </row>
    <row r="1421" spans="1:12">
      <c r="A1421" t="str" cm="1">
        <f t="array" ref="A1421">_xlfn.LET(_xlpm.e,L1421,
IF(_xlpm.e="","",
"DOC-"&amp;TEXT(ROW()-ROW(tblMaster[#Headers]),"00000")
))</f>
        <v>DOC-01420</v>
      </c>
      <c r="B1421" s="49">
        <v>46034</v>
      </c>
      <c r="C1421" s="42" t="s">
        <v>3278</v>
      </c>
      <c r="D1421" s="42" t="s">
        <v>5609</v>
      </c>
      <c r="E1421" s="38" t="s">
        <v>5610</v>
      </c>
      <c r="F1421" s="17" t="s">
        <v>5611</v>
      </c>
      <c r="G1421" s="42" t="s">
        <v>4134</v>
      </c>
      <c r="H1421" s="17" t="s">
        <v>17</v>
      </c>
      <c r="I1421" s="18" t="s">
        <v>54</v>
      </c>
      <c r="J1421" s="99" t="s">
        <v>497</v>
      </c>
      <c r="K1421" s="5" t="s">
        <v>4185</v>
      </c>
      <c r="L1421" t="str">
        <f t="shared" si="23"/>
        <v>bob.macneil08@gmail.com</v>
      </c>
    </row>
    <row r="1422" spans="1:12">
      <c r="A1422" t="str" cm="1">
        <f t="array" ref="A1422">_xlfn.LET(_xlpm.e,L1422,
IF(_xlpm.e="","",
"DOC-"&amp;TEXT(ROW()-ROW(tblMaster[#Headers]),"00000")
))</f>
        <v>DOC-01421</v>
      </c>
      <c r="B1422" s="49">
        <v>46034</v>
      </c>
      <c r="C1422" s="17" t="s">
        <v>5612</v>
      </c>
      <c r="D1422" s="17" t="s">
        <v>5613</v>
      </c>
      <c r="E1422" s="123" t="s">
        <v>5614</v>
      </c>
      <c r="F1422" s="17" t="s">
        <v>5615</v>
      </c>
      <c r="G1422" s="17" t="s">
        <v>257</v>
      </c>
      <c r="H1422" s="17" t="s">
        <v>17</v>
      </c>
      <c r="I1422" s="18" t="s">
        <v>101</v>
      </c>
      <c r="J1422" s="99" t="s">
        <v>560</v>
      </c>
      <c r="K1422" s="5" t="s">
        <v>4185</v>
      </c>
      <c r="L1422" t="str">
        <f t="shared" si="23"/>
        <v>bryan.holguin246@gmail.com</v>
      </c>
    </row>
    <row r="1423" spans="1:12">
      <c r="A1423" t="str" cm="1">
        <f t="array" ref="A1423">_xlfn.LET(_xlpm.e,L1423,
IF(_xlpm.e="","",
"DOC-"&amp;TEXT(ROW()-ROW(tblMaster[#Headers]),"00000")
))</f>
        <v>DOC-01422</v>
      </c>
      <c r="B1423" s="49">
        <v>46034</v>
      </c>
      <c r="C1423" s="42" t="s">
        <v>5616</v>
      </c>
      <c r="D1423" s="42" t="s">
        <v>5617</v>
      </c>
      <c r="E1423" s="38" t="s">
        <v>5618</v>
      </c>
      <c r="F1423" s="17" t="s">
        <v>5619</v>
      </c>
      <c r="G1423" s="42" t="s">
        <v>554</v>
      </c>
      <c r="H1423" s="17" t="s">
        <v>267</v>
      </c>
      <c r="I1423" s="18" t="s">
        <v>101</v>
      </c>
      <c r="J1423" s="99" t="s">
        <v>194</v>
      </c>
      <c r="K1423" s="5" t="s">
        <v>4185</v>
      </c>
      <c r="L1423" t="str">
        <f t="shared" si="23"/>
        <v>quavobrad22@icloud.com</v>
      </c>
    </row>
    <row r="1424" spans="1:12">
      <c r="A1424" t="str" cm="1">
        <f t="array" ref="A1424">_xlfn.LET(_xlpm.e,L1424,
IF(_xlpm.e="","",
"DOC-"&amp;TEXT(ROW()-ROW(tblMaster[#Headers]),"00000")
))</f>
        <v>DOC-01423</v>
      </c>
      <c r="B1424" s="49">
        <v>46034</v>
      </c>
      <c r="C1424" s="42" t="s">
        <v>5620</v>
      </c>
      <c r="D1424" s="42" t="s">
        <v>5621</v>
      </c>
      <c r="E1424" s="38" t="s">
        <v>5622</v>
      </c>
      <c r="F1424" s="17" t="s">
        <v>5623</v>
      </c>
      <c r="G1424" s="42" t="s">
        <v>544</v>
      </c>
      <c r="H1424" s="17" t="s">
        <v>17</v>
      </c>
      <c r="I1424" s="18" t="s">
        <v>101</v>
      </c>
      <c r="J1424" s="99" t="s">
        <v>23</v>
      </c>
      <c r="K1424" s="5" t="s">
        <v>4185</v>
      </c>
      <c r="L1424" t="str">
        <f t="shared" si="23"/>
        <v>estdante25@icloud.com</v>
      </c>
    </row>
    <row r="1425" spans="1:12">
      <c r="A1425" t="str" cm="1">
        <f t="array" ref="A1425">_xlfn.LET(_xlpm.e,L1425,
IF(_xlpm.e="","",
"DOC-"&amp;TEXT(ROW()-ROW(tblMaster[#Headers]),"00000")
))</f>
        <v>DOC-01424</v>
      </c>
      <c r="B1425" s="49">
        <v>46034</v>
      </c>
      <c r="C1425" s="42" t="s">
        <v>5624</v>
      </c>
      <c r="D1425" s="42" t="s">
        <v>5625</v>
      </c>
      <c r="E1425" s="38" t="s">
        <v>5626</v>
      </c>
      <c r="F1425" s="17" t="s">
        <v>5627</v>
      </c>
      <c r="G1425" s="42" t="s">
        <v>1416</v>
      </c>
      <c r="H1425" s="17" t="s">
        <v>17</v>
      </c>
      <c r="I1425" s="18" t="s">
        <v>101</v>
      </c>
      <c r="J1425" s="99" t="s">
        <v>497</v>
      </c>
      <c r="K1425" s="5" t="s">
        <v>4185</v>
      </c>
      <c r="L1425" t="str">
        <f t="shared" si="23"/>
        <v>nathiorellana818@gmail.com</v>
      </c>
    </row>
    <row r="1426" spans="1:12">
      <c r="A1426" t="str" cm="1">
        <f t="array" ref="A1426">_xlfn.LET(_xlpm.e,L1426,
IF(_xlpm.e="","",
"DOC-"&amp;TEXT(ROW()-ROW(tblMaster[#Headers]),"00000")
))</f>
        <v>DOC-01425</v>
      </c>
      <c r="B1426" s="49">
        <v>46034</v>
      </c>
      <c r="C1426" s="42" t="s">
        <v>724</v>
      </c>
      <c r="D1426" s="42" t="s">
        <v>5628</v>
      </c>
      <c r="E1426" s="38" t="s">
        <v>5629</v>
      </c>
      <c r="F1426" s="17" t="s">
        <v>5630</v>
      </c>
      <c r="G1426" s="42" t="s">
        <v>457</v>
      </c>
      <c r="H1426" s="17" t="s">
        <v>17</v>
      </c>
      <c r="I1426" s="18" t="s">
        <v>101</v>
      </c>
      <c r="J1426" s="99" t="s">
        <v>194</v>
      </c>
      <c r="K1426" s="5" t="s">
        <v>4185</v>
      </c>
      <c r="L1426" t="str">
        <f t="shared" si="23"/>
        <v>jomihenn@icloud.com</v>
      </c>
    </row>
    <row r="1427" spans="1:12">
      <c r="A1427" t="str" cm="1">
        <f t="array" ref="A1427">_xlfn.LET(_xlpm.e,L1427,
IF(_xlpm.e="","",
"DOC-"&amp;TEXT(ROW()-ROW(tblMaster[#Headers]),"00000")
))</f>
        <v>DOC-01426</v>
      </c>
      <c r="B1427" s="49">
        <v>46034</v>
      </c>
      <c r="C1427" s="42" t="s">
        <v>5631</v>
      </c>
      <c r="D1427" s="42" t="s">
        <v>5632</v>
      </c>
      <c r="E1427" s="38" t="s">
        <v>5633</v>
      </c>
      <c r="F1427" s="17" t="s">
        <v>5634</v>
      </c>
      <c r="G1427" s="42" t="s">
        <v>5635</v>
      </c>
      <c r="H1427" s="17" t="s">
        <v>4609</v>
      </c>
      <c r="I1427" s="18" t="s">
        <v>101</v>
      </c>
      <c r="J1427" s="99" t="s">
        <v>497</v>
      </c>
      <c r="K1427" s="5" t="s">
        <v>4185</v>
      </c>
      <c r="L1427" t="str">
        <f t="shared" si="23"/>
        <v>brieyanasantana@outlook.com</v>
      </c>
    </row>
    <row r="1428" spans="1:12">
      <c r="A1428" t="str" cm="1">
        <f t="array" ref="A1428">_xlfn.LET(_xlpm.e,L1428,
IF(_xlpm.e="","",
"DOC-"&amp;TEXT(ROW()-ROW(tblMaster[#Headers]),"00000")
))</f>
        <v>DOC-01427</v>
      </c>
      <c r="B1428" s="49">
        <v>46034</v>
      </c>
      <c r="C1428" s="42" t="s">
        <v>5636</v>
      </c>
      <c r="D1428" s="42" t="s">
        <v>5637</v>
      </c>
      <c r="E1428" s="38" t="s">
        <v>5638</v>
      </c>
      <c r="F1428" s="17" t="s">
        <v>5639</v>
      </c>
      <c r="G1428" s="42" t="s">
        <v>257</v>
      </c>
      <c r="H1428" s="17" t="s">
        <v>53</v>
      </c>
      <c r="I1428" s="18" t="s">
        <v>54</v>
      </c>
      <c r="J1428" s="99" t="s">
        <v>66</v>
      </c>
      <c r="K1428" s="5" t="s">
        <v>4185</v>
      </c>
      <c r="L1428" t="str">
        <f t="shared" si="23"/>
        <v>jornunez423@gmail.com</v>
      </c>
    </row>
    <row r="1429" spans="1:12">
      <c r="A1429" t="str" cm="1">
        <f t="array" ref="A1429">_xlfn.LET(_xlpm.e,L1429,
IF(_xlpm.e="","",
"DOC-"&amp;TEXT(ROW()-ROW(tblMaster[#Headers]),"00000")
))</f>
        <v>DOC-01428</v>
      </c>
      <c r="B1429" s="49">
        <v>46035</v>
      </c>
      <c r="C1429" s="42" t="s">
        <v>5640</v>
      </c>
      <c r="D1429" s="42" t="s">
        <v>5641</v>
      </c>
      <c r="E1429" s="38" t="s">
        <v>5642</v>
      </c>
      <c r="F1429" s="17" t="s">
        <v>5643</v>
      </c>
      <c r="G1429" s="42" t="s">
        <v>257</v>
      </c>
      <c r="H1429" s="17" t="s">
        <v>17</v>
      </c>
      <c r="I1429" s="18" t="s">
        <v>54</v>
      </c>
      <c r="J1429" s="99" t="s">
        <v>118</v>
      </c>
      <c r="K1429" s="5" t="s">
        <v>4185</v>
      </c>
      <c r="L1429" t="str">
        <f t="shared" si="23"/>
        <v>mikailapina@gmail.com</v>
      </c>
    </row>
    <row r="1430" spans="1:12">
      <c r="A1430" t="str" cm="1">
        <f t="array" ref="A1430">_xlfn.LET(_xlpm.e,L1430,
IF(_xlpm.e="","",
"DOC-"&amp;TEXT(ROW()-ROW(tblMaster[#Headers]),"00000")
))</f>
        <v>DOC-01429</v>
      </c>
      <c r="B1430" s="49">
        <v>46035</v>
      </c>
      <c r="C1430" s="17" t="s">
        <v>5644</v>
      </c>
      <c r="D1430" s="17" t="s">
        <v>5645</v>
      </c>
      <c r="E1430" s="123" t="s">
        <v>5646</v>
      </c>
      <c r="F1430" s="17" t="s">
        <v>5647</v>
      </c>
      <c r="G1430" s="17" t="s">
        <v>33</v>
      </c>
      <c r="H1430" s="17"/>
      <c r="I1430" s="18" t="s">
        <v>101</v>
      </c>
      <c r="J1430" s="99" t="s">
        <v>560</v>
      </c>
      <c r="K1430" s="5" t="s">
        <v>4185</v>
      </c>
      <c r="L1430" t="str">
        <f t="shared" si="23"/>
        <v>venante9@gmail.com</v>
      </c>
    </row>
    <row r="1431" spans="1:12">
      <c r="A1431" t="str" cm="1">
        <f t="array" ref="A1431">_xlfn.LET(_xlpm.e,L1431,
IF(_xlpm.e="","",
"DOC-"&amp;TEXT(ROW()-ROW(tblMaster[#Headers]),"00000")
))</f>
        <v>DOC-01430</v>
      </c>
      <c r="B1431" s="49">
        <v>46035</v>
      </c>
      <c r="C1431" s="42" t="s">
        <v>924</v>
      </c>
      <c r="D1431" s="42" t="s">
        <v>5648</v>
      </c>
      <c r="E1431" s="38" t="s">
        <v>5649</v>
      </c>
      <c r="F1431" s="17" t="s">
        <v>5650</v>
      </c>
      <c r="G1431" s="42" t="s">
        <v>3087</v>
      </c>
      <c r="H1431" s="17" t="s">
        <v>17</v>
      </c>
      <c r="I1431" s="18" t="s">
        <v>101</v>
      </c>
      <c r="J1431" s="99" t="s">
        <v>23</v>
      </c>
      <c r="K1431" s="5" t="s">
        <v>4185</v>
      </c>
      <c r="L1431" t="str">
        <f t="shared" si="23"/>
        <v>briannalynchrock@icloud.com</v>
      </c>
    </row>
    <row r="1432" spans="1:12">
      <c r="A1432" t="str" cm="1">
        <f t="array" ref="A1432">_xlfn.LET(_xlpm.e,L1432,
IF(_xlpm.e="","",
"DOC-"&amp;TEXT(ROW()-ROW(tblMaster[#Headers]),"00000")
))</f>
        <v>DOC-01431</v>
      </c>
      <c r="B1432" s="49">
        <v>46035</v>
      </c>
      <c r="C1432" s="42" t="s">
        <v>5651</v>
      </c>
      <c r="D1432" s="42" t="s">
        <v>1604</v>
      </c>
      <c r="E1432" s="38" t="s">
        <v>5652</v>
      </c>
      <c r="F1432" s="17" t="s">
        <v>5653</v>
      </c>
      <c r="G1432" s="42" t="s">
        <v>276</v>
      </c>
      <c r="H1432" s="17" t="s">
        <v>17</v>
      </c>
      <c r="I1432" s="18" t="s">
        <v>101</v>
      </c>
      <c r="J1432" s="99" t="s">
        <v>194</v>
      </c>
      <c r="K1432" s="5" t="s">
        <v>4185</v>
      </c>
      <c r="L1432" t="str">
        <f t="shared" si="23"/>
        <v>fharlley.paiva@yahoo.com</v>
      </c>
    </row>
    <row r="1433" spans="1:12">
      <c r="A1433" t="str" cm="1">
        <f t="array" ref="A1433">_xlfn.LET(_xlpm.e,L1433,
IF(_xlpm.e="","",
"DOC-"&amp;TEXT(ROW()-ROW(tblMaster[#Headers]),"00000")
))</f>
        <v>DOC-01432</v>
      </c>
      <c r="B1433" s="49">
        <v>46035</v>
      </c>
      <c r="C1433" s="42" t="s">
        <v>4662</v>
      </c>
      <c r="D1433" s="42" t="s">
        <v>5654</v>
      </c>
      <c r="E1433" s="38" t="s">
        <v>5655</v>
      </c>
      <c r="F1433" s="17" t="s">
        <v>5656</v>
      </c>
      <c r="G1433" s="42"/>
      <c r="H1433" s="17" t="s">
        <v>17</v>
      </c>
      <c r="I1433" s="18" t="s">
        <v>101</v>
      </c>
      <c r="J1433" s="99" t="s">
        <v>66</v>
      </c>
      <c r="K1433" s="5" t="s">
        <v>4185</v>
      </c>
      <c r="L1433" t="str">
        <f t="shared" si="23"/>
        <v>maddiemartinez03@icloud.com</v>
      </c>
    </row>
    <row r="1434" spans="1:12">
      <c r="A1434" t="str" cm="1">
        <f t="array" ref="A1434">_xlfn.LET(_xlpm.e,L1434,
IF(_xlpm.e="","",
"DOC-"&amp;TEXT(ROW()-ROW(tblMaster[#Headers]),"00000")
))</f>
        <v>DOC-01433</v>
      </c>
      <c r="B1434" s="49">
        <v>46035</v>
      </c>
      <c r="C1434" s="42" t="s">
        <v>5657</v>
      </c>
      <c r="D1434" s="42" t="s">
        <v>4945</v>
      </c>
      <c r="E1434" s="71" t="s">
        <v>5658</v>
      </c>
      <c r="F1434" s="17" t="s">
        <v>5659</v>
      </c>
      <c r="G1434" s="42" t="s">
        <v>5660</v>
      </c>
      <c r="H1434" s="17" t="s">
        <v>17</v>
      </c>
      <c r="I1434" s="17" t="s">
        <v>2276</v>
      </c>
      <c r="J1434" s="99" t="s">
        <v>118</v>
      </c>
      <c r="K1434" s="5" t="s">
        <v>4185</v>
      </c>
      <c r="L1434" t="str">
        <f t="shared" si="23"/>
        <v>riconmadison15@gmail.com</v>
      </c>
    </row>
    <row r="1435" spans="1:12">
      <c r="A1435" t="str" cm="1">
        <f t="array" ref="A1435">_xlfn.LET(_xlpm.e,L1435,
IF(_xlpm.e="","",
"DOC-"&amp;TEXT(ROW()-ROW(tblMaster[#Headers]),"00000")
))</f>
        <v>DOC-01434</v>
      </c>
      <c r="B1435" s="49">
        <v>46035</v>
      </c>
      <c r="C1435" s="42" t="s">
        <v>597</v>
      </c>
      <c r="D1435" s="42" t="s">
        <v>5661</v>
      </c>
      <c r="E1435" s="38" t="s">
        <v>5662</v>
      </c>
      <c r="F1435" s="17" t="s">
        <v>5663</v>
      </c>
      <c r="G1435" s="42" t="s">
        <v>5664</v>
      </c>
      <c r="H1435" s="17" t="s">
        <v>5665</v>
      </c>
      <c r="I1435" s="17" t="s">
        <v>2276</v>
      </c>
      <c r="J1435" s="99" t="s">
        <v>497</v>
      </c>
      <c r="K1435" s="5" t="s">
        <v>4185</v>
      </c>
      <c r="L1435" t="str">
        <f t="shared" si="23"/>
        <v>aaroncribb@hotmail.com</v>
      </c>
    </row>
    <row r="1436" spans="1:12">
      <c r="A1436" t="str" cm="1">
        <f t="array" ref="A1436">_xlfn.LET(_xlpm.e,L1436,
IF(_xlpm.e="","",
"DOC-"&amp;TEXT(ROW()-ROW(tblMaster[#Headers]),"00000")
))</f>
        <v>DOC-01435</v>
      </c>
      <c r="B1436" s="49">
        <v>46035</v>
      </c>
      <c r="C1436" s="17" t="s">
        <v>5666</v>
      </c>
      <c r="D1436" s="17" t="s">
        <v>5667</v>
      </c>
      <c r="E1436" s="123" t="s">
        <v>5668</v>
      </c>
      <c r="F1436" s="17" t="s">
        <v>5669</v>
      </c>
      <c r="G1436" s="17" t="s">
        <v>5670</v>
      </c>
      <c r="H1436" s="17" t="s">
        <v>17</v>
      </c>
      <c r="I1436" s="18" t="s">
        <v>54</v>
      </c>
      <c r="J1436" s="99" t="s">
        <v>560</v>
      </c>
      <c r="K1436" s="5" t="s">
        <v>4185</v>
      </c>
      <c r="L1436" t="str">
        <f t="shared" si="23"/>
        <v>parrisheath123@gmail.com</v>
      </c>
    </row>
    <row r="1437" spans="1:12">
      <c r="A1437" t="str" cm="1">
        <f t="array" ref="A1437">_xlfn.LET(_xlpm.e,L1437,
IF(_xlpm.e="","",
"DOC-"&amp;TEXT(ROW()-ROW(tblMaster[#Headers]),"00000")
))</f>
        <v>DOC-01436</v>
      </c>
      <c r="B1437" s="49">
        <v>46035</v>
      </c>
      <c r="C1437" s="42" t="s">
        <v>5671</v>
      </c>
      <c r="D1437" s="42" t="s">
        <v>5672</v>
      </c>
      <c r="E1437" s="38" t="s">
        <v>5673</v>
      </c>
      <c r="F1437" s="17" t="s">
        <v>5674</v>
      </c>
      <c r="G1437" s="42" t="s">
        <v>79</v>
      </c>
      <c r="H1437" s="17" t="s">
        <v>17</v>
      </c>
      <c r="I1437" s="17" t="s">
        <v>112</v>
      </c>
      <c r="J1437" s="99" t="s">
        <v>23</v>
      </c>
      <c r="K1437" s="5" t="s">
        <v>4185</v>
      </c>
      <c r="L1437" t="str">
        <f t="shared" si="23"/>
        <v>valentinebeluchukwu@yahoo.com</v>
      </c>
    </row>
    <row r="1438" spans="1:12">
      <c r="A1438" t="str" cm="1">
        <f t="array" ref="A1438">_xlfn.LET(_xlpm.e,L1438,
IF(_xlpm.e="","",
"DOC-"&amp;TEXT(ROW()-ROW(tblMaster[#Headers]),"00000")
))</f>
        <v>DOC-01437</v>
      </c>
      <c r="B1438" s="49">
        <v>46035</v>
      </c>
      <c r="C1438" s="42" t="s">
        <v>5675</v>
      </c>
      <c r="D1438" s="42" t="s">
        <v>5676</v>
      </c>
      <c r="E1438" s="38" t="s">
        <v>5677</v>
      </c>
      <c r="F1438" s="17" t="s">
        <v>5678</v>
      </c>
      <c r="G1438" s="42" t="s">
        <v>1635</v>
      </c>
      <c r="H1438" s="17" t="s">
        <v>17</v>
      </c>
      <c r="I1438" s="17" t="s">
        <v>5679</v>
      </c>
      <c r="J1438" s="99" t="s">
        <v>194</v>
      </c>
      <c r="K1438" s="5" t="s">
        <v>226</v>
      </c>
      <c r="L1438" t="str">
        <f t="shared" si="23"/>
        <v>bonybls6@gmail.com</v>
      </c>
    </row>
    <row r="1439" spans="1:12">
      <c r="A1439" t="str" cm="1">
        <f t="array" ref="A1439">_xlfn.LET(_xlpm.e,L1439,
IF(_xlpm.e="","",
"DOC-"&amp;TEXT(ROW()-ROW(tblMaster[#Headers]),"00000")
))</f>
        <v>DOC-01438</v>
      </c>
      <c r="B1439" s="49">
        <v>46035</v>
      </c>
      <c r="C1439" s="42" t="s">
        <v>5680</v>
      </c>
      <c r="D1439" s="42" t="s">
        <v>5681</v>
      </c>
      <c r="E1439" s="38" t="s">
        <v>5682</v>
      </c>
      <c r="F1439" s="17" t="s">
        <v>5683</v>
      </c>
      <c r="G1439" s="42" t="s">
        <v>1954</v>
      </c>
      <c r="H1439" s="17" t="s">
        <v>17</v>
      </c>
      <c r="I1439" s="17" t="s">
        <v>112</v>
      </c>
      <c r="J1439" s="99" t="s">
        <v>497</v>
      </c>
      <c r="K1439" s="5" t="s">
        <v>4185</v>
      </c>
      <c r="L1439" t="str">
        <f t="shared" si="23"/>
        <v>ncjcesar.97@gmail.com</v>
      </c>
    </row>
    <row r="1440" spans="1:12">
      <c r="A1440" t="str" cm="1">
        <f t="array" ref="A1440">_xlfn.LET(_xlpm.e,L1440,
IF(_xlpm.e="","",
"DOC-"&amp;TEXT(ROW()-ROW(tblMaster[#Headers]),"00000")
))</f>
        <v>DOC-01439</v>
      </c>
      <c r="B1440" s="49">
        <v>46035</v>
      </c>
      <c r="C1440" s="42" t="s">
        <v>1980</v>
      </c>
      <c r="D1440" s="42" t="s">
        <v>1981</v>
      </c>
      <c r="E1440" s="38" t="s">
        <v>5684</v>
      </c>
      <c r="F1440" s="17" t="s">
        <v>5685</v>
      </c>
      <c r="G1440" s="42" t="s">
        <v>1224</v>
      </c>
      <c r="H1440" s="17" t="s">
        <v>17</v>
      </c>
      <c r="I1440" s="17" t="s">
        <v>5679</v>
      </c>
      <c r="J1440" s="99" t="s">
        <v>194</v>
      </c>
      <c r="K1440" s="5" t="s">
        <v>4185</v>
      </c>
      <c r="L1440" t="str">
        <f t="shared" si="23"/>
        <v>djindajarvis@yahoo.com</v>
      </c>
    </row>
    <row r="1441" spans="1:12">
      <c r="A1441" t="str" cm="1">
        <f t="array" ref="A1441">_xlfn.LET(_xlpm.e,L1441,
IF(_xlpm.e="","",
"DOC-"&amp;TEXT(ROW()-ROW(tblMaster[#Headers]),"00000")
))</f>
        <v>DOC-01440</v>
      </c>
      <c r="B1441" s="49">
        <v>46035</v>
      </c>
      <c r="C1441" s="42" t="s">
        <v>5686</v>
      </c>
      <c r="D1441" s="42" t="s">
        <v>5687</v>
      </c>
      <c r="E1441" s="38" t="s">
        <v>5688</v>
      </c>
      <c r="F1441" s="17" t="s">
        <v>5689</v>
      </c>
      <c r="G1441" s="42" t="s">
        <v>52</v>
      </c>
      <c r="H1441" s="17" t="s">
        <v>17</v>
      </c>
      <c r="I1441" s="17" t="s">
        <v>5679</v>
      </c>
      <c r="J1441" s="99" t="s">
        <v>497</v>
      </c>
      <c r="K1441" s="5" t="s">
        <v>4185</v>
      </c>
      <c r="L1441" t="str">
        <f t="shared" si="23"/>
        <v>jordanedixon83@gmail.com</v>
      </c>
    </row>
    <row r="1442" spans="1:12">
      <c r="A1442" t="str" cm="1">
        <f t="array" ref="A1442">_xlfn.LET(_xlpm.e,L1442,
IF(_xlpm.e="","",
"DOC-"&amp;TEXT(ROW()-ROW(tblMaster[#Headers]),"00000")
))</f>
        <v>DOC-01441</v>
      </c>
      <c r="B1442" s="49">
        <v>46035</v>
      </c>
      <c r="C1442" s="42" t="s">
        <v>5690</v>
      </c>
      <c r="D1442" s="42" t="s">
        <v>1678</v>
      </c>
      <c r="E1442" s="38" t="s">
        <v>5691</v>
      </c>
      <c r="F1442" s="17" t="s">
        <v>5692</v>
      </c>
      <c r="G1442" s="42" t="s">
        <v>117</v>
      </c>
      <c r="H1442" s="17" t="s">
        <v>17</v>
      </c>
      <c r="I1442" s="18" t="s">
        <v>193</v>
      </c>
      <c r="J1442" s="99" t="s">
        <v>194</v>
      </c>
      <c r="K1442" s="5" t="s">
        <v>4185</v>
      </c>
      <c r="L1442" t="str">
        <f t="shared" si="23"/>
        <v>skyler.blake15@gmail.com</v>
      </c>
    </row>
    <row r="1443" spans="1:12">
      <c r="A1443" t="str" cm="1">
        <f t="array" ref="A1443">_xlfn.LET(_xlpm.e,L1443,
IF(_xlpm.e="","",
"DOC-"&amp;TEXT(ROW()-ROW(tblMaster[#Headers]),"00000")
))</f>
        <v>DOC-01442</v>
      </c>
      <c r="B1443" s="49">
        <v>46036</v>
      </c>
      <c r="C1443" s="42" t="s">
        <v>3978</v>
      </c>
      <c r="D1443" s="42" t="s">
        <v>5693</v>
      </c>
      <c r="E1443" s="38" t="s">
        <v>5694</v>
      </c>
      <c r="F1443" s="17" t="s">
        <v>5695</v>
      </c>
      <c r="G1443" s="42" t="s">
        <v>47</v>
      </c>
      <c r="H1443" s="17" t="s">
        <v>17</v>
      </c>
      <c r="I1443" s="17" t="s">
        <v>112</v>
      </c>
      <c r="J1443" s="99" t="s">
        <v>66</v>
      </c>
      <c r="K1443" s="5" t="s">
        <v>4185</v>
      </c>
      <c r="L1443" t="str">
        <f t="shared" si="23"/>
        <v>jasonmercado1117@gmail.com</v>
      </c>
    </row>
    <row r="1444" spans="1:12">
      <c r="A1444" t="str" cm="1">
        <f t="array" ref="A1444">_xlfn.LET(_xlpm.e,L1444,
IF(_xlpm.e="","",
"DOC-"&amp;TEXT(ROW()-ROW(tblMaster[#Headers]),"00000")
))</f>
        <v>DOC-01443</v>
      </c>
      <c r="B1444" s="49">
        <v>46036</v>
      </c>
      <c r="C1444" s="42" t="s">
        <v>5696</v>
      </c>
      <c r="D1444" s="42" t="s">
        <v>5697</v>
      </c>
      <c r="E1444" s="38" t="s">
        <v>5698</v>
      </c>
      <c r="F1444" s="17" t="s">
        <v>5699</v>
      </c>
      <c r="G1444" s="42" t="s">
        <v>5012</v>
      </c>
      <c r="H1444" s="17" t="s">
        <v>17</v>
      </c>
      <c r="I1444" s="18" t="s">
        <v>54</v>
      </c>
      <c r="J1444" s="99" t="s">
        <v>118</v>
      </c>
      <c r="K1444" s="5" t="s">
        <v>4185</v>
      </c>
      <c r="L1444" t="str">
        <f t="shared" si="23"/>
        <v>gabby.exclusive@gmail.com</v>
      </c>
    </row>
    <row r="1445" spans="1:12">
      <c r="A1445" t="str" cm="1">
        <f t="array" ref="A1445">_xlfn.LET(_xlpm.e,L1445,
IF(_xlpm.e="","",
"DOC-"&amp;TEXT(ROW()-ROW(tblMaster[#Headers]),"00000")
))</f>
        <v>DOC-01444</v>
      </c>
      <c r="B1445" s="49">
        <v>46036</v>
      </c>
      <c r="C1445" s="17" t="s">
        <v>5700</v>
      </c>
      <c r="D1445" s="17" t="s">
        <v>5701</v>
      </c>
      <c r="E1445" s="123" t="s">
        <v>5702</v>
      </c>
      <c r="F1445" s="17" t="s">
        <v>5703</v>
      </c>
      <c r="G1445" s="17" t="s">
        <v>979</v>
      </c>
      <c r="H1445" s="17" t="s">
        <v>17</v>
      </c>
      <c r="I1445" s="18" t="s">
        <v>54</v>
      </c>
      <c r="J1445" s="99" t="s">
        <v>560</v>
      </c>
      <c r="K1445" s="5" t="s">
        <v>4185</v>
      </c>
      <c r="L1445" t="str">
        <f t="shared" si="23"/>
        <v>noslenpainting@gmail.com</v>
      </c>
    </row>
    <row r="1446" spans="1:12">
      <c r="A1446" t="str" cm="1">
        <f t="array" ref="A1446">_xlfn.LET(_xlpm.e,L1446,
IF(_xlpm.e="","",
"DOC-"&amp;TEXT(ROW()-ROW(tblMaster[#Headers]),"00000")
))</f>
        <v>DOC-01445</v>
      </c>
      <c r="B1446" s="49">
        <v>46036</v>
      </c>
      <c r="C1446" s="42" t="s">
        <v>5704</v>
      </c>
      <c r="D1446" s="42" t="s">
        <v>5705</v>
      </c>
      <c r="E1446" s="38" t="s">
        <v>5706</v>
      </c>
      <c r="F1446" s="17" t="s">
        <v>5707</v>
      </c>
      <c r="G1446" s="42"/>
      <c r="H1446" s="17"/>
      <c r="I1446" s="18" t="s">
        <v>193</v>
      </c>
      <c r="J1446" s="99" t="s">
        <v>23</v>
      </c>
      <c r="K1446" s="5" t="s">
        <v>4185</v>
      </c>
      <c r="L1446" t="str">
        <f t="shared" si="23"/>
        <v>mamadoufantakourouma@gmail.com</v>
      </c>
    </row>
    <row r="1447" spans="1:12">
      <c r="A1447" t="str" cm="1">
        <f t="array" ref="A1447">_xlfn.LET(_xlpm.e,L1447,
IF(_xlpm.e="","",
"DOC-"&amp;TEXT(ROW()-ROW(tblMaster[#Headers]),"00000")
))</f>
        <v>DOC-01446</v>
      </c>
      <c r="B1447" s="49">
        <v>46036</v>
      </c>
      <c r="C1447" s="42" t="s">
        <v>5708</v>
      </c>
      <c r="D1447" s="42" t="s">
        <v>5709</v>
      </c>
      <c r="E1447" s="38" t="s">
        <v>5710</v>
      </c>
      <c r="F1447" s="17"/>
      <c r="G1447" s="42"/>
      <c r="H1447" s="17"/>
      <c r="I1447" s="18" t="s">
        <v>101</v>
      </c>
      <c r="J1447" s="99" t="s">
        <v>497</v>
      </c>
      <c r="K1447" s="5" t="s">
        <v>4185</v>
      </c>
      <c r="L1447" t="str">
        <f t="shared" si="23"/>
        <v>jeanmedzer92@gmail.com</v>
      </c>
    </row>
    <row r="1448" spans="1:12">
      <c r="A1448" t="str" cm="1">
        <f t="array" ref="A1448">_xlfn.LET(_xlpm.e,L1448,
IF(_xlpm.e="","",
"DOC-"&amp;TEXT(ROW()-ROW(tblMaster[#Headers]),"00000")
))</f>
        <v>DOC-01447</v>
      </c>
      <c r="B1448" s="49">
        <v>46036</v>
      </c>
      <c r="C1448" s="42" t="s">
        <v>55</v>
      </c>
      <c r="D1448" s="42" t="s">
        <v>2658</v>
      </c>
      <c r="E1448" s="38" t="s">
        <v>5711</v>
      </c>
      <c r="F1448" s="17" t="s">
        <v>5712</v>
      </c>
      <c r="G1448" s="42" t="s">
        <v>5713</v>
      </c>
      <c r="H1448" s="17" t="s">
        <v>153</v>
      </c>
      <c r="I1448" s="18" t="s">
        <v>193</v>
      </c>
      <c r="J1448" s="99" t="s">
        <v>66</v>
      </c>
      <c r="K1448" s="5" t="s">
        <v>4185</v>
      </c>
      <c r="L1448" t="str">
        <f t="shared" si="23"/>
        <v>fathermike2005@gmail.com</v>
      </c>
    </row>
    <row r="1449" spans="1:12">
      <c r="A1449" t="str" cm="1">
        <f t="array" ref="A1449">_xlfn.LET(_xlpm.e,L1449,
IF(_xlpm.e="","",
"DOC-"&amp;TEXT(ROW()-ROW(tblMaster[#Headers]),"00000")
))</f>
        <v/>
      </c>
      <c r="B1449" s="49"/>
      <c r="C1449" s="42"/>
      <c r="D1449" s="42"/>
      <c r="E1449" s="38"/>
      <c r="F1449" s="17"/>
      <c r="G1449" s="42"/>
      <c r="H1449" s="17"/>
      <c r="I1449" s="17"/>
      <c r="J1449" s="99" t="s">
        <v>194</v>
      </c>
      <c r="K1449" s="5" t="s">
        <v>4185</v>
      </c>
      <c r="L1449" t="str">
        <f t="shared" si="23"/>
        <v/>
      </c>
    </row>
    <row r="1450" spans="1:12">
      <c r="A1450" t="str" cm="1">
        <f t="array" ref="A1450">_xlfn.LET(_xlpm.e,L1450,
IF(_xlpm.e="","",
"DOC-"&amp;TEXT(ROW()-ROW(tblMaster[#Headers]),"00000")
))</f>
        <v>DOC-01449</v>
      </c>
      <c r="B1450" s="49">
        <v>46036</v>
      </c>
      <c r="C1450" s="42" t="s">
        <v>1281</v>
      </c>
      <c r="D1450" s="42" t="s">
        <v>5714</v>
      </c>
      <c r="E1450" s="38" t="s">
        <v>5715</v>
      </c>
      <c r="F1450" s="17"/>
      <c r="G1450" s="42"/>
      <c r="H1450" s="17"/>
      <c r="I1450" s="17"/>
      <c r="J1450" s="99" t="s">
        <v>66</v>
      </c>
      <c r="K1450" s="5" t="s">
        <v>4185</v>
      </c>
      <c r="L1450" t="str">
        <f t="shared" si="23"/>
        <v>franklinalvarado776@gmail.com</v>
      </c>
    </row>
    <row r="1451" spans="1:12">
      <c r="A1451" t="str" cm="1">
        <f t="array" ref="A1451">_xlfn.LET(_xlpm.e,L1451,
IF(_xlpm.e="","",
"DOC-"&amp;TEXT(ROW()-ROW(tblMaster[#Headers]),"00000")
))</f>
        <v>DOC-01450</v>
      </c>
      <c r="B1451" s="49">
        <v>46036</v>
      </c>
      <c r="C1451" s="17" t="s">
        <v>2819</v>
      </c>
      <c r="D1451" s="17" t="s">
        <v>5716</v>
      </c>
      <c r="E1451" s="123" t="s">
        <v>5717</v>
      </c>
      <c r="F1451" s="17" t="s">
        <v>5718</v>
      </c>
      <c r="G1451" s="17" t="s">
        <v>1361</v>
      </c>
      <c r="H1451" s="17" t="s">
        <v>17</v>
      </c>
      <c r="I1451" s="18" t="s">
        <v>193</v>
      </c>
      <c r="J1451" s="99" t="s">
        <v>560</v>
      </c>
      <c r="K1451" s="5" t="s">
        <v>4185</v>
      </c>
      <c r="L1451" t="str">
        <f t="shared" si="23"/>
        <v>ricklulimachi@gmail.com</v>
      </c>
    </row>
    <row r="1452" spans="1:12">
      <c r="A1452" t="str" cm="1">
        <f t="array" ref="A1452">_xlfn.LET(_xlpm.e,L1452,
IF(_xlpm.e="","",
"DOC-"&amp;TEXT(ROW()-ROW(tblMaster[#Headers]),"00000")
))</f>
        <v>DOC-01451</v>
      </c>
      <c r="B1452" s="49">
        <v>46036</v>
      </c>
      <c r="C1452" s="42" t="s">
        <v>1910</v>
      </c>
      <c r="D1452" s="42" t="s">
        <v>5719</v>
      </c>
      <c r="E1452" s="38" t="s">
        <v>5720</v>
      </c>
      <c r="F1452" s="17"/>
      <c r="G1452" s="42"/>
      <c r="H1452" s="17"/>
      <c r="I1452" s="17" t="s">
        <v>5721</v>
      </c>
      <c r="J1452" s="99" t="s">
        <v>118</v>
      </c>
      <c r="K1452" s="5" t="s">
        <v>4185</v>
      </c>
      <c r="L1452" t="str">
        <f t="shared" si="23"/>
        <v>steevejeanfrancois23@gmail.com</v>
      </c>
    </row>
    <row r="1453" spans="1:12">
      <c r="A1453" t="str" cm="1">
        <f t="array" ref="A1453">_xlfn.LET(_xlpm.e,L1453,
IF(_xlpm.e="","",
"DOC-"&amp;TEXT(ROW()-ROW(tblMaster[#Headers]),"00000")
))</f>
        <v>DOC-01452</v>
      </c>
      <c r="B1453" s="49">
        <v>46036</v>
      </c>
      <c r="C1453" s="42" t="s">
        <v>3026</v>
      </c>
      <c r="D1453" s="42" t="s">
        <v>5722</v>
      </c>
      <c r="E1453" s="38" t="s">
        <v>5723</v>
      </c>
      <c r="F1453" s="17" t="s">
        <v>5724</v>
      </c>
      <c r="G1453" s="42" t="s">
        <v>5725</v>
      </c>
      <c r="H1453" s="17" t="s">
        <v>5726</v>
      </c>
      <c r="I1453" s="17" t="s">
        <v>112</v>
      </c>
      <c r="J1453" s="99" t="s">
        <v>66</v>
      </c>
      <c r="K1453" s="5" t="s">
        <v>4185</v>
      </c>
      <c r="L1453" t="str">
        <f t="shared" si="23"/>
        <v>afranbikele@gmail.com</v>
      </c>
    </row>
    <row r="1454" spans="1:12">
      <c r="A1454" t="str" cm="1">
        <f t="array" ref="A1454">_xlfn.LET(_xlpm.e,L1454,
IF(_xlpm.e="","",
"DOC-"&amp;TEXT(ROW()-ROW(tblMaster[#Headers]),"00000")
))</f>
        <v>DOC-01453</v>
      </c>
      <c r="B1454" s="49">
        <v>46037</v>
      </c>
      <c r="C1454" s="42" t="s">
        <v>5727</v>
      </c>
      <c r="D1454" s="42" t="s">
        <v>4855</v>
      </c>
      <c r="E1454" s="38" t="s">
        <v>5728</v>
      </c>
      <c r="F1454" s="17" t="s">
        <v>5729</v>
      </c>
      <c r="G1454" s="42" t="s">
        <v>3296</v>
      </c>
      <c r="H1454" s="17" t="s">
        <v>17</v>
      </c>
      <c r="I1454" s="18" t="s">
        <v>54</v>
      </c>
      <c r="J1454" s="99" t="s">
        <v>23</v>
      </c>
      <c r="K1454" s="5" t="s">
        <v>4185</v>
      </c>
      <c r="L1454" t="str">
        <f t="shared" si="23"/>
        <v>carolyntorres009@gmail.com</v>
      </c>
    </row>
    <row r="1455" spans="1:12">
      <c r="A1455" t="str" cm="1">
        <f t="array" ref="A1455">_xlfn.LET(_xlpm.e,L1455,
IF(_xlpm.e="","",
"DOC-"&amp;TEXT(ROW()-ROW(tblMaster[#Headers]),"00000")
))</f>
        <v>DOC-01454</v>
      </c>
      <c r="B1455" s="49">
        <v>46037</v>
      </c>
      <c r="C1455" s="42" t="s">
        <v>5730</v>
      </c>
      <c r="D1455" s="42" t="s">
        <v>1409</v>
      </c>
      <c r="E1455" s="38" t="s">
        <v>5731</v>
      </c>
      <c r="F1455" s="17"/>
      <c r="G1455" s="42"/>
      <c r="H1455" s="17"/>
      <c r="I1455" s="18" t="s">
        <v>101</v>
      </c>
      <c r="J1455" s="99" t="s">
        <v>497</v>
      </c>
      <c r="K1455" s="5" t="s">
        <v>4185</v>
      </c>
      <c r="L1455" t="str">
        <f t="shared" si="23"/>
        <v>russellthompsonjr@gmail.com</v>
      </c>
    </row>
    <row r="1456" spans="1:12">
      <c r="A1456" t="str" cm="1">
        <f t="array" ref="A1456">_xlfn.LET(_xlpm.e,L1456,
IF(_xlpm.e="","",
"DOC-"&amp;TEXT(ROW()-ROW(tblMaster[#Headers]),"00000")
))</f>
        <v>DOC-01455</v>
      </c>
      <c r="B1456" s="49">
        <v>46037</v>
      </c>
      <c r="C1456" s="42" t="s">
        <v>5732</v>
      </c>
      <c r="D1456" s="42" t="s">
        <v>5733</v>
      </c>
      <c r="E1456" s="38" t="s">
        <v>5734</v>
      </c>
      <c r="F1456" s="17" t="s">
        <v>5735</v>
      </c>
      <c r="G1456" s="42"/>
      <c r="H1456" s="17"/>
      <c r="I1456" s="18" t="s">
        <v>101</v>
      </c>
      <c r="J1456" s="99" t="s">
        <v>66</v>
      </c>
      <c r="K1456" s="5" t="s">
        <v>4185</v>
      </c>
      <c r="L1456" t="str">
        <f t="shared" si="23"/>
        <v>fragosok@outlook.com</v>
      </c>
    </row>
    <row r="1457" spans="1:12">
      <c r="A1457" t="str" cm="1">
        <f t="array" ref="A1457">_xlfn.LET(_xlpm.e,L1457,
IF(_xlpm.e="","",
"DOC-"&amp;TEXT(ROW()-ROW(tblMaster[#Headers]),"00000")
))</f>
        <v>DOC-01456</v>
      </c>
      <c r="B1457" s="49">
        <v>46037</v>
      </c>
      <c r="C1457" s="42" t="s">
        <v>3795</v>
      </c>
      <c r="D1457" s="42" t="s">
        <v>5736</v>
      </c>
      <c r="E1457" s="38" t="s">
        <v>5737</v>
      </c>
      <c r="F1457" s="17"/>
      <c r="G1457" s="42"/>
      <c r="H1457" s="17"/>
      <c r="I1457" s="17" t="s">
        <v>2276</v>
      </c>
      <c r="J1457" s="99" t="s">
        <v>194</v>
      </c>
      <c r="K1457" s="5" t="s">
        <v>4185</v>
      </c>
      <c r="L1457" t="str">
        <f t="shared" si="23"/>
        <v>menadinedorelus@gmail.com</v>
      </c>
    </row>
    <row r="1458" spans="1:12">
      <c r="A1458" t="str" cm="1">
        <f t="array" ref="A1458">_xlfn.LET(_xlpm.e,L1458,
IF(_xlpm.e="","",
"DOC-"&amp;TEXT(ROW()-ROW(tblMaster[#Headers]),"00000")
))</f>
        <v>DOC-01457</v>
      </c>
      <c r="B1458" s="49">
        <v>46037</v>
      </c>
      <c r="C1458" s="42" t="s">
        <v>5738</v>
      </c>
      <c r="D1458" s="42" t="s">
        <v>5739</v>
      </c>
      <c r="E1458" s="38" t="s">
        <v>5740</v>
      </c>
      <c r="F1458" s="17" t="s">
        <v>5741</v>
      </c>
      <c r="G1458" s="42" t="s">
        <v>59</v>
      </c>
      <c r="H1458" s="17"/>
      <c r="I1458" s="17" t="s">
        <v>2276</v>
      </c>
      <c r="J1458" s="99" t="s">
        <v>66</v>
      </c>
      <c r="K1458" s="5" t="s">
        <v>4185</v>
      </c>
      <c r="L1458" t="str">
        <f t="shared" si="23"/>
        <v>totrue4@gmail.com</v>
      </c>
    </row>
    <row r="1459" spans="1:12">
      <c r="A1459" t="str" cm="1">
        <f t="array" ref="A1459">_xlfn.LET(_xlpm.e,L1459,
IF(_xlpm.e="","",
"DOC-"&amp;TEXT(ROW()-ROW(tblMaster[#Headers]),"00000")
))</f>
        <v>DOC-01458</v>
      </c>
      <c r="B1459" s="49">
        <v>46037</v>
      </c>
      <c r="C1459" s="17" t="s">
        <v>1257</v>
      </c>
      <c r="D1459" s="17" t="s">
        <v>5742</v>
      </c>
      <c r="E1459" s="123" t="s">
        <v>5743</v>
      </c>
      <c r="F1459" s="17" t="s">
        <v>5744</v>
      </c>
      <c r="G1459" s="17"/>
      <c r="H1459" s="17"/>
      <c r="I1459" s="18" t="s">
        <v>101</v>
      </c>
      <c r="J1459" s="99" t="s">
        <v>560</v>
      </c>
      <c r="K1459" s="5" t="s">
        <v>4185</v>
      </c>
      <c r="L1459" t="str">
        <f t="shared" si="23"/>
        <v>alextincan36@gmail.com</v>
      </c>
    </row>
    <row r="1460" spans="1:12">
      <c r="A1460" t="str" cm="1">
        <f t="array" ref="A1460">_xlfn.LET(_xlpm.e,L1460,
IF(_xlpm.e="","",
"DOC-"&amp;TEXT(ROW()-ROW(tblMaster[#Headers]),"00000")
))</f>
        <v>DOC-01459</v>
      </c>
      <c r="B1460" s="49">
        <v>46037</v>
      </c>
      <c r="C1460" s="42" t="s">
        <v>350</v>
      </c>
      <c r="D1460" s="42" t="s">
        <v>536</v>
      </c>
      <c r="E1460" s="38" t="s">
        <v>5745</v>
      </c>
      <c r="F1460" s="17" t="s">
        <v>5746</v>
      </c>
      <c r="G1460" s="42" t="s">
        <v>1084</v>
      </c>
      <c r="H1460" s="17" t="s">
        <v>53</v>
      </c>
      <c r="I1460" s="17" t="s">
        <v>5721</v>
      </c>
      <c r="J1460" s="99" t="s">
        <v>118</v>
      </c>
      <c r="K1460" s="5" t="s">
        <v>4185</v>
      </c>
      <c r="L1460" t="str">
        <f t="shared" si="23"/>
        <v>mrrcarrington@gmail.com</v>
      </c>
    </row>
    <row r="1461" spans="1:12">
      <c r="A1461" t="str" cm="1">
        <f t="array" ref="A1461">_xlfn.LET(_xlpm.e,L1461,
IF(_xlpm.e="","",
"DOC-"&amp;TEXT(ROW()-ROW(tblMaster[#Headers]),"00000")
))</f>
        <v>DOC-01460</v>
      </c>
      <c r="B1461" s="49">
        <v>46037</v>
      </c>
      <c r="C1461" s="42" t="s">
        <v>5747</v>
      </c>
      <c r="D1461" s="42" t="s">
        <v>5748</v>
      </c>
      <c r="E1461" s="38" t="s">
        <v>5749</v>
      </c>
      <c r="F1461" s="17"/>
      <c r="G1461" s="42"/>
      <c r="H1461" s="17"/>
      <c r="I1461" s="18" t="s">
        <v>101</v>
      </c>
      <c r="J1461" s="99" t="s">
        <v>23</v>
      </c>
      <c r="K1461" s="5" t="s">
        <v>4185</v>
      </c>
      <c r="L1461" t="str">
        <f t="shared" si="23"/>
        <v>estebancar@gmail.com</v>
      </c>
    </row>
    <row r="1462" spans="1:12">
      <c r="A1462" t="str" cm="1">
        <f t="array" ref="A1462">_xlfn.LET(_xlpm.e,L1462,
IF(_xlpm.e="","",
"DOC-"&amp;TEXT(ROW()-ROW(tblMaster[#Headers]),"00000")
))</f>
        <v>DOC-01461</v>
      </c>
      <c r="B1462" s="49">
        <v>46037</v>
      </c>
      <c r="C1462" s="42" t="s">
        <v>1307</v>
      </c>
      <c r="D1462" s="42" t="s">
        <v>5750</v>
      </c>
      <c r="E1462" s="38" t="s">
        <v>5751</v>
      </c>
      <c r="F1462" s="17" t="s">
        <v>5752</v>
      </c>
      <c r="G1462" s="42" t="s">
        <v>544</v>
      </c>
      <c r="H1462" s="17" t="s">
        <v>17</v>
      </c>
      <c r="I1462" s="18" t="s">
        <v>54</v>
      </c>
      <c r="J1462" s="99" t="s">
        <v>497</v>
      </c>
      <c r="K1462" s="5" t="s">
        <v>4185</v>
      </c>
      <c r="L1462" t="str">
        <f t="shared" si="23"/>
        <v>ant.christie28@gmail.com</v>
      </c>
    </row>
    <row r="1463" spans="1:12">
      <c r="A1463" t="str" cm="1">
        <f t="array" ref="A1463">_xlfn.LET(_xlpm.e,L1463,
IF(_xlpm.e="","",
"DOC-"&amp;TEXT(ROW()-ROW(tblMaster[#Headers]),"00000")
))</f>
        <v>DOC-01462</v>
      </c>
      <c r="B1463" s="49">
        <v>46038</v>
      </c>
      <c r="C1463" s="42" t="s">
        <v>5753</v>
      </c>
      <c r="D1463" s="42" t="s">
        <v>5165</v>
      </c>
      <c r="E1463" s="38" t="s">
        <v>5754</v>
      </c>
      <c r="F1463" s="17" t="s">
        <v>5755</v>
      </c>
      <c r="G1463" s="42" t="s">
        <v>276</v>
      </c>
      <c r="H1463" s="17" t="s">
        <v>17</v>
      </c>
      <c r="I1463" s="18" t="s">
        <v>54</v>
      </c>
      <c r="J1463" s="99" t="s">
        <v>66</v>
      </c>
      <c r="K1463" s="5" t="s">
        <v>4185</v>
      </c>
      <c r="L1463" t="str">
        <f t="shared" si="23"/>
        <v>moisenoel24@gmail.com</v>
      </c>
    </row>
    <row r="1464" spans="1:12">
      <c r="A1464" t="str" cm="1">
        <f t="array" ref="A1464">_xlfn.LET(_xlpm.e,L1464,
IF(_xlpm.e="","",
"DOC-"&amp;TEXT(ROW()-ROW(tblMaster[#Headers]),"00000")
))</f>
        <v>DOC-01463</v>
      </c>
      <c r="B1464" s="49">
        <v>46038</v>
      </c>
      <c r="C1464" s="42" t="s">
        <v>102</v>
      </c>
      <c r="D1464" s="42" t="s">
        <v>5756</v>
      </c>
      <c r="E1464" s="38" t="s">
        <v>5757</v>
      </c>
      <c r="F1464" s="17" t="s">
        <v>5758</v>
      </c>
      <c r="G1464" s="42" t="s">
        <v>1232</v>
      </c>
      <c r="H1464" s="17" t="s">
        <v>17</v>
      </c>
      <c r="I1464" s="18" t="s">
        <v>54</v>
      </c>
      <c r="J1464" s="99" t="s">
        <v>497</v>
      </c>
      <c r="K1464" s="5" t="s">
        <v>4185</v>
      </c>
      <c r="L1464" t="str">
        <f t="shared" si="23"/>
        <v>morelluis2023@gmail.com</v>
      </c>
    </row>
    <row r="1465" spans="1:12">
      <c r="A1465" t="str" cm="1">
        <f t="array" ref="A1465">_xlfn.LET(_xlpm.e,L1465,
IF(_xlpm.e="","",
"DOC-"&amp;TEXT(ROW()-ROW(tblMaster[#Headers]),"00000")
))</f>
        <v>DOC-01464</v>
      </c>
      <c r="B1465" s="49">
        <v>46038</v>
      </c>
      <c r="C1465" s="42" t="s">
        <v>1903</v>
      </c>
      <c r="D1465" s="42" t="s">
        <v>5759</v>
      </c>
      <c r="E1465" s="38" t="s">
        <v>5760</v>
      </c>
      <c r="F1465" s="17" t="s">
        <v>5761</v>
      </c>
      <c r="G1465" s="42" t="s">
        <v>257</v>
      </c>
      <c r="H1465" s="17" t="s">
        <v>17</v>
      </c>
      <c r="I1465" s="18" t="s">
        <v>101</v>
      </c>
      <c r="J1465" s="99" t="s">
        <v>66</v>
      </c>
      <c r="K1465" s="5" t="s">
        <v>4185</v>
      </c>
      <c r="L1465" t="str">
        <f t="shared" si="23"/>
        <v>ahmedaadan389@gmail.com</v>
      </c>
    </row>
    <row r="1466" spans="1:12">
      <c r="A1466" t="str" cm="1">
        <f t="array" ref="A1466">_xlfn.LET(_xlpm.e,L1466,
IF(_xlpm.e="","",
"DOC-"&amp;TEXT(ROW()-ROW(tblMaster[#Headers]),"00000")
))</f>
        <v>DOC-01465</v>
      </c>
      <c r="B1466" s="49">
        <v>46038</v>
      </c>
      <c r="C1466" s="42" t="s">
        <v>5762</v>
      </c>
      <c r="D1466" s="42" t="s">
        <v>5763</v>
      </c>
      <c r="E1466" s="38" t="s">
        <v>5764</v>
      </c>
      <c r="F1466" s="17" t="s">
        <v>5765</v>
      </c>
      <c r="G1466" s="42" t="s">
        <v>2779</v>
      </c>
      <c r="H1466" s="17" t="s">
        <v>53</v>
      </c>
      <c r="I1466" s="18" t="s">
        <v>54</v>
      </c>
      <c r="J1466" s="99" t="s">
        <v>194</v>
      </c>
      <c r="K1466" s="5" t="s">
        <v>4185</v>
      </c>
      <c r="L1466" t="str">
        <f t="shared" si="23"/>
        <v>kennap76@gmail.com</v>
      </c>
    </row>
    <row r="1467" spans="1:12">
      <c r="A1467" t="str" cm="1">
        <f t="array" ref="A1467">_xlfn.LET(_xlpm.e,L1467,
IF(_xlpm.e="","",
"DOC-"&amp;TEXT(ROW()-ROW(tblMaster[#Headers]),"00000")
))</f>
        <v>DOC-01466</v>
      </c>
      <c r="B1467" s="49">
        <v>46038</v>
      </c>
      <c r="C1467" s="42" t="s">
        <v>4671</v>
      </c>
      <c r="D1467" s="42" t="s">
        <v>5766</v>
      </c>
      <c r="E1467" s="38" t="s">
        <v>5767</v>
      </c>
      <c r="F1467" s="31" t="s">
        <v>5768</v>
      </c>
      <c r="G1467" s="42" t="s">
        <v>3758</v>
      </c>
      <c r="H1467" s="17" t="s">
        <v>53</v>
      </c>
      <c r="I1467" s="18" t="s">
        <v>101</v>
      </c>
      <c r="J1467" s="99" t="s">
        <v>66</v>
      </c>
      <c r="K1467" s="5" t="s">
        <v>4185</v>
      </c>
      <c r="L1467" t="str">
        <f t="shared" si="23"/>
        <v>stephanieperez0613@gmail.com</v>
      </c>
    </row>
    <row r="1468" spans="1:12">
      <c r="A1468" t="str" cm="1">
        <f t="array" ref="A1468">_xlfn.LET(_xlpm.e,L1468,
IF(_xlpm.e="","",
"DOC-"&amp;TEXT(ROW()-ROW(tblMaster[#Headers]),"00000")
))</f>
        <v>DOC-01467</v>
      </c>
      <c r="B1468" s="49">
        <v>46038</v>
      </c>
      <c r="C1468" s="42" t="s">
        <v>5769</v>
      </c>
      <c r="D1468" s="42" t="s">
        <v>5770</v>
      </c>
      <c r="E1468" s="38" t="s">
        <v>5771</v>
      </c>
      <c r="F1468" s="17" t="s">
        <v>5772</v>
      </c>
      <c r="G1468" s="42" t="s">
        <v>5773</v>
      </c>
      <c r="H1468" s="17" t="s">
        <v>17</v>
      </c>
      <c r="I1468" s="18" t="s">
        <v>101</v>
      </c>
      <c r="J1468" s="99" t="s">
        <v>66</v>
      </c>
      <c r="K1468" s="5" t="s">
        <v>4185</v>
      </c>
      <c r="L1468" t="str">
        <f t="shared" si="23"/>
        <v>jonyeo24@gmail.com</v>
      </c>
    </row>
    <row r="1469" spans="1:12">
      <c r="A1469" t="str" cm="1">
        <f t="array" ref="A1469">_xlfn.LET(_xlpm.e,L1469,
IF(_xlpm.e="","",
"DOC-"&amp;TEXT(ROW()-ROW(tblMaster[#Headers]),"00000")
))</f>
        <v>DOC-01468</v>
      </c>
      <c r="B1469" s="49">
        <v>46038</v>
      </c>
      <c r="C1469" s="17" t="s">
        <v>2149</v>
      </c>
      <c r="D1469" s="17" t="s">
        <v>5774</v>
      </c>
      <c r="E1469" s="123" t="s">
        <v>5775</v>
      </c>
      <c r="F1469" s="17"/>
      <c r="G1469" s="17"/>
      <c r="H1469" s="17"/>
      <c r="I1469" s="18" t="s">
        <v>101</v>
      </c>
      <c r="J1469" s="99" t="s">
        <v>560</v>
      </c>
      <c r="K1469" s="5" t="s">
        <v>4185</v>
      </c>
      <c r="L1469" t="str">
        <f t="shared" si="23"/>
        <v>alexisz11903@gmail.com</v>
      </c>
    </row>
    <row r="1470" spans="1:12">
      <c r="A1470" t="str" cm="1">
        <f t="array" ref="A1470">_xlfn.LET(_xlpm.e,L1470,
IF(_xlpm.e="","",
"DOC-"&amp;TEXT(ROW()-ROW(tblMaster[#Headers]),"00000")
))</f>
        <v>DOC-01469</v>
      </c>
      <c r="B1470" s="49">
        <v>46038</v>
      </c>
      <c r="C1470" s="42" t="s">
        <v>5776</v>
      </c>
      <c r="D1470" s="42" t="s">
        <v>5777</v>
      </c>
      <c r="E1470" s="38" t="s">
        <v>5778</v>
      </c>
      <c r="F1470" s="17" t="s">
        <v>5779</v>
      </c>
      <c r="G1470" s="42" t="s">
        <v>257</v>
      </c>
      <c r="H1470" s="17"/>
      <c r="I1470" s="17" t="s">
        <v>2276</v>
      </c>
      <c r="J1470" s="99" t="s">
        <v>118</v>
      </c>
      <c r="K1470" s="5" t="s">
        <v>4185</v>
      </c>
      <c r="L1470" t="str">
        <f t="shared" si="23"/>
        <v>naleighape@gmail.com</v>
      </c>
    </row>
    <row r="1471" spans="1:12">
      <c r="A1471" t="str" cm="1">
        <f t="array" ref="A1471">_xlfn.LET(_xlpm.e,L1471,
IF(_xlpm.e="","",
"DOC-"&amp;TEXT(ROW()-ROW(tblMaster[#Headers]),"00000")
))</f>
        <v>DOC-01470</v>
      </c>
      <c r="B1471" s="49">
        <v>46042</v>
      </c>
      <c r="C1471" s="17" t="s">
        <v>976</v>
      </c>
      <c r="D1471" s="17" t="s">
        <v>5780</v>
      </c>
      <c r="E1471" s="17" t="s">
        <v>5781</v>
      </c>
      <c r="F1471" s="17" t="s">
        <v>5782</v>
      </c>
      <c r="G1471" s="17" t="s">
        <v>295</v>
      </c>
      <c r="H1471" s="17" t="s">
        <v>17</v>
      </c>
      <c r="I1471" s="17" t="s">
        <v>5679</v>
      </c>
      <c r="J1471" s="99" t="s">
        <v>560</v>
      </c>
      <c r="K1471" s="5" t="s">
        <v>4185</v>
      </c>
      <c r="L1471" t="str">
        <f t="shared" si="23"/>
        <v>tgalvin733@gmail.com</v>
      </c>
    </row>
    <row r="1472" spans="1:12">
      <c r="A1472" t="str" cm="1">
        <f t="array" ref="A1472">_xlfn.LET(_xlpm.e,L1472,
IF(_xlpm.e="","",
"DOC-"&amp;TEXT(ROW()-ROW(tblMaster[#Headers]),"00000")
))</f>
        <v>DOC-01471</v>
      </c>
      <c r="B1472" s="49">
        <v>46042</v>
      </c>
      <c r="C1472" s="42" t="s">
        <v>1202</v>
      </c>
      <c r="D1472" s="42" t="s">
        <v>5783</v>
      </c>
      <c r="E1472" s="38" t="s">
        <v>5784</v>
      </c>
      <c r="F1472" s="17" t="s">
        <v>5785</v>
      </c>
      <c r="G1472" s="42" t="s">
        <v>2954</v>
      </c>
      <c r="H1472" s="17" t="s">
        <v>17</v>
      </c>
      <c r="I1472" s="18" t="s">
        <v>54</v>
      </c>
      <c r="J1472" s="99" t="s">
        <v>23</v>
      </c>
      <c r="K1472" s="5" t="s">
        <v>4185</v>
      </c>
      <c r="L1472" t="str">
        <f t="shared" si="23"/>
        <v>bjansen2022@gmail.com</v>
      </c>
    </row>
    <row r="1473" spans="1:12">
      <c r="A1473" t="str" cm="1">
        <f t="array" ref="A1473">_xlfn.LET(_xlpm.e,L1473,
IF(_xlpm.e="","",
"DOC-"&amp;TEXT(ROW()-ROW(tblMaster[#Headers]),"00000")
))</f>
        <v>DOC-01472</v>
      </c>
      <c r="B1473" s="49">
        <v>46042</v>
      </c>
      <c r="C1473" s="42" t="s">
        <v>1790</v>
      </c>
      <c r="D1473" s="42" t="s">
        <v>5786</v>
      </c>
      <c r="E1473" s="38" t="s">
        <v>5787</v>
      </c>
      <c r="F1473" s="17" t="s">
        <v>5788</v>
      </c>
      <c r="G1473" s="42" t="s">
        <v>728</v>
      </c>
      <c r="H1473" s="17" t="s">
        <v>17</v>
      </c>
      <c r="I1473" s="18" t="s">
        <v>54</v>
      </c>
      <c r="J1473" s="99" t="s">
        <v>497</v>
      </c>
      <c r="K1473" s="5" t="s">
        <v>4185</v>
      </c>
      <c r="L1473" t="str">
        <f t="shared" si="23"/>
        <v>pmroberge27@gmail.com</v>
      </c>
    </row>
    <row r="1474" spans="1:12">
      <c r="A1474" t="str" cm="1">
        <f t="array" ref="A1474">_xlfn.LET(_xlpm.e,L1474,
IF(_xlpm.e="","",
"DOC-"&amp;TEXT(ROW()-ROW(tblMaster[#Headers]),"00000")
))</f>
        <v>DOC-01473</v>
      </c>
      <c r="B1474" s="49">
        <v>46042</v>
      </c>
      <c r="C1474" s="42" t="s">
        <v>5789</v>
      </c>
      <c r="D1474" s="42" t="s">
        <v>5790</v>
      </c>
      <c r="E1474" s="38" t="s">
        <v>5791</v>
      </c>
      <c r="F1474" s="17" t="s">
        <v>5792</v>
      </c>
      <c r="G1474" s="42" t="s">
        <v>74</v>
      </c>
      <c r="H1474" s="17" t="s">
        <v>17</v>
      </c>
      <c r="I1474" s="18" t="s">
        <v>54</v>
      </c>
      <c r="J1474" s="99" t="s">
        <v>66</v>
      </c>
      <c r="K1474" s="5" t="s">
        <v>4185</v>
      </c>
      <c r="L1474" t="str">
        <f t="shared" si="23"/>
        <v>mauricioduarte1@hotmail.com</v>
      </c>
    </row>
    <row r="1475" spans="1:12">
      <c r="A1475" t="str" cm="1">
        <f t="array" ref="A1475">_xlfn.LET(_xlpm.e,L1475,
IF(_xlpm.e="","",
"DOC-"&amp;TEXT(ROW()-ROW(tblMaster[#Headers]),"00000")
))</f>
        <v>DOC-01474</v>
      </c>
      <c r="B1475" s="49">
        <v>46042</v>
      </c>
      <c r="C1475" s="42" t="s">
        <v>2682</v>
      </c>
      <c r="D1475" s="42" t="s">
        <v>5793</v>
      </c>
      <c r="E1475" s="38" t="s">
        <v>5794</v>
      </c>
      <c r="F1475" s="17" t="s">
        <v>5795</v>
      </c>
      <c r="G1475" s="42" t="s">
        <v>207</v>
      </c>
      <c r="H1475" s="17" t="s">
        <v>60</v>
      </c>
      <c r="I1475" s="18" t="s">
        <v>54</v>
      </c>
      <c r="J1475" s="99" t="s">
        <v>118</v>
      </c>
      <c r="K1475" s="5" t="s">
        <v>4185</v>
      </c>
      <c r="L1475" t="str">
        <f t="shared" si="23"/>
        <v>marcosf@bu.edu</v>
      </c>
    </row>
    <row r="1476" spans="1:12">
      <c r="A1476" t="str" cm="1">
        <f t="array" ref="A1476">_xlfn.LET(_xlpm.e,L1476,
IF(_xlpm.e="","",
"DOC-"&amp;TEXT(ROW()-ROW(tblMaster[#Headers]),"00000")
))</f>
        <v>DOC-01475</v>
      </c>
      <c r="B1476" s="49">
        <v>46042</v>
      </c>
      <c r="C1476" s="17" t="s">
        <v>5796</v>
      </c>
      <c r="D1476" s="17" t="s">
        <v>5797</v>
      </c>
      <c r="E1476" s="123" t="s">
        <v>5798</v>
      </c>
      <c r="F1476" s="17" t="s">
        <v>5799</v>
      </c>
      <c r="G1476" s="17" t="s">
        <v>5800</v>
      </c>
      <c r="H1476" s="17" t="s">
        <v>17</v>
      </c>
      <c r="I1476" s="18" t="s">
        <v>54</v>
      </c>
      <c r="J1476" s="99" t="s">
        <v>560</v>
      </c>
      <c r="K1476" s="5" t="s">
        <v>4185</v>
      </c>
      <c r="L1476" t="str">
        <f t="shared" si="23"/>
        <v>ryanfcummings93@yahoo.com</v>
      </c>
    </row>
    <row r="1477" spans="1:12">
      <c r="A1477" t="str" cm="1">
        <f t="array" ref="A1477">_xlfn.LET(_xlpm.e,L1477,
IF(_xlpm.e="","",
"DOC-"&amp;TEXT(ROW()-ROW(tblMaster[#Headers]),"00000")
))</f>
        <v>DOC-01476</v>
      </c>
      <c r="B1477" s="49">
        <v>46042</v>
      </c>
      <c r="C1477" s="42" t="s">
        <v>527</v>
      </c>
      <c r="D1477" s="42" t="s">
        <v>5801</v>
      </c>
      <c r="E1477" s="38" t="s">
        <v>5802</v>
      </c>
      <c r="F1477" s="17" t="s">
        <v>5803</v>
      </c>
      <c r="G1477" s="42" t="s">
        <v>5804</v>
      </c>
      <c r="H1477" s="17" t="s">
        <v>60</v>
      </c>
      <c r="I1477" s="18" t="s">
        <v>54</v>
      </c>
      <c r="J1477" s="99" t="s">
        <v>23</v>
      </c>
      <c r="K1477" s="5" t="s">
        <v>4185</v>
      </c>
      <c r="L1477" t="str">
        <f t="shared" si="23"/>
        <v>xxsuberxx18@gmail.com</v>
      </c>
    </row>
    <row r="1478" spans="1:12">
      <c r="A1478" t="str" cm="1">
        <f t="array" ref="A1478">_xlfn.LET(_xlpm.e,L1478,
IF(_xlpm.e="","",
"DOC-"&amp;TEXT(ROW()-ROW(tblMaster[#Headers]),"00000")
))</f>
        <v>DOC-01477</v>
      </c>
      <c r="B1478" s="49">
        <v>46042</v>
      </c>
      <c r="C1478" s="42" t="s">
        <v>75</v>
      </c>
      <c r="D1478" s="42" t="s">
        <v>5805</v>
      </c>
      <c r="E1478" s="38" t="s">
        <v>5806</v>
      </c>
      <c r="F1478" s="17" t="s">
        <v>5807</v>
      </c>
      <c r="G1478" s="42" t="s">
        <v>5808</v>
      </c>
      <c r="H1478" s="17" t="s">
        <v>1156</v>
      </c>
      <c r="I1478" s="18" t="s">
        <v>54</v>
      </c>
      <c r="J1478" s="99" t="s">
        <v>497</v>
      </c>
      <c r="K1478" s="5" t="s">
        <v>4185</v>
      </c>
      <c r="L1478" t="str">
        <f t="shared" ref="L1478:L1528" si="24">_xlfn.LET(_xlpm.x,E1478,
_xlpm.y,TRIM(CLEAN(SUBSTITUTE(_xlpm.x,CHAR(160)," "))),
LOWER(_xlpm.y))</f>
        <v>snooshi2017181920@gmail.com</v>
      </c>
    </row>
    <row r="1479" spans="1:12">
      <c r="A1479" t="str" cm="1">
        <f t="array" ref="A1479">_xlfn.LET(_xlpm.e,L1479,
IF(_xlpm.e="","",
"DOC-"&amp;TEXT(ROW()-ROW(tblMaster[#Headers]),"00000")
))</f>
        <v>DOC-01478</v>
      </c>
      <c r="B1479" s="49">
        <v>46042</v>
      </c>
      <c r="C1479" s="42" t="s">
        <v>5809</v>
      </c>
      <c r="D1479" s="42" t="s">
        <v>204</v>
      </c>
      <c r="E1479" s="38" t="s">
        <v>5810</v>
      </c>
      <c r="F1479" s="17" t="s">
        <v>5811</v>
      </c>
      <c r="G1479" s="42" t="s">
        <v>5812</v>
      </c>
      <c r="H1479" s="17" t="s">
        <v>5813</v>
      </c>
      <c r="I1479" s="18" t="s">
        <v>54</v>
      </c>
      <c r="J1479" s="99" t="s">
        <v>194</v>
      </c>
      <c r="K1479" s="5" t="s">
        <v>4185</v>
      </c>
      <c r="L1479" t="str">
        <f t="shared" si="24"/>
        <v>mediazr1@icloud.com</v>
      </c>
    </row>
    <row r="1480" spans="1:12">
      <c r="A1480" t="str" cm="1">
        <f t="array" ref="A1480">_xlfn.LET(_xlpm.e,L1480,
IF(_xlpm.e="","",
"DOC-"&amp;TEXT(ROW()-ROW(tblMaster[#Headers]),"00000")
))</f>
        <v>DOC-01479</v>
      </c>
      <c r="B1480" s="49">
        <v>46042</v>
      </c>
      <c r="C1480" s="42" t="s">
        <v>1623</v>
      </c>
      <c r="D1480" s="42" t="s">
        <v>5814</v>
      </c>
      <c r="E1480" s="38" t="s">
        <v>5815</v>
      </c>
      <c r="F1480" s="17" t="s">
        <v>5816</v>
      </c>
      <c r="G1480" s="42" t="s">
        <v>2770</v>
      </c>
      <c r="H1480" s="17" t="s">
        <v>17</v>
      </c>
      <c r="I1480" s="18" t="s">
        <v>54</v>
      </c>
      <c r="J1480" s="99" t="s">
        <v>66</v>
      </c>
      <c r="K1480" s="5" t="s">
        <v>4185</v>
      </c>
      <c r="L1480" t="str">
        <f t="shared" si="24"/>
        <v>pizarro.javy17@gmail.com</v>
      </c>
    </row>
    <row r="1481" spans="1:12">
      <c r="A1481" t="str" cm="1">
        <f t="array" ref="A1481">_xlfn.LET(_xlpm.e,L1481,
IF(_xlpm.e="","",
"DOC-"&amp;TEXT(ROW()-ROW(tblMaster[#Headers]),"00000")
))</f>
        <v>DOC-01480</v>
      </c>
      <c r="B1481" s="49">
        <v>46042</v>
      </c>
      <c r="C1481" s="42" t="s">
        <v>1277</v>
      </c>
      <c r="D1481" s="42" t="s">
        <v>5817</v>
      </c>
      <c r="E1481" s="38" t="s">
        <v>5818</v>
      </c>
      <c r="F1481" s="17" t="s">
        <v>5819</v>
      </c>
      <c r="G1481" s="42" t="s">
        <v>5820</v>
      </c>
      <c r="H1481" s="17" t="s">
        <v>17</v>
      </c>
      <c r="I1481" s="18" t="s">
        <v>54</v>
      </c>
      <c r="J1481" s="99" t="s">
        <v>118</v>
      </c>
      <c r="K1481" s="5" t="s">
        <v>4185</v>
      </c>
      <c r="L1481" t="str">
        <f t="shared" si="24"/>
        <v>john_hugo@comcast.net</v>
      </c>
    </row>
    <row r="1482" spans="1:12">
      <c r="A1482" t="str" cm="1">
        <f t="array" ref="A1482">_xlfn.LET(_xlpm.e,L1482,
IF(_xlpm.e="","",
"DOC-"&amp;TEXT(ROW()-ROW(tblMaster[#Headers]),"00000")
))</f>
        <v>DOC-01481</v>
      </c>
      <c r="B1482" s="49">
        <v>46042</v>
      </c>
      <c r="C1482" s="42" t="s">
        <v>5821</v>
      </c>
      <c r="D1482" s="42" t="s">
        <v>1867</v>
      </c>
      <c r="E1482" s="38" t="s">
        <v>5822</v>
      </c>
      <c r="F1482" s="17" t="s">
        <v>5823</v>
      </c>
      <c r="G1482" s="42" t="s">
        <v>33</v>
      </c>
      <c r="H1482" s="17" t="s">
        <v>17</v>
      </c>
      <c r="I1482" s="18" t="s">
        <v>54</v>
      </c>
      <c r="J1482" s="99" t="s">
        <v>66</v>
      </c>
      <c r="K1482" s="5" t="s">
        <v>4185</v>
      </c>
      <c r="L1482" t="str">
        <f t="shared" si="24"/>
        <v>fresnylouis@gmail.com</v>
      </c>
    </row>
    <row r="1483" spans="1:12">
      <c r="A1483" t="str" cm="1">
        <f t="array" ref="A1483">_xlfn.LET(_xlpm.e,L1483,
IF(_xlpm.e="","",
"DOC-"&amp;TEXT(ROW()-ROW(tblMaster[#Headers]),"00000")
))</f>
        <v>DOC-01482</v>
      </c>
      <c r="B1483" s="49">
        <v>46042</v>
      </c>
      <c r="C1483" s="17" t="s">
        <v>5824</v>
      </c>
      <c r="D1483" s="17" t="s">
        <v>5825</v>
      </c>
      <c r="E1483" s="123" t="s">
        <v>5826</v>
      </c>
      <c r="F1483" s="17" t="s">
        <v>5827</v>
      </c>
      <c r="G1483" s="17" t="s">
        <v>5828</v>
      </c>
      <c r="H1483" s="17" t="s">
        <v>17</v>
      </c>
      <c r="I1483" s="18" t="s">
        <v>54</v>
      </c>
      <c r="J1483" s="99" t="s">
        <v>560</v>
      </c>
      <c r="K1483" s="5" t="s">
        <v>4185</v>
      </c>
      <c r="L1483" t="str">
        <f t="shared" si="24"/>
        <v>devantejones135@gmail.com</v>
      </c>
    </row>
    <row r="1484" spans="1:12">
      <c r="A1484" t="str" cm="1">
        <f t="array" ref="A1484">_xlfn.LET(_xlpm.e,L1484,
IF(_xlpm.e="","",
"DOC-"&amp;TEXT(ROW()-ROW(tblMaster[#Headers]),"00000")
))</f>
        <v>DOC-01483</v>
      </c>
      <c r="B1484" s="49">
        <v>46042</v>
      </c>
      <c r="C1484" s="42" t="s">
        <v>5829</v>
      </c>
      <c r="D1484" s="42" t="s">
        <v>5830</v>
      </c>
      <c r="E1484" s="38" t="s">
        <v>5831</v>
      </c>
      <c r="F1484" s="17" t="s">
        <v>5832</v>
      </c>
      <c r="G1484" s="42" t="s">
        <v>544</v>
      </c>
      <c r="H1484" s="17" t="s">
        <v>17</v>
      </c>
      <c r="I1484" s="18" t="s">
        <v>54</v>
      </c>
      <c r="J1484" s="99" t="s">
        <v>23</v>
      </c>
      <c r="K1484" s="5" t="s">
        <v>4185</v>
      </c>
      <c r="L1484" t="str">
        <f t="shared" si="24"/>
        <v>chaile90@icloud.com</v>
      </c>
    </row>
    <row r="1485" spans="1:12">
      <c r="A1485" t="str" cm="1">
        <f t="array" ref="A1485">_xlfn.LET(_xlpm.e,L1485,
IF(_xlpm.e="","",
"DOC-"&amp;TEXT(ROW()-ROW(tblMaster[#Headers]),"00000")
))</f>
        <v>DOC-01484</v>
      </c>
      <c r="B1485" s="49">
        <v>46042</v>
      </c>
      <c r="C1485" s="42" t="s">
        <v>5833</v>
      </c>
      <c r="D1485" s="42" t="s">
        <v>5834</v>
      </c>
      <c r="E1485" s="38" t="s">
        <v>5835</v>
      </c>
      <c r="F1485" s="17" t="s">
        <v>5836</v>
      </c>
      <c r="G1485" s="42" t="s">
        <v>596</v>
      </c>
      <c r="H1485" s="17" t="s">
        <v>17</v>
      </c>
      <c r="I1485" s="18" t="s">
        <v>54</v>
      </c>
      <c r="J1485" s="99" t="s">
        <v>66</v>
      </c>
      <c r="K1485" s="5" t="s">
        <v>4185</v>
      </c>
      <c r="L1485" t="str">
        <f t="shared" si="24"/>
        <v>christlovejosaphat@gmail.com</v>
      </c>
    </row>
    <row r="1486" spans="1:12">
      <c r="A1486" t="str" cm="1">
        <f t="array" ref="A1486">_xlfn.LET(_xlpm.e,L1486,
IF(_xlpm.e="","",
"DOC-"&amp;TEXT(ROW()-ROW(tblMaster[#Headers]),"00000")
))</f>
        <v>DOC-01485</v>
      </c>
      <c r="B1486" s="49">
        <v>46042</v>
      </c>
      <c r="C1486" s="42" t="s">
        <v>5837</v>
      </c>
      <c r="D1486" s="42" t="s">
        <v>5838</v>
      </c>
      <c r="E1486" s="38" t="s">
        <v>5839</v>
      </c>
      <c r="F1486" s="17" t="s">
        <v>5840</v>
      </c>
      <c r="G1486" s="42" t="s">
        <v>2770</v>
      </c>
      <c r="H1486" s="17" t="s">
        <v>17</v>
      </c>
      <c r="I1486" s="18" t="s">
        <v>54</v>
      </c>
      <c r="J1486" s="99" t="s">
        <v>497</v>
      </c>
      <c r="K1486" s="5" t="s">
        <v>4185</v>
      </c>
      <c r="L1486" t="str">
        <f t="shared" si="24"/>
        <v>karlysetterstrom2001@gmail.com</v>
      </c>
    </row>
    <row r="1487" spans="1:12">
      <c r="A1487" t="str" cm="1">
        <f t="array" ref="A1487">_xlfn.LET(_xlpm.e,L1487,
IF(_xlpm.e="","",
"DOC-"&amp;TEXT(ROW()-ROW(tblMaster[#Headers]),"00000")
))</f>
        <v>DOC-01486</v>
      </c>
      <c r="B1487" s="49">
        <v>46042</v>
      </c>
      <c r="C1487" s="42" t="s">
        <v>5841</v>
      </c>
      <c r="D1487" s="42" t="s">
        <v>5842</v>
      </c>
      <c r="E1487" s="38" t="s">
        <v>5843</v>
      </c>
      <c r="F1487" s="17" t="s">
        <v>5844</v>
      </c>
      <c r="G1487" s="42" t="s">
        <v>257</v>
      </c>
      <c r="H1487" s="17" t="s">
        <v>17</v>
      </c>
      <c r="I1487" s="18" t="s">
        <v>54</v>
      </c>
      <c r="J1487" s="99" t="s">
        <v>194</v>
      </c>
      <c r="K1487" s="5" t="s">
        <v>4185</v>
      </c>
      <c r="L1487" t="str">
        <f t="shared" si="24"/>
        <v>talktojeff2003@yahoo.com</v>
      </c>
    </row>
    <row r="1488" spans="1:12">
      <c r="A1488" t="str" cm="1">
        <f t="array" ref="A1488">_xlfn.LET(_xlpm.e,L1488,
IF(_xlpm.e="","",
"DOC-"&amp;TEXT(ROW()-ROW(tblMaster[#Headers]),"00000")
))</f>
        <v>DOC-01487</v>
      </c>
      <c r="B1488" s="49">
        <v>46042</v>
      </c>
      <c r="C1488" s="42" t="s">
        <v>5845</v>
      </c>
      <c r="D1488" s="42" t="s">
        <v>5846</v>
      </c>
      <c r="E1488" s="38" t="s">
        <v>5847</v>
      </c>
      <c r="F1488" s="17" t="s">
        <v>5848</v>
      </c>
      <c r="G1488" s="42" t="s">
        <v>33</v>
      </c>
      <c r="H1488" s="17" t="s">
        <v>17</v>
      </c>
      <c r="I1488" s="18" t="s">
        <v>54</v>
      </c>
      <c r="J1488" s="99" t="s">
        <v>118</v>
      </c>
      <c r="K1488" s="5" t="s">
        <v>4185</v>
      </c>
      <c r="L1488" t="str">
        <f t="shared" si="24"/>
        <v>rosaniac68@gmail.com</v>
      </c>
    </row>
    <row r="1489" spans="1:12">
      <c r="A1489" t="str" cm="1">
        <f t="array" ref="A1489">_xlfn.LET(_xlpm.e,L1489,
IF(_xlpm.e="","",
"DOC-"&amp;TEXT(ROW()-ROW(tblMaster[#Headers]),"00000")
))</f>
        <v>DOC-01488</v>
      </c>
      <c r="B1489" s="49">
        <v>46042</v>
      </c>
      <c r="C1489" s="42" t="s">
        <v>5849</v>
      </c>
      <c r="D1489" s="42" t="s">
        <v>5850</v>
      </c>
      <c r="E1489" s="38" t="s">
        <v>5851</v>
      </c>
      <c r="F1489" s="17" t="s">
        <v>5852</v>
      </c>
      <c r="G1489" s="42" t="s">
        <v>5853</v>
      </c>
      <c r="H1489" s="17" t="s">
        <v>17</v>
      </c>
      <c r="I1489" s="18" t="s">
        <v>54</v>
      </c>
      <c r="J1489" s="99" t="s">
        <v>66</v>
      </c>
      <c r="K1489" s="5" t="s">
        <v>4185</v>
      </c>
      <c r="L1489" t="str">
        <f t="shared" si="24"/>
        <v>calvinking81500@gmail.com</v>
      </c>
    </row>
    <row r="1490" spans="1:12">
      <c r="A1490" t="str" cm="1">
        <f t="array" ref="A1490">_xlfn.LET(_xlpm.e,L1490,
IF(_xlpm.e="","",
"DOC-"&amp;TEXT(ROW()-ROW(tblMaster[#Headers]),"00000")
))</f>
        <v>DOC-01489</v>
      </c>
      <c r="B1490" s="49">
        <v>46042</v>
      </c>
      <c r="C1490" s="42" t="s">
        <v>5854</v>
      </c>
      <c r="D1490" s="42" t="s">
        <v>5855</v>
      </c>
      <c r="E1490" s="38" t="s">
        <v>5856</v>
      </c>
      <c r="F1490" s="17" t="s">
        <v>5857</v>
      </c>
      <c r="G1490" s="42" t="s">
        <v>2476</v>
      </c>
      <c r="H1490" s="17" t="s">
        <v>17</v>
      </c>
      <c r="I1490" s="18" t="s">
        <v>54</v>
      </c>
      <c r="J1490" s="99" t="s">
        <v>66</v>
      </c>
      <c r="K1490" s="5" t="s">
        <v>4185</v>
      </c>
      <c r="L1490" t="str">
        <f t="shared" si="24"/>
        <v>yarib19991999@gmail.com</v>
      </c>
    </row>
    <row r="1491" spans="1:12">
      <c r="A1491" t="str" cm="1">
        <f t="array" ref="A1491">_xlfn.LET(_xlpm.e,L1491,
IF(_xlpm.e="","",
"DOC-"&amp;TEXT(ROW()-ROW(tblMaster[#Headers]),"00000")
))</f>
        <v>DOC-01490</v>
      </c>
      <c r="B1491" s="49">
        <v>46042</v>
      </c>
      <c r="C1491" s="42" t="s">
        <v>2393</v>
      </c>
      <c r="D1491" s="42" t="s">
        <v>5858</v>
      </c>
      <c r="E1491" s="38" t="s">
        <v>5859</v>
      </c>
      <c r="F1491" s="17" t="s">
        <v>5860</v>
      </c>
      <c r="G1491" s="42"/>
      <c r="H1491" s="17"/>
      <c r="I1491" s="17" t="s">
        <v>2276</v>
      </c>
      <c r="J1491" s="99" t="s">
        <v>66</v>
      </c>
      <c r="K1491" s="5" t="s">
        <v>4185</v>
      </c>
      <c r="L1491" t="str">
        <f t="shared" si="24"/>
        <v>logandream29@yahoo.com</v>
      </c>
    </row>
    <row r="1492" spans="1:12">
      <c r="A1492" t="str" cm="1">
        <f t="array" ref="A1492">_xlfn.LET(_xlpm.e,L1492,
IF(_xlpm.e="","",
"DOC-"&amp;TEXT(ROW()-ROW(tblMaster[#Headers]),"00000")
))</f>
        <v>DOC-01491</v>
      </c>
      <c r="B1492" s="49">
        <v>46042</v>
      </c>
      <c r="C1492" s="17" t="s">
        <v>5861</v>
      </c>
      <c r="D1492" s="17" t="s">
        <v>5862</v>
      </c>
      <c r="E1492" s="123" t="s">
        <v>5863</v>
      </c>
      <c r="F1492" s="17" t="s">
        <v>5864</v>
      </c>
      <c r="G1492" s="17" t="s">
        <v>3262</v>
      </c>
      <c r="H1492" s="17" t="s">
        <v>17</v>
      </c>
      <c r="I1492" s="18" t="s">
        <v>101</v>
      </c>
      <c r="J1492" s="99" t="s">
        <v>560</v>
      </c>
      <c r="K1492" s="5" t="s">
        <v>4185</v>
      </c>
      <c r="L1492" t="str">
        <f t="shared" si="24"/>
        <v>woodsjashawn@yahoo.com</v>
      </c>
    </row>
    <row r="1493" spans="1:12">
      <c r="A1493" t="str" cm="1">
        <f t="array" ref="A1493">_xlfn.LET(_xlpm.e,L1493,
IF(_xlpm.e="","",
"DOC-"&amp;TEXT(ROW()-ROW(tblMaster[#Headers]),"00000")
))</f>
        <v>DOC-01492</v>
      </c>
      <c r="B1493" s="49">
        <v>46042</v>
      </c>
      <c r="C1493" s="42" t="s">
        <v>113</v>
      </c>
      <c r="D1493" s="42" t="s">
        <v>5865</v>
      </c>
      <c r="E1493" s="38" t="s">
        <v>5866</v>
      </c>
      <c r="F1493" s="17" t="s">
        <v>5867</v>
      </c>
      <c r="G1493" s="42" t="s">
        <v>5868</v>
      </c>
      <c r="H1493" s="17" t="s">
        <v>17</v>
      </c>
      <c r="I1493" s="18" t="s">
        <v>101</v>
      </c>
      <c r="J1493" s="99" t="s">
        <v>23</v>
      </c>
      <c r="K1493" s="5" t="s">
        <v>4185</v>
      </c>
      <c r="L1493" t="str">
        <f t="shared" si="24"/>
        <v>brandon.pike32118@icloud.com</v>
      </c>
    </row>
    <row r="1494" spans="1:12">
      <c r="A1494" t="str" cm="1">
        <f t="array" ref="A1494">_xlfn.LET(_xlpm.e,L1494,
IF(_xlpm.e="","",
"DOC-"&amp;TEXT(ROW()-ROW(tblMaster[#Headers]),"00000")
))</f>
        <v>DOC-01493</v>
      </c>
      <c r="B1494" s="49">
        <v>46042</v>
      </c>
      <c r="C1494" s="42" t="s">
        <v>286</v>
      </c>
      <c r="D1494" s="42" t="s">
        <v>5869</v>
      </c>
      <c r="E1494" s="38" t="s">
        <v>5870</v>
      </c>
      <c r="F1494" s="17" t="s">
        <v>5871</v>
      </c>
      <c r="G1494" s="42" t="s">
        <v>47</v>
      </c>
      <c r="H1494" s="17" t="s">
        <v>17</v>
      </c>
      <c r="I1494" s="18" t="s">
        <v>101</v>
      </c>
      <c r="J1494" s="99" t="s">
        <v>497</v>
      </c>
      <c r="K1494" s="5" t="s">
        <v>4185</v>
      </c>
      <c r="L1494" t="str">
        <f t="shared" si="24"/>
        <v>elprofeta742@gmail.com</v>
      </c>
    </row>
    <row r="1495" spans="1:12">
      <c r="A1495" t="str" cm="1">
        <f t="array" ref="A1495">_xlfn.LET(_xlpm.e,L1495,
IF(_xlpm.e="","",
"DOC-"&amp;TEXT(ROW()-ROW(tblMaster[#Headers]),"00000")
))</f>
        <v>DOC-01494</v>
      </c>
      <c r="B1495" s="49">
        <v>46042</v>
      </c>
      <c r="C1495" s="42" t="s">
        <v>75</v>
      </c>
      <c r="D1495" s="42" t="s">
        <v>5872</v>
      </c>
      <c r="E1495" s="38" t="s">
        <v>5873</v>
      </c>
      <c r="F1495" s="17"/>
      <c r="G1495" s="42" t="s">
        <v>5874</v>
      </c>
      <c r="H1495" s="17" t="s">
        <v>1156</v>
      </c>
      <c r="I1495" s="17"/>
      <c r="J1495" s="99" t="s">
        <v>497</v>
      </c>
      <c r="K1495" s="5" t="s">
        <v>4185</v>
      </c>
      <c r="L1495" t="str">
        <f t="shared" si="24"/>
        <v>snooshi2017181920@gmail.com</v>
      </c>
    </row>
    <row r="1496" spans="1:12">
      <c r="A1496" t="str" cm="1">
        <f t="array" ref="A1496">_xlfn.LET(_xlpm.e,L1496,
IF(_xlpm.e="","",
"DOC-"&amp;TEXT(ROW()-ROW(tblMaster[#Headers]),"00000")
))</f>
        <v>DOC-01495</v>
      </c>
      <c r="B1496" s="49">
        <v>46042</v>
      </c>
      <c r="C1496" s="42" t="s">
        <v>5875</v>
      </c>
      <c r="D1496" s="42" t="s">
        <v>5876</v>
      </c>
      <c r="E1496" s="38" t="s">
        <v>5877</v>
      </c>
      <c r="F1496" s="17" t="s">
        <v>5878</v>
      </c>
      <c r="G1496" s="42" t="s">
        <v>147</v>
      </c>
      <c r="H1496" s="17" t="s">
        <v>17</v>
      </c>
      <c r="I1496" s="18" t="s">
        <v>54</v>
      </c>
      <c r="J1496" s="99" t="s">
        <v>194</v>
      </c>
      <c r="K1496" s="5" t="s">
        <v>4185</v>
      </c>
      <c r="L1496" t="str">
        <f t="shared" si="24"/>
        <v>christianhaddock4@gmail.com</v>
      </c>
    </row>
    <row r="1497" spans="1:12">
      <c r="A1497" t="str" cm="1">
        <f t="array" ref="A1497">_xlfn.LET(_xlpm.e,L1497,
IF(_xlpm.e="","",
"DOC-"&amp;TEXT(ROW()-ROW(tblMaster[#Headers]),"00000")
))</f>
        <v>DOC-01496</v>
      </c>
      <c r="B1497" s="49">
        <v>46042</v>
      </c>
      <c r="C1497" s="42" t="s">
        <v>2023</v>
      </c>
      <c r="D1497" s="42" t="s">
        <v>1690</v>
      </c>
      <c r="E1497" s="38" t="s">
        <v>5879</v>
      </c>
      <c r="F1497" s="17" t="s">
        <v>5880</v>
      </c>
      <c r="G1497" s="42" t="s">
        <v>3095</v>
      </c>
      <c r="H1497" s="17" t="s">
        <v>53</v>
      </c>
      <c r="I1497" s="17" t="s">
        <v>2276</v>
      </c>
      <c r="J1497" s="99" t="s">
        <v>66</v>
      </c>
      <c r="K1497" s="5" t="s">
        <v>4185</v>
      </c>
      <c r="L1497" t="str">
        <f t="shared" si="24"/>
        <v>sammiejo32789@aol.com</v>
      </c>
    </row>
    <row r="1498" spans="1:12">
      <c r="A1498" t="str" cm="1">
        <f t="array" ref="A1498">_xlfn.LET(_xlpm.e,L1498,
IF(_xlpm.e="","",
"DOC-"&amp;TEXT(ROW()-ROW(tblMaster[#Headers]),"00000")
))</f>
        <v>DOC-01497</v>
      </c>
      <c r="B1498" s="49">
        <v>46042</v>
      </c>
      <c r="C1498" s="42" t="s">
        <v>2116</v>
      </c>
      <c r="D1498" s="42" t="s">
        <v>5881</v>
      </c>
      <c r="E1498" s="38" t="s">
        <v>5882</v>
      </c>
      <c r="F1498" s="17"/>
      <c r="G1498" s="42" t="s">
        <v>5883</v>
      </c>
      <c r="H1498" s="17" t="s">
        <v>153</v>
      </c>
      <c r="I1498" s="17" t="s">
        <v>2276</v>
      </c>
      <c r="J1498" s="99" t="s">
        <v>118</v>
      </c>
      <c r="K1498" s="5" t="s">
        <v>4185</v>
      </c>
      <c r="L1498" t="str">
        <f t="shared" si="24"/>
        <v>seangrover34@gmail.com</v>
      </c>
    </row>
    <row r="1499" spans="1:12">
      <c r="A1499" t="str" cm="1">
        <f t="array" ref="A1499">_xlfn.LET(_xlpm.e,L1499,
IF(_xlpm.e="","",
"DOC-"&amp;TEXT(ROW()-ROW(tblMaster[#Headers]),"00000")
))</f>
        <v>DOC-01498</v>
      </c>
      <c r="B1499" s="49">
        <v>46042</v>
      </c>
      <c r="C1499" s="17" t="s">
        <v>5884</v>
      </c>
      <c r="D1499" s="17" t="s">
        <v>5885</v>
      </c>
      <c r="E1499" s="123" t="s">
        <v>5886</v>
      </c>
      <c r="F1499" s="17" t="s">
        <v>5887</v>
      </c>
      <c r="G1499" s="17"/>
      <c r="H1499" s="17"/>
      <c r="I1499" s="18" t="s">
        <v>101</v>
      </c>
      <c r="J1499" s="99" t="s">
        <v>560</v>
      </c>
      <c r="K1499" s="5" t="s">
        <v>4185</v>
      </c>
      <c r="L1499" t="str">
        <f t="shared" si="24"/>
        <v>bryannasilvaa7@gmail.com</v>
      </c>
    </row>
    <row r="1500" spans="1:12">
      <c r="A1500" t="str" cm="1">
        <f t="array" ref="A1500">_xlfn.LET(_xlpm.e,L1500,
IF(_xlpm.e="","",
"DOC-"&amp;TEXT(ROW()-ROW(tblMaster[#Headers]),"00000")
))</f>
        <v>DOC-01499</v>
      </c>
      <c r="B1500" s="49">
        <v>46042</v>
      </c>
      <c r="C1500" s="42" t="s">
        <v>5888</v>
      </c>
      <c r="D1500" s="42" t="s">
        <v>5889</v>
      </c>
      <c r="E1500" s="38" t="s">
        <v>5890</v>
      </c>
      <c r="F1500" s="17" t="s">
        <v>5891</v>
      </c>
      <c r="G1500" s="42"/>
      <c r="H1500" s="17"/>
      <c r="I1500" s="18" t="s">
        <v>193</v>
      </c>
      <c r="J1500" s="99" t="s">
        <v>23</v>
      </c>
      <c r="K1500" s="5" t="s">
        <v>4185</v>
      </c>
      <c r="L1500" t="str">
        <f t="shared" si="24"/>
        <v>inglesw84@gmail.com</v>
      </c>
    </row>
    <row r="1501" spans="1:12">
      <c r="A1501" t="str" cm="1">
        <f t="array" ref="A1501">_xlfn.LET(_xlpm.e,L1501,
IF(_xlpm.e="","",
"DOC-"&amp;TEXT(ROW()-ROW(tblMaster[#Headers]),"00000")
))</f>
        <v>DOC-01500</v>
      </c>
      <c r="B1501" s="49">
        <v>46043</v>
      </c>
      <c r="C1501" s="42" t="s">
        <v>1871</v>
      </c>
      <c r="D1501" s="42" t="s">
        <v>5892</v>
      </c>
      <c r="E1501" s="38" t="s">
        <v>5893</v>
      </c>
      <c r="F1501" s="17" t="s">
        <v>5894</v>
      </c>
      <c r="G1501" s="42" t="s">
        <v>2401</v>
      </c>
      <c r="H1501" s="17" t="s">
        <v>17</v>
      </c>
      <c r="I1501" s="18" t="s">
        <v>54</v>
      </c>
      <c r="J1501" s="99" t="s">
        <v>497</v>
      </c>
      <c r="K1501" s="5" t="s">
        <v>4185</v>
      </c>
      <c r="L1501" t="str">
        <f t="shared" si="24"/>
        <v>nicholask2003@gmail.com</v>
      </c>
    </row>
    <row r="1502" spans="1:12">
      <c r="A1502" t="str" cm="1">
        <f t="array" ref="A1502">_xlfn.LET(_xlpm.e,L1502,
IF(_xlpm.e="","",
"DOC-"&amp;TEXT(ROW()-ROW(tblMaster[#Headers]),"00000")
))</f>
        <v>DOC-01501</v>
      </c>
      <c r="B1502" s="49">
        <v>46043</v>
      </c>
      <c r="C1502" s="42" t="s">
        <v>5895</v>
      </c>
      <c r="D1502" s="42" t="s">
        <v>5896</v>
      </c>
      <c r="E1502" s="38" t="s">
        <v>5897</v>
      </c>
      <c r="F1502" s="17" t="s">
        <v>5898</v>
      </c>
      <c r="G1502" s="42" t="s">
        <v>79</v>
      </c>
      <c r="H1502" s="17" t="s">
        <v>17</v>
      </c>
      <c r="I1502" s="18" t="s">
        <v>54</v>
      </c>
      <c r="J1502" s="99" t="s">
        <v>66</v>
      </c>
      <c r="K1502" s="5" t="s">
        <v>4185</v>
      </c>
      <c r="L1502" t="str">
        <f t="shared" si="24"/>
        <v>eldervirla@gmail.com</v>
      </c>
    </row>
    <row r="1503" spans="1:12">
      <c r="A1503" t="str" cm="1">
        <f t="array" ref="A1503">_xlfn.LET(_xlpm.e,L1503,
IF(_xlpm.e="","",
"DOC-"&amp;TEXT(ROW()-ROW(tblMaster[#Headers]),"00000")
))</f>
        <v>DOC-01502</v>
      </c>
      <c r="B1503" s="49">
        <v>46043</v>
      </c>
      <c r="C1503" s="42" t="s">
        <v>5899</v>
      </c>
      <c r="D1503" s="42" t="s">
        <v>5900</v>
      </c>
      <c r="E1503" s="38" t="s">
        <v>5901</v>
      </c>
      <c r="F1503" s="17" t="s">
        <v>5902</v>
      </c>
      <c r="G1503" s="42" t="s">
        <v>5903</v>
      </c>
      <c r="H1503" s="17" t="s">
        <v>17</v>
      </c>
      <c r="I1503" s="18" t="s">
        <v>54</v>
      </c>
      <c r="J1503" s="99" t="s">
        <v>118</v>
      </c>
      <c r="K1503" s="5" t="s">
        <v>4185</v>
      </c>
      <c r="L1503" t="str">
        <f t="shared" si="24"/>
        <v>jacobopolanco12@gmail.com</v>
      </c>
    </row>
    <row r="1504" spans="1:12">
      <c r="A1504" t="str" cm="1">
        <f t="array" ref="A1504">_xlfn.LET(_xlpm.e,L1504,
IF(_xlpm.e="","",
"DOC-"&amp;TEXT(ROW()-ROW(tblMaster[#Headers]),"00000")
))</f>
        <v>DOC-01503</v>
      </c>
      <c r="B1504" s="49">
        <v>46043</v>
      </c>
      <c r="C1504" s="17" t="s">
        <v>5904</v>
      </c>
      <c r="D1504" s="17" t="s">
        <v>5905</v>
      </c>
      <c r="E1504" s="123" t="s">
        <v>5906</v>
      </c>
      <c r="F1504" s="17" t="s">
        <v>5907</v>
      </c>
      <c r="G1504" s="17" t="s">
        <v>5908</v>
      </c>
      <c r="H1504" s="17" t="s">
        <v>60</v>
      </c>
      <c r="I1504" s="18" t="s">
        <v>54</v>
      </c>
      <c r="J1504" s="99" t="s">
        <v>560</v>
      </c>
      <c r="K1504" s="5" t="s">
        <v>4185</v>
      </c>
      <c r="L1504" t="str">
        <f t="shared" si="24"/>
        <v>emmanuelkarngar1@gmail.com</v>
      </c>
    </row>
    <row r="1505" spans="1:12">
      <c r="A1505" t="str" cm="1">
        <f t="array" ref="A1505">_xlfn.LET(_xlpm.e,L1505,
IF(_xlpm.e="","",
"DOC-"&amp;TEXT(ROW()-ROW(tblMaster[#Headers]),"00000")
))</f>
        <v>DOC-01504</v>
      </c>
      <c r="B1505" s="49">
        <v>46043</v>
      </c>
      <c r="C1505" s="42" t="s">
        <v>402</v>
      </c>
      <c r="D1505" s="42" t="s">
        <v>4564</v>
      </c>
      <c r="E1505" s="38" t="s">
        <v>5909</v>
      </c>
      <c r="F1505" s="17" t="s">
        <v>5910</v>
      </c>
      <c r="G1505" s="42" t="s">
        <v>257</v>
      </c>
      <c r="H1505" s="17" t="s">
        <v>17</v>
      </c>
      <c r="I1505" s="18" t="s">
        <v>54</v>
      </c>
      <c r="J1505" s="99" t="s">
        <v>66</v>
      </c>
      <c r="K1505" s="5" t="s">
        <v>4185</v>
      </c>
      <c r="L1505" t="str">
        <f t="shared" si="24"/>
        <v>desmondmcpherson88@gmail.com</v>
      </c>
    </row>
    <row r="1506" spans="1:12">
      <c r="A1506" t="str" cm="1">
        <f t="array" ref="A1506">_xlfn.LET(_xlpm.e,L1506,
IF(_xlpm.e="","",
"DOC-"&amp;TEXT(ROW()-ROW(tblMaster[#Headers]),"00000")
))</f>
        <v>DOC-01505</v>
      </c>
      <c r="B1506" s="49">
        <v>46043</v>
      </c>
      <c r="C1506" s="41" t="s">
        <v>5911</v>
      </c>
      <c r="D1506" s="42" t="s">
        <v>5912</v>
      </c>
      <c r="E1506" s="38" t="s">
        <v>5913</v>
      </c>
      <c r="F1506" s="17" t="s">
        <v>5914</v>
      </c>
      <c r="G1506" s="42" t="s">
        <v>5915</v>
      </c>
      <c r="H1506" s="17" t="s">
        <v>17</v>
      </c>
      <c r="I1506" s="18" t="s">
        <v>101</v>
      </c>
      <c r="J1506" s="99" t="s">
        <v>23</v>
      </c>
      <c r="K1506" s="5" t="s">
        <v>4185</v>
      </c>
      <c r="L1506" t="str">
        <f t="shared" si="24"/>
        <v>juliogil0221@icloud.com</v>
      </c>
    </row>
    <row r="1507" spans="1:12">
      <c r="A1507" t="str" cm="1">
        <f t="array" ref="A1507">_xlfn.LET(_xlpm.e,L1507,
IF(_xlpm.e="","",
"DOC-"&amp;TEXT(ROW()-ROW(tblMaster[#Headers]),"00000")
))</f>
        <v>DOC-01506</v>
      </c>
      <c r="B1507" s="49">
        <v>46044</v>
      </c>
      <c r="C1507" s="42" t="s">
        <v>5916</v>
      </c>
      <c r="D1507" s="42" t="s">
        <v>5917</v>
      </c>
      <c r="E1507" s="38" t="s">
        <v>5918</v>
      </c>
      <c r="F1507" s="17" t="s">
        <v>5919</v>
      </c>
      <c r="G1507" s="42" t="s">
        <v>257</v>
      </c>
      <c r="H1507" s="17" t="s">
        <v>17</v>
      </c>
      <c r="I1507" s="18" t="s">
        <v>54</v>
      </c>
      <c r="J1507" s="99" t="s">
        <v>497</v>
      </c>
      <c r="K1507" s="5" t="s">
        <v>4185</v>
      </c>
      <c r="L1507" t="str">
        <f t="shared" si="24"/>
        <v>vmm02366@su.suffolk.edu</v>
      </c>
    </row>
    <row r="1508" spans="1:12">
      <c r="A1508" t="str" cm="1">
        <f t="array" ref="A1508">_xlfn.LET(_xlpm.e,L1508,
IF(_xlpm.e="","",
"DOC-"&amp;TEXT(ROW()-ROW(tblMaster[#Headers]),"00000")
))</f>
        <v>DOC-01507</v>
      </c>
      <c r="B1508" s="49">
        <v>46044</v>
      </c>
      <c r="C1508" s="42" t="s">
        <v>5920</v>
      </c>
      <c r="D1508" s="42" t="s">
        <v>5921</v>
      </c>
      <c r="E1508" s="38" t="s">
        <v>5922</v>
      </c>
      <c r="F1508" s="17" t="s">
        <v>5923</v>
      </c>
      <c r="G1508" s="42" t="s">
        <v>737</v>
      </c>
      <c r="H1508" s="17" t="s">
        <v>17</v>
      </c>
      <c r="I1508" s="18" t="s">
        <v>54</v>
      </c>
      <c r="J1508" s="99" t="s">
        <v>194</v>
      </c>
      <c r="K1508" s="5" t="s">
        <v>4185</v>
      </c>
      <c r="L1508" t="str">
        <f t="shared" si="24"/>
        <v>akouts123@gmail.com</v>
      </c>
    </row>
    <row r="1509" spans="1:12">
      <c r="A1509" t="str" cm="1">
        <f t="array" ref="A1509">_xlfn.LET(_xlpm.e,L1509,
IF(_xlpm.e="","",
"DOC-"&amp;TEXT(ROW()-ROW(tblMaster[#Headers]),"00000")
))</f>
        <v>DOC-01508</v>
      </c>
      <c r="B1509" s="49">
        <v>46044</v>
      </c>
      <c r="C1509" s="42" t="s">
        <v>5924</v>
      </c>
      <c r="D1509" s="42" t="s">
        <v>5925</v>
      </c>
      <c r="E1509" s="38" t="s">
        <v>5926</v>
      </c>
      <c r="F1509" s="17" t="s">
        <v>5927</v>
      </c>
      <c r="G1509" s="42" t="s">
        <v>4444</v>
      </c>
      <c r="H1509" s="17" t="s">
        <v>17</v>
      </c>
      <c r="I1509" s="18" t="s">
        <v>54</v>
      </c>
      <c r="J1509" s="99" t="s">
        <v>66</v>
      </c>
      <c r="K1509" s="5" t="s">
        <v>4185</v>
      </c>
      <c r="L1509" t="str">
        <f t="shared" si="24"/>
        <v>gumenitatjana#@yahoo.com</v>
      </c>
    </row>
    <row r="1510" spans="1:12">
      <c r="A1510" t="str" cm="1">
        <f t="array" ref="A1510">_xlfn.LET(_xlpm.e,L1510,
IF(_xlpm.e="","",
"DOC-"&amp;TEXT(ROW()-ROW(tblMaster[#Headers]),"00000")
))</f>
        <v>DOC-01509</v>
      </c>
      <c r="B1510" s="49">
        <v>46044</v>
      </c>
      <c r="C1510" s="42" t="s">
        <v>5928</v>
      </c>
      <c r="D1510" s="42" t="s">
        <v>4256</v>
      </c>
      <c r="E1510" s="38" t="s">
        <v>5929</v>
      </c>
      <c r="F1510" s="17" t="s">
        <v>5930</v>
      </c>
      <c r="G1510" s="42" t="s">
        <v>52</v>
      </c>
      <c r="H1510" s="17" t="s">
        <v>17</v>
      </c>
      <c r="I1510" s="18" t="s">
        <v>54</v>
      </c>
      <c r="J1510" s="99" t="s">
        <v>118</v>
      </c>
      <c r="K1510" s="5" t="s">
        <v>4185</v>
      </c>
      <c r="L1510" t="str">
        <f t="shared" si="24"/>
        <v>jaysonfrazer1998@gmail.com</v>
      </c>
    </row>
    <row r="1511" spans="1:12">
      <c r="A1511" t="str" cm="1">
        <f t="array" ref="A1511">_xlfn.LET(_xlpm.e,L1511,
IF(_xlpm.e="","",
"DOC-"&amp;TEXT(ROW()-ROW(tblMaster[#Headers]),"00000")
))</f>
        <v>DOC-01510</v>
      </c>
      <c r="B1511" s="49">
        <v>46044</v>
      </c>
      <c r="C1511" s="17" t="s">
        <v>5931</v>
      </c>
      <c r="D1511" s="17" t="s">
        <v>5932</v>
      </c>
      <c r="E1511" s="123" t="s">
        <v>5933</v>
      </c>
      <c r="F1511" s="17" t="s">
        <v>5934</v>
      </c>
      <c r="G1511" s="17" t="s">
        <v>544</v>
      </c>
      <c r="H1511" s="17" t="s">
        <v>17</v>
      </c>
      <c r="I1511" s="18" t="s">
        <v>54</v>
      </c>
      <c r="J1511" s="99" t="s">
        <v>560</v>
      </c>
      <c r="K1511" s="5" t="s">
        <v>4185</v>
      </c>
      <c r="L1511" t="str">
        <f t="shared" si="24"/>
        <v>asaulstraw@gmail.com</v>
      </c>
    </row>
    <row r="1512" spans="1:12">
      <c r="A1512" t="str" cm="1">
        <f t="array" ref="A1512">_xlfn.LET(_xlpm.e,L1512,
IF(_xlpm.e="","",
"DOC-"&amp;TEXT(ROW()-ROW(tblMaster[#Headers]),"00000")
))</f>
        <v>DOC-01511</v>
      </c>
      <c r="B1512" s="49">
        <v>46044</v>
      </c>
      <c r="C1512" s="42" t="s">
        <v>1623</v>
      </c>
      <c r="D1512" s="42" t="s">
        <v>5935</v>
      </c>
      <c r="E1512" s="38" t="s">
        <v>5936</v>
      </c>
      <c r="F1512" s="17" t="s">
        <v>5937</v>
      </c>
      <c r="G1512" s="42" t="s">
        <v>5938</v>
      </c>
      <c r="H1512" s="17" t="s">
        <v>17</v>
      </c>
      <c r="I1512" s="18" t="s">
        <v>54</v>
      </c>
      <c r="J1512" s="99" t="s">
        <v>23</v>
      </c>
      <c r="K1512" s="5" t="s">
        <v>4185</v>
      </c>
      <c r="L1512" t="str">
        <f t="shared" si="24"/>
        <v>carlosdacosta24@gmail.com</v>
      </c>
    </row>
    <row r="1513" spans="1:12">
      <c r="A1513" t="str" cm="1">
        <f t="array" ref="A1513">_xlfn.LET(_xlpm.e,L1513,
IF(_xlpm.e="","",
"DOC-"&amp;TEXT(ROW()-ROW(tblMaster[#Headers]),"00000")
))</f>
        <v>DOC-01512</v>
      </c>
      <c r="B1513" s="49">
        <v>46044</v>
      </c>
      <c r="C1513" s="42" t="s">
        <v>5939</v>
      </c>
      <c r="D1513" s="42" t="s">
        <v>5940</v>
      </c>
      <c r="E1513" s="38" t="s">
        <v>5941</v>
      </c>
      <c r="F1513" s="17" t="s">
        <v>5942</v>
      </c>
      <c r="G1513" s="42" t="s">
        <v>2098</v>
      </c>
      <c r="H1513" s="17" t="s">
        <v>17</v>
      </c>
      <c r="I1513" s="18" t="s">
        <v>54</v>
      </c>
      <c r="J1513" s="99" t="s">
        <v>497</v>
      </c>
      <c r="K1513" s="5" t="s">
        <v>4185</v>
      </c>
      <c r="L1513" t="str">
        <f t="shared" si="24"/>
        <v>fpinson@recoverysolutions.us</v>
      </c>
    </row>
    <row r="1514" spans="1:12">
      <c r="A1514" t="str" cm="1">
        <f t="array" ref="A1514">_xlfn.LET(_xlpm.e,L1514,
IF(_xlpm.e="","",
"DOC-"&amp;TEXT(ROW()-ROW(tblMaster[#Headers]),"00000")
))</f>
        <v>DOC-01513</v>
      </c>
      <c r="B1514" s="49">
        <v>46044</v>
      </c>
      <c r="C1514" s="17" t="s">
        <v>5943</v>
      </c>
      <c r="D1514" s="17" t="s">
        <v>5944</v>
      </c>
      <c r="E1514" s="123" t="s">
        <v>5945</v>
      </c>
      <c r="F1514" s="17" t="s">
        <v>5946</v>
      </c>
      <c r="G1514" s="17" t="s">
        <v>5947</v>
      </c>
      <c r="H1514" s="17" t="s">
        <v>17</v>
      </c>
      <c r="I1514" s="18" t="s">
        <v>54</v>
      </c>
      <c r="J1514" s="99" t="s">
        <v>560</v>
      </c>
      <c r="K1514" s="5" t="s">
        <v>4185</v>
      </c>
      <c r="L1514" t="str">
        <f t="shared" si="24"/>
        <v>cmqnnix@gmail.com</v>
      </c>
    </row>
    <row r="1515" spans="1:12">
      <c r="A1515" t="str" cm="1">
        <f t="array" ref="A1515">_xlfn.LET(_xlpm.e,L1515,
IF(_xlpm.e="","",
"DOC-"&amp;TEXT(ROW()-ROW(tblMaster[#Headers]),"00000")
))</f>
        <v>DOC-01514</v>
      </c>
      <c r="B1515" s="49">
        <v>46044</v>
      </c>
      <c r="C1515" s="42" t="s">
        <v>1344</v>
      </c>
      <c r="D1515" s="42" t="s">
        <v>5948</v>
      </c>
      <c r="E1515" s="38" t="s">
        <v>5949</v>
      </c>
      <c r="F1515" s="17" t="s">
        <v>5950</v>
      </c>
      <c r="G1515" s="42" t="s">
        <v>79</v>
      </c>
      <c r="H1515" s="17" t="s">
        <v>17</v>
      </c>
      <c r="I1515" s="18" t="s">
        <v>54</v>
      </c>
      <c r="J1515" s="99" t="s">
        <v>66</v>
      </c>
      <c r="K1515" s="5" t="s">
        <v>4185</v>
      </c>
      <c r="L1515" t="str">
        <f t="shared" si="24"/>
        <v>erickileykicks@gmail.com</v>
      </c>
    </row>
    <row r="1516" spans="1:12">
      <c r="A1516" t="str" cm="1">
        <f t="array" ref="A1516">_xlfn.LET(_xlpm.e,L1516,
IF(_xlpm.e="","",
"DOC-"&amp;TEXT(ROW()-ROW(tblMaster[#Headers]),"00000")
))</f>
        <v>DOC-01515</v>
      </c>
      <c r="B1516" s="49">
        <v>46044</v>
      </c>
      <c r="C1516" s="42" t="s">
        <v>5951</v>
      </c>
      <c r="D1516" s="42" t="s">
        <v>5952</v>
      </c>
      <c r="E1516" s="38" t="s">
        <v>5953</v>
      </c>
      <c r="F1516" s="17" t="s">
        <v>5954</v>
      </c>
      <c r="G1516" s="42" t="s">
        <v>52</v>
      </c>
      <c r="H1516" s="17" t="s">
        <v>17</v>
      </c>
      <c r="I1516" s="18" t="s">
        <v>54</v>
      </c>
      <c r="J1516" s="99" t="s">
        <v>23</v>
      </c>
      <c r="K1516" s="5" t="s">
        <v>4185</v>
      </c>
      <c r="L1516" t="str">
        <f t="shared" si="24"/>
        <v>cicilovee222@gmail.com</v>
      </c>
    </row>
    <row r="1517" spans="1:12">
      <c r="A1517" t="str" cm="1">
        <f t="array" ref="A1517">_xlfn.LET(_xlpm.e,L1517,
IF(_xlpm.e="","",
"DOC-"&amp;TEXT(ROW()-ROW(tblMaster[#Headers]),"00000")
))</f>
        <v>DOC-01516</v>
      </c>
      <c r="B1517" s="49">
        <v>46044</v>
      </c>
      <c r="C1517" s="42" t="s">
        <v>5955</v>
      </c>
      <c r="D1517" s="42" t="s">
        <v>2889</v>
      </c>
      <c r="E1517" s="38" t="s">
        <v>5956</v>
      </c>
      <c r="F1517" s="17" t="s">
        <v>5957</v>
      </c>
      <c r="G1517" s="42" t="s">
        <v>231</v>
      </c>
      <c r="H1517" s="17" t="s">
        <v>17</v>
      </c>
      <c r="I1517" s="18" t="s">
        <v>54</v>
      </c>
      <c r="J1517" s="99" t="s">
        <v>497</v>
      </c>
      <c r="K1517" s="5" t="s">
        <v>4185</v>
      </c>
      <c r="L1517" t="str">
        <f t="shared" si="24"/>
        <v>tdavis8710@gmail.com</v>
      </c>
    </row>
    <row r="1518" spans="1:12">
      <c r="A1518" t="str" cm="1">
        <f t="array" ref="A1518">_xlfn.LET(_xlpm.e,L1518,
IF(_xlpm.e="","",
"DOC-"&amp;TEXT(ROW()-ROW(tblMaster[#Headers]),"00000")
))</f>
        <v>DOC-01517</v>
      </c>
      <c r="B1518" s="49">
        <v>46044</v>
      </c>
      <c r="C1518" s="42" t="s">
        <v>5958</v>
      </c>
      <c r="D1518" s="113" t="s">
        <v>5959</v>
      </c>
      <c r="E1518" s="38" t="s">
        <v>5960</v>
      </c>
      <c r="F1518" s="17" t="s">
        <v>5961</v>
      </c>
      <c r="G1518" s="42" t="s">
        <v>138</v>
      </c>
      <c r="H1518" s="17" t="s">
        <v>17</v>
      </c>
      <c r="I1518" s="18" t="s">
        <v>54</v>
      </c>
      <c r="J1518" s="99" t="s">
        <v>194</v>
      </c>
      <c r="K1518" s="5" t="s">
        <v>4185</v>
      </c>
      <c r="L1518" t="str">
        <f t="shared" si="24"/>
        <v>mimienarcisse@gmail.com</v>
      </c>
    </row>
    <row r="1519" spans="1:12">
      <c r="A1519" t="str" cm="1">
        <f t="array" ref="A1519">_xlfn.LET(_xlpm.e,L1519,
IF(_xlpm.e="","",
"DOC-"&amp;TEXT(ROW()-ROW(tblMaster[#Headers]),"00000")
))</f>
        <v>DOC-01518</v>
      </c>
      <c r="B1519" s="49">
        <v>46044</v>
      </c>
      <c r="C1519" s="42" t="s">
        <v>5962</v>
      </c>
      <c r="D1519" s="42" t="s">
        <v>5963</v>
      </c>
      <c r="E1519" s="38" t="s">
        <v>5964</v>
      </c>
      <c r="F1519" s="17" t="s">
        <v>5965</v>
      </c>
      <c r="G1519" s="42" t="s">
        <v>3619</v>
      </c>
      <c r="H1519" s="17" t="s">
        <v>17</v>
      </c>
      <c r="I1519" s="18" t="s">
        <v>54</v>
      </c>
      <c r="J1519" s="99" t="s">
        <v>497</v>
      </c>
      <c r="K1519" s="5" t="s">
        <v>4185</v>
      </c>
      <c r="L1519" t="str">
        <f t="shared" si="24"/>
        <v>jereem.langlais@gmail.com</v>
      </c>
    </row>
    <row r="1520" spans="1:12">
      <c r="A1520" t="str" cm="1">
        <f t="array" ref="A1520">_xlfn.LET(_xlpm.e,L1520,
IF(_xlpm.e="","",
"DOC-"&amp;TEXT(ROW()-ROW(tblMaster[#Headers]),"00000")
))</f>
        <v>DOC-01519</v>
      </c>
      <c r="B1520" s="49">
        <v>46044</v>
      </c>
      <c r="C1520" s="42" t="s">
        <v>1257</v>
      </c>
      <c r="D1520" s="42" t="s">
        <v>5966</v>
      </c>
      <c r="E1520" s="38" t="s">
        <v>5967</v>
      </c>
      <c r="F1520" s="17" t="s">
        <v>5968</v>
      </c>
      <c r="G1520" s="42" t="s">
        <v>5969</v>
      </c>
      <c r="H1520" s="17" t="s">
        <v>5970</v>
      </c>
      <c r="I1520" s="18" t="s">
        <v>54</v>
      </c>
      <c r="J1520" s="99" t="s">
        <v>66</v>
      </c>
      <c r="K1520" s="5" t="s">
        <v>4185</v>
      </c>
      <c r="L1520" t="str">
        <f t="shared" si="24"/>
        <v>alexhughes10253@icloud.com</v>
      </c>
    </row>
    <row r="1521" spans="1:12">
      <c r="A1521" t="str" cm="1">
        <f t="array" ref="A1521">_xlfn.LET(_xlpm.e,L1521,
IF(_xlpm.e="","",
"DOC-"&amp;TEXT(ROW()-ROW(tblMaster[#Headers]),"00000")
))</f>
        <v>DOC-01520</v>
      </c>
      <c r="B1521" s="49">
        <v>46044</v>
      </c>
      <c r="C1521" s="42" t="s">
        <v>5971</v>
      </c>
      <c r="D1521" s="42" t="s">
        <v>2355</v>
      </c>
      <c r="E1521" s="38" t="s">
        <v>5972</v>
      </c>
      <c r="F1521" s="17" t="s">
        <v>5973</v>
      </c>
      <c r="G1521" s="42" t="s">
        <v>502</v>
      </c>
      <c r="H1521" s="17" t="s">
        <v>17</v>
      </c>
      <c r="I1521" s="18" t="s">
        <v>54</v>
      </c>
      <c r="J1521" s="99" t="s">
        <v>497</v>
      </c>
      <c r="K1521" s="5" t="s">
        <v>4185</v>
      </c>
      <c r="L1521" t="str">
        <f t="shared" si="24"/>
        <v>enairaw@gmail.com</v>
      </c>
    </row>
    <row r="1522" spans="1:12">
      <c r="A1522" s="104" t="str" cm="1">
        <f t="array" ref="A1522">_xlfn.LET(_xlpm.e,L1522,
IF(_xlpm.e="","",
"DOC-"&amp;TEXT(ROW()-ROW(tblMaster[#Headers]),"00000")
))</f>
        <v/>
      </c>
      <c r="B1522" s="49"/>
      <c r="C1522" s="42"/>
      <c r="D1522" s="42"/>
      <c r="E1522" s="38"/>
      <c r="F1522" s="17"/>
      <c r="G1522" s="42"/>
      <c r="H1522" s="17"/>
      <c r="I1522" s="17"/>
      <c r="L1522" t="str">
        <f t="shared" si="24"/>
        <v/>
      </c>
    </row>
    <row r="1523" spans="1:12">
      <c r="A1523" t="str" cm="1">
        <f t="array" ref="A1523">_xlfn.LET(_xlpm.e,L1523,
IF(_xlpm.e="","",
"DOC-"&amp;TEXT(ROW()-ROW(tblMaster[#Headers]),"00000")
))</f>
        <v/>
      </c>
      <c r="B1523" s="49"/>
      <c r="C1523" s="42"/>
      <c r="D1523" s="42"/>
      <c r="E1523" s="43"/>
      <c r="F1523" s="17"/>
      <c r="G1523" s="42"/>
      <c r="H1523" s="17"/>
      <c r="I1523" s="17"/>
      <c r="L1523" t="str">
        <f t="shared" si="24"/>
        <v/>
      </c>
    </row>
    <row r="1524" spans="1:12">
      <c r="A1524" t="str" cm="1">
        <f t="array" ref="A1524">_xlfn.LET(_xlpm.e,L1524,
IF(_xlpm.e="","",
"DOC-"&amp;TEXT(ROW()-ROW(tblMaster[#Headers]),"00000")
))</f>
        <v>DOC-01523</v>
      </c>
      <c r="B1524" s="49">
        <v>46044</v>
      </c>
      <c r="C1524" s="42" t="s">
        <v>602</v>
      </c>
      <c r="D1524" s="42" t="s">
        <v>5974</v>
      </c>
      <c r="E1524" s="38" t="s">
        <v>5975</v>
      </c>
      <c r="F1524" s="17" t="s">
        <v>5976</v>
      </c>
      <c r="G1524" s="42" t="s">
        <v>517</v>
      </c>
      <c r="H1524" s="17" t="s">
        <v>53</v>
      </c>
      <c r="I1524" s="17" t="s">
        <v>2276</v>
      </c>
      <c r="J1524" s="99" t="s">
        <v>118</v>
      </c>
      <c r="K1524" s="5" t="s">
        <v>4185</v>
      </c>
      <c r="L1524" t="str">
        <f t="shared" si="24"/>
        <v>pierremary28@gmail.com</v>
      </c>
    </row>
    <row r="1525" spans="1:12">
      <c r="A1525" t="str" cm="1">
        <f t="array" ref="A1525">_xlfn.LET(_xlpm.e,L1525,
IF(_xlpm.e="","",
"DOC-"&amp;TEXT(ROW()-ROW(tblMaster[#Headers]),"00000")
))</f>
        <v>DOC-01524</v>
      </c>
      <c r="B1525" s="49">
        <v>46044</v>
      </c>
      <c r="C1525" s="17" t="s">
        <v>350</v>
      </c>
      <c r="D1525" s="17" t="s">
        <v>5977</v>
      </c>
      <c r="E1525" s="123" t="s">
        <v>5978</v>
      </c>
      <c r="F1525" s="17" t="s">
        <v>5979</v>
      </c>
      <c r="G1525" s="17" t="s">
        <v>4771</v>
      </c>
      <c r="H1525" s="17" t="s">
        <v>17</v>
      </c>
      <c r="I1525" s="17"/>
      <c r="J1525" s="99" t="s">
        <v>560</v>
      </c>
      <c r="K1525" s="5" t="s">
        <v>4185</v>
      </c>
      <c r="L1525" t="str">
        <f t="shared" si="24"/>
        <v>abtechrich@verizon.net</v>
      </c>
    </row>
    <row r="1526" spans="1:12">
      <c r="A1526" t="str" cm="1">
        <f t="array" ref="A1526">_xlfn.LET(_xlpm.e,L1526,
IF(_xlpm.e="","",
"DOC-"&amp;TEXT(ROW()-ROW(tblMaster[#Headers]),"00000")
))</f>
        <v>DOC-01525</v>
      </c>
      <c r="B1526" s="49">
        <v>46045</v>
      </c>
      <c r="C1526" s="42" t="s">
        <v>3344</v>
      </c>
      <c r="D1526" s="42" t="s">
        <v>5980</v>
      </c>
      <c r="E1526" s="38" t="s">
        <v>5981</v>
      </c>
      <c r="F1526" s="17" t="s">
        <v>5982</v>
      </c>
      <c r="G1526" s="42" t="s">
        <v>544</v>
      </c>
      <c r="H1526" s="17" t="s">
        <v>17</v>
      </c>
      <c r="I1526" s="18" t="s">
        <v>54</v>
      </c>
      <c r="J1526" s="99" t="s">
        <v>23</v>
      </c>
      <c r="K1526" s="5" t="s">
        <v>4185</v>
      </c>
      <c r="L1526" t="str">
        <f t="shared" si="24"/>
        <v>jd.rene30@gmail.com</v>
      </c>
    </row>
    <row r="1527" spans="1:12">
      <c r="A1527" t="str" cm="1">
        <f t="array" ref="A1527">_xlfn.LET(_xlpm.e,L1527,
IF(_xlpm.e="","",
"DOC-"&amp;TEXT(ROW()-ROW(tblMaster[#Headers]),"00000")
))</f>
        <v>DOC-01526</v>
      </c>
      <c r="B1527" s="49">
        <v>46045</v>
      </c>
      <c r="C1527" s="42" t="s">
        <v>1277</v>
      </c>
      <c r="D1527" s="42" t="s">
        <v>5983</v>
      </c>
      <c r="E1527" s="38" t="s">
        <v>5984</v>
      </c>
      <c r="F1527" s="17" t="s">
        <v>5985</v>
      </c>
      <c r="G1527" s="42" t="s">
        <v>438</v>
      </c>
      <c r="H1527" s="17" t="s">
        <v>17</v>
      </c>
      <c r="I1527" s="18" t="s">
        <v>101</v>
      </c>
      <c r="J1527" s="99" t="s">
        <v>194</v>
      </c>
      <c r="K1527" s="5" t="s">
        <v>4185</v>
      </c>
      <c r="L1527" t="str">
        <f t="shared" si="24"/>
        <v>spjduq@icloud.com</v>
      </c>
    </row>
    <row r="1528" spans="1:12">
      <c r="A1528" t="str" cm="1">
        <f t="array" ref="A1528">_xlfn.LET(_xlpm.e,L1528,
IF(_xlpm.e="","",
"DOC-"&amp;TEXT(ROW()-ROW(tblMaster[#Headers]),"00000")
))</f>
        <v>DOC-01527</v>
      </c>
      <c r="B1528" s="49">
        <v>46045</v>
      </c>
      <c r="C1528" s="42" t="s">
        <v>5986</v>
      </c>
      <c r="D1528" s="42" t="s">
        <v>5987</v>
      </c>
      <c r="E1528" s="38" t="s">
        <v>5988</v>
      </c>
      <c r="F1528" s="17" t="s">
        <v>5989</v>
      </c>
      <c r="G1528" s="42" t="s">
        <v>52</v>
      </c>
      <c r="H1528" s="17" t="s">
        <v>17</v>
      </c>
      <c r="I1528" s="18" t="s">
        <v>54</v>
      </c>
      <c r="J1528" s="99" t="s">
        <v>497</v>
      </c>
      <c r="K1528" s="5" t="s">
        <v>4185</v>
      </c>
      <c r="L1528" t="str">
        <f t="shared" si="24"/>
        <v>jp62911@gmail.com</v>
      </c>
    </row>
    <row r="1529" spans="1:12">
      <c r="A1529" t="str" cm="1">
        <f t="array" ref="A1529">_xlfn.LET(_xlpm.e,L1529,
IF(_xlpm.e="","",
"DOC-"&amp;TEXT(ROW()-ROW(tblMaster[#Headers]),"00000")
))</f>
        <v>DOC-01528</v>
      </c>
      <c r="B1529" s="50">
        <v>45971</v>
      </c>
      <c r="C1529" s="55" t="s">
        <v>5990</v>
      </c>
      <c r="D1529" s="55" t="s">
        <v>5991</v>
      </c>
      <c r="E1529" s="44" t="s">
        <v>5992</v>
      </c>
      <c r="F1529" s="32" t="s">
        <v>5993</v>
      </c>
      <c r="H1529" s="17"/>
      <c r="J1529" s="99" t="s">
        <v>497</v>
      </c>
      <c r="K1529" s="5" t="s">
        <v>4185</v>
      </c>
      <c r="L1529" t="str">
        <f>_xlfn.LET(_xlpm.x,E1529,
_xlpm.y,TRIM(CLEAN(SUBSTITUTE(_xlpm.x,CHAR(160)," "))),
LOWER(_xlpm.y))</f>
        <v>dyneishacorbett03@gmail.com</v>
      </c>
    </row>
    <row r="1530" spans="1:12">
      <c r="A1530" t="str" cm="1">
        <f t="array" ref="A1530">_xlfn.LET(_xlpm.e,L1530,
IF(_xlpm.e="","",
"DOC-"&amp;TEXT(ROW()-ROW(tblMaster[#Headers]),"00000")
))</f>
        <v>DOC-01529</v>
      </c>
      <c r="B1530" s="51">
        <v>46045</v>
      </c>
      <c r="C1530" s="56" t="s">
        <v>5994</v>
      </c>
      <c r="D1530" s="56" t="s">
        <v>5995</v>
      </c>
      <c r="E1530" s="45" t="s">
        <v>5996</v>
      </c>
      <c r="F1530" s="33" t="s">
        <v>5997</v>
      </c>
      <c r="G1530" s="56" t="s">
        <v>581</v>
      </c>
      <c r="H1530" s="17" t="s">
        <v>17</v>
      </c>
      <c r="I1530" s="18" t="s">
        <v>54</v>
      </c>
      <c r="J1530" s="99" t="s">
        <v>118</v>
      </c>
      <c r="K1530" s="5" t="s">
        <v>4185</v>
      </c>
      <c r="L1530" t="str">
        <f>_xlfn.LET(_xlpm.x,E1530,
_xlpm.y,TRIM(CLEAN(SUBSTITUTE(_xlpm.x,CHAR(160)," "))),
LOWER(_xlpm.y))</f>
        <v>fofana.mjl@gmail.com</v>
      </c>
    </row>
    <row r="1531" spans="1:12">
      <c r="A1531" t="str" cm="1">
        <f t="array" ref="A1531">_xlfn.LET(_xlpm.e,L1531,
IF(_xlpm.e="","",
"DOC-"&amp;TEXT(ROW()-ROW(tblMaster[#Headers]),"00000")
))</f>
        <v>DOC-01530</v>
      </c>
      <c r="B1531" s="51">
        <v>46048</v>
      </c>
      <c r="C1531" s="34" t="s">
        <v>4266</v>
      </c>
      <c r="D1531" s="34" t="s">
        <v>5998</v>
      </c>
      <c r="E1531" s="124" t="s">
        <v>5999</v>
      </c>
      <c r="F1531" s="125" t="s">
        <v>6000</v>
      </c>
      <c r="G1531" s="34" t="s">
        <v>33</v>
      </c>
      <c r="H1531" s="17" t="s">
        <v>17</v>
      </c>
      <c r="I1531" s="18" t="s">
        <v>101</v>
      </c>
      <c r="J1531" s="99" t="s">
        <v>560</v>
      </c>
      <c r="K1531" s="5" t="s">
        <v>4185</v>
      </c>
      <c r="L1531" t="str">
        <f t="shared" ref="L1531:L1557" si="25">_xlfn.LET(_xlpm.x,E1531,
_xlpm.y,TRIM(CLEAN(SUBSTITUTE(_xlpm.x,CHAR(160)," "))),
LOWER(_xlpm.y))</f>
        <v>alainbessard@icloud.com</v>
      </c>
    </row>
    <row r="1532" spans="1:12">
      <c r="A1532" t="str" cm="1">
        <f t="array" ref="A1532">_xlfn.LET(_xlpm.e,L1532,
IF(_xlpm.e="","",
"DOC-"&amp;TEXT(ROW()-ROW(tblMaster[#Headers]),"00000")
))</f>
        <v>DOC-01531</v>
      </c>
      <c r="B1532" s="51">
        <v>46050</v>
      </c>
      <c r="C1532" s="56" t="s">
        <v>6001</v>
      </c>
      <c r="D1532" s="56" t="s">
        <v>6002</v>
      </c>
      <c r="E1532" s="45" t="s">
        <v>6003</v>
      </c>
      <c r="F1532" s="33" t="s">
        <v>6004</v>
      </c>
      <c r="G1532" s="56" t="s">
        <v>6005</v>
      </c>
      <c r="H1532" s="17" t="s">
        <v>237</v>
      </c>
      <c r="I1532" s="18" t="s">
        <v>54</v>
      </c>
      <c r="J1532" s="99" t="s">
        <v>23</v>
      </c>
      <c r="K1532" s="5" t="s">
        <v>4185</v>
      </c>
      <c r="L1532" t="str">
        <f t="shared" si="25"/>
        <v>okere2013@outlook.com</v>
      </c>
    </row>
    <row r="1533" spans="1:12">
      <c r="A1533" t="str" cm="1">
        <f t="array" ref="A1533">_xlfn.LET(_xlpm.e,L1533,
IF(_xlpm.e="","",
"DOC-"&amp;TEXT(ROW()-ROW(tblMaster[#Headers]),"00000")
))</f>
        <v>DOC-01532</v>
      </c>
      <c r="B1533" s="51">
        <v>46048</v>
      </c>
      <c r="C1533" s="56" t="s">
        <v>175</v>
      </c>
      <c r="D1533" s="56" t="s">
        <v>6006</v>
      </c>
      <c r="E1533" s="45" t="s">
        <v>6007</v>
      </c>
      <c r="F1533" s="33" t="s">
        <v>6008</v>
      </c>
      <c r="G1533" s="56" t="s">
        <v>276</v>
      </c>
      <c r="H1533" s="17" t="s">
        <v>17</v>
      </c>
      <c r="I1533" s="18" t="s">
        <v>101</v>
      </c>
      <c r="J1533" s="99" t="s">
        <v>497</v>
      </c>
      <c r="K1533" s="5" t="s">
        <v>4185</v>
      </c>
      <c r="L1533" t="str">
        <f t="shared" si="25"/>
        <v>downtownbrownn67@gmail.com</v>
      </c>
    </row>
    <row r="1534" spans="1:12">
      <c r="A1534" t="str" cm="1">
        <f t="array" ref="A1534">_xlfn.LET(_xlpm.e,L1534,
IF(_xlpm.e="","",
"DOC-"&amp;TEXT(ROW()-ROW(tblMaster[#Headers]),"00000")
))</f>
        <v>DOC-01533</v>
      </c>
      <c r="B1534" s="51">
        <v>46048</v>
      </c>
      <c r="C1534" s="56" t="s">
        <v>6009</v>
      </c>
      <c r="D1534" s="56" t="s">
        <v>6010</v>
      </c>
      <c r="E1534" s="45" t="s">
        <v>6011</v>
      </c>
      <c r="F1534" s="33">
        <v>7815131751</v>
      </c>
      <c r="G1534" s="56" t="s">
        <v>257</v>
      </c>
      <c r="H1534" s="17" t="s">
        <v>17</v>
      </c>
      <c r="I1534" s="18" t="s">
        <v>101</v>
      </c>
      <c r="J1534" s="99" t="s">
        <v>194</v>
      </c>
      <c r="K1534" s="5" t="s">
        <v>4185</v>
      </c>
      <c r="L1534" t="str">
        <f t="shared" si="25"/>
        <v>ntejeda01@gmail.com</v>
      </c>
    </row>
    <row r="1535" spans="1:12">
      <c r="A1535" t="str" cm="1">
        <f t="array" ref="A1535">_xlfn.LET(_xlpm.e,L1535,
IF(_xlpm.e="","",
"DOC-"&amp;TEXT(ROW()-ROW(tblMaster[#Headers]),"00000")
))</f>
        <v>DOC-01534</v>
      </c>
      <c r="B1535" s="51">
        <v>46048</v>
      </c>
      <c r="C1535" s="56" t="s">
        <v>4161</v>
      </c>
      <c r="D1535" s="56" t="s">
        <v>6012</v>
      </c>
      <c r="E1535" s="45" t="s">
        <v>6013</v>
      </c>
      <c r="F1535" s="33" t="s">
        <v>6014</v>
      </c>
      <c r="G1535" s="56" t="s">
        <v>231</v>
      </c>
      <c r="H1535" s="17" t="s">
        <v>17</v>
      </c>
      <c r="I1535" s="18" t="s">
        <v>54</v>
      </c>
      <c r="J1535" s="99" t="s">
        <v>66</v>
      </c>
      <c r="K1535" s="5" t="s">
        <v>4185</v>
      </c>
      <c r="L1535" t="str">
        <f t="shared" si="25"/>
        <v>amb749985@gmail.com</v>
      </c>
    </row>
    <row r="1536" spans="1:12">
      <c r="A1536" t="str" cm="1">
        <f t="array" ref="A1536">_xlfn.LET(_xlpm.e,L1536,
IF(_xlpm.e="","",
"DOC-"&amp;TEXT(ROW()-ROW(tblMaster[#Headers]),"00000")
))</f>
        <v>DOC-01535</v>
      </c>
      <c r="B1536" s="51">
        <v>46049</v>
      </c>
      <c r="C1536" s="56" t="s">
        <v>4009</v>
      </c>
      <c r="D1536" s="56" t="s">
        <v>6015</v>
      </c>
      <c r="E1536" s="45" t="s">
        <v>6016</v>
      </c>
      <c r="F1536" s="33" t="s">
        <v>6017</v>
      </c>
      <c r="G1536" s="56" t="s">
        <v>2811</v>
      </c>
      <c r="H1536" s="17" t="s">
        <v>17</v>
      </c>
      <c r="I1536" s="18" t="s">
        <v>54</v>
      </c>
      <c r="J1536" s="99" t="s">
        <v>118</v>
      </c>
      <c r="K1536" s="5" t="s">
        <v>4185</v>
      </c>
      <c r="L1536" t="str">
        <f t="shared" si="25"/>
        <v>s.francois713@yahoo.com</v>
      </c>
    </row>
    <row r="1537" spans="1:12">
      <c r="A1537" t="str" cm="1">
        <f t="array" ref="A1537">_xlfn.LET(_xlpm.e,L1537,
IF(_xlpm.e="","",
"DOC-"&amp;TEXT(ROW()-ROW(tblMaster[#Headers]),"00000")
))</f>
        <v>DOC-01536</v>
      </c>
      <c r="B1537" s="51">
        <v>46049</v>
      </c>
      <c r="C1537" s="56" t="s">
        <v>3026</v>
      </c>
      <c r="D1537" s="56" t="s">
        <v>6018</v>
      </c>
      <c r="E1537" s="45" t="s">
        <v>6019</v>
      </c>
      <c r="F1537" s="33" t="s">
        <v>6020</v>
      </c>
      <c r="G1537" s="56" t="s">
        <v>2770</v>
      </c>
      <c r="H1537" s="17" t="s">
        <v>17</v>
      </c>
      <c r="I1537" s="18" t="s">
        <v>54</v>
      </c>
      <c r="J1537" s="99" t="s">
        <v>497</v>
      </c>
      <c r="K1537" s="5" t="s">
        <v>4185</v>
      </c>
      <c r="L1537" t="str">
        <f t="shared" si="25"/>
        <v>arthurneedham13@gmail.com</v>
      </c>
    </row>
    <row r="1538" spans="1:12">
      <c r="A1538" t="str" cm="1">
        <f t="array" ref="A1538">_xlfn.LET(_xlpm.e,L1538,
IF(_xlpm.e="","",
"DOC-"&amp;TEXT(ROW()-ROW(tblMaster[#Headers]),"00000")
))</f>
        <v>DOC-01537</v>
      </c>
      <c r="B1538" s="51">
        <v>46049</v>
      </c>
      <c r="C1538" s="34" t="s">
        <v>934</v>
      </c>
      <c r="D1538" s="34" t="s">
        <v>6021</v>
      </c>
      <c r="E1538" s="124" t="s">
        <v>6022</v>
      </c>
      <c r="F1538" s="125" t="s">
        <v>6023</v>
      </c>
      <c r="G1538" s="34" t="s">
        <v>6024</v>
      </c>
      <c r="I1538" s="18" t="s">
        <v>54</v>
      </c>
      <c r="J1538" s="99" t="s">
        <v>560</v>
      </c>
      <c r="K1538" s="5" t="s">
        <v>4185</v>
      </c>
      <c r="L1538" t="str">
        <f t="shared" si="25"/>
        <v>dkmeitamei@gmail.com</v>
      </c>
    </row>
    <row r="1539" spans="1:12">
      <c r="A1539" t="str" cm="1">
        <f t="array" ref="A1539">_xlfn.LET(_xlpm.e,L1539,
IF(_xlpm.e="","",
"DOC-"&amp;TEXT(ROW()-ROW(tblMaster[#Headers]),"00000")
))</f>
        <v>DOC-01538</v>
      </c>
      <c r="B1539" s="51">
        <v>46049</v>
      </c>
      <c r="C1539" s="56" t="s">
        <v>2498</v>
      </c>
      <c r="D1539" s="56" t="s">
        <v>6025</v>
      </c>
      <c r="E1539" s="45" t="s">
        <v>6026</v>
      </c>
      <c r="F1539" s="33" t="s">
        <v>6027</v>
      </c>
      <c r="G1539" s="56" t="s">
        <v>79</v>
      </c>
      <c r="I1539" s="18" t="s">
        <v>54</v>
      </c>
      <c r="J1539" s="99" t="s">
        <v>23</v>
      </c>
      <c r="K1539" s="5" t="s">
        <v>4185</v>
      </c>
      <c r="L1539" t="str">
        <f t="shared" si="25"/>
        <v>rodbameek13@yahoo.com</v>
      </c>
    </row>
    <row r="1540" spans="1:12">
      <c r="A1540" t="str" cm="1">
        <f t="array" ref="A1540">_xlfn.LET(_xlpm.e,L1540,
IF(_xlpm.e="","",
"DOC-"&amp;TEXT(ROW()-ROW(tblMaster[#Headers]),"00000")
))</f>
        <v>DOC-01539</v>
      </c>
      <c r="B1540" s="51">
        <v>46049</v>
      </c>
      <c r="C1540" s="56" t="s">
        <v>6028</v>
      </c>
      <c r="D1540" s="56" t="s">
        <v>6029</v>
      </c>
      <c r="E1540" s="45" t="s">
        <v>6030</v>
      </c>
      <c r="F1540" s="33" t="s">
        <v>6031</v>
      </c>
      <c r="G1540" s="56" t="s">
        <v>6032</v>
      </c>
      <c r="H1540" t="s">
        <v>6033</v>
      </c>
      <c r="I1540" s="18" t="s">
        <v>54</v>
      </c>
      <c r="J1540" s="99" t="s">
        <v>497</v>
      </c>
      <c r="K1540" s="5" t="s">
        <v>4185</v>
      </c>
      <c r="L1540" t="str">
        <f t="shared" si="25"/>
        <v>jeanclaudemaison06@gmail.com</v>
      </c>
    </row>
    <row r="1541" spans="1:12">
      <c r="A1541" t="str" cm="1">
        <f t="array" ref="A1541">_xlfn.LET(_xlpm.e,L1541,
IF(_xlpm.e="","",
"DOC-"&amp;TEXT(ROW()-ROW(tblMaster[#Headers]),"00000")
))</f>
        <v>DOC-01540</v>
      </c>
      <c r="B1541" s="51">
        <v>46049</v>
      </c>
      <c r="C1541" s="56" t="s">
        <v>1173</v>
      </c>
      <c r="D1541" s="56" t="s">
        <v>6034</v>
      </c>
      <c r="E1541" s="45" t="s">
        <v>6035</v>
      </c>
      <c r="F1541" s="33" t="s">
        <v>6036</v>
      </c>
      <c r="G1541" s="56" t="s">
        <v>581</v>
      </c>
      <c r="H1541" t="s">
        <v>53</v>
      </c>
      <c r="I1541" s="18" t="s">
        <v>54</v>
      </c>
      <c r="J1541" s="99" t="s">
        <v>194</v>
      </c>
      <c r="K1541" s="5" t="s">
        <v>4185</v>
      </c>
      <c r="L1541" t="str">
        <f t="shared" si="25"/>
        <v>fofana.mjl@gmail.com</v>
      </c>
    </row>
    <row r="1542" spans="1:12">
      <c r="A1542" t="str" cm="1">
        <f t="array" ref="A1542">_xlfn.LET(_xlpm.e,L1542,
IF(_xlpm.e="","",
"DOC-"&amp;TEXT(ROW()-ROW(tblMaster[#Headers]),"00000")
))</f>
        <v>DOC-01541</v>
      </c>
      <c r="B1542" s="51">
        <v>46049</v>
      </c>
      <c r="C1542" s="56" t="s">
        <v>6037</v>
      </c>
      <c r="D1542" s="56" t="s">
        <v>897</v>
      </c>
      <c r="E1542" s="45" t="s">
        <v>6038</v>
      </c>
      <c r="F1542" s="33"/>
      <c r="G1542" s="56"/>
      <c r="H1542" t="s">
        <v>53</v>
      </c>
      <c r="I1542" s="18" t="s">
        <v>101</v>
      </c>
      <c r="J1542" s="99" t="s">
        <v>66</v>
      </c>
      <c r="K1542" s="5" t="s">
        <v>4185</v>
      </c>
      <c r="L1542" t="str">
        <f t="shared" si="25"/>
        <v>nelvinrodriguez746@gmail.com</v>
      </c>
    </row>
    <row r="1543" spans="1:12" ht="15.75">
      <c r="A1543" t="str" cm="1">
        <f t="array" ref="A1543">_xlfn.LET(_xlpm.e,L1543,
IF(_xlpm.e="","",
"DOC-"&amp;TEXT(ROW()-ROW(tblMaster[#Headers]),"00000")
))</f>
        <v>DOC-01542</v>
      </c>
      <c r="B1543" s="51">
        <v>46049</v>
      </c>
      <c r="C1543" s="56" t="s">
        <v>6039</v>
      </c>
      <c r="D1543" s="69" t="s">
        <v>6040</v>
      </c>
      <c r="E1543" s="45" t="s">
        <v>6041</v>
      </c>
      <c r="F1543" s="33" t="s">
        <v>6042</v>
      </c>
      <c r="G1543" s="56" t="s">
        <v>6043</v>
      </c>
      <c r="H1543" t="s">
        <v>53</v>
      </c>
      <c r="I1543" s="18" t="s">
        <v>101</v>
      </c>
      <c r="J1543" s="99" t="s">
        <v>118</v>
      </c>
      <c r="K1543" s="5" t="s">
        <v>4185</v>
      </c>
      <c r="L1543" t="str">
        <f t="shared" si="25"/>
        <v>indialichelle@icloud.com</v>
      </c>
    </row>
    <row r="1544" spans="1:12">
      <c r="A1544" t="str" cm="1">
        <f t="array" ref="A1544">_xlfn.LET(_xlpm.e,L1544,
IF(_xlpm.e="","",
"DOC-"&amp;TEXT(ROW()-ROW(tblMaster[#Headers]),"00000")
))</f>
        <v>DOC-01543</v>
      </c>
      <c r="B1544" s="51">
        <v>46049</v>
      </c>
      <c r="C1544" s="34" t="s">
        <v>457</v>
      </c>
      <c r="D1544" s="34" t="s">
        <v>6044</v>
      </c>
      <c r="E1544" s="124" t="s">
        <v>6045</v>
      </c>
      <c r="F1544" s="125"/>
      <c r="G1544" s="34"/>
      <c r="H1544" t="s">
        <v>53</v>
      </c>
      <c r="I1544" s="18" t="s">
        <v>101</v>
      </c>
      <c r="J1544" s="99" t="s">
        <v>560</v>
      </c>
      <c r="K1544" s="5" t="s">
        <v>4185</v>
      </c>
      <c r="L1544" t="str">
        <f t="shared" si="25"/>
        <v>douglasdaley312@gmail.com</v>
      </c>
    </row>
    <row r="1545" spans="1:12">
      <c r="A1545" t="str" cm="1">
        <f t="array" ref="A1545">_xlfn.LET(_xlpm.e,L1545,
IF(_xlpm.e="","",
"DOC-"&amp;TEXT(ROW()-ROW(tblMaster[#Headers]),"00000")
))</f>
        <v>DOC-01544</v>
      </c>
      <c r="B1545" s="51">
        <v>46049</v>
      </c>
      <c r="C1545" s="56" t="s">
        <v>6046</v>
      </c>
      <c r="D1545" s="56" t="s">
        <v>6047</v>
      </c>
      <c r="E1545" s="45" t="s">
        <v>6048</v>
      </c>
      <c r="F1545" s="33">
        <v>2539734324</v>
      </c>
      <c r="G1545" s="56" t="s">
        <v>47</v>
      </c>
      <c r="H1545" t="s">
        <v>53</v>
      </c>
      <c r="I1545" s="18" t="s">
        <v>101</v>
      </c>
      <c r="J1545" s="99" t="s">
        <v>23</v>
      </c>
      <c r="K1545" s="5" t="s">
        <v>4185</v>
      </c>
      <c r="L1545" t="str">
        <f t="shared" si="25"/>
        <v>forchue12@icloud.com</v>
      </c>
    </row>
    <row r="1546" spans="1:12">
      <c r="A1546" t="str" cm="1">
        <f t="array" ref="A1546">_xlfn.LET(_xlpm.e,L1546,
IF(_xlpm.e="","",
"DOC-"&amp;TEXT(ROW()-ROW(tblMaster[#Headers]),"00000")
))</f>
        <v>DOC-01545</v>
      </c>
      <c r="B1546" s="51">
        <v>46049</v>
      </c>
      <c r="C1546" s="56" t="s">
        <v>6049</v>
      </c>
      <c r="D1546" s="56" t="s">
        <v>6050</v>
      </c>
      <c r="E1546" s="45" t="s">
        <v>6051</v>
      </c>
      <c r="F1546" s="33">
        <v>6179139566</v>
      </c>
      <c r="G1546" s="56" t="s">
        <v>6052</v>
      </c>
      <c r="H1546" t="s">
        <v>53</v>
      </c>
      <c r="I1546" s="18" t="s">
        <v>101</v>
      </c>
      <c r="J1546" s="99" t="s">
        <v>497</v>
      </c>
      <c r="K1546" s="5" t="s">
        <v>4185</v>
      </c>
      <c r="L1546" t="str">
        <f t="shared" si="25"/>
        <v>nathalyjc@yahoo.com</v>
      </c>
    </row>
    <row r="1547" spans="1:12">
      <c r="A1547" t="str" cm="1">
        <f t="array" ref="A1547">_xlfn.LET(_xlpm.e,L1547,
IF(_xlpm.e="","",
"DOC-"&amp;TEXT(ROW()-ROW(tblMaster[#Headers]),"00000")
))</f>
        <v>DOC-01546</v>
      </c>
      <c r="B1547" s="51">
        <v>46049</v>
      </c>
      <c r="C1547" s="56" t="s">
        <v>6053</v>
      </c>
      <c r="D1547" s="56" t="s">
        <v>1744</v>
      </c>
      <c r="E1547" s="45" t="s">
        <v>6054</v>
      </c>
      <c r="F1547" s="33">
        <v>9172317057</v>
      </c>
      <c r="G1547" s="56"/>
      <c r="I1547" s="18" t="s">
        <v>101</v>
      </c>
      <c r="J1547" s="99" t="s">
        <v>194</v>
      </c>
      <c r="K1547" s="5" t="s">
        <v>4185</v>
      </c>
      <c r="L1547" t="str">
        <f t="shared" si="25"/>
        <v>mckasiawilliams@gmail.com</v>
      </c>
    </row>
    <row r="1548" spans="1:12">
      <c r="A1548" t="str" cm="1">
        <f t="array" ref="A1548">_xlfn.LET(_xlpm.e,L1548,
IF(_xlpm.e="","",
"DOC-"&amp;TEXT(ROW()-ROW(tblMaster[#Headers]),"00000")
))</f>
        <v>DOC-01547</v>
      </c>
      <c r="B1548" s="51">
        <v>46049</v>
      </c>
      <c r="C1548" s="56" t="s">
        <v>6055</v>
      </c>
      <c r="D1548" s="56" t="s">
        <v>6056</v>
      </c>
      <c r="E1548" s="45" t="s">
        <v>6057</v>
      </c>
      <c r="F1548" s="33">
        <v>7818157463</v>
      </c>
      <c r="G1548" s="56" t="s">
        <v>544</v>
      </c>
      <c r="H1548" t="s">
        <v>53</v>
      </c>
      <c r="I1548" s="18" t="s">
        <v>101</v>
      </c>
      <c r="J1548" s="99" t="s">
        <v>66</v>
      </c>
      <c r="K1548" s="5" t="s">
        <v>4185</v>
      </c>
      <c r="L1548" t="str">
        <f t="shared" si="25"/>
        <v>abelingo2013@gmail.com</v>
      </c>
    </row>
    <row r="1549" spans="1:12">
      <c r="A1549" t="str" cm="1">
        <f t="array" ref="A1549">_xlfn.LET(_xlpm.e,L1549,
IF(_xlpm.e="","",
"DOC-"&amp;TEXT(ROW()-ROW(tblMaster[#Headers]),"00000")
))</f>
        <v>DOC-01548</v>
      </c>
      <c r="B1549" s="51">
        <v>46049</v>
      </c>
      <c r="C1549" s="56" t="s">
        <v>6058</v>
      </c>
      <c r="D1549" s="56" t="s">
        <v>6059</v>
      </c>
      <c r="E1549" s="45" t="s">
        <v>6060</v>
      </c>
      <c r="F1549" s="33" t="s">
        <v>6061</v>
      </c>
      <c r="G1549" s="56" t="s">
        <v>6062</v>
      </c>
      <c r="H1549" t="s">
        <v>53</v>
      </c>
      <c r="I1549" s="18" t="s">
        <v>101</v>
      </c>
      <c r="J1549" s="99" t="s">
        <v>118</v>
      </c>
      <c r="K1549" s="5" t="s">
        <v>4185</v>
      </c>
      <c r="L1549" t="str">
        <f t="shared" si="25"/>
        <v>seanstealth@icloud.com</v>
      </c>
    </row>
    <row r="1550" spans="1:12">
      <c r="A1550" t="str" cm="1">
        <f t="array" ref="A1550">_xlfn.LET(_xlpm.e,L1550,
IF(_xlpm.e="","",
"DOC-"&amp;TEXT(ROW()-ROW(tblMaster[#Headers]),"00000")
))</f>
        <v>DOC-01549</v>
      </c>
      <c r="B1550" s="51">
        <v>46049</v>
      </c>
      <c r="C1550" s="34" t="s">
        <v>6063</v>
      </c>
      <c r="D1550" s="34" t="s">
        <v>6064</v>
      </c>
      <c r="E1550" s="124" t="s">
        <v>6065</v>
      </c>
      <c r="F1550" s="125">
        <v>5088479444</v>
      </c>
      <c r="G1550" s="34" t="s">
        <v>74</v>
      </c>
      <c r="H1550" t="s">
        <v>53</v>
      </c>
      <c r="I1550" s="18" t="s">
        <v>101</v>
      </c>
      <c r="J1550" s="99" t="s">
        <v>560</v>
      </c>
      <c r="K1550" s="5" t="s">
        <v>4185</v>
      </c>
      <c r="L1550" t="str">
        <f t="shared" si="25"/>
        <v>rpena120@icloud.com</v>
      </c>
    </row>
    <row r="1551" spans="1:12">
      <c r="A1551" t="str" cm="1">
        <f t="array" ref="A1551">_xlfn.LET(_xlpm.e,L1551,
IF(_xlpm.e="","",
"DOC-"&amp;TEXT(ROW()-ROW(tblMaster[#Headers]),"00000")
))</f>
        <v>DOC-01550</v>
      </c>
      <c r="B1551" s="51">
        <v>46049</v>
      </c>
      <c r="C1551" s="56" t="s">
        <v>6066</v>
      </c>
      <c r="D1551" s="56" t="s">
        <v>6067</v>
      </c>
      <c r="E1551" s="45" t="s">
        <v>6068</v>
      </c>
      <c r="F1551" s="33"/>
      <c r="G1551" s="56"/>
      <c r="I1551" s="18" t="s">
        <v>101</v>
      </c>
      <c r="J1551" s="99" t="s">
        <v>23</v>
      </c>
      <c r="K1551" s="5" t="s">
        <v>4185</v>
      </c>
      <c r="L1551" t="str">
        <f t="shared" si="25"/>
        <v>shawnte13.walls@gmail.com</v>
      </c>
    </row>
    <row r="1552" spans="1:12">
      <c r="A1552" t="str" cm="1">
        <f t="array" ref="A1552">_xlfn.LET(_xlpm.e,L1552,
IF(_xlpm.e="","",
"DOC-"&amp;TEXT(ROW()-ROW(tblMaster[#Headers]),"00000")
))</f>
        <v>DOC-01551</v>
      </c>
      <c r="B1552" s="51">
        <v>46049</v>
      </c>
      <c r="C1552" s="56" t="s">
        <v>6069</v>
      </c>
      <c r="D1552" s="56" t="s">
        <v>6070</v>
      </c>
      <c r="E1552" s="45" t="s">
        <v>6071</v>
      </c>
      <c r="F1552" s="33" t="s">
        <v>6072</v>
      </c>
      <c r="G1552" s="56" t="s">
        <v>52</v>
      </c>
      <c r="I1552" s="18" t="s">
        <v>101</v>
      </c>
      <c r="J1552" s="99" t="s">
        <v>497</v>
      </c>
      <c r="K1552" s="5" t="s">
        <v>4185</v>
      </c>
      <c r="L1552" t="str">
        <f t="shared" si="25"/>
        <v>jodel89@gmail.com</v>
      </c>
    </row>
    <row r="1553" spans="1:12">
      <c r="A1553" t="str" cm="1">
        <f t="array" ref="A1553">_xlfn.LET(_xlpm.e,L1553,
IF(_xlpm.e="","",
"DOC-"&amp;TEXT(ROW()-ROW(tblMaster[#Headers]),"00000")
))</f>
        <v>DOC-01552</v>
      </c>
      <c r="B1553" s="51">
        <v>46049</v>
      </c>
      <c r="C1553" s="56" t="s">
        <v>6073</v>
      </c>
      <c r="D1553" s="56" t="s">
        <v>6074</v>
      </c>
      <c r="E1553" s="45" t="s">
        <v>6075</v>
      </c>
      <c r="F1553" s="33">
        <v>8572479713</v>
      </c>
      <c r="G1553" s="56" t="s">
        <v>6076</v>
      </c>
      <c r="I1553" s="18" t="s">
        <v>101</v>
      </c>
      <c r="J1553" s="99" t="s">
        <v>194</v>
      </c>
      <c r="K1553" s="5" t="s">
        <v>4185</v>
      </c>
      <c r="L1553" t="str">
        <f t="shared" si="25"/>
        <v>osychristy@gmail.com</v>
      </c>
    </row>
    <row r="1554" spans="1:12">
      <c r="A1554" t="str" cm="1">
        <f t="array" ref="A1554">_xlfn.LET(_xlpm.e,L1554,
IF(_xlpm.e="","",
"DOC-"&amp;TEXT(ROW()-ROW(tblMaster[#Headers]),"00000")
))</f>
        <v/>
      </c>
      <c r="B1554" s="51"/>
      <c r="C1554" s="56"/>
      <c r="D1554" s="56"/>
      <c r="E1554" s="45"/>
      <c r="F1554" s="33"/>
      <c r="G1554" s="56"/>
      <c r="I1554" s="34"/>
      <c r="K1554" s="5" t="s">
        <v>4185</v>
      </c>
      <c r="L1554" t="str">
        <f t="shared" si="25"/>
        <v/>
      </c>
    </row>
    <row r="1555" spans="1:12">
      <c r="A1555" t="str" cm="1">
        <f t="array" ref="A1555">_xlfn.LET(_xlpm.e,L1555,
IF(_xlpm.e="","",
"DOC-"&amp;TEXT(ROW()-ROW(tblMaster[#Headers]),"00000")
))</f>
        <v>DOC-01554</v>
      </c>
      <c r="B1555" s="51">
        <v>46049</v>
      </c>
      <c r="C1555" s="56" t="s">
        <v>6077</v>
      </c>
      <c r="D1555" s="56" t="s">
        <v>6078</v>
      </c>
      <c r="E1555" s="45" t="s">
        <v>6079</v>
      </c>
      <c r="F1555" s="33"/>
      <c r="G1555" s="56" t="s">
        <v>837</v>
      </c>
      <c r="H1555" t="s">
        <v>53</v>
      </c>
      <c r="I1555" s="34" t="s">
        <v>2276</v>
      </c>
      <c r="J1555" s="99" t="s">
        <v>66</v>
      </c>
      <c r="K1555" s="5" t="s">
        <v>4185</v>
      </c>
      <c r="L1555" t="str">
        <f t="shared" si="25"/>
        <v>richelismatosbetances@gmail.com</v>
      </c>
    </row>
    <row r="1556" spans="1:12">
      <c r="A1556" t="str" cm="1">
        <f t="array" ref="A1556">_xlfn.LET(_xlpm.e,L1556,
IF(_xlpm.e="","",
"DOC-"&amp;TEXT(ROW()-ROW(tblMaster[#Headers]),"00000")
))</f>
        <v>DOC-01555</v>
      </c>
      <c r="B1556" s="51">
        <v>46049</v>
      </c>
      <c r="C1556" s="56" t="s">
        <v>6080</v>
      </c>
      <c r="D1556" s="56" t="s">
        <v>360</v>
      </c>
      <c r="E1556" s="45" t="s">
        <v>6081</v>
      </c>
      <c r="F1556" s="33" t="s">
        <v>6082</v>
      </c>
      <c r="G1556" s="56" t="s">
        <v>6083</v>
      </c>
      <c r="H1556" t="s">
        <v>153</v>
      </c>
      <c r="I1556" s="34" t="s">
        <v>2276</v>
      </c>
      <c r="J1556" s="99" t="s">
        <v>118</v>
      </c>
      <c r="K1556" s="5" t="s">
        <v>4185</v>
      </c>
      <c r="L1556" t="str">
        <f t="shared" si="25"/>
        <v>enairaw@gmail.com</v>
      </c>
    </row>
    <row r="1557" spans="1:12">
      <c r="A1557" t="str" cm="1">
        <f t="array" ref="A1557">_xlfn.LET(_xlpm.e,L1557,
IF(_xlpm.e="","",
"DOC-"&amp;TEXT(ROW()-ROW(tblMaster[#Headers]),"00000")
))</f>
        <v>DOC-01556</v>
      </c>
      <c r="B1557" s="51">
        <v>46049</v>
      </c>
      <c r="C1557" s="34" t="s">
        <v>6084</v>
      </c>
      <c r="D1557" s="34" t="s">
        <v>6085</v>
      </c>
      <c r="E1557" s="126" t="s">
        <v>6086</v>
      </c>
      <c r="F1557" s="125" t="s">
        <v>6087</v>
      </c>
      <c r="G1557" s="34"/>
      <c r="I1557" s="35"/>
      <c r="J1557" s="99" t="s">
        <v>560</v>
      </c>
      <c r="K1557" s="5" t="s">
        <v>4185</v>
      </c>
      <c r="L1557" t="str">
        <f t="shared" si="25"/>
        <v>aishorjo95@gmail.com</v>
      </c>
    </row>
    <row r="1558" spans="1:12">
      <c r="A1558" t="str" cm="1">
        <f t="array" ref="A1558">_xlfn.LET(_xlpm.e,L1558,
IF(_xlpm.e="","",
"DOC-"&amp;TEXT(ROW()-ROW(tblMaster[#Headers]),"00000")
))</f>
        <v>DOC-01557</v>
      </c>
      <c r="B1558" s="47">
        <v>46049</v>
      </c>
      <c r="C1558" s="36" t="s">
        <v>6088</v>
      </c>
      <c r="D1558" s="36" t="s">
        <v>6089</v>
      </c>
      <c r="E1558" s="71" t="s">
        <v>6090</v>
      </c>
      <c r="F1558" s="4" t="s">
        <v>6091</v>
      </c>
      <c r="G1558" s="36" t="s">
        <v>918</v>
      </c>
      <c r="H1558" t="s">
        <v>53</v>
      </c>
      <c r="I1558" s="18" t="s">
        <v>101</v>
      </c>
      <c r="J1558" s="99" t="s">
        <v>23</v>
      </c>
      <c r="K1558" s="5" t="s">
        <v>4185</v>
      </c>
      <c r="L1558" t="str">
        <f t="shared" ref="L1558:L1565" si="26">_xlfn.LET(_xlpm.x,E1558,
_xlpm.y,TRIM(CLEAN(SUBSTITUTE(_xlpm.x,CHAR(160)," "))),
LOWER(_xlpm.y))</f>
        <v>chel.leigh98@icloud.com</v>
      </c>
    </row>
    <row r="1559" spans="1:12">
      <c r="A1559" t="str" cm="1">
        <f t="array" ref="A1559">_xlfn.LET(_xlpm.e,L1559,
IF(_xlpm.e="","",
"DOC-"&amp;TEXT(ROW()-ROW(tblMaster[#Headers]),"00000")
))</f>
        <v>DOC-01558</v>
      </c>
      <c r="B1559" s="47">
        <v>46049</v>
      </c>
      <c r="C1559" s="36" t="s">
        <v>929</v>
      </c>
      <c r="D1559" s="36" t="s">
        <v>6092</v>
      </c>
      <c r="E1559" s="71" t="s">
        <v>6093</v>
      </c>
      <c r="F1559" s="4" t="s">
        <v>6094</v>
      </c>
      <c r="G1559" s="36" t="s">
        <v>6095</v>
      </c>
      <c r="H1559" t="s">
        <v>1590</v>
      </c>
      <c r="I1559" s="5" t="s">
        <v>2276</v>
      </c>
      <c r="J1559" s="99" t="s">
        <v>497</v>
      </c>
      <c r="K1559" s="5" t="s">
        <v>4185</v>
      </c>
      <c r="L1559" t="str">
        <f t="shared" si="26"/>
        <v>forwrkemail@gmail.com</v>
      </c>
    </row>
    <row r="1560" spans="1:12">
      <c r="A1560" t="str" cm="1">
        <f t="array" ref="A1560">_xlfn.LET(_xlpm.e,L1560,
IF(_xlpm.e="","",
"DOC-"&amp;TEXT(ROW()-ROW(tblMaster[#Headers]),"00000")
))</f>
        <v>DOC-01559</v>
      </c>
      <c r="B1560" s="47">
        <v>46050</v>
      </c>
      <c r="C1560" s="36" t="s">
        <v>262</v>
      </c>
      <c r="D1560" s="36" t="s">
        <v>6096</v>
      </c>
      <c r="E1560" s="71" t="s">
        <v>6097</v>
      </c>
      <c r="F1560" s="4" t="s">
        <v>6098</v>
      </c>
      <c r="G1560" s="36" t="s">
        <v>3506</v>
      </c>
      <c r="H1560" t="s">
        <v>267</v>
      </c>
      <c r="I1560" s="18" t="s">
        <v>54</v>
      </c>
      <c r="J1560" s="99" t="s">
        <v>194</v>
      </c>
      <c r="K1560" s="5" t="s">
        <v>4185</v>
      </c>
      <c r="L1560" t="str">
        <f t="shared" si="26"/>
        <v>akwasiadjeigh@gmail.com</v>
      </c>
    </row>
    <row r="1561" spans="1:12">
      <c r="A1561" t="str" cm="1">
        <f t="array" ref="A1561">_xlfn.LET(_xlpm.e,L1561,
IF(_xlpm.e="","",
"DOC-"&amp;TEXT(ROW()-ROW(tblMaster[#Headers]),"00000")
))</f>
        <v>DOC-01560</v>
      </c>
      <c r="B1561" s="51">
        <v>46049</v>
      </c>
      <c r="C1561" s="56" t="s">
        <v>1636</v>
      </c>
      <c r="D1561" s="56" t="s">
        <v>6099</v>
      </c>
      <c r="E1561" s="45" t="s">
        <v>6100</v>
      </c>
      <c r="F1561" s="33"/>
      <c r="G1561" s="56" t="s">
        <v>220</v>
      </c>
      <c r="H1561" t="s">
        <v>53</v>
      </c>
      <c r="I1561" s="5" t="s">
        <v>2276</v>
      </c>
      <c r="J1561" s="99" t="s">
        <v>66</v>
      </c>
      <c r="K1561" s="5" t="s">
        <v>4185</v>
      </c>
      <c r="L1561" t="str">
        <f t="shared" si="26"/>
        <v>laguerrejames54@gmail.com</v>
      </c>
    </row>
    <row r="1562" spans="1:12">
      <c r="A1562" t="str" cm="1">
        <f t="array" ref="A1562">_xlfn.LET(_xlpm.e,L1562,
IF(_xlpm.e="","",
"DOC-"&amp;TEXT(ROW()-ROW(tblMaster[#Headers]),"00000")
))</f>
        <v>DOC-01561</v>
      </c>
      <c r="B1562" s="51">
        <v>46050</v>
      </c>
      <c r="C1562" s="36" t="s">
        <v>6101</v>
      </c>
      <c r="D1562" s="36" t="s">
        <v>6102</v>
      </c>
      <c r="E1562" s="71" t="s">
        <v>6103</v>
      </c>
      <c r="F1562" s="4" t="s">
        <v>6104</v>
      </c>
      <c r="G1562" s="36" t="s">
        <v>2506</v>
      </c>
      <c r="H1562" t="s">
        <v>53</v>
      </c>
      <c r="I1562" s="18" t="s">
        <v>54</v>
      </c>
      <c r="J1562" s="99" t="s">
        <v>118</v>
      </c>
      <c r="K1562" s="5" t="s">
        <v>4185</v>
      </c>
      <c r="L1562" t="str">
        <f t="shared" si="26"/>
        <v>gaymagdala1984@gmail.com</v>
      </c>
    </row>
    <row r="1563" spans="1:12">
      <c r="A1563" t="str" cm="1">
        <f t="array" ref="A1563">_xlfn.LET(_xlpm.e,L1563,
IF(_xlpm.e="","",
"DOC-"&amp;TEXT(ROW()-ROW(tblMaster[#Headers]),"00000")
))</f>
        <v>DOC-01562</v>
      </c>
      <c r="B1563" s="51">
        <v>46050</v>
      </c>
      <c r="C1563" t="s">
        <v>6105</v>
      </c>
      <c r="D1563" t="s">
        <v>6106</v>
      </c>
      <c r="E1563" s="127" t="s">
        <v>6107</v>
      </c>
      <c r="F1563" s="4" t="s">
        <v>6108</v>
      </c>
      <c r="G1563" t="s">
        <v>33</v>
      </c>
      <c r="H1563" t="s">
        <v>53</v>
      </c>
      <c r="I1563" s="18" t="s">
        <v>54</v>
      </c>
      <c r="J1563" s="99" t="s">
        <v>560</v>
      </c>
      <c r="K1563" s="5" t="s">
        <v>4185</v>
      </c>
      <c r="L1563" t="str">
        <f t="shared" si="26"/>
        <v>melenakarol@gmail.com</v>
      </c>
    </row>
    <row r="1564" spans="1:12">
      <c r="A1564" t="str" cm="1">
        <f t="array" ref="A1564">_xlfn.LET(_xlpm.e,L1564,
IF(_xlpm.e="","",
"DOC-"&amp;TEXT(ROW()-ROW(tblMaster[#Headers]),"00000")
))</f>
        <v>DOC-01563</v>
      </c>
      <c r="B1564" s="51">
        <v>46050</v>
      </c>
      <c r="C1564" s="36" t="s">
        <v>6109</v>
      </c>
      <c r="D1564" s="36" t="s">
        <v>6110</v>
      </c>
      <c r="E1564" s="71" t="s">
        <v>6111</v>
      </c>
      <c r="F1564" s="4" t="s">
        <v>6112</v>
      </c>
      <c r="G1564" s="36" t="s">
        <v>6113</v>
      </c>
      <c r="H1564" t="s">
        <v>6114</v>
      </c>
      <c r="I1564" s="18" t="s">
        <v>54</v>
      </c>
      <c r="J1564" s="99" t="s">
        <v>497</v>
      </c>
      <c r="K1564" s="5" t="s">
        <v>4185</v>
      </c>
      <c r="L1564" t="str">
        <f t="shared" si="26"/>
        <v>esther2let@gmail.com</v>
      </c>
    </row>
    <row r="1565" spans="1:12">
      <c r="A1565" t="str" cm="1">
        <f t="array" ref="A1565">_xlfn.LET(_xlpm.e,L1565,
IF(_xlpm.e="","",
"DOC-"&amp;TEXT(ROW()-ROW(tblMaster[#Headers]),"00000")
))</f>
        <v>DOC-01564</v>
      </c>
      <c r="B1565" s="47">
        <v>46051</v>
      </c>
      <c r="C1565" s="36" t="s">
        <v>6115</v>
      </c>
      <c r="D1565" s="36" t="s">
        <v>6116</v>
      </c>
      <c r="E1565" s="71" t="s">
        <v>6117</v>
      </c>
      <c r="I1565" s="18" t="s">
        <v>101</v>
      </c>
      <c r="J1565" s="99" t="s">
        <v>66</v>
      </c>
      <c r="K1565" s="5" t="s">
        <v>4185</v>
      </c>
      <c r="L1565" t="str">
        <f t="shared" si="26"/>
        <v>pickardkyra08@gmail.com</v>
      </c>
    </row>
    <row r="1566" spans="1:12">
      <c r="A1566" t="str" cm="1">
        <f t="array" ref="A1566">_xlfn.LET(_xlpm.e,L1566,
IF(_xlpm.e="","",
"DOC-"&amp;TEXT(ROW()-ROW(tblMaster[#Headers]),"00000")
))</f>
        <v>DOC-01565</v>
      </c>
      <c r="B1566" s="47">
        <v>45736</v>
      </c>
      <c r="C1566" s="36" t="s">
        <v>6118</v>
      </c>
      <c r="D1566" s="36" t="s">
        <v>6119</v>
      </c>
      <c r="E1566" s="77" t="s">
        <v>6120</v>
      </c>
      <c r="F1566" s="73" t="s">
        <v>6121</v>
      </c>
      <c r="I1566" s="17" t="s">
        <v>5679</v>
      </c>
      <c r="J1566" s="99" t="s">
        <v>23</v>
      </c>
      <c r="K1566" s="5" t="s">
        <v>226</v>
      </c>
      <c r="L1566" t="str">
        <f t="shared" ref="L1566:L1629" si="27">_xlfn.LET(_xlpm.x,E1566,
_xlpm.y,TRIM(CLEAN(SUBSTITUTE(_xlpm.x,CHAR(160)," "))),
LOWER(_xlpm.y))</f>
        <v>mosesbrisson@icloud.com</v>
      </c>
    </row>
    <row r="1567" spans="1:12">
      <c r="A1567" t="str" cm="1">
        <f t="array" ref="A1567">_xlfn.LET(_xlpm.e,L1567,
IF(_xlpm.e="","",
"DOC-"&amp;TEXT(ROW()-ROW(tblMaster[#Headers]),"00000")
))</f>
        <v>DOC-01566</v>
      </c>
      <c r="B1567" s="47">
        <v>45715</v>
      </c>
      <c r="C1567" s="36" t="s">
        <v>2292</v>
      </c>
      <c r="D1567" s="36" t="s">
        <v>2293</v>
      </c>
      <c r="E1567" s="77" t="s">
        <v>6122</v>
      </c>
      <c r="F1567" s="73" t="s">
        <v>6123</v>
      </c>
      <c r="I1567" s="17" t="s">
        <v>5679</v>
      </c>
      <c r="K1567" s="5" t="s">
        <v>226</v>
      </c>
      <c r="L1567" t="str">
        <f t="shared" si="27"/>
        <v>dforrester45g@gmail.com</v>
      </c>
    </row>
    <row r="1568" spans="1:12">
      <c r="A1568" t="str" cm="1">
        <f t="array" ref="A1568">_xlfn.LET(_xlpm.e,L1568,
IF(_xlpm.e="","",
"DOC-"&amp;TEXT(ROW()-ROW(tblMaster[#Headers]),"00000")
))</f>
        <v>DOC-01567</v>
      </c>
      <c r="B1568" s="87">
        <v>45713</v>
      </c>
      <c r="C1568" s="41" t="s">
        <v>6124</v>
      </c>
      <c r="D1568" s="41" t="s">
        <v>5483</v>
      </c>
      <c r="E1568" s="41" t="s">
        <v>6125</v>
      </c>
      <c r="F1568" s="75" t="s">
        <v>6126</v>
      </c>
      <c r="I1568" s="17" t="s">
        <v>5679</v>
      </c>
      <c r="J1568" s="99" t="s">
        <v>194</v>
      </c>
      <c r="K1568" s="5" t="s">
        <v>226</v>
      </c>
      <c r="L1568" t="str">
        <f t="shared" si="27"/>
        <v>michellegarcia4611@live.com</v>
      </c>
    </row>
    <row r="1569" spans="1:12">
      <c r="A1569" t="str" cm="1">
        <f t="array" ref="A1569">_xlfn.LET(_xlpm.e,L1569,
IF(_xlpm.e="","",
"DOC-"&amp;TEXT(ROW()-ROW(tblMaster[#Headers]),"00000")
))</f>
        <v>DOC-01568</v>
      </c>
      <c r="B1569" s="87">
        <v>45711</v>
      </c>
      <c r="C1569" s="41" t="s">
        <v>6127</v>
      </c>
      <c r="D1569" s="41" t="s">
        <v>6128</v>
      </c>
      <c r="E1569" s="41" t="s">
        <v>6129</v>
      </c>
      <c r="F1569" s="75" t="s">
        <v>6130</v>
      </c>
      <c r="I1569" s="17" t="s">
        <v>5679</v>
      </c>
      <c r="K1569" s="5" t="s">
        <v>226</v>
      </c>
      <c r="L1569" t="str">
        <f t="shared" si="27"/>
        <v>christodd004@gmail.com</v>
      </c>
    </row>
    <row r="1570" spans="1:12">
      <c r="A1570" t="str" cm="1">
        <f t="array" ref="A1570">_xlfn.LET(_xlpm.e,L1570,
IF(_xlpm.e="","",
"DOC-"&amp;TEXT(ROW()-ROW(tblMaster[#Headers]),"00000")
))</f>
        <v/>
      </c>
      <c r="B1570" s="87">
        <v>45709</v>
      </c>
      <c r="C1570" s="41" t="s">
        <v>6131</v>
      </c>
      <c r="D1570" s="41" t="s">
        <v>6132</v>
      </c>
      <c r="E1570" s="41"/>
      <c r="F1570" s="75" t="s">
        <v>6133</v>
      </c>
      <c r="I1570" s="17" t="s">
        <v>5679</v>
      </c>
      <c r="K1570" s="5" t="s">
        <v>226</v>
      </c>
      <c r="L1570" t="str">
        <f t="shared" si="27"/>
        <v/>
      </c>
    </row>
    <row r="1571" spans="1:12">
      <c r="A1571" t="str" cm="1">
        <f t="array" ref="A1571">_xlfn.LET(_xlpm.e,L1571,
IF(_xlpm.e="","",
"DOC-"&amp;TEXT(ROW()-ROW(tblMaster[#Headers]),"00000")
))</f>
        <v>DOC-01570</v>
      </c>
      <c r="B1571" s="87">
        <v>45708</v>
      </c>
      <c r="C1571" s="41" t="s">
        <v>1344</v>
      </c>
      <c r="D1571" s="41" t="s">
        <v>6134</v>
      </c>
      <c r="E1571" s="77" t="s">
        <v>6135</v>
      </c>
      <c r="F1571" s="75" t="s">
        <v>6136</v>
      </c>
      <c r="I1571" s="17" t="s">
        <v>5679</v>
      </c>
      <c r="K1571" s="5" t="s">
        <v>226</v>
      </c>
      <c r="L1571" t="str">
        <f t="shared" si="27"/>
        <v>dayter1985@gmail.com</v>
      </c>
    </row>
    <row r="1572" spans="1:12">
      <c r="A1572" t="str" cm="1">
        <f t="array" ref="A1572">_xlfn.LET(_xlpm.e,L1572,
IF(_xlpm.e="","",
"DOC-"&amp;TEXT(ROW()-ROW(tblMaster[#Headers]),"00000")
))</f>
        <v>DOC-01571</v>
      </c>
      <c r="B1572" s="87">
        <v>45699</v>
      </c>
      <c r="C1572" s="41" t="s">
        <v>55</v>
      </c>
      <c r="D1572" s="41" t="s">
        <v>1193</v>
      </c>
      <c r="E1572" s="77" t="s">
        <v>6137</v>
      </c>
      <c r="F1572" s="75" t="s">
        <v>6138</v>
      </c>
      <c r="I1572" s="17" t="s">
        <v>5679</v>
      </c>
      <c r="J1572" s="99" t="s">
        <v>23</v>
      </c>
      <c r="K1572" s="5" t="s">
        <v>226</v>
      </c>
      <c r="L1572" t="str">
        <f t="shared" si="27"/>
        <v>mryan881@yahoo.com</v>
      </c>
    </row>
    <row r="1573" spans="1:12">
      <c r="A1573" t="str" cm="1">
        <f t="array" ref="A1573">_xlfn.LET(_xlpm.e,L1573,
IF(_xlpm.e="","",
"DOC-"&amp;TEXT(ROW()-ROW(tblMaster[#Headers]),"00000")
))</f>
        <v>DOC-01572</v>
      </c>
      <c r="B1573" s="87">
        <v>45699</v>
      </c>
      <c r="C1573" s="41" t="s">
        <v>1544</v>
      </c>
      <c r="D1573" s="41" t="s">
        <v>5222</v>
      </c>
      <c r="E1573" s="41" t="s">
        <v>6139</v>
      </c>
      <c r="F1573" s="75" t="s">
        <v>6140</v>
      </c>
      <c r="I1573" s="17" t="s">
        <v>5679</v>
      </c>
      <c r="K1573" s="5" t="s">
        <v>226</v>
      </c>
      <c r="L1573" t="str">
        <f t="shared" si="27"/>
        <v>emmge90@gmail.com</v>
      </c>
    </row>
    <row r="1574" spans="1:12">
      <c r="A1574" t="str" cm="1">
        <f t="array" ref="A1574">_xlfn.LET(_xlpm.e,L1574,
IF(_xlpm.e="","",
"DOC-"&amp;TEXT(ROW()-ROW(tblMaster[#Headers]),"00000")
))</f>
        <v>DOC-01573</v>
      </c>
      <c r="B1574" s="87">
        <v>45695</v>
      </c>
      <c r="C1574" s="41" t="s">
        <v>6141</v>
      </c>
      <c r="D1574" s="41" t="s">
        <v>6142</v>
      </c>
      <c r="E1574" s="41" t="s">
        <v>6143</v>
      </c>
      <c r="F1574" s="75" t="s">
        <v>6144</v>
      </c>
      <c r="I1574" s="17" t="s">
        <v>5679</v>
      </c>
      <c r="K1574" s="5" t="s">
        <v>226</v>
      </c>
      <c r="L1574" t="str">
        <f t="shared" si="27"/>
        <v>ajcr.610@gmail.com</v>
      </c>
    </row>
    <row r="1575" spans="1:12">
      <c r="A1575" t="str" cm="1">
        <f t="array" ref="A1575">_xlfn.LET(_xlpm.e,L1575,
IF(_xlpm.e="","",
"DOC-"&amp;TEXT(ROW()-ROW(tblMaster[#Headers]),"00000")
))</f>
        <v>DOC-01574</v>
      </c>
      <c r="B1575" s="47">
        <v>45692</v>
      </c>
      <c r="C1575" s="36" t="s">
        <v>102</v>
      </c>
      <c r="D1575" s="36" t="s">
        <v>6145</v>
      </c>
      <c r="E1575" s="77" t="s">
        <v>6146</v>
      </c>
      <c r="F1575" s="73" t="s">
        <v>6147</v>
      </c>
      <c r="I1575" s="17" t="s">
        <v>5679</v>
      </c>
      <c r="J1575" s="99" t="s">
        <v>66</v>
      </c>
      <c r="K1575" s="5" t="s">
        <v>226</v>
      </c>
      <c r="L1575" t="str">
        <f t="shared" si="27"/>
        <v>shaliacluis23@gmail.com</v>
      </c>
    </row>
    <row r="1576" spans="1:12">
      <c r="A1576" t="str" cm="1">
        <f t="array" ref="A1576">_xlfn.LET(_xlpm.e,L1576,
IF(_xlpm.e="","",
"DOC-"&amp;TEXT(ROW()-ROW(tblMaster[#Headers]),"00000")
))</f>
        <v>DOC-01575</v>
      </c>
      <c r="B1576" s="47">
        <v>45691</v>
      </c>
      <c r="C1576" s="36" t="s">
        <v>1344</v>
      </c>
      <c r="D1576" s="36" t="s">
        <v>6148</v>
      </c>
      <c r="E1576" s="77" t="s">
        <v>6149</v>
      </c>
      <c r="F1576" s="73" t="s">
        <v>6150</v>
      </c>
      <c r="I1576" s="17" t="s">
        <v>5679</v>
      </c>
      <c r="K1576" s="5" t="s">
        <v>226</v>
      </c>
      <c r="L1576" t="str">
        <f t="shared" si="27"/>
        <v>mratebezi@gmail.com</v>
      </c>
    </row>
    <row r="1577" spans="1:12">
      <c r="A1577" t="str" cm="1">
        <f t="array" ref="A1577">_xlfn.LET(_xlpm.e,L1577,
IF(_xlpm.e="","",
"DOC-"&amp;TEXT(ROW()-ROW(tblMaster[#Headers]),"00000")
))</f>
        <v>DOC-01576</v>
      </c>
      <c r="B1577" s="47">
        <v>45628</v>
      </c>
      <c r="C1577" s="36" t="s">
        <v>2143</v>
      </c>
      <c r="D1577" s="36" t="s">
        <v>6151</v>
      </c>
      <c r="E1577" s="77" t="s">
        <v>6152</v>
      </c>
      <c r="F1577" s="73" t="s">
        <v>6153</v>
      </c>
      <c r="I1577" s="17" t="s">
        <v>5679</v>
      </c>
      <c r="J1577" s="99" t="s">
        <v>23</v>
      </c>
      <c r="K1577" s="5" t="s">
        <v>226</v>
      </c>
      <c r="L1577" t="str">
        <f t="shared" si="27"/>
        <v>sfinnessey8753@westfield.ma.edu</v>
      </c>
    </row>
    <row r="1578" spans="1:12">
      <c r="A1578" t="str" cm="1">
        <f t="array" ref="A1578">_xlfn.LET(_xlpm.e,L1578,
IF(_xlpm.e="","",
"DOC-"&amp;TEXT(ROW()-ROW(tblMaster[#Headers]),"00000")
))</f>
        <v>DOC-01577</v>
      </c>
      <c r="B1578" s="47">
        <v>45582</v>
      </c>
      <c r="C1578" s="36" t="s">
        <v>6154</v>
      </c>
      <c r="D1578" s="36" t="s">
        <v>6155</v>
      </c>
      <c r="E1578" s="77" t="s">
        <v>6156</v>
      </c>
      <c r="F1578" s="73" t="s">
        <v>6157</v>
      </c>
      <c r="I1578" s="17" t="s">
        <v>5679</v>
      </c>
      <c r="K1578" s="5" t="s">
        <v>226</v>
      </c>
      <c r="L1578" t="str">
        <f t="shared" si="27"/>
        <v>darlene19hernandez@icloud.com</v>
      </c>
    </row>
    <row r="1579" spans="1:12">
      <c r="A1579" t="str" cm="1">
        <f t="array" ref="A1579">_xlfn.LET(_xlpm.e,L1579,
IF(_xlpm.e="","",
"DOC-"&amp;TEXT(ROW()-ROW(tblMaster[#Headers]),"00000")
))</f>
        <v>DOC-01578</v>
      </c>
      <c r="B1579" s="87">
        <v>45957</v>
      </c>
      <c r="C1579" s="41" t="s">
        <v>6158</v>
      </c>
      <c r="D1579" s="41" t="s">
        <v>6159</v>
      </c>
      <c r="E1579" s="41" t="s">
        <v>6160</v>
      </c>
      <c r="F1579" s="75" t="s">
        <v>6161</v>
      </c>
      <c r="I1579" s="17" t="s">
        <v>5679</v>
      </c>
      <c r="K1579" s="5" t="s">
        <v>226</v>
      </c>
      <c r="L1579" t="str">
        <f t="shared" si="27"/>
        <v>gnerosil86@gmail.com</v>
      </c>
    </row>
    <row r="1580" spans="1:12">
      <c r="A1580" t="str" cm="1">
        <f t="array" ref="A1580">_xlfn.LET(_xlpm.e,L1580,
IF(_xlpm.e="","",
"DOC-"&amp;TEXT(ROW()-ROW(tblMaster[#Headers]),"00000")
))</f>
        <v>DOC-01579</v>
      </c>
      <c r="B1580" s="87">
        <v>45957</v>
      </c>
      <c r="C1580" s="41" t="s">
        <v>4687</v>
      </c>
      <c r="D1580" s="41" t="s">
        <v>5490</v>
      </c>
      <c r="E1580" s="41" t="s">
        <v>6162</v>
      </c>
      <c r="F1580" s="41" t="s">
        <v>6163</v>
      </c>
      <c r="I1580" s="17" t="s">
        <v>5679</v>
      </c>
      <c r="K1580" s="5" t="s">
        <v>226</v>
      </c>
      <c r="L1580" t="str">
        <f t="shared" si="27"/>
        <v>xjr12193842@gmail.com</v>
      </c>
    </row>
    <row r="1581" spans="1:12">
      <c r="A1581" t="str" cm="1">
        <f t="array" ref="A1581">_xlfn.LET(_xlpm.e,L1581,
IF(_xlpm.e="","",
"DOC-"&amp;TEXT(ROW()-ROW(tblMaster[#Headers]),"00000")
))</f>
        <v>DOC-01580</v>
      </c>
      <c r="B1581" s="87">
        <v>45957</v>
      </c>
      <c r="C1581" s="41" t="s">
        <v>676</v>
      </c>
      <c r="D1581" s="41" t="s">
        <v>6164</v>
      </c>
      <c r="E1581" s="41" t="s">
        <v>6165</v>
      </c>
      <c r="F1581" s="41" t="s">
        <v>6166</v>
      </c>
      <c r="I1581" s="17" t="s">
        <v>5679</v>
      </c>
      <c r="K1581" s="5" t="s">
        <v>226</v>
      </c>
      <c r="L1581" t="str">
        <f t="shared" si="27"/>
        <v>parentcurtis@gmail.com</v>
      </c>
    </row>
    <row r="1582" spans="1:12">
      <c r="A1582" t="str" cm="1">
        <f t="array" ref="A1582">_xlfn.LET(_xlpm.e,L1582,
IF(_xlpm.e="","",
"DOC-"&amp;TEXT(ROW()-ROW(tblMaster[#Headers]),"00000")
))</f>
        <v>DOC-01581</v>
      </c>
      <c r="B1582" s="87">
        <v>45957</v>
      </c>
      <c r="C1582" s="41" t="s">
        <v>2742</v>
      </c>
      <c r="D1582" s="41" t="s">
        <v>6167</v>
      </c>
      <c r="E1582" s="41" t="s">
        <v>6168</v>
      </c>
      <c r="F1582" s="41" t="s">
        <v>6169</v>
      </c>
      <c r="I1582" s="17" t="s">
        <v>5679</v>
      </c>
      <c r="K1582" s="5" t="s">
        <v>226</v>
      </c>
      <c r="L1582" t="str">
        <f t="shared" si="27"/>
        <v>a0865303@gmail.com</v>
      </c>
    </row>
    <row r="1583" spans="1:12" ht="15.75">
      <c r="A1583" t="str" cm="1">
        <f t="array" ref="A1583">_xlfn.LET(_xlpm.e,L1583,
IF(_xlpm.e="","",
"DOC-"&amp;TEXT(ROW()-ROW(tblMaster[#Headers]),"00000")
))</f>
        <v>DOC-01582</v>
      </c>
      <c r="B1583" s="47">
        <v>45706</v>
      </c>
      <c r="C1583" s="88" t="s">
        <v>6170</v>
      </c>
      <c r="D1583" s="88" t="s">
        <v>6171</v>
      </c>
      <c r="E1583" s="77" t="s">
        <v>6172</v>
      </c>
      <c r="F1583" s="59" t="s">
        <v>6173</v>
      </c>
      <c r="I1583" s="17" t="s">
        <v>5679</v>
      </c>
      <c r="J1583" s="99" t="s">
        <v>23</v>
      </c>
      <c r="K1583" s="5" t="s">
        <v>226</v>
      </c>
      <c r="L1583" t="str">
        <f t="shared" si="27"/>
        <v>valdir3423@yahoo.com</v>
      </c>
    </row>
    <row r="1584" spans="1:12">
      <c r="A1584" t="str" cm="1">
        <f t="array" ref="A1584">_xlfn.LET(_xlpm.e,L1584,
IF(_xlpm.e="","",
"DOC-"&amp;TEXT(ROW()-ROW(tblMaster[#Headers]),"00000")
))</f>
        <v>DOC-01583</v>
      </c>
      <c r="B1584" s="47">
        <v>45708</v>
      </c>
      <c r="C1584" s="36" t="s">
        <v>1368</v>
      </c>
      <c r="D1584" s="36" t="s">
        <v>6174</v>
      </c>
      <c r="E1584" s="77" t="s">
        <v>6175</v>
      </c>
      <c r="F1584" s="36" t="s">
        <v>6176</v>
      </c>
      <c r="I1584" s="17" t="s">
        <v>5679</v>
      </c>
      <c r="K1584" s="5" t="s">
        <v>226</v>
      </c>
      <c r="L1584" t="str">
        <f t="shared" si="27"/>
        <v>christodd004@gmail.com</v>
      </c>
    </row>
    <row r="1585" spans="1:12">
      <c r="A1585" t="str" cm="1">
        <f t="array" ref="A1585">_xlfn.LET(_xlpm.e,L1585,
IF(_xlpm.e="","",
"DOC-"&amp;TEXT(ROW()-ROW(tblMaster[#Headers]),"00000")
))</f>
        <v>DOC-01584</v>
      </c>
      <c r="B1585" s="47">
        <v>45873</v>
      </c>
      <c r="C1585" s="36" t="s">
        <v>662</v>
      </c>
      <c r="D1585" s="36" t="s">
        <v>6177</v>
      </c>
      <c r="E1585" s="36" t="s">
        <v>6178</v>
      </c>
      <c r="F1585" s="73" t="s">
        <v>6179</v>
      </c>
      <c r="I1585" s="17" t="s">
        <v>5679</v>
      </c>
      <c r="K1585" s="5" t="s">
        <v>226</v>
      </c>
      <c r="L1585" t="str">
        <f t="shared" si="27"/>
        <v>gavinbriggs47@gmail.com</v>
      </c>
    </row>
    <row r="1586" spans="1:12">
      <c r="A1586" t="str" cm="1">
        <f t="array" ref="A1586">_xlfn.LET(_xlpm.e,L1586,
IF(_xlpm.e="","",
"DOC-"&amp;TEXT(ROW()-ROW(tblMaster[#Headers]),"00000")
))</f>
        <v>DOC-01585</v>
      </c>
      <c r="B1586" s="47">
        <v>45713</v>
      </c>
      <c r="C1586" s="36" t="s">
        <v>6180</v>
      </c>
      <c r="D1586" s="36" t="s">
        <v>6181</v>
      </c>
      <c r="E1586" s="36" t="s">
        <v>6182</v>
      </c>
      <c r="F1586" s="73" t="s">
        <v>6183</v>
      </c>
      <c r="I1586" s="17" t="s">
        <v>5679</v>
      </c>
      <c r="K1586" s="5" t="s">
        <v>226</v>
      </c>
      <c r="L1586" t="str">
        <f t="shared" si="27"/>
        <v>koreyjones58@yahoo.com</v>
      </c>
    </row>
    <row r="1587" spans="1:12">
      <c r="A1587" t="str" cm="1">
        <f t="array" ref="A1587">_xlfn.LET(_xlpm.e,L1587,
IF(_xlpm.e="","",
"DOC-"&amp;TEXT(ROW()-ROW(tblMaster[#Headers]),"00000")
))</f>
        <v>DOC-01586</v>
      </c>
      <c r="B1587" s="47">
        <v>45790</v>
      </c>
      <c r="C1587" s="36" t="s">
        <v>4944</v>
      </c>
      <c r="D1587" s="36" t="s">
        <v>4662</v>
      </c>
      <c r="E1587" s="77" t="s">
        <v>6184</v>
      </c>
      <c r="F1587" s="36" t="s">
        <v>6185</v>
      </c>
      <c r="I1587" s="17" t="s">
        <v>5679</v>
      </c>
      <c r="K1587" s="5" t="s">
        <v>226</v>
      </c>
      <c r="L1587" t="str">
        <f t="shared" si="27"/>
        <v>andralisss525@gmail.com</v>
      </c>
    </row>
    <row r="1588" spans="1:12">
      <c r="A1588" t="str" cm="1">
        <f t="array" ref="A1588">_xlfn.LET(_xlpm.e,L1588,
IF(_xlpm.e="","",
"DOC-"&amp;TEXT(ROW()-ROW(tblMaster[#Headers]),"00000")
))</f>
        <v>DOC-01587</v>
      </c>
      <c r="B1588" s="47">
        <v>45848</v>
      </c>
      <c r="C1588" s="36" t="s">
        <v>6186</v>
      </c>
      <c r="D1588" s="36" t="s">
        <v>6187</v>
      </c>
      <c r="E1588" s="77" t="s">
        <v>6188</v>
      </c>
      <c r="F1588" s="36" t="s">
        <v>6189</v>
      </c>
      <c r="I1588" s="17" t="s">
        <v>5679</v>
      </c>
      <c r="K1588" s="5" t="s">
        <v>226</v>
      </c>
      <c r="L1588" t="str">
        <f t="shared" si="27"/>
        <v>jessetompkins01@gmail.com</v>
      </c>
    </row>
    <row r="1589" spans="1:12">
      <c r="A1589" t="str" cm="1">
        <f t="array" ref="A1589">_xlfn.LET(_xlpm.e,L1589,
IF(_xlpm.e="","",
"DOC-"&amp;TEXT(ROW()-ROW(tblMaster[#Headers]),"00000")
))</f>
        <v>DOC-01588</v>
      </c>
      <c r="B1589" s="47">
        <v>45787</v>
      </c>
      <c r="C1589" s="36" t="s">
        <v>2023</v>
      </c>
      <c r="D1589" s="36" t="s">
        <v>6190</v>
      </c>
      <c r="E1589" s="77" t="s">
        <v>6191</v>
      </c>
      <c r="F1589" s="36" t="s">
        <v>6192</v>
      </c>
      <c r="I1589" s="17" t="s">
        <v>5679</v>
      </c>
      <c r="J1589" s="99" t="s">
        <v>23</v>
      </c>
      <c r="K1589" s="5" t="s">
        <v>226</v>
      </c>
      <c r="L1589" t="str">
        <f t="shared" si="27"/>
        <v>samantha.dumais1225@gmail.com</v>
      </c>
    </row>
    <row r="1590" spans="1:12">
      <c r="A1590" t="str" cm="1">
        <f t="array" ref="A1590">_xlfn.LET(_xlpm.e,L1590,
IF(_xlpm.e="","",
"DOC-"&amp;TEXT(ROW()-ROW(tblMaster[#Headers]),"00000")
))</f>
        <v>DOC-01589</v>
      </c>
      <c r="B1590" s="47">
        <v>45713</v>
      </c>
      <c r="C1590" s="76" t="s">
        <v>6186</v>
      </c>
      <c r="D1590" s="76" t="s">
        <v>6193</v>
      </c>
      <c r="E1590" s="77" t="s">
        <v>6194</v>
      </c>
      <c r="F1590" s="76" t="s">
        <v>6195</v>
      </c>
      <c r="I1590" s="17" t="s">
        <v>5679</v>
      </c>
      <c r="K1590" s="5" t="s">
        <v>226</v>
      </c>
      <c r="L1590" t="str">
        <f t="shared" si="27"/>
        <v>fiorentino.jesse@outlook.com</v>
      </c>
    </row>
    <row r="1591" spans="1:12">
      <c r="A1591" t="str" cm="1">
        <f t="array" ref="A1591">_xlfn.LET(_xlpm.e,L1591,
IF(_xlpm.e="","",
"DOC-"&amp;TEXT(ROW()-ROW(tblMaster[#Headers]),"00000")
))</f>
        <v>DOC-01590</v>
      </c>
      <c r="B1591" s="47">
        <v>45587</v>
      </c>
      <c r="C1591" s="36" t="s">
        <v>2531</v>
      </c>
      <c r="D1591" s="36" t="s">
        <v>6196</v>
      </c>
      <c r="E1591" s="77" t="s">
        <v>6197</v>
      </c>
      <c r="F1591" s="36" t="s">
        <v>6198</v>
      </c>
      <c r="I1591" s="17" t="s">
        <v>5679</v>
      </c>
      <c r="K1591" s="5" t="s">
        <v>226</v>
      </c>
      <c r="L1591" t="str">
        <f t="shared" si="27"/>
        <v>genesis.g.12@hotmail.com</v>
      </c>
    </row>
    <row r="1592" spans="1:12">
      <c r="A1592" t="str" cm="1">
        <f t="array" ref="A1592">_xlfn.LET(_xlpm.e,L1592,
IF(_xlpm.e="","",
"DOC-"&amp;TEXT(ROW()-ROW(tblMaster[#Headers]),"00000")
))</f>
        <v>DOC-01591</v>
      </c>
      <c r="B1592" s="47">
        <v>45886</v>
      </c>
      <c r="C1592" s="36" t="s">
        <v>3388</v>
      </c>
      <c r="D1592" s="36" t="s">
        <v>3389</v>
      </c>
      <c r="E1592" s="77" t="s">
        <v>3390</v>
      </c>
      <c r="F1592" s="36" t="s">
        <v>3391</v>
      </c>
      <c r="I1592" s="17" t="s">
        <v>5679</v>
      </c>
      <c r="K1592" s="5" t="s">
        <v>226</v>
      </c>
      <c r="L1592" t="str">
        <f t="shared" si="27"/>
        <v>joserivera980000@gmail.com</v>
      </c>
    </row>
    <row r="1593" spans="1:12">
      <c r="A1593" t="str" cm="1">
        <f t="array" ref="A1593">_xlfn.LET(_xlpm.e,L1593,
IF(_xlpm.e="","",
"DOC-"&amp;TEXT(ROW()-ROW(tblMaster[#Headers]),"00000")
))</f>
        <v>DOC-01592</v>
      </c>
      <c r="B1593" s="47">
        <v>45627</v>
      </c>
      <c r="C1593" s="36" t="s">
        <v>759</v>
      </c>
      <c r="D1593" s="36" t="s">
        <v>2166</v>
      </c>
      <c r="E1593" s="77" t="s">
        <v>6199</v>
      </c>
      <c r="F1593" s="77" t="s">
        <v>6200</v>
      </c>
      <c r="I1593" s="17" t="s">
        <v>5679</v>
      </c>
      <c r="K1593" s="5" t="s">
        <v>226</v>
      </c>
      <c r="L1593" t="str">
        <f t="shared" si="27"/>
        <v>joszman88@gmail.com</v>
      </c>
    </row>
    <row r="1594" spans="1:12">
      <c r="A1594" t="str" cm="1">
        <f t="array" ref="A1594">_xlfn.LET(_xlpm.e,L1594,
IF(_xlpm.e="","",
"DOC-"&amp;TEXT(ROW()-ROW(tblMaster[#Headers]),"00000")
))</f>
        <v>DOC-01593</v>
      </c>
      <c r="B1594" s="47">
        <v>45815</v>
      </c>
      <c r="C1594" s="36" t="s">
        <v>6201</v>
      </c>
      <c r="D1594" s="36" t="s">
        <v>6202</v>
      </c>
      <c r="E1594" s="77" t="s">
        <v>6203</v>
      </c>
      <c r="F1594" s="36" t="s">
        <v>6204</v>
      </c>
      <c r="I1594" s="17" t="s">
        <v>5679</v>
      </c>
      <c r="K1594" s="5" t="s">
        <v>226</v>
      </c>
      <c r="L1594" t="str">
        <f t="shared" si="27"/>
        <v>connor.vanwie@snhu.edu</v>
      </c>
    </row>
    <row r="1595" spans="1:12">
      <c r="A1595" t="str" cm="1">
        <f t="array" ref="A1595">_xlfn.LET(_xlpm.e,L1595,
IF(_xlpm.e="","",
"DOC-"&amp;TEXT(ROW()-ROW(tblMaster[#Headers]),"00000")
))</f>
        <v>DOC-01594</v>
      </c>
      <c r="B1595" s="47">
        <v>45754</v>
      </c>
      <c r="C1595" s="36" t="s">
        <v>6205</v>
      </c>
      <c r="D1595" s="36" t="s">
        <v>6206</v>
      </c>
      <c r="E1595" s="77" t="s">
        <v>6207</v>
      </c>
      <c r="F1595" s="36" t="s">
        <v>6208</v>
      </c>
      <c r="I1595" s="17" t="s">
        <v>5679</v>
      </c>
      <c r="J1595" s="99" t="s">
        <v>23</v>
      </c>
      <c r="K1595" s="5" t="s">
        <v>226</v>
      </c>
      <c r="L1595" t="str">
        <f t="shared" si="27"/>
        <v>randyv24@gmail.com</v>
      </c>
    </row>
    <row r="1596" spans="1:12">
      <c r="A1596" t="str" cm="1">
        <f t="array" ref="A1596">_xlfn.LET(_xlpm.e,L1596,
IF(_xlpm.e="","",
"DOC-"&amp;TEXT(ROW()-ROW(tblMaster[#Headers]),"00000")
))</f>
        <v>DOC-01595</v>
      </c>
      <c r="B1596" s="47">
        <v>45708</v>
      </c>
      <c r="C1596" s="36" t="s">
        <v>6209</v>
      </c>
      <c r="D1596" s="36" t="s">
        <v>6210</v>
      </c>
      <c r="E1596" s="77" t="s">
        <v>6211</v>
      </c>
      <c r="F1596" s="36" t="s">
        <v>6212</v>
      </c>
      <c r="I1596" s="17" t="s">
        <v>5679</v>
      </c>
      <c r="K1596" s="5" t="s">
        <v>226</v>
      </c>
      <c r="L1596" t="str">
        <f t="shared" si="27"/>
        <v>tadajaallenx3@gmail.com</v>
      </c>
    </row>
    <row r="1597" spans="1:12">
      <c r="A1597" t="str" cm="1">
        <f t="array" ref="A1597">_xlfn.LET(_xlpm.e,L1597,
IF(_xlpm.e="","",
"DOC-"&amp;TEXT(ROW()-ROW(tblMaster[#Headers]),"00000")
))</f>
        <v>DOC-01596</v>
      </c>
      <c r="B1597" s="47">
        <v>45761</v>
      </c>
      <c r="C1597" s="36" t="s">
        <v>6213</v>
      </c>
      <c r="D1597" s="36" t="s">
        <v>6214</v>
      </c>
      <c r="E1597" s="77" t="s">
        <v>6215</v>
      </c>
      <c r="F1597" s="36" t="s">
        <v>6216</v>
      </c>
      <c r="I1597" s="17" t="s">
        <v>5679</v>
      </c>
      <c r="K1597" s="5" t="s">
        <v>226</v>
      </c>
      <c r="L1597" t="str">
        <f t="shared" si="27"/>
        <v>kayvonburks67@gmail.com</v>
      </c>
    </row>
    <row r="1598" spans="1:12">
      <c r="A1598" t="str" cm="1">
        <f t="array" ref="A1598">_xlfn.LET(_xlpm.e,L1598,
IF(_xlpm.e="","",
"DOC-"&amp;TEXT(ROW()-ROW(tblMaster[#Headers]),"00000")
))</f>
        <v>DOC-01597</v>
      </c>
      <c r="B1598" s="47">
        <v>45709</v>
      </c>
      <c r="C1598" s="36" t="s">
        <v>6217</v>
      </c>
      <c r="D1598" s="36" t="s">
        <v>6218</v>
      </c>
      <c r="E1598" s="77" t="s">
        <v>6219</v>
      </c>
      <c r="F1598" s="36" t="s">
        <v>6220</v>
      </c>
      <c r="I1598" s="17" t="s">
        <v>5679</v>
      </c>
      <c r="K1598" s="5" t="s">
        <v>226</v>
      </c>
      <c r="L1598" t="str">
        <f t="shared" si="27"/>
        <v>javierc.rtt@gmail.com</v>
      </c>
    </row>
    <row r="1599" spans="1:12">
      <c r="A1599" t="str" cm="1">
        <f t="array" ref="A1599">_xlfn.LET(_xlpm.e,L1599,
IF(_xlpm.e="","",
"DOC-"&amp;TEXT(ROW()-ROW(tblMaster[#Headers]),"00000")
))</f>
        <v>DOC-01598</v>
      </c>
      <c r="B1599" s="47">
        <v>45708</v>
      </c>
      <c r="C1599" s="36" t="s">
        <v>6221</v>
      </c>
      <c r="D1599" s="36" t="s">
        <v>6222</v>
      </c>
      <c r="E1599" s="77" t="s">
        <v>6223</v>
      </c>
      <c r="F1599" s="36" t="s">
        <v>6224</v>
      </c>
      <c r="I1599" s="17" t="s">
        <v>5679</v>
      </c>
      <c r="K1599" s="5" t="s">
        <v>226</v>
      </c>
      <c r="L1599" t="str">
        <f t="shared" si="27"/>
        <v>tammy.lawrence9@icloud.com</v>
      </c>
    </row>
    <row r="1600" spans="1:12" ht="15.75">
      <c r="A1600" t="str" cm="1">
        <f t="array" ref="A1600">_xlfn.LET(_xlpm.e,L1600,
IF(_xlpm.e="","",
"DOC-"&amp;TEXT(ROW()-ROW(tblMaster[#Headers]),"00000")
))</f>
        <v>DOC-01599</v>
      </c>
      <c r="B1600" s="47">
        <v>45807</v>
      </c>
      <c r="C1600" s="58" t="s">
        <v>6225</v>
      </c>
      <c r="D1600" s="58" t="s">
        <v>6226</v>
      </c>
      <c r="E1600" s="77" t="s">
        <v>6227</v>
      </c>
      <c r="F1600" s="58" t="s">
        <v>6228</v>
      </c>
      <c r="I1600" s="17" t="s">
        <v>5679</v>
      </c>
      <c r="J1600" s="99" t="s">
        <v>23</v>
      </c>
      <c r="K1600" s="5" t="s">
        <v>226</v>
      </c>
      <c r="L1600" t="str">
        <f t="shared" si="27"/>
        <v>kayleelebron000@gmail.com</v>
      </c>
    </row>
    <row r="1601" spans="1:12">
      <c r="A1601" t="str" cm="1">
        <f t="array" ref="A1601">_xlfn.LET(_xlpm.e,L1601,
IF(_xlpm.e="","",
"DOC-"&amp;TEXT(ROW()-ROW(tblMaster[#Headers]),"00000")
))</f>
        <v>DOC-01600</v>
      </c>
      <c r="B1601" s="47">
        <v>45680</v>
      </c>
      <c r="C1601" s="89" t="s">
        <v>6229</v>
      </c>
      <c r="D1601" s="92" t="s">
        <v>6230</v>
      </c>
      <c r="E1601" s="77" t="s">
        <v>6231</v>
      </c>
      <c r="F1601" s="78" t="s">
        <v>6232</v>
      </c>
      <c r="I1601" s="17" t="s">
        <v>5679</v>
      </c>
      <c r="K1601" s="5" t="s">
        <v>226</v>
      </c>
      <c r="L1601" t="str">
        <f t="shared" si="27"/>
        <v>billiesingletary@yahoo.com</v>
      </c>
    </row>
    <row r="1602" spans="1:12">
      <c r="A1602" t="str" cm="1">
        <f t="array" ref="A1602">_xlfn.LET(_xlpm.e,L1602,
IF(_xlpm.e="","",
"DOC-"&amp;TEXT(ROW()-ROW(tblMaster[#Headers]),"00000")
))</f>
        <v>DOC-01601</v>
      </c>
      <c r="B1602" s="47">
        <v>45760</v>
      </c>
      <c r="C1602" s="36" t="s">
        <v>6233</v>
      </c>
      <c r="D1602" s="36" t="s">
        <v>6234</v>
      </c>
      <c r="E1602" s="77" t="s">
        <v>6235</v>
      </c>
      <c r="F1602" s="36" t="s">
        <v>6236</v>
      </c>
      <c r="I1602" s="17" t="s">
        <v>5679</v>
      </c>
      <c r="K1602" s="5" t="s">
        <v>226</v>
      </c>
      <c r="L1602" t="str">
        <f t="shared" si="27"/>
        <v>alvaro.torres@fdc.myflorida.com</v>
      </c>
    </row>
    <row r="1603" spans="1:12" ht="15.75">
      <c r="A1603" t="str" cm="1">
        <f t="array" ref="A1603">_xlfn.LET(_xlpm.e,L1603,
IF(_xlpm.e="","",
"DOC-"&amp;TEXT(ROW()-ROW(tblMaster[#Headers]),"00000")
))</f>
        <v>DOC-01602</v>
      </c>
      <c r="B1603" s="47">
        <v>45708</v>
      </c>
      <c r="C1603" s="36" t="s">
        <v>6237</v>
      </c>
      <c r="D1603" s="58" t="s">
        <v>6238</v>
      </c>
      <c r="E1603" s="77" t="s">
        <v>6239</v>
      </c>
      <c r="F1603" s="36" t="s">
        <v>6240</v>
      </c>
      <c r="I1603" s="17" t="s">
        <v>5679</v>
      </c>
      <c r="K1603" s="5" t="s">
        <v>226</v>
      </c>
      <c r="L1603" t="str">
        <f t="shared" si="27"/>
        <v>dakeriabarnes@gmail.com</v>
      </c>
    </row>
    <row r="1604" spans="1:12">
      <c r="A1604" t="str" cm="1">
        <f t="array" ref="A1604">_xlfn.LET(_xlpm.e,L1604,
IF(_xlpm.e="","",
"DOC-"&amp;TEXT(ROW()-ROW(tblMaster[#Headers]),"00000")
))</f>
        <v>DOC-01603</v>
      </c>
      <c r="B1604" s="47">
        <v>45940</v>
      </c>
      <c r="C1604" s="114" t="s">
        <v>6241</v>
      </c>
      <c r="D1604" s="114" t="s">
        <v>4131</v>
      </c>
      <c r="E1604" s="93" t="s">
        <v>4132</v>
      </c>
      <c r="F1604" s="115" t="s">
        <v>4133</v>
      </c>
      <c r="I1604" s="17" t="s">
        <v>5679</v>
      </c>
      <c r="K1604" s="5" t="s">
        <v>226</v>
      </c>
      <c r="L1604" t="str">
        <f t="shared" si="27"/>
        <v>amazingmac90@gmail.com</v>
      </c>
    </row>
    <row r="1605" spans="1:12">
      <c r="A1605" t="str" cm="1">
        <f t="array" ref="A1605">_xlfn.LET(_xlpm.e,L1605,
IF(_xlpm.e="","",
"DOC-"&amp;TEXT(ROW()-ROW(tblMaster[#Headers]),"00000")
))</f>
        <v>DOC-01604</v>
      </c>
      <c r="B1605" s="47">
        <v>45852</v>
      </c>
      <c r="C1605" s="36" t="s">
        <v>6242</v>
      </c>
      <c r="D1605" s="36" t="s">
        <v>6243</v>
      </c>
      <c r="E1605" s="77" t="s">
        <v>6244</v>
      </c>
      <c r="F1605" s="36" t="s">
        <v>6245</v>
      </c>
      <c r="I1605" s="17" t="s">
        <v>5679</v>
      </c>
      <c r="K1605" s="5" t="s">
        <v>226</v>
      </c>
      <c r="L1605" t="str">
        <f t="shared" si="27"/>
        <v>marloujguerrero@gmail.com</v>
      </c>
    </row>
    <row r="1606" spans="1:12">
      <c r="A1606" t="str" cm="1">
        <f t="array" ref="A1606">_xlfn.LET(_xlpm.e,L1606,
IF(_xlpm.e="","",
"DOC-"&amp;TEXT(ROW()-ROW(tblMaster[#Headers]),"00000")
))</f>
        <v>DOC-01605</v>
      </c>
      <c r="B1606" s="47">
        <v>45708</v>
      </c>
      <c r="C1606" s="36" t="s">
        <v>6246</v>
      </c>
      <c r="D1606" s="36" t="s">
        <v>6247</v>
      </c>
      <c r="E1606" s="77" t="s">
        <v>6248</v>
      </c>
      <c r="F1606" s="36" t="s">
        <v>6249</v>
      </c>
      <c r="I1606" s="17" t="s">
        <v>5679</v>
      </c>
      <c r="K1606" s="5" t="s">
        <v>226</v>
      </c>
      <c r="L1606" t="str">
        <f t="shared" si="27"/>
        <v>woodlinemaignan@gmail.com</v>
      </c>
    </row>
    <row r="1607" spans="1:12">
      <c r="A1607" t="str" cm="1">
        <f t="array" ref="A1607">_xlfn.LET(_xlpm.e,L1607,
IF(_xlpm.e="","",
"DOC-"&amp;TEXT(ROW()-ROW(tblMaster[#Headers]),"00000")
))</f>
        <v>DOC-01606</v>
      </c>
      <c r="B1607" s="47">
        <v>45733</v>
      </c>
      <c r="C1607" s="36" t="s">
        <v>6250</v>
      </c>
      <c r="D1607" s="36" t="s">
        <v>6251</v>
      </c>
      <c r="E1607" s="77" t="s">
        <v>6252</v>
      </c>
      <c r="F1607" s="36" t="s">
        <v>6253</v>
      </c>
      <c r="I1607" s="17" t="s">
        <v>5679</v>
      </c>
      <c r="K1607" s="5" t="s">
        <v>226</v>
      </c>
      <c r="L1607" t="str">
        <f t="shared" si="27"/>
        <v>osaserebright@gmail.com</v>
      </c>
    </row>
    <row r="1608" spans="1:12">
      <c r="A1608" t="str" cm="1">
        <f t="array" ref="A1608">_xlfn.LET(_xlpm.e,L1608,
IF(_xlpm.e="","",
"DOC-"&amp;TEXT(ROW()-ROW(tblMaster[#Headers]),"00000")
))</f>
        <v>DOC-01607</v>
      </c>
      <c r="B1608" s="47">
        <v>45887</v>
      </c>
      <c r="C1608" s="36" t="s">
        <v>3502</v>
      </c>
      <c r="D1608" s="36" t="s">
        <v>3503</v>
      </c>
      <c r="E1608" s="77" t="s">
        <v>3504</v>
      </c>
      <c r="F1608" s="36" t="s">
        <v>3505</v>
      </c>
      <c r="I1608" s="17" t="s">
        <v>5679</v>
      </c>
      <c r="K1608" s="5" t="s">
        <v>226</v>
      </c>
      <c r="L1608" t="str">
        <f t="shared" si="27"/>
        <v>reyesjohan755@gmail.com</v>
      </c>
    </row>
    <row r="1609" spans="1:12">
      <c r="A1609" t="str" cm="1">
        <f t="array" ref="A1609">_xlfn.LET(_xlpm.e,L1609,
IF(_xlpm.e="","",
"DOC-"&amp;TEXT(ROW()-ROW(tblMaster[#Headers]),"00000")
))</f>
        <v>DOC-01608</v>
      </c>
      <c r="B1609" s="47">
        <v>45627</v>
      </c>
      <c r="C1609" s="36" t="s">
        <v>102</v>
      </c>
      <c r="D1609" s="36" t="s">
        <v>6254</v>
      </c>
      <c r="E1609" s="77" t="s">
        <v>6255</v>
      </c>
      <c r="F1609" s="36" t="s">
        <v>6256</v>
      </c>
      <c r="I1609" s="17" t="s">
        <v>5679</v>
      </c>
      <c r="K1609" s="5" t="s">
        <v>226</v>
      </c>
      <c r="L1609" t="str">
        <f t="shared" si="27"/>
        <v>luisserrano72387@gmail.com</v>
      </c>
    </row>
    <row r="1610" spans="1:12" ht="15.75">
      <c r="A1610" t="str" cm="1">
        <f t="array" ref="A1610">_xlfn.LET(_xlpm.e,L1610,
IF(_xlpm.e="","",
"DOC-"&amp;TEXT(ROW()-ROW(tblMaster[#Headers]),"00000")
))</f>
        <v>DOC-01609</v>
      </c>
      <c r="B1610" s="47">
        <v>45674</v>
      </c>
      <c r="C1610" s="58" t="s">
        <v>6257</v>
      </c>
      <c r="D1610" s="36" t="s">
        <v>6258</v>
      </c>
      <c r="E1610" s="77" t="s">
        <v>6259</v>
      </c>
      <c r="F1610" s="36" t="s">
        <v>6260</v>
      </c>
      <c r="I1610" s="17" t="s">
        <v>5679</v>
      </c>
      <c r="J1610" s="99" t="s">
        <v>194</v>
      </c>
      <c r="K1610" s="5" t="s">
        <v>226</v>
      </c>
      <c r="L1610" t="str">
        <f t="shared" si="27"/>
        <v>deamelberroa@gmail.com</v>
      </c>
    </row>
    <row r="1611" spans="1:12">
      <c r="A1611" t="str" cm="1">
        <f t="array" ref="A1611">_xlfn.LET(_xlpm.e,L1611,
IF(_xlpm.e="","",
"DOC-"&amp;TEXT(ROW()-ROW(tblMaster[#Headers]),"00000")
))</f>
        <v>DOC-01610</v>
      </c>
      <c r="B1611" s="47">
        <v>45844</v>
      </c>
      <c r="C1611" s="36" t="s">
        <v>6261</v>
      </c>
      <c r="D1611" s="36" t="s">
        <v>6262</v>
      </c>
      <c r="E1611" s="77" t="s">
        <v>6263</v>
      </c>
      <c r="F1611" s="36" t="s">
        <v>6264</v>
      </c>
      <c r="I1611" s="17" t="s">
        <v>5679</v>
      </c>
      <c r="K1611" s="5" t="s">
        <v>226</v>
      </c>
      <c r="L1611" t="str">
        <f t="shared" si="27"/>
        <v>oliveira.thay1992@gmail.com</v>
      </c>
    </row>
    <row r="1612" spans="1:12" ht="15.75">
      <c r="A1612" t="str" cm="1">
        <f t="array" ref="A1612">_xlfn.LET(_xlpm.e,L1612,
IF(_xlpm.e="","",
"DOC-"&amp;TEXT(ROW()-ROW(tblMaster[#Headers]),"00000")
))</f>
        <v>DOC-01611</v>
      </c>
      <c r="B1612" s="47">
        <v>45763</v>
      </c>
      <c r="C1612" s="58" t="s">
        <v>6265</v>
      </c>
      <c r="D1612" s="58" t="s">
        <v>6266</v>
      </c>
      <c r="E1612" s="77" t="s">
        <v>6267</v>
      </c>
      <c r="F1612" s="58" t="s">
        <v>6268</v>
      </c>
      <c r="I1612" s="17" t="s">
        <v>5679</v>
      </c>
      <c r="K1612" s="5" t="s">
        <v>226</v>
      </c>
      <c r="L1612" t="str">
        <f t="shared" si="27"/>
        <v>ludwigelvariste@gmail.com</v>
      </c>
    </row>
    <row r="1613" spans="1:12">
      <c r="A1613" t="str" cm="1">
        <f t="array" ref="A1613">_xlfn.LET(_xlpm.e,L1613,
IF(_xlpm.e="","",
"DOC-"&amp;TEXT(ROW()-ROW(tblMaster[#Headers]),"00000")
))</f>
        <v>DOC-01612</v>
      </c>
      <c r="B1613" s="47">
        <v>45708</v>
      </c>
      <c r="C1613" s="36" t="s">
        <v>6269</v>
      </c>
      <c r="D1613" s="36" t="s">
        <v>6270</v>
      </c>
      <c r="E1613" s="77" t="s">
        <v>6271</v>
      </c>
      <c r="F1613" s="36" t="s">
        <v>6272</v>
      </c>
      <c r="I1613" s="17" t="s">
        <v>5679</v>
      </c>
      <c r="K1613" s="5" t="s">
        <v>226</v>
      </c>
      <c r="L1613" t="str">
        <f t="shared" si="27"/>
        <v>quianamcdaniel94@gmail.com</v>
      </c>
    </row>
    <row r="1614" spans="1:12">
      <c r="A1614" t="str" cm="1">
        <f t="array" ref="A1614">_xlfn.LET(_xlpm.e,L1614,
IF(_xlpm.e="","",
"DOC-"&amp;TEXT(ROW()-ROW(tblMaster[#Headers]),"00000")
))</f>
        <v>DOC-01613</v>
      </c>
      <c r="B1614" s="47">
        <v>45713</v>
      </c>
      <c r="C1614" s="76" t="s">
        <v>6273</v>
      </c>
      <c r="D1614" s="76" t="s">
        <v>6274</v>
      </c>
      <c r="E1614" s="77" t="s">
        <v>6275</v>
      </c>
      <c r="F1614" s="76" t="s">
        <v>6276</v>
      </c>
      <c r="I1614" s="17" t="s">
        <v>5679</v>
      </c>
      <c r="K1614" s="5" t="s">
        <v>226</v>
      </c>
      <c r="L1614" t="str">
        <f t="shared" si="27"/>
        <v>jamaulmiller@gmail.com</v>
      </c>
    </row>
    <row r="1615" spans="1:12">
      <c r="A1615" t="str" cm="1">
        <f t="array" ref="A1615">_xlfn.LET(_xlpm.e,L1615,
IF(_xlpm.e="","",
"DOC-"&amp;TEXT(ROW()-ROW(tblMaster[#Headers]),"00000")
))</f>
        <v>DOC-01614</v>
      </c>
      <c r="B1615" s="47">
        <v>45735</v>
      </c>
      <c r="C1615" s="36" t="s">
        <v>1871</v>
      </c>
      <c r="D1615" s="36" t="s">
        <v>6277</v>
      </c>
      <c r="E1615" s="77" t="s">
        <v>6278</v>
      </c>
      <c r="F1615" s="36" t="s">
        <v>6279</v>
      </c>
      <c r="I1615" s="17" t="s">
        <v>5679</v>
      </c>
      <c r="K1615" s="5" t="s">
        <v>226</v>
      </c>
      <c r="L1615" t="str">
        <f t="shared" si="27"/>
        <v>cole.pirelli@outlook.com</v>
      </c>
    </row>
    <row r="1616" spans="1:12">
      <c r="A1616" t="str" cm="1">
        <f t="array" ref="A1616">_xlfn.LET(_xlpm.e,L1616,
IF(_xlpm.e="","",
"DOC-"&amp;TEXT(ROW()-ROW(tblMaster[#Headers]),"00000")
))</f>
        <v>DOC-01615</v>
      </c>
      <c r="B1616" s="47">
        <v>45692</v>
      </c>
      <c r="C1616" s="36" t="s">
        <v>174</v>
      </c>
      <c r="D1616" s="36" t="s">
        <v>6280</v>
      </c>
      <c r="E1616" s="77" t="s">
        <v>6281</v>
      </c>
      <c r="F1616" s="36" t="s">
        <v>6282</v>
      </c>
      <c r="I1616" s="17" t="s">
        <v>5679</v>
      </c>
      <c r="K1616" s="5" t="s">
        <v>226</v>
      </c>
      <c r="L1616" t="str">
        <f t="shared" si="27"/>
        <v>giannaredfern@gmail.com</v>
      </c>
    </row>
    <row r="1617" spans="1:12">
      <c r="A1617" t="str" cm="1">
        <f t="array" ref="A1617">_xlfn.LET(_xlpm.e,L1617,
IF(_xlpm.e="","",
"DOC-"&amp;TEXT(ROW()-ROW(tblMaster[#Headers]),"00000")
))</f>
        <v>DOC-01616</v>
      </c>
      <c r="B1617" s="47">
        <v>45800</v>
      </c>
      <c r="C1617" s="36" t="s">
        <v>6283</v>
      </c>
      <c r="D1617" s="36" t="s">
        <v>6284</v>
      </c>
      <c r="E1617" s="77" t="s">
        <v>6285</v>
      </c>
      <c r="F1617" s="36" t="s">
        <v>6286</v>
      </c>
      <c r="I1617" s="17" t="s">
        <v>5679</v>
      </c>
      <c r="K1617" s="5" t="s">
        <v>226</v>
      </c>
      <c r="L1617" t="str">
        <f t="shared" si="27"/>
        <v>robii.sou14@gmail.com</v>
      </c>
    </row>
    <row r="1618" spans="1:12">
      <c r="A1618" t="str" cm="1">
        <f t="array" ref="A1618">_xlfn.LET(_xlpm.e,L1618,
IF(_xlpm.e="","",
"DOC-"&amp;TEXT(ROW()-ROW(tblMaster[#Headers]),"00000")
))</f>
        <v>DOC-01617</v>
      </c>
      <c r="B1618" s="47">
        <v>45719</v>
      </c>
      <c r="C1618" s="36" t="s">
        <v>6287</v>
      </c>
      <c r="D1618" s="36" t="s">
        <v>6288</v>
      </c>
      <c r="E1618" s="77" t="s">
        <v>6289</v>
      </c>
      <c r="F1618" s="36" t="s">
        <v>6290</v>
      </c>
      <c r="I1618" s="17" t="s">
        <v>5679</v>
      </c>
      <c r="K1618" s="5" t="s">
        <v>226</v>
      </c>
      <c r="L1618" t="str">
        <f t="shared" si="27"/>
        <v>summernicole42017@icloud.com</v>
      </c>
    </row>
    <row r="1619" spans="1:12">
      <c r="A1619" t="str" cm="1">
        <f t="array" ref="A1619">_xlfn.LET(_xlpm.e,L1619,
IF(_xlpm.e="","",
"DOC-"&amp;TEXT(ROW()-ROW(tblMaster[#Headers]),"00000")
))</f>
        <v>DOC-01618</v>
      </c>
      <c r="B1619" s="47">
        <v>45831</v>
      </c>
      <c r="C1619" s="36" t="s">
        <v>1113</v>
      </c>
      <c r="D1619" s="36" t="s">
        <v>6291</v>
      </c>
      <c r="E1619" s="77" t="s">
        <v>6292</v>
      </c>
      <c r="F1619" s="36" t="s">
        <v>6293</v>
      </c>
      <c r="I1619" s="17" t="s">
        <v>5679</v>
      </c>
      <c r="K1619" s="5" t="s">
        <v>226</v>
      </c>
      <c r="L1619" t="str">
        <f t="shared" si="27"/>
        <v>desalvojoseph6@gmail.com</v>
      </c>
    </row>
    <row r="1620" spans="1:12">
      <c r="A1620" t="str" cm="1">
        <f t="array" ref="A1620">_xlfn.LET(_xlpm.e,L1620,
IF(_xlpm.e="","",
"DOC-"&amp;TEXT(ROW()-ROW(tblMaster[#Headers]),"00000")
))</f>
        <v>DOC-01619</v>
      </c>
      <c r="B1620" s="47">
        <v>45797</v>
      </c>
      <c r="C1620" s="36" t="s">
        <v>733</v>
      </c>
      <c r="D1620" s="36" t="s">
        <v>2672</v>
      </c>
      <c r="E1620" s="77" t="s">
        <v>6294</v>
      </c>
      <c r="F1620" s="77" t="s">
        <v>6295</v>
      </c>
      <c r="I1620" s="17" t="s">
        <v>5679</v>
      </c>
      <c r="K1620" s="5" t="s">
        <v>226</v>
      </c>
      <c r="L1620" t="str">
        <f t="shared" si="27"/>
        <v>daniel.francis1068@gmail.com</v>
      </c>
    </row>
    <row r="1621" spans="1:12">
      <c r="A1621" t="str" cm="1">
        <f t="array" ref="A1621">_xlfn.LET(_xlpm.e,L1621,
IF(_xlpm.e="","",
"DOC-"&amp;TEXT(ROW()-ROW(tblMaster[#Headers]),"00000")
))</f>
        <v>DOC-01620</v>
      </c>
      <c r="B1621" s="47">
        <v>45794</v>
      </c>
      <c r="C1621" s="36" t="s">
        <v>1379</v>
      </c>
      <c r="D1621" s="36" t="s">
        <v>6296</v>
      </c>
      <c r="E1621" s="77" t="s">
        <v>6297</v>
      </c>
      <c r="F1621" s="36" t="s">
        <v>6298</v>
      </c>
      <c r="I1621" s="17" t="s">
        <v>5679</v>
      </c>
      <c r="K1621" s="5" t="s">
        <v>226</v>
      </c>
      <c r="L1621" t="str">
        <f t="shared" si="27"/>
        <v>rkeogy@gmail.com</v>
      </c>
    </row>
    <row r="1622" spans="1:12">
      <c r="A1622" t="str" cm="1">
        <f t="array" ref="A1622">_xlfn.LET(_xlpm.e,L1622,
IF(_xlpm.e="","",
"DOC-"&amp;TEXT(ROW()-ROW(tblMaster[#Headers]),"00000")
))</f>
        <v>DOC-01621</v>
      </c>
      <c r="B1622" s="47">
        <v>45826</v>
      </c>
      <c r="C1622" s="36" t="s">
        <v>1202</v>
      </c>
      <c r="D1622" s="36" t="s">
        <v>6299</v>
      </c>
      <c r="E1622" s="77" t="s">
        <v>6300</v>
      </c>
      <c r="F1622" s="36" t="s">
        <v>6301</v>
      </c>
      <c r="I1622" s="17" t="s">
        <v>5679</v>
      </c>
      <c r="K1622" s="5" t="s">
        <v>226</v>
      </c>
      <c r="L1622" t="str">
        <f t="shared" si="27"/>
        <v>bjpendergast35@yahoo.com</v>
      </c>
    </row>
    <row r="1623" spans="1:12">
      <c r="A1623" t="str" cm="1">
        <f t="array" ref="A1623">_xlfn.LET(_xlpm.e,L1623,
IF(_xlpm.e="","",
"DOC-"&amp;TEXT(ROW()-ROW(tblMaster[#Headers]),"00000")
))</f>
        <v>DOC-01622</v>
      </c>
      <c r="B1623" s="47">
        <v>45743</v>
      </c>
      <c r="C1623" s="36" t="s">
        <v>6302</v>
      </c>
      <c r="D1623" s="36" t="s">
        <v>6303</v>
      </c>
      <c r="E1623" s="77" t="s">
        <v>6304</v>
      </c>
      <c r="F1623" s="36" t="s">
        <v>5768</v>
      </c>
      <c r="I1623" s="17" t="s">
        <v>5679</v>
      </c>
      <c r="K1623" s="5" t="s">
        <v>226</v>
      </c>
      <c r="L1623" t="str">
        <f t="shared" si="27"/>
        <v>stephanieperez0613@gmail.com</v>
      </c>
    </row>
    <row r="1624" spans="1:12">
      <c r="A1624" t="str" cm="1">
        <f t="array" ref="A1624">_xlfn.LET(_xlpm.e,L1624,
IF(_xlpm.e="","",
"DOC-"&amp;TEXT(ROW()-ROW(tblMaster[#Headers]),"00000")
))</f>
        <v>DOC-01623</v>
      </c>
      <c r="B1624" s="47">
        <v>45820</v>
      </c>
      <c r="C1624" s="36" t="s">
        <v>6305</v>
      </c>
      <c r="D1624" s="36" t="s">
        <v>6306</v>
      </c>
      <c r="E1624" s="77" t="s">
        <v>6307</v>
      </c>
      <c r="F1624" s="36" t="s">
        <v>6308</v>
      </c>
      <c r="I1624" s="17" t="s">
        <v>5679</v>
      </c>
      <c r="K1624" s="5" t="s">
        <v>226</v>
      </c>
      <c r="L1624" t="str">
        <f t="shared" si="27"/>
        <v>jerrysandiman@yahoo.com</v>
      </c>
    </row>
    <row r="1625" spans="1:12" ht="15.75">
      <c r="A1625" t="str" cm="1">
        <f t="array" ref="A1625">_xlfn.LET(_xlpm.e,L1625,
IF(_xlpm.e="","",
"DOC-"&amp;TEXT(ROW()-ROW(tblMaster[#Headers]),"00000")
))</f>
        <v>DOC-01624</v>
      </c>
      <c r="B1625" s="47">
        <v>45740</v>
      </c>
      <c r="C1625" s="59" t="s">
        <v>6309</v>
      </c>
      <c r="D1625" s="59" t="s">
        <v>1900</v>
      </c>
      <c r="E1625" s="77" t="s">
        <v>6310</v>
      </c>
      <c r="F1625" s="36" t="s">
        <v>6311</v>
      </c>
      <c r="I1625" s="17" t="s">
        <v>5679</v>
      </c>
      <c r="K1625" s="5" t="s">
        <v>226</v>
      </c>
      <c r="L1625" t="str">
        <f t="shared" si="27"/>
        <v>bruce8926@gmail.com</v>
      </c>
    </row>
    <row r="1626" spans="1:12">
      <c r="A1626" t="str" cm="1">
        <f t="array" ref="A1626">_xlfn.LET(_xlpm.e,L1626,
IF(_xlpm.e="","",
"DOC-"&amp;TEXT(ROW()-ROW(tblMaster[#Headers]),"00000")
))</f>
        <v>DOC-01625</v>
      </c>
      <c r="B1626" s="47">
        <v>45850</v>
      </c>
      <c r="C1626" s="36" t="s">
        <v>2819</v>
      </c>
      <c r="D1626" s="36" t="s">
        <v>2820</v>
      </c>
      <c r="E1626" s="77" t="s">
        <v>6312</v>
      </c>
      <c r="F1626" s="36" t="s">
        <v>6313</v>
      </c>
      <c r="I1626" s="17" t="s">
        <v>5679</v>
      </c>
      <c r="K1626" s="5" t="s">
        <v>226</v>
      </c>
      <c r="L1626" t="str">
        <f t="shared" si="27"/>
        <v>derrickansah224@gmail.com</v>
      </c>
    </row>
    <row r="1627" spans="1:12" ht="15.75">
      <c r="A1627" t="str" cm="1">
        <f t="array" ref="A1627">_xlfn.LET(_xlpm.e,L1627,
IF(_xlpm.e="","",
"DOC-"&amp;TEXT(ROW()-ROW(tblMaster[#Headers]),"00000")
))</f>
        <v>DOC-01626</v>
      </c>
      <c r="B1627" s="47">
        <v>45713</v>
      </c>
      <c r="C1627" s="58" t="s">
        <v>6314</v>
      </c>
      <c r="D1627" s="58" t="s">
        <v>6315</v>
      </c>
      <c r="E1627" s="77" t="s">
        <v>6316</v>
      </c>
      <c r="F1627" s="58" t="s">
        <v>6317</v>
      </c>
      <c r="I1627" s="17" t="s">
        <v>5679</v>
      </c>
      <c r="J1627" s="99" t="s">
        <v>66</v>
      </c>
      <c r="K1627" s="5" t="s">
        <v>226</v>
      </c>
      <c r="L1627" t="str">
        <f t="shared" si="27"/>
        <v>sethfinnessey@gmail.com</v>
      </c>
    </row>
    <row r="1628" spans="1:12" ht="15.75">
      <c r="A1628" t="str" cm="1">
        <f t="array" ref="A1628">_xlfn.LET(_xlpm.e,L1628,
IF(_xlpm.e="","",
"DOC-"&amp;TEXT(ROW()-ROW(tblMaster[#Headers]),"00000")
))</f>
        <v>DOC-01627</v>
      </c>
      <c r="B1628" s="47">
        <v>45700</v>
      </c>
      <c r="C1628" s="58" t="s">
        <v>6318</v>
      </c>
      <c r="D1628" s="58" t="s">
        <v>6319</v>
      </c>
      <c r="E1628" s="77" t="s">
        <v>6320</v>
      </c>
      <c r="F1628" s="58" t="s">
        <v>6321</v>
      </c>
      <c r="I1628" s="17" t="s">
        <v>5679</v>
      </c>
      <c r="K1628" s="5" t="s">
        <v>226</v>
      </c>
      <c r="L1628" t="str">
        <f t="shared" si="27"/>
        <v>dcforgie@outlook.com</v>
      </c>
    </row>
    <row r="1629" spans="1:12">
      <c r="A1629" t="str" cm="1">
        <f t="array" ref="A1629">_xlfn.LET(_xlpm.e,L1629,
IF(_xlpm.e="","",
"DOC-"&amp;TEXT(ROW()-ROW(tblMaster[#Headers]),"00000")
))</f>
        <v>DOC-01628</v>
      </c>
      <c r="B1629" s="47">
        <v>45653</v>
      </c>
      <c r="C1629" s="36" t="s">
        <v>29</v>
      </c>
      <c r="D1629" s="36" t="s">
        <v>6322</v>
      </c>
      <c r="E1629" s="94" t="s">
        <v>6323</v>
      </c>
      <c r="F1629" s="36" t="s">
        <v>6324</v>
      </c>
      <c r="G1629"/>
      <c r="I1629" s="17" t="s">
        <v>5679</v>
      </c>
      <c r="J1629" s="99" t="s">
        <v>66</v>
      </c>
      <c r="K1629" s="5" t="s">
        <v>226</v>
      </c>
      <c r="L1629" t="str">
        <f t="shared" si="27"/>
        <v>benjoyce34@gmail.com</v>
      </c>
    </row>
    <row r="1630" spans="1:12" ht="15.75">
      <c r="A1630" t="str" cm="1">
        <f t="array" ref="A1630">_xlfn.LET(_xlpm.e,L1630,
IF(_xlpm.e="","",
"DOC-"&amp;TEXT(ROW()-ROW(tblMaster[#Headers]),"00000")
))</f>
        <v>DOC-01629</v>
      </c>
      <c r="B1630" s="47">
        <v>45713</v>
      </c>
      <c r="C1630" s="58" t="s">
        <v>6325</v>
      </c>
      <c r="D1630" s="58" t="s">
        <v>6326</v>
      </c>
      <c r="E1630" s="77" t="s">
        <v>6327</v>
      </c>
      <c r="F1630" s="58" t="s">
        <v>6328</v>
      </c>
      <c r="G1630"/>
      <c r="I1630" s="17" t="s">
        <v>5679</v>
      </c>
      <c r="J1630" s="99" t="s">
        <v>194</v>
      </c>
      <c r="K1630" s="5" t="s">
        <v>226</v>
      </c>
      <c r="L1630" t="str">
        <f t="shared" ref="L1630:L1693" si="28">_xlfn.LET(_xlpm.x,E1630,
_xlpm.y,TRIM(CLEAN(SUBSTITUTE(_xlpm.x,CHAR(160)," "))),
LOWER(_xlpm.y))</f>
        <v>lucrechialubin@gmail.com</v>
      </c>
    </row>
    <row r="1631" spans="1:12">
      <c r="A1631" t="str" cm="1">
        <f t="array" ref="A1631">_xlfn.LET(_xlpm.e,L1631,
IF(_xlpm.e="","",
"DOC-"&amp;TEXT(ROW()-ROW(tblMaster[#Headers]),"00000")
))</f>
        <v>DOC-01630</v>
      </c>
      <c r="B1631" s="47">
        <v>45756</v>
      </c>
      <c r="C1631" s="36" t="s">
        <v>719</v>
      </c>
      <c r="D1631" s="36" t="s">
        <v>6329</v>
      </c>
      <c r="E1631" s="77" t="s">
        <v>6330</v>
      </c>
      <c r="F1631" s="36" t="s">
        <v>6331</v>
      </c>
      <c r="G1631"/>
      <c r="I1631" s="17" t="s">
        <v>5679</v>
      </c>
      <c r="J1631" s="99" t="s">
        <v>66</v>
      </c>
      <c r="K1631" s="5" t="s">
        <v>226</v>
      </c>
      <c r="L1631" t="str">
        <f t="shared" si="28"/>
        <v>maldonado.v1895@gmail.com</v>
      </c>
    </row>
    <row r="1632" spans="1:12">
      <c r="A1632" t="str" cm="1">
        <f t="array" ref="A1632">_xlfn.LET(_xlpm.e,L1632,
IF(_xlpm.e="","",
"DOC-"&amp;TEXT(ROW()-ROW(tblMaster[#Headers]),"00000")
))</f>
        <v/>
      </c>
      <c r="B1632" s="47">
        <v>45694</v>
      </c>
      <c r="C1632" s="89" t="s">
        <v>6332</v>
      </c>
      <c r="D1632" s="92" t="s">
        <v>6333</v>
      </c>
      <c r="E1632" s="79"/>
      <c r="F1632" s="79" t="s">
        <v>6334</v>
      </c>
      <c r="G1632"/>
      <c r="I1632" s="17" t="s">
        <v>5679</v>
      </c>
      <c r="J1632" s="99" t="s">
        <v>194</v>
      </c>
      <c r="K1632" s="5" t="s">
        <v>226</v>
      </c>
      <c r="L1632" t="str">
        <f t="shared" si="28"/>
        <v/>
      </c>
    </row>
    <row r="1633" spans="1:12" ht="18">
      <c r="A1633" t="str" cm="1">
        <f t="array" ref="A1633">_xlfn.LET(_xlpm.e,L1633,
IF(_xlpm.e="","",
"DOC-"&amp;TEXT(ROW()-ROW(tblMaster[#Headers]),"00000")
))</f>
        <v>DOC-01632</v>
      </c>
      <c r="B1633" s="47">
        <v>45747</v>
      </c>
      <c r="C1633" s="80" t="s">
        <v>6335</v>
      </c>
      <c r="D1633" s="80" t="s">
        <v>6336</v>
      </c>
      <c r="E1633" s="77" t="s">
        <v>6337</v>
      </c>
      <c r="F1633" s="80" t="s">
        <v>6338</v>
      </c>
      <c r="G1633"/>
      <c r="I1633" s="17" t="s">
        <v>5679</v>
      </c>
      <c r="J1633" s="99" t="s">
        <v>194</v>
      </c>
      <c r="K1633" s="5" t="s">
        <v>226</v>
      </c>
      <c r="L1633" t="str">
        <f t="shared" si="28"/>
        <v>jillian1210@aol.com</v>
      </c>
    </row>
    <row r="1634" spans="1:12">
      <c r="A1634" t="str" cm="1">
        <f t="array" ref="A1634">_xlfn.LET(_xlpm.e,L1634,
IF(_xlpm.e="","",
"DOC-"&amp;TEXT(ROW()-ROW(tblMaster[#Headers]),"00000")
))</f>
        <v>DOC-01633</v>
      </c>
      <c r="B1634" s="47">
        <v>45799</v>
      </c>
      <c r="C1634" s="36" t="s">
        <v>6339</v>
      </c>
      <c r="D1634" s="36" t="s">
        <v>6340</v>
      </c>
      <c r="E1634" s="77" t="s">
        <v>6341</v>
      </c>
      <c r="F1634" s="36" t="s">
        <v>6342</v>
      </c>
      <c r="G1634"/>
      <c r="I1634" s="17" t="s">
        <v>5679</v>
      </c>
      <c r="J1634" s="99" t="s">
        <v>497</v>
      </c>
      <c r="K1634" s="5" t="s">
        <v>226</v>
      </c>
      <c r="L1634" t="str">
        <f t="shared" si="28"/>
        <v>oluwaseyiojoko@gmail.com</v>
      </c>
    </row>
    <row r="1635" spans="1:12">
      <c r="A1635" t="str" cm="1">
        <f t="array" ref="A1635">_xlfn.LET(_xlpm.e,L1635,
IF(_xlpm.e="","",
"DOC-"&amp;TEXT(ROW()-ROW(tblMaster[#Headers]),"00000")
))</f>
        <v>DOC-01634</v>
      </c>
      <c r="B1635" s="47">
        <v>45741</v>
      </c>
      <c r="C1635" s="36" t="s">
        <v>6343</v>
      </c>
      <c r="D1635" s="36" t="s">
        <v>6344</v>
      </c>
      <c r="E1635" s="77" t="s">
        <v>6345</v>
      </c>
      <c r="F1635" s="36" t="s">
        <v>6346</v>
      </c>
      <c r="G1635"/>
      <c r="I1635" s="17" t="s">
        <v>5679</v>
      </c>
      <c r="J1635" s="99" t="s">
        <v>66</v>
      </c>
      <c r="K1635" s="5" t="s">
        <v>226</v>
      </c>
      <c r="L1635" t="str">
        <f t="shared" si="28"/>
        <v>landonm0821@gmail.com</v>
      </c>
    </row>
    <row r="1636" spans="1:12">
      <c r="A1636" t="str" cm="1">
        <f t="array" ref="A1636">_xlfn.LET(_xlpm.e,L1636,
IF(_xlpm.e="","",
"DOC-"&amp;TEXT(ROW()-ROW(tblMaster[#Headers]),"00000")
))</f>
        <v>DOC-01635</v>
      </c>
      <c r="B1636" s="47">
        <v>45761</v>
      </c>
      <c r="C1636" s="36" t="s">
        <v>6347</v>
      </c>
      <c r="D1636" s="36" t="s">
        <v>6348</v>
      </c>
      <c r="E1636" s="77" t="s">
        <v>6349</v>
      </c>
      <c r="F1636" s="36" t="s">
        <v>6350</v>
      </c>
      <c r="G1636"/>
      <c r="I1636" s="17" t="s">
        <v>5679</v>
      </c>
      <c r="J1636" s="99" t="s">
        <v>497</v>
      </c>
      <c r="K1636" s="5" t="s">
        <v>226</v>
      </c>
      <c r="L1636" t="str">
        <f t="shared" si="28"/>
        <v>nova958@gmail.com</v>
      </c>
    </row>
    <row r="1637" spans="1:12">
      <c r="A1637" t="str" cm="1">
        <f t="array" ref="A1637">_xlfn.LET(_xlpm.e,L1637,
IF(_xlpm.e="","",
"DOC-"&amp;TEXT(ROW()-ROW(tblMaster[#Headers]),"00000")
))</f>
        <v>DOC-01636</v>
      </c>
      <c r="B1637" s="47">
        <v>45838</v>
      </c>
      <c r="C1637" s="36" t="s">
        <v>2754</v>
      </c>
      <c r="D1637" s="36" t="s">
        <v>6351</v>
      </c>
      <c r="E1637" s="77" t="s">
        <v>6352</v>
      </c>
      <c r="F1637" s="36" t="s">
        <v>6353</v>
      </c>
      <c r="G1637"/>
      <c r="I1637" s="17" t="s">
        <v>5679</v>
      </c>
      <c r="J1637" s="99" t="s">
        <v>194</v>
      </c>
      <c r="K1637" s="5" t="s">
        <v>226</v>
      </c>
      <c r="L1637" t="str">
        <f t="shared" si="28"/>
        <v>miguelitotaveras2930@gmail.com</v>
      </c>
    </row>
    <row r="1638" spans="1:12">
      <c r="A1638" t="str" cm="1">
        <f t="array" ref="A1638">_xlfn.LET(_xlpm.e,L1638,
IF(_xlpm.e="","",
"DOC-"&amp;TEXT(ROW()-ROW(tblMaster[#Headers]),"00000")
))</f>
        <v>DOC-01637</v>
      </c>
      <c r="B1638" s="47">
        <v>45708</v>
      </c>
      <c r="C1638" s="36" t="s">
        <v>527</v>
      </c>
      <c r="D1638" s="36" t="s">
        <v>6354</v>
      </c>
      <c r="E1638" s="77" t="s">
        <v>6355</v>
      </c>
      <c r="F1638" s="36" t="s">
        <v>6356</v>
      </c>
      <c r="G1638"/>
      <c r="I1638" s="17" t="s">
        <v>5679</v>
      </c>
      <c r="J1638" s="99" t="s">
        <v>194</v>
      </c>
      <c r="K1638" s="5" t="s">
        <v>226</v>
      </c>
      <c r="L1638" t="str">
        <f t="shared" si="28"/>
        <v>jahern28@icloud.com</v>
      </c>
    </row>
    <row r="1639" spans="1:12">
      <c r="A1639" t="str" cm="1">
        <f t="array" ref="A1639">_xlfn.LET(_xlpm.e,L1639,
IF(_xlpm.e="","",
"DOC-"&amp;TEXT(ROW()-ROW(tblMaster[#Headers]),"00000")
))</f>
        <v>DOC-01638</v>
      </c>
      <c r="B1639" s="47">
        <v>46532</v>
      </c>
      <c r="C1639" s="36" t="s">
        <v>778</v>
      </c>
      <c r="D1639" s="36" t="s">
        <v>6357</v>
      </c>
      <c r="E1639" s="77" t="s">
        <v>6358</v>
      </c>
      <c r="F1639" s="36" t="s">
        <v>6359</v>
      </c>
      <c r="G1639"/>
      <c r="I1639" s="17" t="s">
        <v>5679</v>
      </c>
      <c r="J1639" s="99" t="s">
        <v>497</v>
      </c>
      <c r="K1639" s="5" t="s">
        <v>226</v>
      </c>
      <c r="L1639" t="str">
        <f t="shared" si="28"/>
        <v>mike032004@gmail.com</v>
      </c>
    </row>
    <row r="1640" spans="1:12">
      <c r="A1640" t="str" cm="1">
        <f t="array" ref="A1640">_xlfn.LET(_xlpm.e,L1640,
IF(_xlpm.e="","",
"DOC-"&amp;TEXT(ROW()-ROW(tblMaster[#Headers]),"00000")
))</f>
        <v>DOC-01639</v>
      </c>
      <c r="B1640" s="47">
        <v>45831</v>
      </c>
      <c r="C1640" s="36" t="s">
        <v>2821</v>
      </c>
      <c r="D1640" s="36" t="s">
        <v>2822</v>
      </c>
      <c r="E1640" s="77" t="s">
        <v>6360</v>
      </c>
      <c r="F1640" s="36" t="s">
        <v>2617</v>
      </c>
      <c r="G1640"/>
      <c r="I1640" s="17" t="s">
        <v>5679</v>
      </c>
      <c r="J1640" s="99" t="s">
        <v>66</v>
      </c>
      <c r="K1640" s="5" t="s">
        <v>226</v>
      </c>
      <c r="L1640" t="str">
        <f t="shared" si="28"/>
        <v>ohenebakduah2@gmail.com</v>
      </c>
    </row>
    <row r="1641" spans="1:12">
      <c r="A1641" t="str" cm="1">
        <f t="array" ref="A1641">_xlfn.LET(_xlpm.e,L1641,
IF(_xlpm.e="","",
"DOC-"&amp;TEXT(ROW()-ROW(tblMaster[#Headers]),"00000")
))</f>
        <v>DOC-01640</v>
      </c>
      <c r="B1641" s="47">
        <v>45664</v>
      </c>
      <c r="C1641" s="36" t="s">
        <v>6361</v>
      </c>
      <c r="D1641" s="36" t="s">
        <v>6362</v>
      </c>
      <c r="E1641" s="77" t="s">
        <v>6363</v>
      </c>
      <c r="F1641" s="36" t="s">
        <v>6364</v>
      </c>
      <c r="G1641"/>
      <c r="I1641" s="17" t="s">
        <v>5679</v>
      </c>
      <c r="J1641" s="99" t="s">
        <v>66</v>
      </c>
      <c r="K1641" s="5" t="s">
        <v>226</v>
      </c>
      <c r="L1641" t="str">
        <f t="shared" si="28"/>
        <v>aniltonjorge1993@hotmail.com</v>
      </c>
    </row>
    <row r="1642" spans="1:12">
      <c r="A1642" t="str" cm="1">
        <f t="array" ref="A1642">_xlfn.LET(_xlpm.e,L1642,
IF(_xlpm.e="","",
"DOC-"&amp;TEXT(ROW()-ROW(tblMaster[#Headers]),"00000")
))</f>
        <v>DOC-01641</v>
      </c>
      <c r="B1642" s="47">
        <v>45713</v>
      </c>
      <c r="C1642" s="81" t="s">
        <v>6365</v>
      </c>
      <c r="D1642" s="81" t="s">
        <v>6366</v>
      </c>
      <c r="E1642" s="77" t="s">
        <v>6367</v>
      </c>
      <c r="F1642" s="81" t="s">
        <v>6368</v>
      </c>
      <c r="G1642"/>
      <c r="I1642" s="17" t="s">
        <v>5679</v>
      </c>
      <c r="J1642" s="99" t="s">
        <v>194</v>
      </c>
      <c r="K1642" s="5" t="s">
        <v>226</v>
      </c>
      <c r="L1642" t="str">
        <f t="shared" si="28"/>
        <v>miguegerman1027@gmail.com</v>
      </c>
    </row>
    <row r="1643" spans="1:12">
      <c r="A1643" t="str" cm="1">
        <f t="array" ref="A1643">_xlfn.LET(_xlpm.e,L1643,
IF(_xlpm.e="","",
"DOC-"&amp;TEXT(ROW()-ROW(tblMaster[#Headers]),"00000")
))</f>
        <v>DOC-01642</v>
      </c>
      <c r="B1643" s="47">
        <v>45612</v>
      </c>
      <c r="C1643" s="36" t="s">
        <v>6369</v>
      </c>
      <c r="D1643" s="36" t="s">
        <v>6370</v>
      </c>
      <c r="E1643" s="77" t="s">
        <v>6371</v>
      </c>
      <c r="F1643" s="36" t="s">
        <v>6372</v>
      </c>
      <c r="G1643"/>
      <c r="I1643" s="17" t="s">
        <v>5679</v>
      </c>
      <c r="J1643" s="99" t="s">
        <v>497</v>
      </c>
      <c r="K1643" s="5" t="s">
        <v>226</v>
      </c>
      <c r="L1643" t="str">
        <f t="shared" si="28"/>
        <v>rhairston1130@gmail.com</v>
      </c>
    </row>
    <row r="1644" spans="1:12">
      <c r="A1644" t="str" cm="1">
        <f t="array" ref="A1644">_xlfn.LET(_xlpm.e,L1644,
IF(_xlpm.e="","",
"DOC-"&amp;TEXT(ROW()-ROW(tblMaster[#Headers]),"00000")
))</f>
        <v>DOC-01643</v>
      </c>
      <c r="B1644" s="47">
        <v>45622</v>
      </c>
      <c r="C1644" s="36" t="s">
        <v>2742</v>
      </c>
      <c r="D1644" s="36" t="s">
        <v>6373</v>
      </c>
      <c r="E1644" s="77" t="s">
        <v>6374</v>
      </c>
      <c r="F1644" s="36" t="s">
        <v>6375</v>
      </c>
      <c r="G1644"/>
      <c r="I1644" s="17" t="s">
        <v>5679</v>
      </c>
      <c r="J1644" s="99" t="s">
        <v>497</v>
      </c>
      <c r="K1644" s="5" t="s">
        <v>226</v>
      </c>
      <c r="L1644" t="str">
        <f t="shared" si="28"/>
        <v>a0865303@gmail.com</v>
      </c>
    </row>
    <row r="1645" spans="1:12">
      <c r="A1645" t="str" cm="1">
        <f t="array" ref="A1645">_xlfn.LET(_xlpm.e,L1645,
IF(_xlpm.e="","",
"DOC-"&amp;TEXT(ROW()-ROW(tblMaster[#Headers]),"00000")
))</f>
        <v>DOC-01644</v>
      </c>
      <c r="B1645" s="47">
        <v>45687</v>
      </c>
      <c r="C1645" s="36" t="s">
        <v>6376</v>
      </c>
      <c r="D1645" s="36" t="s">
        <v>6377</v>
      </c>
      <c r="E1645" s="77" t="s">
        <v>6378</v>
      </c>
      <c r="F1645" s="36" t="s">
        <v>6379</v>
      </c>
      <c r="G1645"/>
      <c r="I1645" s="17" t="s">
        <v>5679</v>
      </c>
      <c r="J1645" s="99" t="s">
        <v>66</v>
      </c>
      <c r="K1645" s="5" t="s">
        <v>226</v>
      </c>
      <c r="L1645" t="str">
        <f t="shared" si="28"/>
        <v>shaleikamatthews@gmail.com</v>
      </c>
    </row>
    <row r="1646" spans="1:12">
      <c r="A1646" t="str" cm="1">
        <f t="array" ref="A1646">_xlfn.LET(_xlpm.e,L1646,
IF(_xlpm.e="","",
"DOC-"&amp;TEXT(ROW()-ROW(tblMaster[#Headers]),"00000")
))</f>
        <v>DOC-01645</v>
      </c>
      <c r="B1646" s="47">
        <v>45581</v>
      </c>
      <c r="C1646" s="36" t="s">
        <v>6380</v>
      </c>
      <c r="D1646" s="36" t="s">
        <v>6381</v>
      </c>
      <c r="E1646" s="77" t="s">
        <v>6382</v>
      </c>
      <c r="F1646" s="36" t="s">
        <v>6383</v>
      </c>
      <c r="G1646" s="2"/>
      <c r="I1646" s="17" t="s">
        <v>5679</v>
      </c>
      <c r="K1646" s="5" t="s">
        <v>226</v>
      </c>
      <c r="L1646" t="str">
        <f t="shared" si="28"/>
        <v>gnerosil86@gmail.com</v>
      </c>
    </row>
    <row r="1647" spans="1:12">
      <c r="A1647" t="str" cm="1">
        <f t="array" ref="A1647">_xlfn.LET(_xlpm.e,L1647,
IF(_xlpm.e="","",
"DOC-"&amp;TEXT(ROW()-ROW(tblMaster[#Headers]),"00000")
))</f>
        <v>DOC-01646</v>
      </c>
      <c r="B1647" s="47">
        <v>45599</v>
      </c>
      <c r="C1647" s="36" t="s">
        <v>498</v>
      </c>
      <c r="D1647" s="36" t="s">
        <v>6384</v>
      </c>
      <c r="E1647" s="77" t="s">
        <v>6385</v>
      </c>
      <c r="F1647" s="36" t="s">
        <v>6386</v>
      </c>
      <c r="G1647"/>
      <c r="I1647" s="17" t="s">
        <v>5679</v>
      </c>
      <c r="J1647" s="99" t="s">
        <v>66</v>
      </c>
      <c r="K1647" s="5" t="s">
        <v>226</v>
      </c>
      <c r="L1647" t="str">
        <f t="shared" si="28"/>
        <v>justice4ad@yahoo.com</v>
      </c>
    </row>
    <row r="1648" spans="1:12" ht="15.75">
      <c r="A1648" t="str" cm="1">
        <f t="array" ref="A1648">_xlfn.LET(_xlpm.e,L1648,
IF(_xlpm.e="","",
"DOC-"&amp;TEXT(ROW()-ROW(tblMaster[#Headers]),"00000")
))</f>
        <v>DOC-01647</v>
      </c>
      <c r="B1648" s="47">
        <v>45713</v>
      </c>
      <c r="C1648" s="82" t="s">
        <v>1544</v>
      </c>
      <c r="D1648" s="82" t="s">
        <v>6387</v>
      </c>
      <c r="E1648" s="77" t="s">
        <v>6388</v>
      </c>
      <c r="F1648" s="82" t="s">
        <v>6389</v>
      </c>
      <c r="G1648"/>
      <c r="I1648" s="17" t="s">
        <v>5679</v>
      </c>
      <c r="J1648" s="99" t="s">
        <v>194</v>
      </c>
      <c r="K1648" s="5" t="s">
        <v>226</v>
      </c>
      <c r="L1648" t="str">
        <f t="shared" si="28"/>
        <v>lifeisgoodasap@gmail.com</v>
      </c>
    </row>
    <row r="1649" spans="1:12">
      <c r="A1649" t="str" cm="1">
        <f t="array" ref="A1649">_xlfn.LET(_xlpm.e,L1649,
IF(_xlpm.e="","",
"DOC-"&amp;TEXT(ROW()-ROW(tblMaster[#Headers]),"00000")
))</f>
        <v>DOC-01648</v>
      </c>
      <c r="B1649" s="47">
        <v>45708</v>
      </c>
      <c r="C1649" s="36" t="s">
        <v>5763</v>
      </c>
      <c r="D1649" s="36" t="s">
        <v>6390</v>
      </c>
      <c r="E1649" s="77" t="s">
        <v>6391</v>
      </c>
      <c r="F1649" s="36" t="s">
        <v>6392</v>
      </c>
      <c r="G1649"/>
      <c r="I1649" s="17" t="s">
        <v>5679</v>
      </c>
      <c r="J1649" s="99" t="s">
        <v>194</v>
      </c>
      <c r="K1649" s="5" t="s">
        <v>226</v>
      </c>
      <c r="L1649" t="str">
        <f t="shared" si="28"/>
        <v>sdasilva0228@gmail.com</v>
      </c>
    </row>
    <row r="1650" spans="1:12">
      <c r="A1650" t="str" cm="1">
        <f t="array" ref="A1650">_xlfn.LET(_xlpm.e,L1650,
IF(_xlpm.e="","",
"DOC-"&amp;TEXT(ROW()-ROW(tblMaster[#Headers]),"00000")
))</f>
        <v>DOC-01649</v>
      </c>
      <c r="B1650" s="47">
        <v>45791</v>
      </c>
      <c r="C1650" s="36" t="s">
        <v>6393</v>
      </c>
      <c r="D1650" s="36" t="s">
        <v>6394</v>
      </c>
      <c r="E1650" s="77" t="s">
        <v>6395</v>
      </c>
      <c r="F1650" s="36" t="s">
        <v>6396</v>
      </c>
      <c r="G1650"/>
      <c r="I1650" s="17" t="s">
        <v>5679</v>
      </c>
      <c r="J1650" s="99" t="s">
        <v>497</v>
      </c>
      <c r="K1650" s="5" t="s">
        <v>226</v>
      </c>
      <c r="L1650" t="str">
        <f t="shared" si="28"/>
        <v>shanteldavis2020@gmail.com</v>
      </c>
    </row>
    <row r="1651" spans="1:12">
      <c r="A1651" t="str" cm="1">
        <f t="array" ref="A1651">_xlfn.LET(_xlpm.e,L1651,
IF(_xlpm.e="","",
"DOC-"&amp;TEXT(ROW()-ROW(tblMaster[#Headers]),"00000")
))</f>
        <v>DOC-01650</v>
      </c>
      <c r="B1651" s="47">
        <v>45708</v>
      </c>
      <c r="C1651" s="36" t="s">
        <v>3292</v>
      </c>
      <c r="D1651" s="36" t="s">
        <v>5142</v>
      </c>
      <c r="E1651" s="77" t="s">
        <v>6397</v>
      </c>
      <c r="F1651" s="36" t="s">
        <v>6398</v>
      </c>
      <c r="G1651"/>
      <c r="I1651" s="17" t="s">
        <v>5679</v>
      </c>
      <c r="J1651" s="99" t="s">
        <v>66</v>
      </c>
      <c r="K1651" s="5" t="s">
        <v>226</v>
      </c>
      <c r="L1651" t="str">
        <f t="shared" si="28"/>
        <v>kayladias@icloud.com</v>
      </c>
    </row>
    <row r="1652" spans="1:12" ht="15.75">
      <c r="A1652" t="str" cm="1">
        <f t="array" ref="A1652">_xlfn.LET(_xlpm.e,L1652,
IF(_xlpm.e="","",
"DOC-"&amp;TEXT(ROW()-ROW(tblMaster[#Headers]),"00000")
))</f>
        <v>DOC-01651</v>
      </c>
      <c r="B1652" s="47">
        <v>45706</v>
      </c>
      <c r="C1652" s="82" t="s">
        <v>6399</v>
      </c>
      <c r="D1652" s="82" t="s">
        <v>6400</v>
      </c>
      <c r="E1652" s="77" t="s">
        <v>6401</v>
      </c>
      <c r="F1652" s="82" t="s">
        <v>6402</v>
      </c>
      <c r="G1652"/>
      <c r="I1652" s="17" t="s">
        <v>5679</v>
      </c>
      <c r="J1652" s="99" t="s">
        <v>194</v>
      </c>
      <c r="K1652" s="5" t="s">
        <v>226</v>
      </c>
      <c r="L1652" t="str">
        <f t="shared" si="28"/>
        <v>mmdiseko@gmail.com</v>
      </c>
    </row>
    <row r="1653" spans="1:12">
      <c r="A1653" t="str" cm="1">
        <f t="array" ref="A1653">_xlfn.LET(_xlpm.e,L1653,
IF(_xlpm.e="","",
"DOC-"&amp;TEXT(ROW()-ROW(tblMaster[#Headers]),"00000")
))</f>
        <v>DOC-01652</v>
      </c>
      <c r="B1653" s="47">
        <v>45708</v>
      </c>
      <c r="C1653" s="36" t="s">
        <v>1560</v>
      </c>
      <c r="D1653" s="36" t="s">
        <v>6403</v>
      </c>
      <c r="E1653" s="77" t="s">
        <v>6404</v>
      </c>
      <c r="F1653" s="36" t="s">
        <v>6405</v>
      </c>
      <c r="G1653"/>
      <c r="I1653" s="17" t="s">
        <v>5679</v>
      </c>
      <c r="J1653" s="99" t="s">
        <v>194</v>
      </c>
      <c r="K1653" s="5" t="s">
        <v>226</v>
      </c>
      <c r="L1653" t="str">
        <f t="shared" si="28"/>
        <v>gfalkorn01@northshore.edu</v>
      </c>
    </row>
    <row r="1654" spans="1:12">
      <c r="A1654" t="str" cm="1">
        <f t="array" ref="A1654">_xlfn.LET(_xlpm.e,L1654,
IF(_xlpm.e="","",
"DOC-"&amp;TEXT(ROW()-ROW(tblMaster[#Headers]),"00000")
))</f>
        <v>DOC-01653</v>
      </c>
      <c r="B1654" s="47">
        <v>45845</v>
      </c>
      <c r="C1654" s="36" t="s">
        <v>6406</v>
      </c>
      <c r="D1654" s="36" t="s">
        <v>2905</v>
      </c>
      <c r="E1654" s="77" t="s">
        <v>2711</v>
      </c>
      <c r="F1654" s="36" t="s">
        <v>2712</v>
      </c>
      <c r="G1654"/>
      <c r="I1654" s="17" t="s">
        <v>5679</v>
      </c>
      <c r="J1654" s="99" t="s">
        <v>497</v>
      </c>
      <c r="K1654" s="5" t="s">
        <v>226</v>
      </c>
      <c r="L1654" t="str">
        <f t="shared" si="28"/>
        <v>garlensetienne@icloud.com</v>
      </c>
    </row>
    <row r="1655" spans="1:12">
      <c r="A1655" t="str" cm="1">
        <f t="array" ref="A1655">_xlfn.LET(_xlpm.e,L1655,
IF(_xlpm.e="","",
"DOC-"&amp;TEXT(ROW()-ROW(tblMaster[#Headers]),"00000")
))</f>
        <v>DOC-01654</v>
      </c>
      <c r="B1655" s="47">
        <v>45771</v>
      </c>
      <c r="C1655" s="36" t="s">
        <v>6407</v>
      </c>
      <c r="D1655" s="36" t="s">
        <v>6408</v>
      </c>
      <c r="E1655" s="77" t="s">
        <v>6409</v>
      </c>
      <c r="F1655" s="36" t="s">
        <v>6410</v>
      </c>
      <c r="G1655"/>
      <c r="I1655" s="17" t="s">
        <v>5679</v>
      </c>
      <c r="J1655" s="99" t="s">
        <v>66</v>
      </c>
      <c r="K1655" s="5" t="s">
        <v>226</v>
      </c>
      <c r="L1655" t="str">
        <f t="shared" si="28"/>
        <v>nezer.ihejirika@yahoo.com</v>
      </c>
    </row>
    <row r="1656" spans="1:12">
      <c r="A1656" t="str" cm="1">
        <f t="array" ref="A1656">_xlfn.LET(_xlpm.e,L1656,
IF(_xlpm.e="","",
"DOC-"&amp;TEXT(ROW()-ROW(tblMaster[#Headers]),"00000")
))</f>
        <v>DOC-01655</v>
      </c>
      <c r="B1656" s="47">
        <v>45821</v>
      </c>
      <c r="C1656" s="36" t="s">
        <v>6411</v>
      </c>
      <c r="D1656" s="36" t="s">
        <v>6412</v>
      </c>
      <c r="E1656" s="77" t="s">
        <v>6413</v>
      </c>
      <c r="F1656" s="36" t="s">
        <v>6414</v>
      </c>
      <c r="G1656"/>
      <c r="I1656" s="17" t="s">
        <v>5679</v>
      </c>
      <c r="K1656" s="5" t="s">
        <v>226</v>
      </c>
      <c r="L1656" t="str">
        <f t="shared" si="28"/>
        <v>carminmarchena25@gmail.com</v>
      </c>
    </row>
    <row r="1657" spans="1:12">
      <c r="A1657" t="str" cm="1">
        <f t="array" ref="A1657">_xlfn.LET(_xlpm.e,L1657,
IF(_xlpm.e="","",
"DOC-"&amp;TEXT(ROW()-ROW(tblMaster[#Headers]),"00000")
))</f>
        <v>DOC-01656</v>
      </c>
      <c r="B1657" s="47">
        <v>45685</v>
      </c>
      <c r="C1657" s="36" t="s">
        <v>924</v>
      </c>
      <c r="D1657" s="36" t="s">
        <v>6415</v>
      </c>
      <c r="E1657" s="77" t="s">
        <v>6416</v>
      </c>
      <c r="F1657" s="36" t="s">
        <v>6417</v>
      </c>
      <c r="G1657"/>
      <c r="I1657" s="17" t="s">
        <v>5679</v>
      </c>
      <c r="J1657" s="99" t="s">
        <v>194</v>
      </c>
      <c r="K1657" s="5" t="s">
        <v>226</v>
      </c>
      <c r="L1657" t="str">
        <f t="shared" si="28"/>
        <v>briannajoycex0@gmail.com</v>
      </c>
    </row>
    <row r="1658" spans="1:12">
      <c r="A1658" t="str" cm="1">
        <f t="array" ref="A1658">_xlfn.LET(_xlpm.e,L1658,
IF(_xlpm.e="","",
"DOC-"&amp;TEXT(ROW()-ROW(tblMaster[#Headers]),"00000")
))</f>
        <v>DOC-01657</v>
      </c>
      <c r="B1658" s="47">
        <v>45810</v>
      </c>
      <c r="C1658" s="36" t="s">
        <v>2143</v>
      </c>
      <c r="D1658" s="36" t="s">
        <v>5239</v>
      </c>
      <c r="E1658" s="77" t="s">
        <v>6418</v>
      </c>
      <c r="F1658" s="36" t="s">
        <v>6419</v>
      </c>
      <c r="G1658"/>
      <c r="I1658" s="17" t="s">
        <v>5679</v>
      </c>
      <c r="J1658" s="99" t="s">
        <v>66</v>
      </c>
      <c r="K1658" s="5" t="s">
        <v>226</v>
      </c>
      <c r="L1658" t="str">
        <f t="shared" si="28"/>
        <v>sethianjames02@gmail.com</v>
      </c>
    </row>
    <row r="1659" spans="1:12">
      <c r="A1659" t="str" cm="1">
        <f t="array" ref="A1659">_xlfn.LET(_xlpm.e,L1659,
IF(_xlpm.e="","",
"DOC-"&amp;TEXT(ROW()-ROW(tblMaster[#Headers]),"00000")
))</f>
        <v>DOC-01658</v>
      </c>
      <c r="B1659" s="47">
        <v>45804</v>
      </c>
      <c r="C1659" s="36" t="s">
        <v>3199</v>
      </c>
      <c r="D1659" s="36" t="s">
        <v>6420</v>
      </c>
      <c r="E1659" s="77" t="s">
        <v>6421</v>
      </c>
      <c r="F1659" s="36" t="s">
        <v>3202</v>
      </c>
      <c r="G1659"/>
      <c r="I1659" s="17" t="s">
        <v>5679</v>
      </c>
      <c r="J1659" s="99" t="s">
        <v>497</v>
      </c>
      <c r="K1659" s="5" t="s">
        <v>226</v>
      </c>
      <c r="L1659" t="str">
        <f t="shared" si="28"/>
        <v>juniorpip@yahoo.com</v>
      </c>
    </row>
    <row r="1660" spans="1:12">
      <c r="A1660" t="str" cm="1">
        <f t="array" ref="A1660">_xlfn.LET(_xlpm.e,L1660,
IF(_xlpm.e="","",
"DOC-"&amp;TEXT(ROW()-ROW(tblMaster[#Headers]),"00000")
))</f>
        <v>DOC-01659</v>
      </c>
      <c r="B1660" s="47">
        <v>45846</v>
      </c>
      <c r="C1660" s="78" t="s">
        <v>2023</v>
      </c>
      <c r="D1660" s="78" t="s">
        <v>6422</v>
      </c>
      <c r="E1660" s="77" t="s">
        <v>6423</v>
      </c>
      <c r="F1660" s="36" t="s">
        <v>6424</v>
      </c>
      <c r="G1660"/>
      <c r="I1660" s="17" t="s">
        <v>5679</v>
      </c>
      <c r="J1660" s="99" t="s">
        <v>194</v>
      </c>
      <c r="K1660" s="5" t="s">
        <v>226</v>
      </c>
      <c r="L1660" t="str">
        <f t="shared" si="28"/>
        <v>5039022sam@gmail.com</v>
      </c>
    </row>
    <row r="1661" spans="1:12">
      <c r="A1661" t="str" cm="1">
        <f t="array" ref="A1661">_xlfn.LET(_xlpm.e,L1661,
IF(_xlpm.e="","",
"DOC-"&amp;TEXT(ROW()-ROW(tblMaster[#Headers]),"00000")
))</f>
        <v>DOC-01660</v>
      </c>
      <c r="B1661" s="47">
        <v>45829</v>
      </c>
      <c r="C1661" s="36" t="s">
        <v>2694</v>
      </c>
      <c r="D1661" s="36" t="s">
        <v>2759</v>
      </c>
      <c r="E1661" s="77" t="s">
        <v>6425</v>
      </c>
      <c r="F1661" s="36" t="s">
        <v>6426</v>
      </c>
      <c r="G1661"/>
      <c r="I1661" s="17" t="s">
        <v>5679</v>
      </c>
      <c r="J1661" s="99" t="s">
        <v>194</v>
      </c>
      <c r="K1661" s="5" t="s">
        <v>226</v>
      </c>
      <c r="L1661" t="str">
        <f t="shared" si="28"/>
        <v>bjacquie45@yahoo.com</v>
      </c>
    </row>
    <row r="1662" spans="1:12">
      <c r="A1662" t="str" cm="1">
        <f t="array" ref="A1662">_xlfn.LET(_xlpm.e,L1662,
IF(_xlpm.e="","",
"DOC-"&amp;TEXT(ROW()-ROW(tblMaster[#Headers]),"00000")
))</f>
        <v/>
      </c>
      <c r="B1662" s="47">
        <v>45783</v>
      </c>
      <c r="C1662" s="36" t="s">
        <v>6118</v>
      </c>
      <c r="D1662" s="36" t="s">
        <v>6427</v>
      </c>
      <c r="E1662" s="77"/>
      <c r="F1662" s="36" t="s">
        <v>6428</v>
      </c>
      <c r="G1662"/>
      <c r="I1662" s="17" t="s">
        <v>5679</v>
      </c>
      <c r="J1662" s="99" t="s">
        <v>194</v>
      </c>
      <c r="K1662" s="5" t="s">
        <v>226</v>
      </c>
      <c r="L1662" t="str">
        <f t="shared" si="28"/>
        <v/>
      </c>
    </row>
    <row r="1663" spans="1:12">
      <c r="A1663" t="str" cm="1">
        <f t="array" ref="A1663">_xlfn.LET(_xlpm.e,L1663,
IF(_xlpm.e="","",
"DOC-"&amp;TEXT(ROW()-ROW(tblMaster[#Headers]),"00000")
))</f>
        <v>DOC-01662</v>
      </c>
      <c r="B1663" s="47">
        <v>45613</v>
      </c>
      <c r="C1663" s="36" t="s">
        <v>6429</v>
      </c>
      <c r="D1663" s="36" t="s">
        <v>3255</v>
      </c>
      <c r="E1663" s="77" t="s">
        <v>6430</v>
      </c>
      <c r="F1663" s="36" t="s">
        <v>6431</v>
      </c>
      <c r="G1663"/>
      <c r="I1663" s="17" t="s">
        <v>5679</v>
      </c>
      <c r="J1663" s="99" t="s">
        <v>66</v>
      </c>
      <c r="K1663" s="5" t="s">
        <v>226</v>
      </c>
      <c r="L1663" t="str">
        <f t="shared" si="28"/>
        <v>jcannon@csimail.org</v>
      </c>
    </row>
    <row r="1664" spans="1:12">
      <c r="A1664" t="str" cm="1">
        <f t="array" ref="A1664">_xlfn.LET(_xlpm.e,L1664,
IF(_xlpm.e="","",
"DOC-"&amp;TEXT(ROW()-ROW(tblMaster[#Headers]),"00000")
))</f>
        <v>DOC-01663</v>
      </c>
      <c r="B1664" s="47">
        <v>45804</v>
      </c>
      <c r="C1664" s="36" t="s">
        <v>3739</v>
      </c>
      <c r="D1664" s="36" t="s">
        <v>6432</v>
      </c>
      <c r="E1664" s="95" t="s">
        <v>6433</v>
      </c>
      <c r="F1664" s="36" t="s">
        <v>6434</v>
      </c>
      <c r="G1664"/>
      <c r="I1664" s="17" t="s">
        <v>5679</v>
      </c>
      <c r="J1664" s="99" t="s">
        <v>66</v>
      </c>
      <c r="K1664" s="5" t="s">
        <v>226</v>
      </c>
      <c r="L1664" t="str">
        <f t="shared" si="28"/>
        <v>joshua.clancy@gmail.com</v>
      </c>
    </row>
    <row r="1665" spans="1:12">
      <c r="A1665" t="str" cm="1">
        <f t="array" ref="A1665">_xlfn.LET(_xlpm.e,L1665,
IF(_xlpm.e="","",
"DOC-"&amp;TEXT(ROW()-ROW(tblMaster[#Headers]),"00000")
))</f>
        <v>DOC-01664</v>
      </c>
      <c r="B1665" s="47">
        <v>45582</v>
      </c>
      <c r="C1665" s="36" t="s">
        <v>1790</v>
      </c>
      <c r="D1665" s="36" t="s">
        <v>6435</v>
      </c>
      <c r="E1665" s="77" t="s">
        <v>6436</v>
      </c>
      <c r="F1665" s="36" t="s">
        <v>6437</v>
      </c>
      <c r="G1665" s="2"/>
      <c r="I1665" s="17" t="s">
        <v>5679</v>
      </c>
      <c r="K1665" s="5" t="s">
        <v>226</v>
      </c>
      <c r="L1665" t="str">
        <f t="shared" si="28"/>
        <v>pcolburn25@yahoo.com</v>
      </c>
    </row>
    <row r="1666" spans="1:12">
      <c r="A1666" t="str" cm="1">
        <f t="array" ref="A1666">_xlfn.LET(_xlpm.e,L1666,
IF(_xlpm.e="","",
"DOC-"&amp;TEXT(ROW()-ROW(tblMaster[#Headers]),"00000")
))</f>
        <v>DOC-01665</v>
      </c>
      <c r="B1666" s="47">
        <v>45758</v>
      </c>
      <c r="C1666" s="36" t="s">
        <v>75</v>
      </c>
      <c r="D1666" s="36" t="s">
        <v>3275</v>
      </c>
      <c r="E1666" s="77" t="s">
        <v>6438</v>
      </c>
      <c r="F1666" s="36" t="s">
        <v>6439</v>
      </c>
      <c r="G1666"/>
      <c r="I1666" s="17" t="s">
        <v>5679</v>
      </c>
      <c r="J1666" s="99" t="s">
        <v>66</v>
      </c>
      <c r="K1666" s="5" t="s">
        <v>226</v>
      </c>
      <c r="L1666" t="str">
        <f t="shared" si="28"/>
        <v>joshua.figueroa5@ipr.edu</v>
      </c>
    </row>
    <row r="1667" spans="1:12" ht="15.75">
      <c r="A1667" t="str" cm="1">
        <f t="array" ref="A1667">_xlfn.LET(_xlpm.e,L1667,
IF(_xlpm.e="","",
"DOC-"&amp;TEXT(ROW()-ROW(tblMaster[#Headers]),"00000")
))</f>
        <v>DOC-01666</v>
      </c>
      <c r="B1667" s="47">
        <v>45736</v>
      </c>
      <c r="C1667" s="58" t="s">
        <v>6440</v>
      </c>
      <c r="D1667" s="58" t="s">
        <v>6441</v>
      </c>
      <c r="E1667" s="77" t="s">
        <v>6442</v>
      </c>
      <c r="F1667" s="58" t="s">
        <v>6443</v>
      </c>
      <c r="G1667"/>
      <c r="I1667" s="17" t="s">
        <v>5679</v>
      </c>
      <c r="J1667" s="99" t="s">
        <v>194</v>
      </c>
      <c r="K1667" s="5" t="s">
        <v>226</v>
      </c>
      <c r="L1667" t="str">
        <f t="shared" si="28"/>
        <v>alydia.le19@gmail.com</v>
      </c>
    </row>
    <row r="1668" spans="1:12">
      <c r="A1668" t="str" cm="1">
        <f t="array" ref="A1668">_xlfn.LET(_xlpm.e,L1668,
IF(_xlpm.e="","",
"DOC-"&amp;TEXT(ROW()-ROW(tblMaster[#Headers]),"00000")
))</f>
        <v>DOC-01667</v>
      </c>
      <c r="B1668" s="47">
        <v>45769</v>
      </c>
      <c r="C1668" s="36" t="s">
        <v>6444</v>
      </c>
      <c r="D1668" s="36" t="s">
        <v>6445</v>
      </c>
      <c r="E1668" s="77" t="s">
        <v>6446</v>
      </c>
      <c r="F1668" s="36" t="s">
        <v>6447</v>
      </c>
      <c r="G1668"/>
      <c r="I1668" s="17" t="s">
        <v>5679</v>
      </c>
      <c r="J1668" s="99" t="s">
        <v>66</v>
      </c>
      <c r="K1668" s="5" t="s">
        <v>226</v>
      </c>
      <c r="L1668" t="str">
        <f t="shared" si="28"/>
        <v>paulafrashley@gmail.com</v>
      </c>
    </row>
    <row r="1669" spans="1:12" ht="15.75">
      <c r="A1669" t="str" cm="1">
        <f t="array" ref="A1669">_xlfn.LET(_xlpm.e,L1669,
IF(_xlpm.e="","",
"DOC-"&amp;TEXT(ROW()-ROW(tblMaster[#Headers]),"00000")
))</f>
        <v>DOC-01668</v>
      </c>
      <c r="B1669" s="47">
        <v>45707</v>
      </c>
      <c r="C1669" s="59" t="s">
        <v>6448</v>
      </c>
      <c r="D1669" s="59" t="s">
        <v>6449</v>
      </c>
      <c r="E1669" s="77" t="s">
        <v>6450</v>
      </c>
      <c r="F1669" s="59" t="s">
        <v>6451</v>
      </c>
      <c r="G1669"/>
      <c r="I1669" s="17" t="s">
        <v>5679</v>
      </c>
      <c r="J1669" s="99" t="s">
        <v>194</v>
      </c>
      <c r="K1669" s="5" t="s">
        <v>226</v>
      </c>
      <c r="L1669" t="str">
        <f t="shared" si="28"/>
        <v>jimmyventura8787@yahoo.com</v>
      </c>
    </row>
    <row r="1670" spans="1:12" ht="16.5">
      <c r="A1670" t="str" cm="1">
        <f t="array" ref="A1670">_xlfn.LET(_xlpm.e,L1670,
IF(_xlpm.e="","",
"DOC-"&amp;TEXT(ROW()-ROW(tblMaster[#Headers]),"00000")
))</f>
        <v>DOC-01669</v>
      </c>
      <c r="B1670" s="47">
        <v>45755</v>
      </c>
      <c r="C1670" s="83" t="s">
        <v>1379</v>
      </c>
      <c r="D1670" s="92" t="s">
        <v>6452</v>
      </c>
      <c r="E1670" s="77" t="s">
        <v>6453</v>
      </c>
      <c r="F1670" s="83" t="s">
        <v>6454</v>
      </c>
      <c r="G1670"/>
      <c r="I1670" s="17" t="s">
        <v>5679</v>
      </c>
      <c r="J1670" s="99" t="s">
        <v>194</v>
      </c>
      <c r="K1670" s="5" t="s">
        <v>226</v>
      </c>
      <c r="L1670" t="str">
        <f t="shared" si="28"/>
        <v>rwalcott@live.com</v>
      </c>
    </row>
    <row r="1671" spans="1:12">
      <c r="A1671" t="str" cm="1">
        <f t="array" ref="A1671">_xlfn.LET(_xlpm.e,L1671,
IF(_xlpm.e="","",
"DOC-"&amp;TEXT(ROW()-ROW(tblMaster[#Headers]),"00000")
))</f>
        <v>DOC-01670</v>
      </c>
      <c r="B1671" s="47">
        <v>45635</v>
      </c>
      <c r="C1671" s="36" t="s">
        <v>148</v>
      </c>
      <c r="D1671" s="36" t="s">
        <v>6455</v>
      </c>
      <c r="E1671" s="77" t="s">
        <v>6456</v>
      </c>
      <c r="F1671" s="36" t="s">
        <v>6457</v>
      </c>
      <c r="G1671"/>
      <c r="I1671" s="17" t="s">
        <v>5679</v>
      </c>
      <c r="J1671" s="99" t="s">
        <v>66</v>
      </c>
      <c r="K1671" s="5" t="s">
        <v>226</v>
      </c>
      <c r="L1671" t="str">
        <f t="shared" si="28"/>
        <v>adamwoodland16@icloud.com</v>
      </c>
    </row>
    <row r="1672" spans="1:12">
      <c r="A1672" t="str" cm="1">
        <f t="array" ref="A1672">_xlfn.LET(_xlpm.e,L1672,
IF(_xlpm.e="","",
"DOC-"&amp;TEXT(ROW()-ROW(tblMaster[#Headers]),"00000")
))</f>
        <v>DOC-01671</v>
      </c>
      <c r="B1672" s="47">
        <v>45840</v>
      </c>
      <c r="C1672" s="36" t="s">
        <v>6458</v>
      </c>
      <c r="D1672" s="36" t="s">
        <v>6459</v>
      </c>
      <c r="E1672" s="77" t="s">
        <v>6460</v>
      </c>
      <c r="F1672" s="36" t="s">
        <v>6461</v>
      </c>
      <c r="G1672"/>
      <c r="I1672" s="17" t="s">
        <v>5679</v>
      </c>
      <c r="J1672" s="99" t="s">
        <v>194</v>
      </c>
      <c r="K1672" s="5" t="s">
        <v>226</v>
      </c>
      <c r="L1672" t="str">
        <f t="shared" si="28"/>
        <v>bahmo278@gmail.com</v>
      </c>
    </row>
    <row r="1673" spans="1:12">
      <c r="A1673" t="str" cm="1">
        <f t="array" ref="A1673">_xlfn.LET(_xlpm.e,L1673,
IF(_xlpm.e="","",
"DOC-"&amp;TEXT(ROW()-ROW(tblMaster[#Headers]),"00000")
))</f>
        <v/>
      </c>
      <c r="B1673" s="36"/>
      <c r="C1673" s="36" t="s">
        <v>6462</v>
      </c>
      <c r="D1673" s="36" t="s">
        <v>6463</v>
      </c>
      <c r="F1673" s="73"/>
      <c r="G1673"/>
      <c r="I1673" s="17" t="s">
        <v>5679</v>
      </c>
      <c r="K1673" s="5" t="s">
        <v>226</v>
      </c>
      <c r="L1673" t="str">
        <f t="shared" si="28"/>
        <v/>
      </c>
    </row>
    <row r="1674" spans="1:12">
      <c r="A1674" t="str" cm="1">
        <f t="array" ref="A1674">_xlfn.LET(_xlpm.e,L1674,
IF(_xlpm.e="","",
"DOC-"&amp;TEXT(ROW()-ROW(tblMaster[#Headers]),"00000")
))</f>
        <v>DOC-01673</v>
      </c>
      <c r="B1674" s="47">
        <v>45841</v>
      </c>
      <c r="C1674" s="36" t="s">
        <v>6464</v>
      </c>
      <c r="D1674" s="36" t="s">
        <v>2746</v>
      </c>
      <c r="E1674" s="77" t="s">
        <v>6465</v>
      </c>
      <c r="F1674" s="36" t="s">
        <v>6466</v>
      </c>
      <c r="G1674"/>
      <c r="I1674" s="17" t="s">
        <v>5679</v>
      </c>
      <c r="J1674" s="99" t="s">
        <v>194</v>
      </c>
      <c r="K1674" s="5" t="s">
        <v>226</v>
      </c>
      <c r="L1674" t="str">
        <f t="shared" si="28"/>
        <v>ciwezekwem@gmail.com</v>
      </c>
    </row>
    <row r="1675" spans="1:12">
      <c r="A1675" t="str" cm="1">
        <f t="array" ref="A1675">_xlfn.LET(_xlpm.e,L1675,
IF(_xlpm.e="","",
"DOC-"&amp;TEXT(ROW()-ROW(tblMaster[#Headers]),"00000")
))</f>
        <v>DOC-01674</v>
      </c>
      <c r="B1675" s="47">
        <v>45756</v>
      </c>
      <c r="C1675" s="36" t="s">
        <v>6467</v>
      </c>
      <c r="D1675" s="36" t="s">
        <v>6468</v>
      </c>
      <c r="E1675" s="77" t="s">
        <v>6469</v>
      </c>
      <c r="F1675" s="36" t="s">
        <v>6470</v>
      </c>
      <c r="G1675"/>
      <c r="I1675" s="17" t="s">
        <v>5679</v>
      </c>
      <c r="J1675" s="99" t="s">
        <v>66</v>
      </c>
      <c r="K1675" s="5" t="s">
        <v>226</v>
      </c>
      <c r="L1675" t="str">
        <f t="shared" si="28"/>
        <v>lienguetakaliote@gmail.com</v>
      </c>
    </row>
    <row r="1676" spans="1:12">
      <c r="A1676" t="str" cm="1">
        <f t="array" ref="A1676">_xlfn.LET(_xlpm.e,L1676,
IF(_xlpm.e="","",
"DOC-"&amp;TEXT(ROW()-ROW(tblMaster[#Headers]),"00000")
))</f>
        <v>DOC-01675</v>
      </c>
      <c r="B1676" s="47">
        <v>45602</v>
      </c>
      <c r="C1676" s="36" t="s">
        <v>3292</v>
      </c>
      <c r="D1676" s="36" t="s">
        <v>6471</v>
      </c>
      <c r="E1676" s="77" t="s">
        <v>6472</v>
      </c>
      <c r="F1676" s="36" t="s">
        <v>6473</v>
      </c>
      <c r="G1676"/>
      <c r="I1676" s="17" t="s">
        <v>5679</v>
      </c>
      <c r="J1676" s="99" t="s">
        <v>66</v>
      </c>
      <c r="K1676" s="5" t="s">
        <v>226</v>
      </c>
      <c r="L1676" t="str">
        <f t="shared" si="28"/>
        <v>kayla.mcdevitt@yahoo.com</v>
      </c>
    </row>
    <row r="1677" spans="1:12" ht="15.75">
      <c r="A1677" t="str" cm="1">
        <f t="array" ref="A1677">_xlfn.LET(_xlpm.e,L1677,
IF(_xlpm.e="","",
"DOC-"&amp;TEXT(ROW()-ROW(tblMaster[#Headers]),"00000")
))</f>
        <v>DOC-01676</v>
      </c>
      <c r="B1677" s="47">
        <v>45591</v>
      </c>
      <c r="C1677" s="36" t="s">
        <v>6474</v>
      </c>
      <c r="D1677" s="36" t="s">
        <v>6475</v>
      </c>
      <c r="E1677" s="77" t="s">
        <v>6476</v>
      </c>
      <c r="F1677" s="58" t="s">
        <v>6477</v>
      </c>
      <c r="G1677" s="2"/>
      <c r="I1677" s="17" t="s">
        <v>5679</v>
      </c>
      <c r="J1677" s="99" t="s">
        <v>497</v>
      </c>
      <c r="K1677" s="5" t="s">
        <v>226</v>
      </c>
      <c r="L1677" t="str">
        <f t="shared" si="28"/>
        <v>kellyantonia.2411@gmail.com</v>
      </c>
    </row>
    <row r="1678" spans="1:12">
      <c r="A1678" t="str" cm="1">
        <f t="array" ref="A1678">_xlfn.LET(_xlpm.e,L1678,
IF(_xlpm.e="","",
"DOC-"&amp;TEXT(ROW()-ROW(tblMaster[#Headers]),"00000")
))</f>
        <v>DOC-01677</v>
      </c>
      <c r="B1678" s="47">
        <v>45608</v>
      </c>
      <c r="C1678" s="36" t="s">
        <v>4088</v>
      </c>
      <c r="D1678" s="36" t="s">
        <v>6478</v>
      </c>
      <c r="E1678" s="77" t="s">
        <v>6479</v>
      </c>
      <c r="F1678" s="36" t="s">
        <v>6480</v>
      </c>
      <c r="G1678"/>
      <c r="I1678" s="17" t="s">
        <v>5679</v>
      </c>
      <c r="J1678" s="99" t="s">
        <v>66</v>
      </c>
      <c r="K1678" s="5" t="s">
        <v>226</v>
      </c>
      <c r="L1678" t="str">
        <f t="shared" si="28"/>
        <v>bruno123vaz@hotmail.com</v>
      </c>
    </row>
    <row r="1679" spans="1:12">
      <c r="A1679" t="str" cm="1">
        <f t="array" ref="A1679">_xlfn.LET(_xlpm.e,L1679,
IF(_xlpm.e="","",
"DOC-"&amp;TEXT(ROW()-ROW(tblMaster[#Headers]),"00000")
))</f>
        <v>DOC-01678</v>
      </c>
      <c r="B1679" s="47">
        <v>45742</v>
      </c>
      <c r="C1679" s="36" t="s">
        <v>6481</v>
      </c>
      <c r="D1679" s="36" t="s">
        <v>6482</v>
      </c>
      <c r="E1679" s="77" t="s">
        <v>6483</v>
      </c>
      <c r="F1679" s="36" t="s">
        <v>6484</v>
      </c>
      <c r="G1679"/>
      <c r="I1679" s="17" t="s">
        <v>5679</v>
      </c>
      <c r="J1679" s="99" t="s">
        <v>66</v>
      </c>
      <c r="K1679" s="5" t="s">
        <v>226</v>
      </c>
      <c r="L1679" t="str">
        <f t="shared" si="28"/>
        <v>johnjr1820@gmail.com</v>
      </c>
    </row>
    <row r="1680" spans="1:12" ht="15.75">
      <c r="A1680" t="str" cm="1">
        <f t="array" ref="A1680">_xlfn.LET(_xlpm.e,L1680,
IF(_xlpm.e="","",
"DOC-"&amp;TEXT(ROW()-ROW(tblMaster[#Headers]),"00000")
))</f>
        <v>DOC-01679</v>
      </c>
      <c r="B1680" s="47">
        <v>45818</v>
      </c>
      <c r="C1680" s="58" t="s">
        <v>6485</v>
      </c>
      <c r="D1680" s="58" t="s">
        <v>2603</v>
      </c>
      <c r="E1680" s="77" t="s">
        <v>6486</v>
      </c>
      <c r="F1680" s="58" t="s">
        <v>6487</v>
      </c>
      <c r="G1680"/>
      <c r="I1680" s="17" t="s">
        <v>5679</v>
      </c>
      <c r="J1680" s="99" t="s">
        <v>66</v>
      </c>
      <c r="K1680" s="5" t="s">
        <v>226</v>
      </c>
      <c r="L1680" t="str">
        <f t="shared" si="28"/>
        <v>andrew_calvagno@yahoo.com</v>
      </c>
    </row>
    <row r="1681" spans="1:12">
      <c r="A1681" t="str" cm="1">
        <f t="array" ref="A1681">_xlfn.LET(_xlpm.e,L1681,
IF(_xlpm.e="","",
"DOC-"&amp;TEXT(ROW()-ROW(tblMaster[#Headers]),"00000")
))</f>
        <v>DOC-01680</v>
      </c>
      <c r="B1681" s="47">
        <v>45869</v>
      </c>
      <c r="C1681" s="36" t="s">
        <v>6488</v>
      </c>
      <c r="D1681" s="36" t="s">
        <v>6489</v>
      </c>
      <c r="E1681" s="77" t="s">
        <v>6490</v>
      </c>
      <c r="F1681" s="36" t="s">
        <v>6491</v>
      </c>
      <c r="G1681"/>
      <c r="I1681" s="17" t="s">
        <v>5679</v>
      </c>
      <c r="J1681" s="99" t="s">
        <v>497</v>
      </c>
      <c r="K1681" s="5" t="s">
        <v>226</v>
      </c>
      <c r="L1681" t="str">
        <f t="shared" si="28"/>
        <v>ajcr.610@gmail.com</v>
      </c>
    </row>
    <row r="1682" spans="1:12">
      <c r="A1682" t="str" cm="1">
        <f t="array" ref="A1682">_xlfn.LET(_xlpm.e,L1682,
IF(_xlpm.e="","",
"DOC-"&amp;TEXT(ROW()-ROW(tblMaster[#Headers]),"00000")
))</f>
        <v>DOC-01681</v>
      </c>
      <c r="B1682" s="47">
        <v>45740</v>
      </c>
      <c r="C1682" s="36" t="s">
        <v>6492</v>
      </c>
      <c r="D1682" s="36" t="s">
        <v>6493</v>
      </c>
      <c r="E1682" s="77" t="s">
        <v>6494</v>
      </c>
      <c r="F1682" s="36" t="s">
        <v>6495</v>
      </c>
      <c r="G1682"/>
      <c r="I1682" s="17" t="s">
        <v>5679</v>
      </c>
      <c r="J1682" s="99" t="s">
        <v>194</v>
      </c>
      <c r="K1682" s="5" t="s">
        <v>226</v>
      </c>
      <c r="L1682" t="str">
        <f t="shared" si="28"/>
        <v>moisecadet8523@gmail.com</v>
      </c>
    </row>
    <row r="1683" spans="1:12">
      <c r="A1683" t="str" cm="1">
        <f t="array" ref="A1683">_xlfn.LET(_xlpm.e,L1683,
IF(_xlpm.e="","",
"DOC-"&amp;TEXT(ROW()-ROW(tblMaster[#Headers]),"00000")
))</f>
        <v>DOC-01682</v>
      </c>
      <c r="B1683" s="47">
        <v>45749</v>
      </c>
      <c r="C1683" s="36" t="s">
        <v>2622</v>
      </c>
      <c r="D1683" s="36" t="s">
        <v>6496</v>
      </c>
      <c r="E1683" s="77" t="s">
        <v>6497</v>
      </c>
      <c r="F1683" s="36" t="s">
        <v>6498</v>
      </c>
      <c r="G1683"/>
      <c r="I1683" s="17" t="s">
        <v>5679</v>
      </c>
      <c r="J1683" s="99" t="s">
        <v>66</v>
      </c>
      <c r="K1683" s="5" t="s">
        <v>226</v>
      </c>
      <c r="L1683" t="str">
        <f t="shared" si="28"/>
        <v>mikelinsky3@gmail.com</v>
      </c>
    </row>
    <row r="1684" spans="1:12">
      <c r="A1684" t="str" cm="1">
        <f t="array" ref="A1684">_xlfn.LET(_xlpm.e,L1684,
IF(_xlpm.e="","",
"DOC-"&amp;TEXT(ROW()-ROW(tblMaster[#Headers]),"00000")
))</f>
        <v>DOC-01683</v>
      </c>
      <c r="B1684" s="47">
        <v>45713</v>
      </c>
      <c r="C1684" s="84" t="s">
        <v>6499</v>
      </c>
      <c r="D1684" s="84" t="s">
        <v>5005</v>
      </c>
      <c r="E1684" s="77" t="s">
        <v>6500</v>
      </c>
      <c r="F1684" s="84" t="s">
        <v>6501</v>
      </c>
      <c r="G1684"/>
      <c r="I1684" s="17" t="s">
        <v>5679</v>
      </c>
      <c r="J1684" s="99" t="s">
        <v>194</v>
      </c>
      <c r="K1684" s="5" t="s">
        <v>226</v>
      </c>
      <c r="L1684" t="str">
        <f t="shared" si="28"/>
        <v>catherinelopes94@gmail.com</v>
      </c>
    </row>
    <row r="1685" spans="1:12">
      <c r="A1685" t="str" cm="1">
        <f t="array" ref="A1685">_xlfn.LET(_xlpm.e,L1685,
IF(_xlpm.e="","",
"DOC-"&amp;TEXT(ROW()-ROW(tblMaster[#Headers]),"00000")
))</f>
        <v>DOC-01684</v>
      </c>
      <c r="B1685" s="47">
        <v>45662</v>
      </c>
      <c r="C1685" s="36" t="s">
        <v>6502</v>
      </c>
      <c r="D1685" s="36" t="s">
        <v>6503</v>
      </c>
      <c r="E1685" s="77" t="s">
        <v>6504</v>
      </c>
      <c r="F1685" s="36" t="s">
        <v>6505</v>
      </c>
      <c r="G1685"/>
      <c r="I1685" s="17" t="s">
        <v>5679</v>
      </c>
      <c r="J1685" s="99" t="s">
        <v>66</v>
      </c>
      <c r="K1685" s="5" t="s">
        <v>226</v>
      </c>
      <c r="L1685" t="str">
        <f t="shared" si="28"/>
        <v>aileen4cranberrycottages@gmail.com</v>
      </c>
    </row>
    <row r="1686" spans="1:12">
      <c r="A1686" t="str" cm="1">
        <f t="array" ref="A1686">_xlfn.LET(_xlpm.e,L1686,
IF(_xlpm.e="","",
"DOC-"&amp;TEXT(ROW()-ROW(tblMaster[#Headers]),"00000")
))</f>
        <v>DOC-01685</v>
      </c>
      <c r="B1686" s="47">
        <v>45850</v>
      </c>
      <c r="C1686" s="36" t="s">
        <v>3464</v>
      </c>
      <c r="D1686" s="36" t="s">
        <v>2761</v>
      </c>
      <c r="E1686" s="77" t="s">
        <v>6506</v>
      </c>
      <c r="F1686" s="36" t="s">
        <v>6507</v>
      </c>
      <c r="G1686"/>
      <c r="I1686" s="17" t="s">
        <v>5679</v>
      </c>
      <c r="J1686" s="99" t="s">
        <v>66</v>
      </c>
      <c r="K1686" s="5" t="s">
        <v>226</v>
      </c>
      <c r="L1686" t="str">
        <f t="shared" si="28"/>
        <v>newtonprevilon@gmail.com</v>
      </c>
    </row>
    <row r="1687" spans="1:12">
      <c r="A1687" t="str" cm="1">
        <f t="array" ref="A1687">_xlfn.LET(_xlpm.e,L1687,
IF(_xlpm.e="","",
"DOC-"&amp;TEXT(ROW()-ROW(tblMaster[#Headers]),"00000")
))</f>
        <v>DOC-01686</v>
      </c>
      <c r="B1687" s="47">
        <v>45807</v>
      </c>
      <c r="C1687" s="36" t="s">
        <v>3411</v>
      </c>
      <c r="D1687" s="36" t="s">
        <v>6508</v>
      </c>
      <c r="E1687" s="77" t="s">
        <v>6509</v>
      </c>
      <c r="F1687" s="36" t="s">
        <v>6510</v>
      </c>
      <c r="G1687"/>
      <c r="I1687" s="17" t="s">
        <v>5679</v>
      </c>
      <c r="J1687" s="99" t="s">
        <v>194</v>
      </c>
      <c r="K1687" s="5" t="s">
        <v>226</v>
      </c>
      <c r="L1687" t="str">
        <f t="shared" si="28"/>
        <v>alexsantiago64@gmail.com</v>
      </c>
    </row>
    <row r="1688" spans="1:12" ht="15.75">
      <c r="A1688" t="str" cm="1">
        <f t="array" ref="A1688">_xlfn.LET(_xlpm.e,L1688,
IF(_xlpm.e="","",
"DOC-"&amp;TEXT(ROW()-ROW(tblMaster[#Headers]),"00000")
))</f>
        <v>DOC-01687</v>
      </c>
      <c r="B1688" s="47">
        <v>45769</v>
      </c>
      <c r="C1688" s="82" t="s">
        <v>6511</v>
      </c>
      <c r="D1688" s="82" t="s">
        <v>848</v>
      </c>
      <c r="E1688" s="77" t="s">
        <v>6512</v>
      </c>
      <c r="F1688" s="82" t="s">
        <v>6513</v>
      </c>
      <c r="G1688"/>
      <c r="I1688" s="17" t="s">
        <v>5679</v>
      </c>
      <c r="J1688" s="99" t="s">
        <v>194</v>
      </c>
      <c r="K1688" s="5" t="s">
        <v>226</v>
      </c>
      <c r="L1688" t="str">
        <f t="shared" si="28"/>
        <v>ivyanascott123456@icloud.com</v>
      </c>
    </row>
    <row r="1689" spans="1:12">
      <c r="A1689" t="str" cm="1">
        <f t="array" ref="A1689">_xlfn.LET(_xlpm.e,L1689,
IF(_xlpm.e="","",
"DOC-"&amp;TEXT(ROW()-ROW(tblMaster[#Headers]),"00000")
))</f>
        <v>DOC-01688</v>
      </c>
      <c r="B1689" s="36"/>
      <c r="C1689" s="113" t="s">
        <v>3893</v>
      </c>
      <c r="D1689" s="113" t="s">
        <v>6514</v>
      </c>
      <c r="E1689" s="77" t="s">
        <v>6515</v>
      </c>
      <c r="F1689" s="113" t="s">
        <v>6516</v>
      </c>
      <c r="G1689" s="100"/>
      <c r="I1689" s="17" t="s">
        <v>5679</v>
      </c>
      <c r="K1689" s="5" t="s">
        <v>226</v>
      </c>
      <c r="L1689" t="str">
        <f t="shared" si="28"/>
        <v>joeservello00@gmail.com</v>
      </c>
    </row>
    <row r="1690" spans="1:12">
      <c r="A1690" t="str" cm="1">
        <f t="array" ref="A1690">_xlfn.LET(_xlpm.e,L1690,
IF(_xlpm.e="","",
"DOC-"&amp;TEXT(ROW()-ROW(tblMaster[#Headers]),"00000")
))</f>
        <v>DOC-01689</v>
      </c>
      <c r="B1690" s="47">
        <v>45687</v>
      </c>
      <c r="C1690" s="36" t="s">
        <v>6517</v>
      </c>
      <c r="D1690" s="36" t="s">
        <v>6518</v>
      </c>
      <c r="E1690" s="77" t="s">
        <v>6519</v>
      </c>
      <c r="F1690" s="36" t="s">
        <v>6520</v>
      </c>
      <c r="G1690"/>
      <c r="I1690" s="17" t="s">
        <v>5679</v>
      </c>
      <c r="J1690" s="99" t="s">
        <v>66</v>
      </c>
      <c r="K1690" s="5" t="s">
        <v>226</v>
      </c>
      <c r="L1690" t="str">
        <f t="shared" si="28"/>
        <v>franchezcav07@gmail.com</v>
      </c>
    </row>
    <row r="1691" spans="1:12">
      <c r="A1691" t="str" cm="1">
        <f t="array" ref="A1691">_xlfn.LET(_xlpm.e,L1691,
IF(_xlpm.e="","",
"DOC-"&amp;TEXT(ROW()-ROW(tblMaster[#Headers]),"00000")
))</f>
        <v>DOC-01690</v>
      </c>
      <c r="B1691" s="47">
        <v>45825</v>
      </c>
      <c r="C1691" s="36" t="s">
        <v>2657</v>
      </c>
      <c r="D1691" s="36" t="s">
        <v>2658</v>
      </c>
      <c r="E1691" s="77" t="s">
        <v>6521</v>
      </c>
      <c r="F1691" s="36" t="s">
        <v>6522</v>
      </c>
      <c r="G1691"/>
      <c r="I1691" s="17" t="s">
        <v>5679</v>
      </c>
      <c r="J1691" s="99" t="s">
        <v>497</v>
      </c>
      <c r="K1691" s="5" t="s">
        <v>226</v>
      </c>
      <c r="L1691" t="str">
        <f t="shared" si="28"/>
        <v>aagyem1@gmail.com</v>
      </c>
    </row>
    <row r="1692" spans="1:12">
      <c r="A1692" t="str" cm="1">
        <f t="array" ref="A1692">_xlfn.LET(_xlpm.e,L1692,
IF(_xlpm.e="","",
"DOC-"&amp;TEXT(ROW()-ROW(tblMaster[#Headers]),"00000")
))</f>
        <v>DOC-01691</v>
      </c>
      <c r="B1692" s="47">
        <v>45713</v>
      </c>
      <c r="C1692" s="76" t="s">
        <v>5612</v>
      </c>
      <c r="D1692" s="76" t="s">
        <v>6523</v>
      </c>
      <c r="E1692" s="77" t="s">
        <v>6524</v>
      </c>
      <c r="F1692" s="76" t="s">
        <v>6525</v>
      </c>
      <c r="G1692"/>
      <c r="I1692" s="17" t="s">
        <v>5679</v>
      </c>
      <c r="J1692" s="99" t="s">
        <v>194</v>
      </c>
      <c r="K1692" s="5" t="s">
        <v>226</v>
      </c>
      <c r="L1692" t="str">
        <f t="shared" si="28"/>
        <v>bourgeois213@icloud.com</v>
      </c>
    </row>
    <row r="1693" spans="1:12">
      <c r="A1693" t="str" cm="1">
        <f t="array" ref="A1693">_xlfn.LET(_xlpm.e,L1693,
IF(_xlpm.e="","",
"DOC-"&amp;TEXT(ROW()-ROW(tblMaster[#Headers]),"00000")
))</f>
        <v>DOC-01692</v>
      </c>
      <c r="B1693" s="47">
        <v>45785</v>
      </c>
      <c r="C1693" s="36" t="s">
        <v>6526</v>
      </c>
      <c r="D1693" s="36" t="s">
        <v>6527</v>
      </c>
      <c r="E1693" s="77" t="s">
        <v>6528</v>
      </c>
      <c r="F1693" s="36" t="s">
        <v>6529</v>
      </c>
      <c r="G1693"/>
      <c r="I1693" s="17" t="s">
        <v>5679</v>
      </c>
      <c r="J1693" s="99" t="s">
        <v>497</v>
      </c>
      <c r="K1693" s="5" t="s">
        <v>226</v>
      </c>
      <c r="L1693" t="str">
        <f t="shared" si="28"/>
        <v>gbharry@gmail.com</v>
      </c>
    </row>
    <row r="1694" spans="1:12" ht="15.75">
      <c r="A1694" t="str" cm="1">
        <f t="array" ref="A1694">_xlfn.LET(_xlpm.e,L1694,
IF(_xlpm.e="","",
"DOC-"&amp;TEXT(ROW()-ROW(tblMaster[#Headers]),"00000")
))</f>
        <v>DOC-01693</v>
      </c>
      <c r="B1694" s="47">
        <v>45715</v>
      </c>
      <c r="C1694" s="58" t="s">
        <v>19</v>
      </c>
      <c r="D1694" s="58" t="s">
        <v>6530</v>
      </c>
      <c r="E1694" s="77" t="s">
        <v>6531</v>
      </c>
      <c r="F1694" s="58" t="s">
        <v>6532</v>
      </c>
      <c r="G1694"/>
      <c r="I1694" s="17" t="s">
        <v>5679</v>
      </c>
      <c r="J1694" s="99" t="s">
        <v>194</v>
      </c>
      <c r="K1694" s="5" t="s">
        <v>226</v>
      </c>
      <c r="L1694" t="str">
        <f t="shared" ref="L1694:L1757" si="29">_xlfn.LET(_xlpm.x,E1694,
_xlpm.y,TRIM(CLEAN(SUBSTITUTE(_xlpm.x,CHAR(160)," "))),
LOWER(_xlpm.y))</f>
        <v>tygabriel20@gmail.com</v>
      </c>
    </row>
    <row r="1695" spans="1:12">
      <c r="A1695" t="str" cm="1">
        <f t="array" ref="A1695">_xlfn.LET(_xlpm.e,L1695,
IF(_xlpm.e="","",
"DOC-"&amp;TEXT(ROW()-ROW(tblMaster[#Headers]),"00000")
))</f>
        <v>DOC-01694</v>
      </c>
      <c r="B1695" s="47">
        <v>45740</v>
      </c>
      <c r="C1695" s="36" t="s">
        <v>6533</v>
      </c>
      <c r="D1695" s="36" t="s">
        <v>6534</v>
      </c>
      <c r="E1695" s="77" t="s">
        <v>6535</v>
      </c>
      <c r="F1695" s="36" t="s">
        <v>6536</v>
      </c>
      <c r="G1695"/>
      <c r="I1695" s="17" t="s">
        <v>5679</v>
      </c>
      <c r="J1695" s="99" t="s">
        <v>66</v>
      </c>
      <c r="K1695" s="5" t="s">
        <v>226</v>
      </c>
      <c r="L1695" t="str">
        <f t="shared" si="29"/>
        <v>maeml17@aol.com</v>
      </c>
    </row>
    <row r="1696" spans="1:12">
      <c r="A1696" t="str" cm="1">
        <f t="array" ref="A1696">_xlfn.LET(_xlpm.e,L1696,
IF(_xlpm.e="","",
"DOC-"&amp;TEXT(ROW()-ROW(tblMaster[#Headers]),"00000")
))</f>
        <v>DOC-01695</v>
      </c>
      <c r="B1696" s="47">
        <v>45742</v>
      </c>
      <c r="C1696" s="36" t="s">
        <v>1257</v>
      </c>
      <c r="D1696" s="36" t="s">
        <v>6537</v>
      </c>
      <c r="E1696" s="77" t="s">
        <v>6538</v>
      </c>
      <c r="F1696" s="36" t="s">
        <v>6539</v>
      </c>
      <c r="G1696"/>
      <c r="I1696" s="17" t="s">
        <v>5679</v>
      </c>
      <c r="J1696" s="99" t="s">
        <v>66</v>
      </c>
      <c r="K1696" s="5" t="s">
        <v>226</v>
      </c>
      <c r="L1696" t="str">
        <f t="shared" si="29"/>
        <v>alexmcfarlanebsc@gmail.com</v>
      </c>
    </row>
    <row r="1697" spans="1:12">
      <c r="A1697" t="str" cm="1">
        <f t="array" ref="A1697">_xlfn.LET(_xlpm.e,L1697,
IF(_xlpm.e="","",
"DOC-"&amp;TEXT(ROW()-ROW(tblMaster[#Headers]),"00000")
))</f>
        <v>DOC-01696</v>
      </c>
      <c r="B1697" s="47">
        <v>45597</v>
      </c>
      <c r="C1697" s="36" t="s">
        <v>2969</v>
      </c>
      <c r="D1697" s="36" t="s">
        <v>6540</v>
      </c>
      <c r="E1697" s="77" t="s">
        <v>6541</v>
      </c>
      <c r="F1697" s="36" t="s">
        <v>6542</v>
      </c>
      <c r="G1697"/>
      <c r="I1697" s="17" t="s">
        <v>5679</v>
      </c>
      <c r="J1697" s="99" t="s">
        <v>66</v>
      </c>
      <c r="K1697" s="5" t="s">
        <v>226</v>
      </c>
      <c r="L1697" t="str">
        <f t="shared" si="29"/>
        <v>petermontenegrino@gmail.com</v>
      </c>
    </row>
    <row r="1698" spans="1:12">
      <c r="A1698" t="str" cm="1">
        <f t="array" ref="A1698">_xlfn.LET(_xlpm.e,L1698,
IF(_xlpm.e="","",
"DOC-"&amp;TEXT(ROW()-ROW(tblMaster[#Headers]),"00000")
))</f>
        <v>DOC-01697</v>
      </c>
      <c r="B1698" s="47">
        <v>45609</v>
      </c>
      <c r="C1698" s="36" t="s">
        <v>3044</v>
      </c>
      <c r="D1698" s="36" t="s">
        <v>6543</v>
      </c>
      <c r="E1698" s="77" t="s">
        <v>6544</v>
      </c>
      <c r="F1698" s="36" t="s">
        <v>6545</v>
      </c>
      <c r="G1698"/>
      <c r="I1698" s="17" t="s">
        <v>5679</v>
      </c>
      <c r="J1698" s="99" t="s">
        <v>66</v>
      </c>
      <c r="K1698" s="5" t="s">
        <v>226</v>
      </c>
      <c r="L1698" t="str">
        <f t="shared" si="29"/>
        <v>sarahribeiro7775@gmail.com</v>
      </c>
    </row>
    <row r="1699" spans="1:12">
      <c r="A1699" t="str" cm="1">
        <f t="array" ref="A1699">_xlfn.LET(_xlpm.e,L1699,
IF(_xlpm.e="","",
"DOC-"&amp;TEXT(ROW()-ROW(tblMaster[#Headers]),"00000")
))</f>
        <v>DOC-01698</v>
      </c>
      <c r="B1699" s="47">
        <v>45708</v>
      </c>
      <c r="C1699" s="36" t="s">
        <v>1215</v>
      </c>
      <c r="D1699" s="36" t="s">
        <v>6546</v>
      </c>
      <c r="E1699" s="77" t="s">
        <v>6547</v>
      </c>
      <c r="F1699" s="36" t="s">
        <v>6548</v>
      </c>
      <c r="G1699"/>
      <c r="I1699" s="17" t="s">
        <v>5679</v>
      </c>
      <c r="J1699" s="99" t="s">
        <v>194</v>
      </c>
      <c r="K1699" s="5" t="s">
        <v>226</v>
      </c>
      <c r="L1699" t="str">
        <f t="shared" si="29"/>
        <v>danteheyyy@icloud.com</v>
      </c>
    </row>
    <row r="1700" spans="1:12" ht="15.75">
      <c r="A1700" t="str" cm="1">
        <f t="array" ref="A1700">_xlfn.LET(_xlpm.e,L1700,
IF(_xlpm.e="","",
"DOC-"&amp;TEXT(ROW()-ROW(tblMaster[#Headers]),"00000")
))</f>
        <v>DOC-01699</v>
      </c>
      <c r="B1700" s="47">
        <v>45700</v>
      </c>
      <c r="C1700" s="58" t="s">
        <v>1281</v>
      </c>
      <c r="D1700" s="58" t="s">
        <v>287</v>
      </c>
      <c r="E1700" s="77" t="s">
        <v>6549</v>
      </c>
      <c r="F1700" s="58" t="s">
        <v>6550</v>
      </c>
      <c r="G1700"/>
      <c r="I1700" s="17" t="s">
        <v>5679</v>
      </c>
      <c r="J1700" s="99" t="s">
        <v>66</v>
      </c>
      <c r="K1700" s="5" t="s">
        <v>226</v>
      </c>
      <c r="L1700" t="str">
        <f t="shared" si="29"/>
        <v>gonzalezfranklin6052@gmail.com</v>
      </c>
    </row>
    <row r="1701" spans="1:12">
      <c r="A1701" t="str" cm="1">
        <f t="array" ref="A1701">_xlfn.LET(_xlpm.e,L1701,
IF(_xlpm.e="","",
"DOC-"&amp;TEXT(ROW()-ROW(tblMaster[#Headers]),"00000")
))</f>
        <v>DOC-01700</v>
      </c>
      <c r="B1701" s="47">
        <v>45708</v>
      </c>
      <c r="C1701" s="36" t="s">
        <v>2264</v>
      </c>
      <c r="D1701" s="36" t="s">
        <v>287</v>
      </c>
      <c r="E1701" s="77" t="s">
        <v>6551</v>
      </c>
      <c r="F1701" s="36" t="s">
        <v>6552</v>
      </c>
      <c r="G1701"/>
      <c r="I1701" s="17" t="s">
        <v>5679</v>
      </c>
      <c r="J1701" s="99" t="s">
        <v>194</v>
      </c>
      <c r="K1701" s="5" t="s">
        <v>226</v>
      </c>
      <c r="L1701" t="str">
        <f t="shared" si="29"/>
        <v>gabriellegonzalez117@gmail.com</v>
      </c>
    </row>
    <row r="1702" spans="1:12">
      <c r="A1702" t="str" cm="1">
        <f t="array" ref="A1702">_xlfn.LET(_xlpm.e,L1702,
IF(_xlpm.e="","",
"DOC-"&amp;TEXT(ROW()-ROW(tblMaster[#Headers]),"00000")
))</f>
        <v>DOC-01701</v>
      </c>
      <c r="B1702" s="47">
        <v>45818</v>
      </c>
      <c r="C1702" s="36" t="s">
        <v>6553</v>
      </c>
      <c r="D1702" s="36" t="s">
        <v>1581</v>
      </c>
      <c r="E1702" s="77" t="s">
        <v>6554</v>
      </c>
      <c r="F1702" s="36" t="s">
        <v>6555</v>
      </c>
      <c r="G1702"/>
      <c r="I1702" s="17" t="s">
        <v>5679</v>
      </c>
      <c r="J1702" s="99" t="s">
        <v>66</v>
      </c>
      <c r="K1702" s="5" t="s">
        <v>226</v>
      </c>
      <c r="L1702" t="str">
        <f t="shared" si="29"/>
        <v>judesonhenry@gmail.com</v>
      </c>
    </row>
    <row r="1703" spans="1:12">
      <c r="A1703" t="str" cm="1">
        <f t="array" ref="A1703">_xlfn.LET(_xlpm.e,L1703,
IF(_xlpm.e="","",
"DOC-"&amp;TEXT(ROW()-ROW(tblMaster[#Headers]),"00000")
))</f>
        <v>DOC-01702</v>
      </c>
      <c r="B1703" s="47">
        <v>45783</v>
      </c>
      <c r="C1703" s="36" t="s">
        <v>6556</v>
      </c>
      <c r="D1703" s="36" t="s">
        <v>839</v>
      </c>
      <c r="E1703" s="77" t="s">
        <v>6557</v>
      </c>
      <c r="F1703" s="36" t="s">
        <v>6558</v>
      </c>
      <c r="G1703"/>
      <c r="I1703" s="17" t="s">
        <v>5679</v>
      </c>
      <c r="J1703" s="99" t="s">
        <v>66</v>
      </c>
      <c r="K1703" s="5" t="s">
        <v>226</v>
      </c>
      <c r="L1703" t="str">
        <f t="shared" si="29"/>
        <v>darlenehsrnandez944@gmail.com</v>
      </c>
    </row>
    <row r="1704" spans="1:12" ht="15.75">
      <c r="A1704" t="str" cm="1">
        <f t="array" ref="A1704">_xlfn.LET(_xlpm.e,L1704,
IF(_xlpm.e="","",
"DOC-"&amp;TEXT(ROW()-ROW(tblMaster[#Headers]),"00000")
))</f>
        <v>DOC-01703</v>
      </c>
      <c r="B1704" s="47">
        <v>45779</v>
      </c>
      <c r="C1704" s="58" t="s">
        <v>6559</v>
      </c>
      <c r="D1704" s="58" t="s">
        <v>6560</v>
      </c>
      <c r="E1704" s="77" t="s">
        <v>6561</v>
      </c>
      <c r="F1704" s="58" t="s">
        <v>6562</v>
      </c>
      <c r="G1704"/>
      <c r="I1704" s="17" t="s">
        <v>5679</v>
      </c>
      <c r="J1704" s="99" t="s">
        <v>66</v>
      </c>
      <c r="K1704" s="5" t="s">
        <v>226</v>
      </c>
      <c r="L1704" t="str">
        <f t="shared" si="29"/>
        <v>jusmloujeames@yahoo.com</v>
      </c>
    </row>
    <row r="1705" spans="1:12">
      <c r="A1705" t="str" cm="1">
        <f t="array" ref="A1705">_xlfn.LET(_xlpm.e,L1705,
IF(_xlpm.e="","",
"DOC-"&amp;TEXT(ROW()-ROW(tblMaster[#Headers]),"00000")
))</f>
        <v>DOC-01704</v>
      </c>
      <c r="B1705" s="47">
        <v>45758</v>
      </c>
      <c r="C1705" s="36" t="s">
        <v>6563</v>
      </c>
      <c r="D1705" s="36" t="s">
        <v>6564</v>
      </c>
      <c r="E1705" s="77" t="s">
        <v>6565</v>
      </c>
      <c r="F1705" s="36" t="s">
        <v>6566</v>
      </c>
      <c r="G1705"/>
      <c r="I1705" s="17" t="s">
        <v>5679</v>
      </c>
      <c r="J1705" s="99" t="s">
        <v>66</v>
      </c>
      <c r="K1705" s="5" t="s">
        <v>226</v>
      </c>
      <c r="L1705" t="str">
        <f t="shared" si="29"/>
        <v>jaylen.mahan11@yahoo.com</v>
      </c>
    </row>
    <row r="1706" spans="1:12">
      <c r="A1706" t="str" cm="1">
        <f t="array" ref="A1706">_xlfn.LET(_xlpm.e,L1706,
IF(_xlpm.e="","",
"DOC-"&amp;TEXT(ROW()-ROW(tblMaster[#Headers]),"00000")
))</f>
        <v>DOC-01705</v>
      </c>
      <c r="B1706" s="47">
        <v>45701</v>
      </c>
      <c r="C1706" s="36" t="s">
        <v>6567</v>
      </c>
      <c r="D1706" s="36" t="s">
        <v>6568</v>
      </c>
      <c r="E1706" s="77" t="s">
        <v>6569</v>
      </c>
      <c r="F1706" s="36" t="s">
        <v>6570</v>
      </c>
      <c r="G1706"/>
      <c r="I1706" s="17" t="s">
        <v>5679</v>
      </c>
      <c r="J1706" s="99" t="s">
        <v>66</v>
      </c>
      <c r="K1706" s="5" t="s">
        <v>226</v>
      </c>
      <c r="L1706" t="str">
        <f t="shared" si="29"/>
        <v>ladiielee@gmail.com</v>
      </c>
    </row>
    <row r="1707" spans="1:12">
      <c r="A1707" t="str" cm="1">
        <f t="array" ref="A1707">_xlfn.LET(_xlpm.e,L1707,
IF(_xlpm.e="","",
"DOC-"&amp;TEXT(ROW()-ROW(tblMaster[#Headers]),"00000")
))</f>
        <v/>
      </c>
      <c r="E1707" s="77"/>
      <c r="F1707" s="36"/>
      <c r="G1707"/>
      <c r="L1707" t="str">
        <f t="shared" si="29"/>
        <v/>
      </c>
    </row>
    <row r="1708" spans="1:12">
      <c r="A1708" t="str" cm="1">
        <f t="array" ref="A1708">_xlfn.LET(_xlpm.e,L1708,
IF(_xlpm.e="","",
"DOC-"&amp;TEXT(ROW()-ROW(tblMaster[#Headers]),"00000")
))</f>
        <v>DOC-01707</v>
      </c>
      <c r="B1708" s="47">
        <v>45708</v>
      </c>
      <c r="C1708" s="36" t="s">
        <v>6571</v>
      </c>
      <c r="D1708" s="36" t="s">
        <v>5756</v>
      </c>
      <c r="E1708" s="77" t="s">
        <v>6572</v>
      </c>
      <c r="F1708" s="36" t="s">
        <v>6573</v>
      </c>
      <c r="G1708"/>
      <c r="I1708" s="17" t="s">
        <v>5679</v>
      </c>
      <c r="J1708" s="99" t="s">
        <v>194</v>
      </c>
      <c r="K1708" s="5" t="s">
        <v>226</v>
      </c>
      <c r="L1708" t="str">
        <f t="shared" si="29"/>
        <v>perez.antonyj@gmail.com</v>
      </c>
    </row>
    <row r="1709" spans="1:12">
      <c r="A1709" t="str" cm="1">
        <f t="array" ref="A1709">_xlfn.LET(_xlpm.e,L1709,
IF(_xlpm.e="","",
"DOC-"&amp;TEXT(ROW()-ROW(tblMaster[#Headers]),"00000")
))</f>
        <v>DOC-01708</v>
      </c>
      <c r="B1709" s="47">
        <v>45591</v>
      </c>
      <c r="C1709" s="36" t="s">
        <v>1277</v>
      </c>
      <c r="D1709" s="36" t="s">
        <v>6574</v>
      </c>
      <c r="E1709" s="77" t="s">
        <v>6575</v>
      </c>
      <c r="F1709" s="36" t="s">
        <v>6576</v>
      </c>
      <c r="G1709" s="2"/>
      <c r="I1709" s="17" t="s">
        <v>5679</v>
      </c>
      <c r="K1709" s="5" t="s">
        <v>226</v>
      </c>
      <c r="L1709" t="str">
        <f t="shared" si="29"/>
        <v>jacknmarley32@gmail.com</v>
      </c>
    </row>
    <row r="1710" spans="1:12">
      <c r="A1710" t="str" cm="1">
        <f t="array" ref="A1710">_xlfn.LET(_xlpm.e,L1710,
IF(_xlpm.e="","",
"DOC-"&amp;TEXT(ROW()-ROW(tblMaster[#Headers]),"00000")
))</f>
        <v>DOC-01709</v>
      </c>
      <c r="B1710" s="36"/>
      <c r="C1710" s="70" t="s">
        <v>1438</v>
      </c>
      <c r="D1710" s="41" t="s">
        <v>1439</v>
      </c>
      <c r="E1710" s="77" t="s">
        <v>1440</v>
      </c>
      <c r="F1710" s="41" t="s">
        <v>1441</v>
      </c>
      <c r="G1710" s="100"/>
      <c r="I1710" s="17" t="s">
        <v>5679</v>
      </c>
      <c r="K1710" s="5" t="s">
        <v>226</v>
      </c>
      <c r="L1710" t="str">
        <f t="shared" si="29"/>
        <v>mamunbabu@hotmail.com</v>
      </c>
    </row>
    <row r="1711" spans="1:12">
      <c r="A1711" t="str" cm="1">
        <f t="array" ref="A1711">_xlfn.LET(_xlpm.e,L1711,
IF(_xlpm.e="","",
"DOC-"&amp;TEXT(ROW()-ROW(tblMaster[#Headers]),"00000")
))</f>
        <v>DOC-01710</v>
      </c>
      <c r="B1711" s="47">
        <v>45804</v>
      </c>
      <c r="C1711" s="36" t="s">
        <v>6577</v>
      </c>
      <c r="D1711" s="36" t="s">
        <v>6578</v>
      </c>
      <c r="E1711" s="77" t="s">
        <v>6579</v>
      </c>
      <c r="F1711" s="36" t="s">
        <v>6580</v>
      </c>
      <c r="G1711"/>
      <c r="I1711" s="17" t="s">
        <v>5679</v>
      </c>
      <c r="J1711" s="99" t="s">
        <v>66</v>
      </c>
      <c r="K1711" s="5" t="s">
        <v>226</v>
      </c>
      <c r="L1711" t="str">
        <f t="shared" si="29"/>
        <v>dornezonj@gmail.com</v>
      </c>
    </row>
    <row r="1712" spans="1:12" ht="15.75">
      <c r="A1712" t="str" cm="1">
        <f t="array" ref="A1712">_xlfn.LET(_xlpm.e,L1712,
IF(_xlpm.e="","",
"DOC-"&amp;TEXT(ROW()-ROW(tblMaster[#Headers]),"00000")
))</f>
        <v>DOC-01711</v>
      </c>
      <c r="B1712" s="47">
        <v>45763</v>
      </c>
      <c r="C1712" s="58" t="s">
        <v>6581</v>
      </c>
      <c r="D1712" s="58" t="s">
        <v>6582</v>
      </c>
      <c r="E1712" s="77" t="s">
        <v>6583</v>
      </c>
      <c r="F1712" s="58" t="s">
        <v>6584</v>
      </c>
      <c r="G1712"/>
      <c r="I1712" s="17" t="s">
        <v>5679</v>
      </c>
      <c r="J1712" s="99" t="s">
        <v>194</v>
      </c>
      <c r="K1712" s="5" t="s">
        <v>226</v>
      </c>
      <c r="L1712" t="str">
        <f t="shared" si="29"/>
        <v>sacvjohn@gmail.com</v>
      </c>
    </row>
    <row r="1713" spans="1:12" ht="15.75">
      <c r="A1713" t="str" cm="1">
        <f t="array" ref="A1713">_xlfn.LET(_xlpm.e,L1713,
IF(_xlpm.e="","",
"DOC-"&amp;TEXT(ROW()-ROW(tblMaster[#Headers]),"00000")
))</f>
        <v>DOC-01712</v>
      </c>
      <c r="B1713" s="47">
        <v>45731</v>
      </c>
      <c r="C1713" s="82" t="s">
        <v>6585</v>
      </c>
      <c r="D1713" s="82" t="s">
        <v>6586</v>
      </c>
      <c r="E1713" s="77" t="s">
        <v>6587</v>
      </c>
      <c r="F1713" s="82" t="s">
        <v>6588</v>
      </c>
      <c r="G1713"/>
      <c r="I1713" s="17" t="s">
        <v>5679</v>
      </c>
      <c r="J1713" s="99" t="s">
        <v>194</v>
      </c>
      <c r="K1713" s="5" t="s">
        <v>226</v>
      </c>
      <c r="L1713" t="str">
        <f t="shared" si="29"/>
        <v>ozeiasandnelly@hotmail.com</v>
      </c>
    </row>
    <row r="1714" spans="1:12" ht="15.75">
      <c r="A1714" t="str" cm="1">
        <f t="array" ref="A1714">_xlfn.LET(_xlpm.e,L1714,
IF(_xlpm.e="","",
"DOC-"&amp;TEXT(ROW()-ROW(tblMaster[#Headers]),"00000")
))</f>
        <v>DOC-01713</v>
      </c>
      <c r="B1714" s="47">
        <v>45706</v>
      </c>
      <c r="C1714" s="58" t="s">
        <v>6589</v>
      </c>
      <c r="D1714" s="58" t="s">
        <v>6590</v>
      </c>
      <c r="E1714" s="77" t="s">
        <v>6591</v>
      </c>
      <c r="F1714" s="58" t="s">
        <v>6592</v>
      </c>
      <c r="G1714"/>
      <c r="I1714" s="17" t="s">
        <v>5679</v>
      </c>
      <c r="J1714" s="99" t="s">
        <v>194</v>
      </c>
      <c r="K1714" s="5" t="s">
        <v>226</v>
      </c>
      <c r="L1714" t="str">
        <f t="shared" si="29"/>
        <v>pouchonh1999@gmail.com</v>
      </c>
    </row>
    <row r="1715" spans="1:12">
      <c r="A1715" t="str" cm="1">
        <f t="array" ref="A1715">_xlfn.LET(_xlpm.e,L1715,
IF(_xlpm.e="","",
"DOC-"&amp;TEXT(ROW()-ROW(tblMaster[#Headers]),"00000")
))</f>
        <v>DOC-01714</v>
      </c>
      <c r="B1715" s="47">
        <v>45714</v>
      </c>
      <c r="C1715" s="76" t="s">
        <v>6593</v>
      </c>
      <c r="D1715" s="76" t="s">
        <v>6594</v>
      </c>
      <c r="E1715" s="77" t="s">
        <v>6595</v>
      </c>
      <c r="F1715" s="76">
        <v>5080637899</v>
      </c>
      <c r="G1715"/>
      <c r="I1715" s="17" t="s">
        <v>5679</v>
      </c>
      <c r="J1715" s="99" t="s">
        <v>194</v>
      </c>
      <c r="K1715" s="5" t="s">
        <v>226</v>
      </c>
      <c r="L1715" t="str">
        <f t="shared" si="29"/>
        <v>ruthyluna1008@gmail.com</v>
      </c>
    </row>
    <row r="1716" spans="1:12">
      <c r="A1716" t="str" cm="1">
        <f t="array" ref="A1716">_xlfn.LET(_xlpm.e,L1716,
IF(_xlpm.e="","",
"DOC-"&amp;TEXT(ROW()-ROW(tblMaster[#Headers]),"00000")
))</f>
        <v>DOC-01715</v>
      </c>
      <c r="B1716" s="47">
        <v>45749</v>
      </c>
      <c r="C1716" s="90" t="s">
        <v>778</v>
      </c>
      <c r="D1716" s="36" t="s">
        <v>6596</v>
      </c>
      <c r="E1716" s="77" t="s">
        <v>6597</v>
      </c>
      <c r="F1716" s="36" t="s">
        <v>6598</v>
      </c>
      <c r="G1716"/>
      <c r="I1716" s="17" t="s">
        <v>5679</v>
      </c>
      <c r="J1716" s="99" t="s">
        <v>66</v>
      </c>
      <c r="K1716" s="5" t="s">
        <v>226</v>
      </c>
      <c r="L1716" t="str">
        <f t="shared" si="29"/>
        <v>mensgends@yahoo.com</v>
      </c>
    </row>
    <row r="1717" spans="1:12">
      <c r="A1717" t="str" cm="1">
        <f t="array" ref="A1717">_xlfn.LET(_xlpm.e,L1717,
IF(_xlpm.e="","",
"DOC-"&amp;TEXT(ROW()-ROW(tblMaster[#Headers]),"00000")
))</f>
        <v>DOC-01716</v>
      </c>
      <c r="B1717" s="47">
        <v>45709</v>
      </c>
      <c r="C1717" s="36" t="s">
        <v>3430</v>
      </c>
      <c r="D1717" s="36" t="s">
        <v>6599</v>
      </c>
      <c r="E1717" s="77" t="s">
        <v>6600</v>
      </c>
      <c r="F1717" s="36" t="s">
        <v>6601</v>
      </c>
      <c r="G1717"/>
      <c r="I1717" s="17" t="s">
        <v>5679</v>
      </c>
      <c r="J1717" s="99" t="s">
        <v>194</v>
      </c>
      <c r="K1717" s="5" t="s">
        <v>226</v>
      </c>
      <c r="L1717" t="str">
        <f t="shared" si="29"/>
        <v>dianap_1981@hotmail.com</v>
      </c>
    </row>
    <row r="1718" spans="1:12">
      <c r="A1718" t="str" cm="1">
        <f t="array" ref="A1718">_xlfn.LET(_xlpm.e,L1718,
IF(_xlpm.e="","",
"DOC-"&amp;TEXT(ROW()-ROW(tblMaster[#Headers]),"00000")
))</f>
        <v>DOC-01717</v>
      </c>
      <c r="B1718" s="36"/>
      <c r="C1718" s="113" t="s">
        <v>6602</v>
      </c>
      <c r="D1718" s="113" t="s">
        <v>6603</v>
      </c>
      <c r="E1718" s="77" t="s">
        <v>6604</v>
      </c>
      <c r="F1718" s="113" t="s">
        <v>6605</v>
      </c>
      <c r="G1718" s="100"/>
      <c r="I1718" s="17" t="s">
        <v>5679</v>
      </c>
      <c r="K1718" s="5" t="s">
        <v>226</v>
      </c>
      <c r="L1718" t="str">
        <f t="shared" si="29"/>
        <v>debkayrob@gmail.com</v>
      </c>
    </row>
    <row r="1719" spans="1:12">
      <c r="A1719" t="str" cm="1">
        <f t="array" ref="A1719">_xlfn.LET(_xlpm.e,L1719,
IF(_xlpm.e="","",
"DOC-"&amp;TEXT(ROW()-ROW(tblMaster[#Headers]),"00000")
))</f>
        <v>DOC-01718</v>
      </c>
      <c r="B1719" s="47">
        <v>45708</v>
      </c>
      <c r="C1719" s="36" t="s">
        <v>5686</v>
      </c>
      <c r="D1719" s="36" t="s">
        <v>6606</v>
      </c>
      <c r="E1719" s="77" t="s">
        <v>6607</v>
      </c>
      <c r="F1719" s="36" t="s">
        <v>6608</v>
      </c>
      <c r="G1719"/>
      <c r="I1719" s="17" t="s">
        <v>5679</v>
      </c>
      <c r="J1719" s="99" t="s">
        <v>194</v>
      </c>
      <c r="K1719" s="5" t="s">
        <v>226</v>
      </c>
      <c r="L1719" t="str">
        <f t="shared" si="29"/>
        <v>kyletheriault50@gmail.com</v>
      </c>
    </row>
    <row r="1720" spans="1:12">
      <c r="A1720" t="str" cm="1">
        <f t="array" ref="A1720">_xlfn.LET(_xlpm.e,L1720,
IF(_xlpm.e="","",
"DOC-"&amp;TEXT(ROW()-ROW(tblMaster[#Headers]),"00000")
))</f>
        <v>DOC-01719</v>
      </c>
      <c r="B1720" s="47">
        <v>45736</v>
      </c>
      <c r="C1720" s="36" t="s">
        <v>6609</v>
      </c>
      <c r="D1720" s="36" t="s">
        <v>822</v>
      </c>
      <c r="E1720" s="77" t="s">
        <v>6610</v>
      </c>
      <c r="F1720" s="36" t="s">
        <v>6611</v>
      </c>
      <c r="G1720"/>
      <c r="I1720" s="17" t="s">
        <v>5679</v>
      </c>
      <c r="J1720" s="99" t="s">
        <v>194</v>
      </c>
      <c r="K1720" s="5" t="s">
        <v>226</v>
      </c>
      <c r="L1720" t="str">
        <f t="shared" si="29"/>
        <v>nathalytorresveras65@gmail.com</v>
      </c>
    </row>
    <row r="1721" spans="1:12">
      <c r="A1721" t="str" cm="1">
        <f t="array" ref="A1721">_xlfn.LET(_xlpm.e,L1721,
IF(_xlpm.e="","",
"DOC-"&amp;TEXT(ROW()-ROW(tblMaster[#Headers]),"00000")
))</f>
        <v>DOC-01720</v>
      </c>
      <c r="B1721" s="47">
        <v>45756</v>
      </c>
      <c r="C1721" s="36" t="s">
        <v>6612</v>
      </c>
      <c r="D1721" s="36" t="s">
        <v>144</v>
      </c>
      <c r="E1721" s="77" t="s">
        <v>6613</v>
      </c>
      <c r="F1721" s="36" t="s">
        <v>6614</v>
      </c>
      <c r="G1721"/>
      <c r="I1721" s="17" t="s">
        <v>5679</v>
      </c>
      <c r="J1721" s="99" t="s">
        <v>66</v>
      </c>
      <c r="K1721" s="5" t="s">
        <v>226</v>
      </c>
      <c r="L1721" t="str">
        <f t="shared" si="29"/>
        <v>tru3lov30983@icloud.com</v>
      </c>
    </row>
    <row r="1722" spans="1:12" ht="15.75">
      <c r="A1722" t="str" cm="1">
        <f t="array" ref="A1722">_xlfn.LET(_xlpm.e,L1722,
IF(_xlpm.e="","",
"DOC-"&amp;TEXT(ROW()-ROW(tblMaster[#Headers]),"00000")
))</f>
        <v>DOC-01721</v>
      </c>
      <c r="B1722" s="47">
        <v>45776</v>
      </c>
      <c r="C1722" s="58" t="s">
        <v>1544</v>
      </c>
      <c r="D1722" s="58" t="s">
        <v>6615</v>
      </c>
      <c r="E1722" s="77" t="s">
        <v>6616</v>
      </c>
      <c r="F1722" s="58" t="s">
        <v>6140</v>
      </c>
      <c r="G1722"/>
      <c r="I1722" s="17" t="s">
        <v>5679</v>
      </c>
      <c r="J1722" s="99" t="s">
        <v>194</v>
      </c>
      <c r="K1722" s="5" t="s">
        <v>226</v>
      </c>
      <c r="L1722" t="str">
        <f t="shared" si="29"/>
        <v>emmge90@gmail.com</v>
      </c>
    </row>
    <row r="1723" spans="1:12" ht="15.75">
      <c r="A1723" t="str" cm="1">
        <f t="array" ref="A1723">_xlfn.LET(_xlpm.e,L1723,
IF(_xlpm.e="","",
"DOC-"&amp;TEXT(ROW()-ROW(tblMaster[#Headers]),"00000")
))</f>
        <v>DOC-01722</v>
      </c>
      <c r="B1723" s="47">
        <v>45804</v>
      </c>
      <c r="C1723" s="36" t="s">
        <v>6617</v>
      </c>
      <c r="D1723" s="53" t="s">
        <v>6618</v>
      </c>
      <c r="E1723" s="77" t="s">
        <v>6619</v>
      </c>
      <c r="F1723" s="53" t="s">
        <v>6620</v>
      </c>
      <c r="G1723"/>
      <c r="I1723" s="17" t="s">
        <v>5679</v>
      </c>
      <c r="J1723" s="99" t="s">
        <v>497</v>
      </c>
      <c r="K1723" s="5" t="s">
        <v>226</v>
      </c>
      <c r="L1723" t="str">
        <f t="shared" si="29"/>
        <v>abdihassan28@gmail.com</v>
      </c>
    </row>
    <row r="1724" spans="1:12">
      <c r="A1724" t="str" cm="1">
        <f t="array" ref="A1724">_xlfn.LET(_xlpm.e,L1724,
IF(_xlpm.e="","",
"DOC-"&amp;TEXT(ROW()-ROW(tblMaster[#Headers]),"00000")
))</f>
        <v>DOC-01723</v>
      </c>
      <c r="B1724" s="47">
        <v>45758</v>
      </c>
      <c r="C1724" s="36" t="s">
        <v>6621</v>
      </c>
      <c r="D1724" s="36" t="s">
        <v>6622</v>
      </c>
      <c r="E1724" s="77" t="s">
        <v>6623</v>
      </c>
      <c r="F1724" s="36" t="s">
        <v>6624</v>
      </c>
      <c r="G1724"/>
      <c r="I1724" s="17" t="s">
        <v>5679</v>
      </c>
      <c r="J1724" s="99" t="s">
        <v>194</v>
      </c>
      <c r="K1724" s="5" t="s">
        <v>226</v>
      </c>
      <c r="L1724" t="str">
        <f t="shared" si="29"/>
        <v>ronniesacredbox@gmail.com</v>
      </c>
    </row>
    <row r="1725" spans="1:12" ht="15.75">
      <c r="A1725" t="str" cm="1">
        <f t="array" ref="A1725">_xlfn.LET(_xlpm.e,L1725,
IF(_xlpm.e="","",
"DOC-"&amp;TEXT(ROW()-ROW(tblMaster[#Headers]),"00000")
))</f>
        <v>DOC-01724</v>
      </c>
      <c r="B1725" s="47">
        <v>45744</v>
      </c>
      <c r="C1725" s="58" t="s">
        <v>6625</v>
      </c>
      <c r="D1725" s="58" t="s">
        <v>6626</v>
      </c>
      <c r="E1725" s="77" t="s">
        <v>6627</v>
      </c>
      <c r="F1725" s="58" t="s">
        <v>6628</v>
      </c>
      <c r="G1725"/>
      <c r="I1725" s="17" t="s">
        <v>5679</v>
      </c>
      <c r="J1725" s="99" t="s">
        <v>194</v>
      </c>
      <c r="K1725" s="5" t="s">
        <v>226</v>
      </c>
      <c r="L1725" t="str">
        <f t="shared" si="29"/>
        <v>saliimlee@outlook.com</v>
      </c>
    </row>
    <row r="1726" spans="1:12">
      <c r="A1726" t="str" cm="1">
        <f t="array" ref="A1726">_xlfn.LET(_xlpm.e,L1726,
IF(_xlpm.e="","",
"DOC-"&amp;TEXT(ROW()-ROW(tblMaster[#Headers]),"00000")
))</f>
        <v>DOC-01725</v>
      </c>
      <c r="B1726" s="47">
        <v>45761</v>
      </c>
      <c r="C1726" s="36" t="s">
        <v>2725</v>
      </c>
      <c r="D1726" s="36" t="s">
        <v>2726</v>
      </c>
      <c r="E1726" s="77" t="s">
        <v>6629</v>
      </c>
      <c r="F1726" s="85" t="s">
        <v>6630</v>
      </c>
      <c r="G1726"/>
      <c r="I1726" s="17" t="s">
        <v>5679</v>
      </c>
      <c r="J1726" s="99" t="s">
        <v>497</v>
      </c>
      <c r="K1726" s="5" t="s">
        <v>226</v>
      </c>
      <c r="L1726" t="str">
        <f t="shared" si="29"/>
        <v>kgp553@gmail.com</v>
      </c>
    </row>
    <row r="1727" spans="1:12">
      <c r="A1727" t="str" cm="1">
        <f t="array" ref="A1727">_xlfn.LET(_xlpm.e,L1727,
IF(_xlpm.e="","",
"DOC-"&amp;TEXT(ROW()-ROW(tblMaster[#Headers]),"00000")
))</f>
        <v>DOC-01726</v>
      </c>
      <c r="B1727" s="47">
        <v>45708</v>
      </c>
      <c r="C1727" s="36" t="s">
        <v>6631</v>
      </c>
      <c r="D1727" s="36" t="s">
        <v>6632</v>
      </c>
      <c r="E1727" s="77" t="s">
        <v>6633</v>
      </c>
      <c r="F1727" s="36" t="s">
        <v>6634</v>
      </c>
      <c r="G1727"/>
      <c r="I1727" s="17" t="s">
        <v>5679</v>
      </c>
      <c r="J1727" s="99" t="s">
        <v>66</v>
      </c>
      <c r="K1727" s="5" t="s">
        <v>226</v>
      </c>
      <c r="L1727" t="str">
        <f t="shared" si="29"/>
        <v>tanikethorpe@gmail.com</v>
      </c>
    </row>
    <row r="1728" spans="1:12" ht="15.75">
      <c r="A1728" t="str" cm="1">
        <f t="array" ref="A1728">_xlfn.LET(_xlpm.e,L1728,
IF(_xlpm.e="","",
"DOC-"&amp;TEXT(ROW()-ROW(tblMaster[#Headers]),"00000")
))</f>
        <v>DOC-01727</v>
      </c>
      <c r="B1728" s="47">
        <v>45816</v>
      </c>
      <c r="C1728" s="58" t="s">
        <v>6635</v>
      </c>
      <c r="D1728" s="58" t="s">
        <v>6636</v>
      </c>
      <c r="E1728" s="77" t="s">
        <v>6637</v>
      </c>
      <c r="F1728" s="36" t="s">
        <v>6638</v>
      </c>
      <c r="G1728"/>
      <c r="I1728" s="17" t="s">
        <v>5679</v>
      </c>
      <c r="J1728" s="99" t="s">
        <v>497</v>
      </c>
      <c r="K1728" s="5" t="s">
        <v>226</v>
      </c>
      <c r="L1728" t="str">
        <f t="shared" si="29"/>
        <v>gio123787@gmail.com</v>
      </c>
    </row>
    <row r="1729" spans="1:12">
      <c r="A1729" t="str" cm="1">
        <f t="array" ref="A1729">_xlfn.LET(_xlpm.e,L1729,
IF(_xlpm.e="","",
"DOC-"&amp;TEXT(ROW()-ROW(tblMaster[#Headers]),"00000")
))</f>
        <v>DOC-01728</v>
      </c>
      <c r="B1729" s="47">
        <v>45846</v>
      </c>
      <c r="C1729" s="36" t="s">
        <v>2702</v>
      </c>
      <c r="D1729" s="36" t="s">
        <v>700</v>
      </c>
      <c r="E1729" s="77" t="s">
        <v>6639</v>
      </c>
      <c r="F1729" s="36" t="s">
        <v>2703</v>
      </c>
      <c r="G1729"/>
      <c r="I1729" s="17" t="s">
        <v>5679</v>
      </c>
      <c r="J1729" s="99" t="s">
        <v>66</v>
      </c>
      <c r="K1729" s="5" t="s">
        <v>226</v>
      </c>
      <c r="L1729" t="str">
        <f t="shared" si="29"/>
        <v>ej87783@gmail.com</v>
      </c>
    </row>
    <row r="1730" spans="1:12">
      <c r="A1730" t="str" cm="1">
        <f t="array" ref="A1730">_xlfn.LET(_xlpm.e,L1730,
IF(_xlpm.e="","",
"DOC-"&amp;TEXT(ROW()-ROW(tblMaster[#Headers]),"00000")
))</f>
        <v>DOC-01729</v>
      </c>
      <c r="B1730" s="47">
        <v>45687</v>
      </c>
      <c r="C1730" s="36" t="s">
        <v>93</v>
      </c>
      <c r="D1730" s="36" t="s">
        <v>6640</v>
      </c>
      <c r="E1730" s="77" t="s">
        <v>6641</v>
      </c>
      <c r="F1730" s="36" t="s">
        <v>6642</v>
      </c>
      <c r="G1730"/>
      <c r="I1730" s="17" t="s">
        <v>5679</v>
      </c>
      <c r="J1730" s="99" t="s">
        <v>66</v>
      </c>
      <c r="K1730" s="5" t="s">
        <v>226</v>
      </c>
      <c r="L1730" t="str">
        <f t="shared" si="29"/>
        <v>jlagoy2014@gmail.com</v>
      </c>
    </row>
    <row r="1731" spans="1:12">
      <c r="A1731" t="str" cm="1">
        <f t="array" ref="A1731">_xlfn.LET(_xlpm.e,L1731,
IF(_xlpm.e="","",
"DOC-"&amp;TEXT(ROW()-ROW(tblMaster[#Headers]),"00000")
))</f>
        <v>DOC-01730</v>
      </c>
      <c r="B1731" s="47">
        <v>45694</v>
      </c>
      <c r="C1731" s="36" t="s">
        <v>924</v>
      </c>
      <c r="D1731" s="36" t="s">
        <v>6643</v>
      </c>
      <c r="E1731" s="77" t="s">
        <v>6644</v>
      </c>
      <c r="F1731" s="36" t="s">
        <v>6645</v>
      </c>
      <c r="G1731"/>
      <c r="I1731" s="17" t="s">
        <v>5679</v>
      </c>
      <c r="J1731" s="99" t="s">
        <v>66</v>
      </c>
      <c r="K1731" s="5" t="s">
        <v>226</v>
      </c>
      <c r="L1731" t="str">
        <f t="shared" si="29"/>
        <v>libbeyla@gmail.com</v>
      </c>
    </row>
    <row r="1732" spans="1:12">
      <c r="A1732" t="str" cm="1">
        <f t="array" ref="A1732">_xlfn.LET(_xlpm.e,L1732,
IF(_xlpm.e="","",
"DOC-"&amp;TEXT(ROW()-ROW(tblMaster[#Headers]),"00000")
))</f>
        <v>DOC-01731</v>
      </c>
      <c r="B1732" s="47">
        <v>45713</v>
      </c>
      <c r="C1732" s="76" t="s">
        <v>4316</v>
      </c>
      <c r="D1732" s="76" t="s">
        <v>6646</v>
      </c>
      <c r="E1732" s="77" t="s">
        <v>6647</v>
      </c>
      <c r="F1732" s="76" t="s">
        <v>6648</v>
      </c>
      <c r="G1732"/>
      <c r="I1732" s="17" t="s">
        <v>5679</v>
      </c>
      <c r="J1732" s="99" t="s">
        <v>194</v>
      </c>
      <c r="K1732" s="5" t="s">
        <v>226</v>
      </c>
      <c r="L1732" t="str">
        <f t="shared" si="29"/>
        <v>roweluke57@gmail.com</v>
      </c>
    </row>
    <row r="1733" spans="1:12">
      <c r="A1733" t="str" cm="1">
        <f t="array" ref="A1733">_xlfn.LET(_xlpm.e,L1733,
IF(_xlpm.e="","",
"DOC-"&amp;TEXT(ROW()-ROW(tblMaster[#Headers]),"00000")
))</f>
        <v>DOC-01732</v>
      </c>
      <c r="B1733" s="47">
        <v>45811</v>
      </c>
      <c r="C1733" s="36" t="s">
        <v>864</v>
      </c>
      <c r="D1733" s="36" t="s">
        <v>2589</v>
      </c>
      <c r="E1733" s="77" t="s">
        <v>6649</v>
      </c>
      <c r="F1733" s="36" t="s">
        <v>2590</v>
      </c>
      <c r="G1733"/>
      <c r="I1733" s="17" t="s">
        <v>5679</v>
      </c>
      <c r="J1733" s="99" t="s">
        <v>497</v>
      </c>
      <c r="K1733" s="5" t="s">
        <v>226</v>
      </c>
      <c r="L1733" t="str">
        <f t="shared" si="29"/>
        <v>mshaw126@terpmail.umd.edu</v>
      </c>
    </row>
    <row r="1734" spans="1:12" ht="15.75">
      <c r="A1734" t="str" cm="1">
        <f t="array" ref="A1734">_xlfn.LET(_xlpm.e,L1734,
IF(_xlpm.e="","",
"DOC-"&amp;TEXT(ROW()-ROW(tblMaster[#Headers]),"00000")
))</f>
        <v>DOC-01733</v>
      </c>
      <c r="B1734" s="47">
        <v>45824</v>
      </c>
      <c r="C1734" s="82" t="s">
        <v>5525</v>
      </c>
      <c r="D1734" s="82" t="s">
        <v>6650</v>
      </c>
      <c r="E1734" s="77" t="s">
        <v>6651</v>
      </c>
      <c r="F1734" s="82" t="s">
        <v>6652</v>
      </c>
      <c r="G1734"/>
      <c r="I1734" s="17" t="s">
        <v>5679</v>
      </c>
      <c r="J1734" s="99" t="s">
        <v>194</v>
      </c>
      <c r="K1734" s="5" t="s">
        <v>226</v>
      </c>
      <c r="L1734" t="str">
        <f t="shared" si="29"/>
        <v>rivelinokarl@gmail.com</v>
      </c>
    </row>
    <row r="1735" spans="1:12" ht="15.75">
      <c r="A1735" t="str" cm="1">
        <f t="array" ref="A1735">_xlfn.LET(_xlpm.e,L1735,
IF(_xlpm.e="","",
"DOC-"&amp;TEXT(ROW()-ROW(tblMaster[#Headers]),"00000")
))</f>
        <v>DOC-01734</v>
      </c>
      <c r="B1735" s="47">
        <v>45736</v>
      </c>
      <c r="C1735" s="82" t="s">
        <v>1636</v>
      </c>
      <c r="D1735" s="82" t="s">
        <v>6653</v>
      </c>
      <c r="E1735" s="77" t="s">
        <v>6654</v>
      </c>
      <c r="F1735" s="82" t="s">
        <v>6655</v>
      </c>
      <c r="G1735"/>
      <c r="I1735" s="17" t="s">
        <v>5679</v>
      </c>
      <c r="J1735" s="99" t="s">
        <v>194</v>
      </c>
      <c r="K1735" s="5" t="s">
        <v>226</v>
      </c>
      <c r="L1735" t="str">
        <f t="shared" si="29"/>
        <v>jolivier458@gmail.com</v>
      </c>
    </row>
    <row r="1736" spans="1:12">
      <c r="A1736" t="str" cm="1">
        <f t="array" ref="A1736">_xlfn.LET(_xlpm.e,L1736,
IF(_xlpm.e="","",
"DOC-"&amp;TEXT(ROW()-ROW(tblMaster[#Headers]),"00000")
))</f>
        <v>DOC-01735</v>
      </c>
      <c r="B1736" s="47">
        <v>45771</v>
      </c>
      <c r="C1736" s="36" t="s">
        <v>6656</v>
      </c>
      <c r="D1736" s="36" t="s">
        <v>6657</v>
      </c>
      <c r="E1736" s="77" t="s">
        <v>6658</v>
      </c>
      <c r="F1736" s="36" t="s">
        <v>6659</v>
      </c>
      <c r="G1736"/>
      <c r="I1736" s="17" t="s">
        <v>5679</v>
      </c>
      <c r="J1736" s="99" t="s">
        <v>66</v>
      </c>
      <c r="K1736" s="5" t="s">
        <v>226</v>
      </c>
      <c r="L1736" t="str">
        <f t="shared" si="29"/>
        <v>sharissekw@gmail.com</v>
      </c>
    </row>
    <row r="1737" spans="1:12">
      <c r="A1737" t="str" cm="1">
        <f t="array" ref="A1737">_xlfn.LET(_xlpm.e,L1737,
IF(_xlpm.e="","",
"DOC-"&amp;TEXT(ROW()-ROW(tblMaster[#Headers]),"00000")
))</f>
        <v>DOC-01736</v>
      </c>
      <c r="B1737" s="47">
        <v>45770</v>
      </c>
      <c r="C1737" s="36" t="s">
        <v>6660</v>
      </c>
      <c r="D1737" s="36" t="s">
        <v>6661</v>
      </c>
      <c r="E1737" s="77" t="s">
        <v>6662</v>
      </c>
      <c r="F1737" s="36" t="s">
        <v>6663</v>
      </c>
      <c r="G1737"/>
      <c r="I1737" s="17" t="s">
        <v>5679</v>
      </c>
      <c r="J1737" s="99" t="s">
        <v>66</v>
      </c>
      <c r="K1737" s="5" t="s">
        <v>226</v>
      </c>
      <c r="L1737" t="str">
        <f t="shared" si="29"/>
        <v>gutolopes95@gmail.com</v>
      </c>
    </row>
    <row r="1738" spans="1:12">
      <c r="A1738" t="str" cm="1">
        <f t="array" ref="A1738">_xlfn.LET(_xlpm.e,L1738,
IF(_xlpm.e="","",
"DOC-"&amp;TEXT(ROW()-ROW(tblMaster[#Headers]),"00000")
))</f>
        <v>DOC-01737</v>
      </c>
      <c r="B1738" s="47">
        <v>45851</v>
      </c>
      <c r="C1738" s="36" t="s">
        <v>491</v>
      </c>
      <c r="D1738" s="36" t="s">
        <v>2732</v>
      </c>
      <c r="E1738" s="77" t="s">
        <v>2733</v>
      </c>
      <c r="F1738" s="36" t="s">
        <v>2734</v>
      </c>
      <c r="G1738"/>
      <c r="I1738" s="17" t="s">
        <v>5679</v>
      </c>
      <c r="J1738" s="99" t="s">
        <v>194</v>
      </c>
      <c r="K1738" s="5" t="s">
        <v>226</v>
      </c>
      <c r="L1738" t="str">
        <f t="shared" si="29"/>
        <v>apl2k14@gmail.com</v>
      </c>
    </row>
    <row r="1739" spans="1:12">
      <c r="A1739" t="str" cm="1">
        <f t="array" ref="A1739">_xlfn.LET(_xlpm.e,L1739,
IF(_xlpm.e="","",
"DOC-"&amp;TEXT(ROW()-ROW(tblMaster[#Headers]),"00000")
))</f>
        <v>DOC-01738</v>
      </c>
      <c r="B1739" s="47">
        <v>45708</v>
      </c>
      <c r="C1739" s="36" t="s">
        <v>1307</v>
      </c>
      <c r="D1739" s="36" t="s">
        <v>6664</v>
      </c>
      <c r="E1739" s="77" t="s">
        <v>6665</v>
      </c>
      <c r="F1739" s="36" t="s">
        <v>6666</v>
      </c>
      <c r="G1739"/>
      <c r="I1739" s="17" t="s">
        <v>5679</v>
      </c>
      <c r="J1739" s="99" t="s">
        <v>194</v>
      </c>
      <c r="K1739" s="5" t="s">
        <v>226</v>
      </c>
      <c r="L1739" t="str">
        <f t="shared" si="29"/>
        <v>aqusmc@gmail.com</v>
      </c>
    </row>
    <row r="1740" spans="1:12">
      <c r="A1740" t="str" cm="1">
        <f t="array" ref="A1740">_xlfn.LET(_xlpm.e,L1740,
IF(_xlpm.e="","",
"DOC-"&amp;TEXT(ROW()-ROW(tblMaster[#Headers]),"00000")
))</f>
        <v>DOC-01739</v>
      </c>
      <c r="B1740" s="47">
        <v>45811</v>
      </c>
      <c r="C1740" s="36" t="s">
        <v>6667</v>
      </c>
      <c r="D1740" s="36" t="s">
        <v>6668</v>
      </c>
      <c r="E1740" s="77" t="s">
        <v>6669</v>
      </c>
      <c r="F1740" s="36" t="s">
        <v>6670</v>
      </c>
      <c r="G1740"/>
      <c r="I1740" s="17" t="s">
        <v>5679</v>
      </c>
      <c r="J1740" s="99" t="s">
        <v>66</v>
      </c>
      <c r="K1740" s="5" t="s">
        <v>226</v>
      </c>
      <c r="L1740" t="str">
        <f t="shared" si="29"/>
        <v>christian.vega86@gmail.com</v>
      </c>
    </row>
    <row r="1741" spans="1:12" ht="15.75">
      <c r="A1741" t="str" cm="1">
        <f t="array" ref="A1741">_xlfn.LET(_xlpm.e,L1741,
IF(_xlpm.e="","",
"DOC-"&amp;TEXT(ROW()-ROW(tblMaster[#Headers]),"00000")
))</f>
        <v>DOC-01740</v>
      </c>
      <c r="B1741" s="47">
        <v>45709</v>
      </c>
      <c r="C1741" s="58" t="s">
        <v>597</v>
      </c>
      <c r="D1741" s="58" t="s">
        <v>6671</v>
      </c>
      <c r="E1741" s="77" t="s">
        <v>6672</v>
      </c>
      <c r="F1741" s="58" t="s">
        <v>6673</v>
      </c>
      <c r="G1741"/>
      <c r="I1741" s="17" t="s">
        <v>5679</v>
      </c>
      <c r="J1741" s="99" t="s">
        <v>194</v>
      </c>
      <c r="K1741" s="5" t="s">
        <v>226</v>
      </c>
      <c r="L1741" t="str">
        <f t="shared" si="29"/>
        <v>aaroncoplin@yahoo.com</v>
      </c>
    </row>
    <row r="1742" spans="1:12" ht="15.75">
      <c r="A1742" t="str" cm="1">
        <f t="array" ref="A1742">_xlfn.LET(_xlpm.e,L1742,
IF(_xlpm.e="","",
"DOC-"&amp;TEXT(ROW()-ROW(tblMaster[#Headers]),"00000")
))</f>
        <v>DOC-01741</v>
      </c>
      <c r="B1742" s="47">
        <v>45769</v>
      </c>
      <c r="C1742" s="58" t="s">
        <v>6674</v>
      </c>
      <c r="D1742" s="58" t="s">
        <v>6675</v>
      </c>
      <c r="E1742" s="77" t="s">
        <v>6676</v>
      </c>
      <c r="F1742" s="58" t="s">
        <v>6677</v>
      </c>
      <c r="G1742"/>
      <c r="I1742" s="17" t="s">
        <v>5679</v>
      </c>
      <c r="J1742" s="99" t="s">
        <v>194</v>
      </c>
      <c r="K1742" s="5" t="s">
        <v>226</v>
      </c>
      <c r="L1742" t="str">
        <f t="shared" si="29"/>
        <v>wangjyu2016@gmail.com</v>
      </c>
    </row>
    <row r="1743" spans="1:12">
      <c r="A1743" t="str" cm="1">
        <f t="array" ref="A1743">_xlfn.LET(_xlpm.e,L1743,
IF(_xlpm.e="","",
"DOC-"&amp;TEXT(ROW()-ROW(tblMaster[#Headers]),"00000")
))</f>
        <v>DOC-01742</v>
      </c>
      <c r="B1743" s="47">
        <v>45741</v>
      </c>
      <c r="C1743" s="36" t="s">
        <v>1257</v>
      </c>
      <c r="D1743" s="36" t="s">
        <v>6678</v>
      </c>
      <c r="E1743" s="77" t="s">
        <v>6679</v>
      </c>
      <c r="F1743" s="36" t="s">
        <v>6680</v>
      </c>
      <c r="G1743"/>
      <c r="I1743" s="17" t="s">
        <v>5679</v>
      </c>
      <c r="J1743" s="99" t="s">
        <v>66</v>
      </c>
      <c r="K1743" s="5" t="s">
        <v>226</v>
      </c>
      <c r="L1743" t="str">
        <f t="shared" si="29"/>
        <v>alexsrieng18@gmail.com</v>
      </c>
    </row>
    <row r="1744" spans="1:12">
      <c r="A1744" t="str" cm="1">
        <f t="array" ref="A1744">_xlfn.LET(_xlpm.e,L1744,
IF(_xlpm.e="","",
"DOC-"&amp;TEXT(ROW()-ROW(tblMaster[#Headers]),"00000")
))</f>
        <v>DOC-01743</v>
      </c>
      <c r="B1744" s="47">
        <v>45854</v>
      </c>
      <c r="C1744" s="36" t="s">
        <v>1999</v>
      </c>
      <c r="D1744" s="36" t="s">
        <v>2024</v>
      </c>
      <c r="E1744" s="77" t="s">
        <v>6681</v>
      </c>
      <c r="F1744" s="36" t="s">
        <v>6682</v>
      </c>
      <c r="G1744"/>
      <c r="I1744" s="17" t="s">
        <v>5679</v>
      </c>
      <c r="J1744" s="99" t="s">
        <v>66</v>
      </c>
      <c r="K1744" s="5" t="s">
        <v>226</v>
      </c>
      <c r="L1744" t="str">
        <f t="shared" si="29"/>
        <v>cassandran_32@hotmail.com</v>
      </c>
    </row>
    <row r="1745" spans="1:12" ht="15.75">
      <c r="A1745" t="str" cm="1">
        <f t="array" ref="A1745">_xlfn.LET(_xlpm.e,L1745,
IF(_xlpm.e="","",
"DOC-"&amp;TEXT(ROW()-ROW(tblMaster[#Headers]),"00000")
))</f>
        <v>DOC-01744</v>
      </c>
      <c r="B1745" s="47">
        <v>45763</v>
      </c>
      <c r="C1745" s="82" t="s">
        <v>6683</v>
      </c>
      <c r="D1745" s="82" t="s">
        <v>6684</v>
      </c>
      <c r="E1745" s="77" t="s">
        <v>6685</v>
      </c>
      <c r="F1745" s="36" t="s">
        <v>6686</v>
      </c>
      <c r="G1745"/>
      <c r="I1745" s="17" t="s">
        <v>5679</v>
      </c>
      <c r="J1745" s="99" t="s">
        <v>194</v>
      </c>
      <c r="K1745" s="5" t="s">
        <v>226</v>
      </c>
      <c r="L1745" t="str">
        <f t="shared" si="29"/>
        <v>c.margaret17@gmail.com</v>
      </c>
    </row>
    <row r="1746" spans="1:12">
      <c r="A1746" t="str" cm="1">
        <f t="array" ref="A1746">_xlfn.LET(_xlpm.e,L1746,
IF(_xlpm.e="","",
"DOC-"&amp;TEXT(ROW()-ROW(tblMaster[#Headers]),"00000")
))</f>
        <v>DOC-01745</v>
      </c>
      <c r="B1746" s="47">
        <v>45867</v>
      </c>
      <c r="C1746" s="36" t="s">
        <v>1174</v>
      </c>
      <c r="D1746" s="36" t="s">
        <v>5005</v>
      </c>
      <c r="E1746" s="77" t="s">
        <v>6687</v>
      </c>
      <c r="F1746" s="36" t="s">
        <v>6688</v>
      </c>
      <c r="G1746"/>
      <c r="I1746" s="17" t="s">
        <v>5679</v>
      </c>
      <c r="J1746" s="99" t="s">
        <v>66</v>
      </c>
      <c r="K1746" s="5" t="s">
        <v>226</v>
      </c>
      <c r="L1746" t="str">
        <f t="shared" si="29"/>
        <v>beng</v>
      </c>
    </row>
    <row r="1747" spans="1:12">
      <c r="A1747" t="str" cm="1">
        <f t="array" ref="A1747">_xlfn.LET(_xlpm.e,L1747,
IF(_xlpm.e="","",
"DOC-"&amp;TEXT(ROW()-ROW(tblMaster[#Headers]),"00000")
))</f>
        <v>DOC-01746</v>
      </c>
      <c r="B1747" s="47">
        <v>45854</v>
      </c>
      <c r="C1747" s="36" t="s">
        <v>2723</v>
      </c>
      <c r="D1747" s="36" t="s">
        <v>2724</v>
      </c>
      <c r="E1747" s="77" t="s">
        <v>6689</v>
      </c>
      <c r="F1747" s="36" t="s">
        <v>6690</v>
      </c>
      <c r="G1747"/>
      <c r="I1747" s="17" t="s">
        <v>5679</v>
      </c>
      <c r="J1747" s="99" t="s">
        <v>66</v>
      </c>
      <c r="K1747" s="5" t="s">
        <v>226</v>
      </c>
      <c r="L1747" t="str">
        <f t="shared" si="29"/>
        <v>shykelamcandrew33@gmail.com</v>
      </c>
    </row>
    <row r="1748" spans="1:12">
      <c r="A1748" t="str" cm="1">
        <f t="array" ref="A1748">_xlfn.LET(_xlpm.e,L1748,
IF(_xlpm.e="","",
"DOC-"&amp;TEXT(ROW()-ROW(tblMaster[#Headers]),"00000")
))</f>
        <v>DOC-01747</v>
      </c>
      <c r="B1748" s="47">
        <v>45729</v>
      </c>
      <c r="C1748" s="36" t="s">
        <v>6691</v>
      </c>
      <c r="D1748" s="36" t="s">
        <v>6692</v>
      </c>
      <c r="E1748" s="77" t="s">
        <v>6693</v>
      </c>
      <c r="F1748" s="36" t="s">
        <v>6694</v>
      </c>
      <c r="G1748"/>
      <c r="I1748" s="17" t="s">
        <v>5679</v>
      </c>
      <c r="J1748" s="99" t="s">
        <v>194</v>
      </c>
      <c r="K1748" s="5" t="s">
        <v>226</v>
      </c>
      <c r="L1748" t="str">
        <f t="shared" si="29"/>
        <v>jeremilrivera@gmail.com</v>
      </c>
    </row>
    <row r="1749" spans="1:12" ht="15.75">
      <c r="A1749" t="str" cm="1">
        <f t="array" ref="A1749">_xlfn.LET(_xlpm.e,L1749,
IF(_xlpm.e="","",
"DOC-"&amp;TEXT(ROW()-ROW(tblMaster[#Headers]),"00000")
))</f>
        <v>DOC-01748</v>
      </c>
      <c r="B1749" s="47">
        <v>45708</v>
      </c>
      <c r="C1749" s="36" t="s">
        <v>6695</v>
      </c>
      <c r="D1749" s="36" t="s">
        <v>6696</v>
      </c>
      <c r="E1749" s="77" t="s">
        <v>6697</v>
      </c>
      <c r="F1749" s="58" t="s">
        <v>6698</v>
      </c>
      <c r="G1749"/>
      <c r="I1749" s="17" t="s">
        <v>5679</v>
      </c>
      <c r="J1749" s="99" t="s">
        <v>194</v>
      </c>
      <c r="K1749" s="5" t="s">
        <v>226</v>
      </c>
      <c r="L1749" t="str">
        <f t="shared" si="29"/>
        <v>ossephasaintfleur5@gmail.com</v>
      </c>
    </row>
    <row r="1750" spans="1:12" ht="15.75">
      <c r="A1750" t="str" cm="1">
        <f t="array" ref="A1750">_xlfn.LET(_xlpm.e,L1750,
IF(_xlpm.e="","",
"DOC-"&amp;TEXT(ROW()-ROW(tblMaster[#Headers]),"00000")
))</f>
        <v>DOC-01749</v>
      </c>
      <c r="B1750" s="47">
        <v>45713</v>
      </c>
      <c r="C1750" s="82" t="s">
        <v>6699</v>
      </c>
      <c r="D1750" s="82" t="s">
        <v>6700</v>
      </c>
      <c r="E1750" s="77" t="s">
        <v>6701</v>
      </c>
      <c r="F1750" s="82" t="s">
        <v>6702</v>
      </c>
      <c r="G1750"/>
      <c r="I1750" s="17" t="s">
        <v>5679</v>
      </c>
      <c r="J1750" s="99" t="s">
        <v>194</v>
      </c>
      <c r="K1750" s="5" t="s">
        <v>226</v>
      </c>
      <c r="L1750" t="str">
        <f t="shared" si="29"/>
        <v>exantus.alcimbert@gmail.com</v>
      </c>
    </row>
    <row r="1751" spans="1:12">
      <c r="A1751" t="str" cm="1">
        <f t="array" ref="A1751">_xlfn.LET(_xlpm.e,L1751,
IF(_xlpm.e="","",
"DOC-"&amp;TEXT(ROW()-ROW(tblMaster[#Headers]),"00000")
))</f>
        <v>DOC-01750</v>
      </c>
      <c r="B1751" s="47">
        <v>45810</v>
      </c>
      <c r="C1751" s="36" t="s">
        <v>904</v>
      </c>
      <c r="D1751" s="36" t="s">
        <v>2670</v>
      </c>
      <c r="E1751" s="77" t="s">
        <v>6703</v>
      </c>
      <c r="F1751" s="36" t="s">
        <v>6704</v>
      </c>
      <c r="G1751"/>
      <c r="I1751" s="17" t="s">
        <v>5679</v>
      </c>
      <c r="J1751" s="99" t="s">
        <v>66</v>
      </c>
      <c r="K1751" s="5" t="s">
        <v>226</v>
      </c>
      <c r="L1751" t="str">
        <f t="shared" si="29"/>
        <v>arkoabigail91@gmail.com</v>
      </c>
    </row>
    <row r="1752" spans="1:12">
      <c r="A1752" t="str" cm="1">
        <f t="array" ref="A1752">_xlfn.LET(_xlpm.e,L1752,
IF(_xlpm.e="","",
"DOC-"&amp;TEXT(ROW()-ROW(tblMaster[#Headers]),"00000")
))</f>
        <v/>
      </c>
      <c r="E1752" s="77"/>
      <c r="F1752" s="36"/>
      <c r="G1752"/>
      <c r="J1752" s="99" t="s">
        <v>194</v>
      </c>
      <c r="K1752" s="5" t="s">
        <v>226</v>
      </c>
      <c r="L1752" t="str">
        <f t="shared" si="29"/>
        <v/>
      </c>
    </row>
    <row r="1753" spans="1:12">
      <c r="A1753" t="str" cm="1">
        <f t="array" ref="A1753">_xlfn.LET(_xlpm.e,L1753,
IF(_xlpm.e="","",
"DOC-"&amp;TEXT(ROW()-ROW(tblMaster[#Headers]),"00000")
))</f>
        <v>DOC-01752</v>
      </c>
      <c r="B1753" s="47">
        <v>45859</v>
      </c>
      <c r="C1753" s="36" t="s">
        <v>6705</v>
      </c>
      <c r="D1753" s="36" t="s">
        <v>6706</v>
      </c>
      <c r="E1753" s="77" t="s">
        <v>6707</v>
      </c>
      <c r="F1753" s="36" t="s">
        <v>6708</v>
      </c>
      <c r="G1753"/>
      <c r="I1753" s="17" t="s">
        <v>5679</v>
      </c>
      <c r="J1753" s="99" t="s">
        <v>194</v>
      </c>
      <c r="K1753" s="5" t="s">
        <v>226</v>
      </c>
      <c r="L1753" t="str">
        <f t="shared" si="29"/>
        <v>alessacarbo03@gmail.com</v>
      </c>
    </row>
    <row r="1754" spans="1:12">
      <c r="A1754" t="str" cm="1">
        <f t="array" ref="A1754">_xlfn.LET(_xlpm.e,L1754,
IF(_xlpm.e="","",
"DOC-"&amp;TEXT(ROW()-ROW(tblMaster[#Headers]),"00000")
))</f>
        <v>DOC-01753</v>
      </c>
      <c r="B1754" s="47">
        <v>45754</v>
      </c>
      <c r="C1754" s="36" t="s">
        <v>6709</v>
      </c>
      <c r="D1754" s="36" t="s">
        <v>1400</v>
      </c>
      <c r="E1754" s="77" t="s">
        <v>6710</v>
      </c>
      <c r="F1754" s="36" t="s">
        <v>6711</v>
      </c>
      <c r="G1754"/>
      <c r="I1754" s="17" t="s">
        <v>5679</v>
      </c>
      <c r="J1754" s="99" t="s">
        <v>66</v>
      </c>
      <c r="K1754" s="5" t="s">
        <v>226</v>
      </c>
      <c r="L1754" t="str">
        <f t="shared" si="29"/>
        <v>tianndasilva@rocketmail.com</v>
      </c>
    </row>
    <row r="1755" spans="1:12">
      <c r="A1755" t="str" cm="1">
        <f t="array" ref="A1755">_xlfn.LET(_xlpm.e,L1755,
IF(_xlpm.e="","",
"DOC-"&amp;TEXT(ROW()-ROW(tblMaster[#Headers]),"00000")
))</f>
        <v>DOC-01754</v>
      </c>
      <c r="B1755" s="47">
        <v>45861</v>
      </c>
      <c r="C1755" s="36" t="s">
        <v>4109</v>
      </c>
      <c r="D1755" s="36" t="s">
        <v>1946</v>
      </c>
      <c r="E1755" s="77" t="s">
        <v>6712</v>
      </c>
      <c r="F1755" s="36" t="s">
        <v>6713</v>
      </c>
      <c r="G1755"/>
      <c r="I1755" s="17" t="s">
        <v>5679</v>
      </c>
      <c r="J1755" s="99" t="s">
        <v>194</v>
      </c>
      <c r="K1755" s="5" t="s">
        <v>226</v>
      </c>
      <c r="L1755" t="str">
        <f t="shared" si="29"/>
        <v>hayley.richard@yahoo.com</v>
      </c>
    </row>
    <row r="1756" spans="1:12">
      <c r="A1756" t="str" cm="1">
        <f t="array" ref="A1756">_xlfn.LET(_xlpm.e,L1756,
IF(_xlpm.e="","",
"DOC-"&amp;TEXT(ROW()-ROW(tblMaster[#Headers]),"00000")
))</f>
        <v>DOC-01755</v>
      </c>
      <c r="B1756" s="47">
        <v>45707</v>
      </c>
      <c r="C1756" s="36" t="s">
        <v>6714</v>
      </c>
      <c r="D1756" s="36" t="s">
        <v>6715</v>
      </c>
      <c r="E1756" s="77" t="s">
        <v>6716</v>
      </c>
      <c r="F1756" s="36" t="s">
        <v>6717</v>
      </c>
      <c r="G1756"/>
      <c r="I1756" s="17" t="s">
        <v>5679</v>
      </c>
      <c r="J1756" s="99" t="s">
        <v>66</v>
      </c>
      <c r="K1756" s="5" t="s">
        <v>226</v>
      </c>
      <c r="L1756" t="str">
        <f t="shared" si="29"/>
        <v>melvincuevas051@gmail.com</v>
      </c>
    </row>
    <row r="1757" spans="1:12">
      <c r="A1757" t="str" cm="1">
        <f t="array" ref="A1757">_xlfn.LET(_xlpm.e,L1757,
IF(_xlpm.e="","",
"DOC-"&amp;TEXT(ROW()-ROW(tblMaster[#Headers]),"00000")
))</f>
        <v>DOC-01756</v>
      </c>
      <c r="B1757" s="47">
        <v>45625</v>
      </c>
      <c r="C1757" s="36" t="s">
        <v>6718</v>
      </c>
      <c r="D1757" s="36" t="s">
        <v>454</v>
      </c>
      <c r="E1757" s="77" t="s">
        <v>6719</v>
      </c>
      <c r="F1757" s="36" t="s">
        <v>6720</v>
      </c>
      <c r="G1757"/>
      <c r="I1757" s="17" t="s">
        <v>5679</v>
      </c>
      <c r="J1757" s="99" t="s">
        <v>66</v>
      </c>
      <c r="K1757" s="5" t="s">
        <v>226</v>
      </c>
      <c r="L1757" t="str">
        <f t="shared" si="29"/>
        <v>plphotos@icloud.com</v>
      </c>
    </row>
    <row r="1758" spans="1:12" ht="15.75">
      <c r="A1758" t="str" cm="1">
        <f t="array" ref="A1758">_xlfn.LET(_xlpm.e,L1758,
IF(_xlpm.e="","",
"DOC-"&amp;TEXT(ROW()-ROW(tblMaster[#Headers]),"00000")
))</f>
        <v>DOC-01757</v>
      </c>
      <c r="B1758" s="47">
        <v>45727</v>
      </c>
      <c r="C1758" s="36" t="s">
        <v>6721</v>
      </c>
      <c r="D1758" s="36" t="s">
        <v>6722</v>
      </c>
      <c r="E1758" s="77" t="s">
        <v>6723</v>
      </c>
      <c r="F1758" s="58" t="s">
        <v>6724</v>
      </c>
      <c r="G1758"/>
      <c r="I1758" s="17" t="s">
        <v>5679</v>
      </c>
      <c r="J1758" s="99" t="s">
        <v>194</v>
      </c>
      <c r="K1758" s="5" t="s">
        <v>226</v>
      </c>
      <c r="L1758" t="str">
        <f t="shared" ref="L1758:L1808" si="30">_xlfn.LET(_xlpm.x,E1758,
_xlpm.y,TRIM(CLEAN(SUBSTITUTE(_xlpm.x,CHAR(160)," "))),
LOWER(_xlpm.y))</f>
        <v>adriianna.white@gmail.com</v>
      </c>
    </row>
    <row r="1759" spans="1:12">
      <c r="A1759" t="str" cm="1">
        <f t="array" ref="A1759">_xlfn.LET(_xlpm.e,L1759,
IF(_xlpm.e="","",
"DOC-"&amp;TEXT(ROW()-ROW(tblMaster[#Headers]),"00000")
))</f>
        <v>DOC-01758</v>
      </c>
      <c r="B1759" s="47">
        <v>45833</v>
      </c>
      <c r="C1759" s="36" t="s">
        <v>1544</v>
      </c>
      <c r="D1759" s="36" t="s">
        <v>6725</v>
      </c>
      <c r="E1759" s="77" t="s">
        <v>6726</v>
      </c>
      <c r="F1759" s="36" t="s">
        <v>6727</v>
      </c>
      <c r="G1759"/>
      <c r="I1759" s="17" t="s">
        <v>5679</v>
      </c>
      <c r="J1759" s="99" t="s">
        <v>497</v>
      </c>
      <c r="K1759" s="5" t="s">
        <v>226</v>
      </c>
      <c r="L1759" t="str">
        <f t="shared" si="30"/>
        <v>emmanuelyillah1@gmail.com</v>
      </c>
    </row>
    <row r="1760" spans="1:12">
      <c r="A1760" t="str" cm="1">
        <f t="array" ref="A1760">_xlfn.LET(_xlpm.e,L1760,
IF(_xlpm.e="","",
"DOC-"&amp;TEXT(ROW()-ROW(tblMaster[#Headers]),"00000")
))</f>
        <v>DOC-01759</v>
      </c>
      <c r="B1760" s="47">
        <v>45709</v>
      </c>
      <c r="C1760" s="36" t="s">
        <v>738</v>
      </c>
      <c r="D1760" s="36" t="s">
        <v>6728</v>
      </c>
      <c r="E1760" s="77" t="s">
        <v>6729</v>
      </c>
      <c r="F1760" s="36" t="s">
        <v>6730</v>
      </c>
      <c r="G1760"/>
      <c r="I1760" s="17" t="s">
        <v>5679</v>
      </c>
      <c r="J1760" s="99" t="s">
        <v>194</v>
      </c>
      <c r="K1760" s="5" t="s">
        <v>226</v>
      </c>
      <c r="L1760" t="str">
        <f t="shared" si="30"/>
        <v>mattitash1986@icloud.com</v>
      </c>
    </row>
    <row r="1761" spans="1:12">
      <c r="A1761" t="str" cm="1">
        <f t="array" ref="A1761">_xlfn.LET(_xlpm.e,L1761,
IF(_xlpm.e="","",
"DOC-"&amp;TEXT(ROW()-ROW(tblMaster[#Headers]),"00000")
))</f>
        <v>DOC-01760</v>
      </c>
      <c r="B1761" s="47">
        <v>45797</v>
      </c>
      <c r="C1761" s="36" t="s">
        <v>4391</v>
      </c>
      <c r="D1761" s="36" t="s">
        <v>6731</v>
      </c>
      <c r="E1761" s="77" t="s">
        <v>6732</v>
      </c>
      <c r="F1761" s="36" t="s">
        <v>6733</v>
      </c>
      <c r="G1761"/>
      <c r="I1761" s="17" t="s">
        <v>5679</v>
      </c>
      <c r="J1761" s="99" t="s">
        <v>66</v>
      </c>
      <c r="K1761" s="5" t="s">
        <v>226</v>
      </c>
      <c r="L1761" t="str">
        <f t="shared" si="30"/>
        <v>brysondawn097@gmail.com</v>
      </c>
    </row>
    <row r="1762" spans="1:12">
      <c r="A1762" t="str" cm="1">
        <f t="array" ref="A1762">_xlfn.LET(_xlpm.e,L1762,
IF(_xlpm.e="","",
"DOC-"&amp;TEXT(ROW()-ROW(tblMaster[#Headers]),"00000")
))</f>
        <v>DOC-01761</v>
      </c>
      <c r="B1762" s="47">
        <v>45607</v>
      </c>
      <c r="C1762" s="36" t="s">
        <v>1895</v>
      </c>
      <c r="D1762" s="36" t="s">
        <v>6734</v>
      </c>
      <c r="E1762" s="77" t="s">
        <v>6735</v>
      </c>
      <c r="F1762" s="36" t="s">
        <v>6736</v>
      </c>
      <c r="G1762"/>
      <c r="I1762" s="17" t="s">
        <v>5679</v>
      </c>
      <c r="J1762" s="99" t="s">
        <v>66</v>
      </c>
      <c r="K1762" s="5" t="s">
        <v>226</v>
      </c>
      <c r="L1762" t="str">
        <f t="shared" si="30"/>
        <v>eddie.hackett@gmail.com</v>
      </c>
    </row>
    <row r="1763" spans="1:12">
      <c r="A1763" t="str" cm="1">
        <f t="array" ref="A1763">_xlfn.LET(_xlpm.e,L1763,
IF(_xlpm.e="","",
"DOC-"&amp;TEXT(ROW()-ROW(tblMaster[#Headers]),"00000")
))</f>
        <v>DOC-01762</v>
      </c>
      <c r="B1763" s="47">
        <v>45847</v>
      </c>
      <c r="C1763" s="36" t="s">
        <v>6737</v>
      </c>
      <c r="D1763" s="36" t="s">
        <v>4772</v>
      </c>
      <c r="E1763" s="77" t="s">
        <v>6738</v>
      </c>
      <c r="F1763" s="36" t="s">
        <v>6739</v>
      </c>
      <c r="G1763"/>
      <c r="I1763" s="17" t="s">
        <v>5679</v>
      </c>
      <c r="J1763" s="99" t="s">
        <v>497</v>
      </c>
      <c r="K1763" s="5" t="s">
        <v>226</v>
      </c>
      <c r="L1763" t="str">
        <f t="shared" si="30"/>
        <v>ricomadison15@gmail.com</v>
      </c>
    </row>
    <row r="1764" spans="1:12">
      <c r="A1764" t="str" cm="1">
        <f t="array" ref="A1764">_xlfn.LET(_xlpm.e,L1764,
IF(_xlpm.e="","",
"DOC-"&amp;TEXT(ROW()-ROW(tblMaster[#Headers]),"00000")
))</f>
        <v>DOC-01763</v>
      </c>
      <c r="B1764" s="47">
        <v>45804</v>
      </c>
      <c r="C1764" s="36" t="s">
        <v>6332</v>
      </c>
      <c r="D1764" s="36" t="s">
        <v>2789</v>
      </c>
      <c r="E1764" s="77" t="s">
        <v>6740</v>
      </c>
      <c r="F1764" s="36" t="s">
        <v>6741</v>
      </c>
      <c r="G1764"/>
      <c r="I1764" s="17" t="s">
        <v>5679</v>
      </c>
      <c r="J1764" s="99" t="s">
        <v>194</v>
      </c>
      <c r="K1764" s="5" t="s">
        <v>226</v>
      </c>
      <c r="L1764" t="str">
        <f t="shared" si="30"/>
        <v>dylanmonette7@gmail.com</v>
      </c>
    </row>
    <row r="1765" spans="1:12">
      <c r="A1765" t="str" cm="1">
        <f t="array" ref="A1765">_xlfn.LET(_xlpm.e,L1765,
IF(_xlpm.e="","",
"DOC-"&amp;TEXT(ROW()-ROW(tblMaster[#Headers]),"00000")
))</f>
        <v>DOC-01764</v>
      </c>
      <c r="B1765" s="47">
        <v>45709</v>
      </c>
      <c r="C1765" s="36" t="s">
        <v>6131</v>
      </c>
      <c r="D1765" s="36" t="s">
        <v>4221</v>
      </c>
      <c r="E1765" s="77" t="s">
        <v>6742</v>
      </c>
      <c r="F1765" s="36" t="s">
        <v>6133</v>
      </c>
      <c r="G1765"/>
      <c r="I1765" s="17" t="s">
        <v>5679</v>
      </c>
      <c r="J1765" s="99" t="s">
        <v>194</v>
      </c>
      <c r="K1765" s="5" t="s">
        <v>226</v>
      </c>
      <c r="L1765" t="str">
        <f t="shared" si="30"/>
        <v>jaethen1@icloud.com</v>
      </c>
    </row>
    <row r="1766" spans="1:12">
      <c r="A1766" t="str" cm="1">
        <f t="array" ref="A1766">_xlfn.LET(_xlpm.e,L1766,
IF(_xlpm.e="","",
"DOC-"&amp;TEXT(ROW()-ROW(tblMaster[#Headers]),"00000")
))</f>
        <v>DOC-01765</v>
      </c>
      <c r="B1766" s="47">
        <v>45670</v>
      </c>
      <c r="C1766" s="36" t="s">
        <v>1694</v>
      </c>
      <c r="D1766" s="36" t="s">
        <v>6743</v>
      </c>
      <c r="E1766" s="77" t="s">
        <v>6744</v>
      </c>
      <c r="F1766" s="36" t="s">
        <v>6745</v>
      </c>
      <c r="G1766"/>
      <c r="I1766" s="17" t="s">
        <v>5679</v>
      </c>
      <c r="J1766" s="99" t="s">
        <v>66</v>
      </c>
      <c r="K1766" s="5" t="s">
        <v>226</v>
      </c>
      <c r="L1766" t="str">
        <f t="shared" si="30"/>
        <v>daltonbrewer3@hotmail.com</v>
      </c>
    </row>
    <row r="1767" spans="1:12">
      <c r="A1767" t="str" cm="1">
        <f t="array" ref="A1767">_xlfn.LET(_xlpm.e,L1767,
IF(_xlpm.e="","",
"DOC-"&amp;TEXT(ROW()-ROW(tblMaster[#Headers]),"00000")
))</f>
        <v>DOC-01766</v>
      </c>
      <c r="B1767" s="36"/>
      <c r="C1767" s="116" t="s">
        <v>102</v>
      </c>
      <c r="D1767" s="116" t="s">
        <v>1258</v>
      </c>
      <c r="E1767" s="96" t="s">
        <v>6746</v>
      </c>
      <c r="F1767" s="116" t="s">
        <v>6747</v>
      </c>
      <c r="G1767" s="117"/>
      <c r="I1767" s="17" t="s">
        <v>5679</v>
      </c>
      <c r="J1767" s="99" t="s">
        <v>194</v>
      </c>
      <c r="K1767" s="5" t="s">
        <v>226</v>
      </c>
      <c r="L1767" t="str">
        <f t="shared" si="30"/>
        <v>luiscanton128@icloud.com</v>
      </c>
    </row>
    <row r="1768" spans="1:12">
      <c r="A1768" t="str" cm="1">
        <f t="array" ref="A1768">_xlfn.LET(_xlpm.e,L1768,
IF(_xlpm.e="","",
"DOC-"&amp;TEXT(ROW()-ROW(tblMaster[#Headers]),"00000")
))</f>
        <v>DOC-01767</v>
      </c>
      <c r="B1768" s="47">
        <v>45678</v>
      </c>
      <c r="C1768" s="36" t="s">
        <v>6748</v>
      </c>
      <c r="D1768" s="36" t="s">
        <v>287</v>
      </c>
      <c r="E1768" s="77" t="s">
        <v>6749</v>
      </c>
      <c r="F1768" s="36" t="s">
        <v>6750</v>
      </c>
      <c r="G1768"/>
      <c r="I1768" s="17" t="s">
        <v>5679</v>
      </c>
      <c r="J1768" s="99" t="s">
        <v>66</v>
      </c>
      <c r="K1768" s="5" t="s">
        <v>226</v>
      </c>
      <c r="L1768" t="str">
        <f t="shared" si="30"/>
        <v>yatiragonzalez@gmail.com</v>
      </c>
    </row>
    <row r="1769" spans="1:12">
      <c r="A1769" t="str" cm="1">
        <f t="array" ref="A1769">_xlfn.LET(_xlpm.e,L1769,
IF(_xlpm.e="","",
"DOC-"&amp;TEXT(ROW()-ROW(tblMaster[#Headers]),"00000")
))</f>
        <v>DOC-01768</v>
      </c>
      <c r="B1769" s="47">
        <v>45819</v>
      </c>
      <c r="C1769" s="36" t="s">
        <v>6751</v>
      </c>
      <c r="D1769" s="36" t="s">
        <v>6752</v>
      </c>
      <c r="E1769" s="77" t="s">
        <v>6753</v>
      </c>
      <c r="F1769" s="36" t="s">
        <v>6754</v>
      </c>
      <c r="G1769"/>
      <c r="I1769" s="17" t="s">
        <v>5679</v>
      </c>
      <c r="J1769" s="99" t="s">
        <v>66</v>
      </c>
      <c r="K1769" s="5" t="s">
        <v>226</v>
      </c>
      <c r="L1769" t="str">
        <f t="shared" si="30"/>
        <v>duevaughnh@gmail.com</v>
      </c>
    </row>
    <row r="1770" spans="1:12">
      <c r="A1770" t="str" cm="1">
        <f t="array" ref="A1770">_xlfn.LET(_xlpm.e,L1770,
IF(_xlpm.e="","",
"DOC-"&amp;TEXT(ROW()-ROW(tblMaster[#Headers]),"00000")
))</f>
        <v>DOC-01769</v>
      </c>
      <c r="B1770" s="47">
        <v>45673</v>
      </c>
      <c r="C1770" s="36" t="s">
        <v>6755</v>
      </c>
      <c r="D1770" s="36" t="s">
        <v>6756</v>
      </c>
      <c r="E1770" s="77" t="s">
        <v>6757</v>
      </c>
      <c r="F1770" s="36" t="s">
        <v>6758</v>
      </c>
      <c r="G1770"/>
      <c r="I1770" s="17" t="s">
        <v>5679</v>
      </c>
      <c r="J1770" s="99" t="s">
        <v>194</v>
      </c>
      <c r="K1770" s="5" t="s">
        <v>226</v>
      </c>
      <c r="L1770" t="str">
        <f t="shared" si="30"/>
        <v>lemosmartin6524@gmail.com</v>
      </c>
    </row>
    <row r="1771" spans="1:12">
      <c r="A1771" t="str" cm="1">
        <f t="array" ref="A1771">_xlfn.LET(_xlpm.e,L1771,
IF(_xlpm.e="","",
"DOC-"&amp;TEXT(ROW()-ROW(tblMaster[#Headers]),"00000")
))</f>
        <v>DOC-01770</v>
      </c>
      <c r="B1771" s="47">
        <v>45684</v>
      </c>
      <c r="C1771" s="36" t="s">
        <v>6759</v>
      </c>
      <c r="D1771" s="36" t="s">
        <v>4993</v>
      </c>
      <c r="E1771" s="77" t="s">
        <v>6760</v>
      </c>
      <c r="F1771" s="36" t="s">
        <v>6761</v>
      </c>
      <c r="G1771"/>
      <c r="I1771" s="17" t="s">
        <v>5679</v>
      </c>
      <c r="J1771" s="99" t="s">
        <v>194</v>
      </c>
      <c r="K1771" s="5" t="s">
        <v>226</v>
      </c>
      <c r="L1771" t="str">
        <f t="shared" si="30"/>
        <v>padovaniknoll@gmail.com</v>
      </c>
    </row>
    <row r="1772" spans="1:12">
      <c r="A1772" t="str" cm="1">
        <f t="array" ref="A1772">_xlfn.LET(_xlpm.e,L1772,
IF(_xlpm.e="","",
"DOC-"&amp;TEXT(ROW()-ROW(tblMaster[#Headers]),"00000")
))</f>
        <v>DOC-01771</v>
      </c>
      <c r="B1772" s="47">
        <v>45709</v>
      </c>
      <c r="C1772" s="36" t="s">
        <v>6762</v>
      </c>
      <c r="D1772" s="36" t="s">
        <v>6763</v>
      </c>
      <c r="E1772" s="77" t="s">
        <v>6764</v>
      </c>
      <c r="F1772" s="36" t="s">
        <v>6765</v>
      </c>
      <c r="G1772"/>
      <c r="I1772" s="17" t="s">
        <v>5679</v>
      </c>
      <c r="J1772" s="99" t="s">
        <v>194</v>
      </c>
      <c r="K1772" s="5" t="s">
        <v>226</v>
      </c>
      <c r="L1772" t="str">
        <f t="shared" si="30"/>
        <v>christian.smith41@yahoo.com</v>
      </c>
    </row>
    <row r="1773" spans="1:12">
      <c r="A1773" t="str" cm="1">
        <f t="array" ref="A1773">_xlfn.LET(_xlpm.e,L1773,
IF(_xlpm.e="","",
"DOC-"&amp;TEXT(ROW()-ROW(tblMaster[#Headers]),"00000")
))</f>
        <v>DOC-01772</v>
      </c>
      <c r="B1773" s="47">
        <v>45709</v>
      </c>
      <c r="C1773" s="36" t="s">
        <v>6766</v>
      </c>
      <c r="D1773" s="36" t="s">
        <v>6767</v>
      </c>
      <c r="E1773" s="77" t="s">
        <v>6768</v>
      </c>
      <c r="F1773" s="36" t="s">
        <v>6769</v>
      </c>
      <c r="G1773"/>
      <c r="I1773" s="17" t="s">
        <v>5679</v>
      </c>
      <c r="J1773" s="99" t="s">
        <v>194</v>
      </c>
      <c r="K1773" s="5" t="s">
        <v>226</v>
      </c>
      <c r="L1773" t="str">
        <f t="shared" si="30"/>
        <v>dennisdagoumas@gmail.com</v>
      </c>
    </row>
    <row r="1774" spans="1:12">
      <c r="A1774" t="str" cm="1">
        <f t="array" ref="A1774">_xlfn.LET(_xlpm.e,L1774,
IF(_xlpm.e="","",
"DOC-"&amp;TEXT(ROW()-ROW(tblMaster[#Headers]),"00000")
))</f>
        <v>DOC-01773</v>
      </c>
      <c r="B1774" s="47">
        <v>45708</v>
      </c>
      <c r="C1774" s="36" t="s">
        <v>3112</v>
      </c>
      <c r="D1774" s="36" t="s">
        <v>6134</v>
      </c>
      <c r="E1774" s="77" t="s">
        <v>6770</v>
      </c>
      <c r="F1774" s="36" t="s">
        <v>6136</v>
      </c>
      <c r="G1774"/>
      <c r="I1774" s="17" t="s">
        <v>5679</v>
      </c>
      <c r="J1774" s="99" t="s">
        <v>194</v>
      </c>
      <c r="K1774" s="5" t="s">
        <v>226</v>
      </c>
      <c r="L1774" t="str">
        <f t="shared" si="30"/>
        <v>dayter1985@gmail.com</v>
      </c>
    </row>
    <row r="1775" spans="1:12">
      <c r="A1775" t="str" cm="1">
        <f t="array" ref="A1775">_xlfn.LET(_xlpm.e,L1775,
IF(_xlpm.e="","",
"DOC-"&amp;TEXT(ROW()-ROW(tblMaster[#Headers]),"00000")
))</f>
        <v>DOC-01774</v>
      </c>
      <c r="B1775" s="47">
        <v>45707</v>
      </c>
      <c r="C1775" s="36" t="s">
        <v>6771</v>
      </c>
      <c r="D1775" s="36" t="s">
        <v>6772</v>
      </c>
      <c r="E1775" s="77" t="s">
        <v>6773</v>
      </c>
      <c r="F1775" s="36" t="s">
        <v>6774</v>
      </c>
      <c r="G1775"/>
      <c r="I1775" s="17" t="s">
        <v>5679</v>
      </c>
      <c r="J1775" s="99" t="s">
        <v>66</v>
      </c>
      <c r="K1775" s="5" t="s">
        <v>226</v>
      </c>
      <c r="L1775" t="str">
        <f t="shared" si="30"/>
        <v>felixfrias111@gmail.com</v>
      </c>
    </row>
    <row r="1776" spans="1:12">
      <c r="A1776" t="str" cm="1">
        <f t="array" ref="A1776">_xlfn.LET(_xlpm.e,L1776,
IF(_xlpm.e="","",
"DOC-"&amp;TEXT(ROW()-ROW(tblMaster[#Headers]),"00000")
))</f>
        <v>DOC-01775</v>
      </c>
      <c r="B1776" s="47">
        <v>45709</v>
      </c>
      <c r="C1776" s="36" t="s">
        <v>6037</v>
      </c>
      <c r="D1776" s="36" t="s">
        <v>6775</v>
      </c>
      <c r="E1776" s="77" t="s">
        <v>6776</v>
      </c>
      <c r="F1776" s="36" t="s">
        <v>6777</v>
      </c>
      <c r="G1776"/>
      <c r="I1776" s="17" t="s">
        <v>5679</v>
      </c>
      <c r="J1776" s="99" t="s">
        <v>194</v>
      </c>
      <c r="K1776" s="5" t="s">
        <v>226</v>
      </c>
      <c r="L1776" t="str">
        <f t="shared" si="30"/>
        <v>nelvinmedina88@gmail.com</v>
      </c>
    </row>
    <row r="1777" spans="1:12">
      <c r="A1777" t="str" cm="1">
        <f t="array" ref="A1777">_xlfn.LET(_xlpm.e,L1777,
IF(_xlpm.e="","",
"DOC-"&amp;TEXT(ROW()-ROW(tblMaster[#Headers]),"00000")
))</f>
        <v>DOC-01776</v>
      </c>
      <c r="B1777" s="47">
        <v>45749</v>
      </c>
      <c r="C1777" s="36" t="s">
        <v>6778</v>
      </c>
      <c r="D1777" s="36" t="s">
        <v>6779</v>
      </c>
      <c r="E1777" s="77" t="s">
        <v>6780</v>
      </c>
      <c r="F1777" s="36" t="s">
        <v>6781</v>
      </c>
      <c r="G1777"/>
      <c r="I1777" s="17" t="s">
        <v>5679</v>
      </c>
      <c r="J1777" s="99" t="s">
        <v>66</v>
      </c>
      <c r="K1777" s="5" t="s">
        <v>226</v>
      </c>
      <c r="L1777" t="str">
        <f t="shared" si="30"/>
        <v>adjeteysowa.na@gmail.com</v>
      </c>
    </row>
    <row r="1778" spans="1:12">
      <c r="A1778" t="str" cm="1">
        <f t="array" ref="A1778">_xlfn.LET(_xlpm.e,L1778,
IF(_xlpm.e="","",
"DOC-"&amp;TEXT(ROW()-ROW(tblMaster[#Headers]),"00000")
))</f>
        <v>DOC-01777</v>
      </c>
      <c r="B1778" s="47">
        <v>45600</v>
      </c>
      <c r="C1778" s="36" t="s">
        <v>3411</v>
      </c>
      <c r="D1778" s="36" t="s">
        <v>6782</v>
      </c>
      <c r="E1778" s="77" t="s">
        <v>6783</v>
      </c>
      <c r="F1778" s="36" t="s">
        <v>6784</v>
      </c>
      <c r="G1778"/>
      <c r="I1778" s="17" t="s">
        <v>5679</v>
      </c>
      <c r="J1778" s="99" t="s">
        <v>66</v>
      </c>
      <c r="K1778" s="5" t="s">
        <v>226</v>
      </c>
      <c r="L1778" t="str">
        <f t="shared" si="30"/>
        <v>abeauzile@miltonps.org</v>
      </c>
    </row>
    <row r="1779" spans="1:12" ht="15.75">
      <c r="A1779" t="str" cm="1">
        <f t="array" ref="A1779">_xlfn.LET(_xlpm.e,L1779,
IF(_xlpm.e="","",
"DOC-"&amp;TEXT(ROW()-ROW(tblMaster[#Headers]),"00000")
))</f>
        <v>DOC-01778</v>
      </c>
      <c r="B1779" s="47">
        <v>45713</v>
      </c>
      <c r="C1779" s="59" t="s">
        <v>6785</v>
      </c>
      <c r="D1779" s="59" t="s">
        <v>6786</v>
      </c>
      <c r="E1779" s="59" t="s">
        <v>6787</v>
      </c>
      <c r="F1779" s="59" t="s">
        <v>6788</v>
      </c>
      <c r="G1779"/>
      <c r="I1779" s="17" t="s">
        <v>5679</v>
      </c>
      <c r="J1779" s="99" t="s">
        <v>194</v>
      </c>
      <c r="K1779" s="5" t="s">
        <v>226</v>
      </c>
      <c r="L1779" t="str">
        <f t="shared" si="30"/>
        <v>ehshanti99@yahoo.com</v>
      </c>
    </row>
    <row r="1780" spans="1:12">
      <c r="A1780" t="str" cm="1">
        <f t="array" ref="A1780">_xlfn.LET(_xlpm.e,L1780,
IF(_xlpm.e="","",
"DOC-"&amp;TEXT(ROW()-ROW(tblMaster[#Headers]),"00000")
))</f>
        <v>DOC-01779</v>
      </c>
      <c r="B1780" s="47">
        <v>45783</v>
      </c>
      <c r="C1780" s="36" t="s">
        <v>838</v>
      </c>
      <c r="D1780" s="36" t="s">
        <v>6789</v>
      </c>
      <c r="E1780" s="77" t="s">
        <v>6790</v>
      </c>
      <c r="F1780" s="36" t="s">
        <v>6147</v>
      </c>
      <c r="G1780"/>
      <c r="I1780" s="17" t="s">
        <v>5679</v>
      </c>
      <c r="K1780" s="5" t="s">
        <v>226</v>
      </c>
      <c r="L1780" t="str">
        <f t="shared" si="30"/>
        <v>shaliacluis23@myyahoo.com</v>
      </c>
    </row>
    <row r="1781" spans="1:12" ht="15.75">
      <c r="A1781" t="str" cm="1">
        <f t="array" ref="A1781">_xlfn.LET(_xlpm.e,L1781,
IF(_xlpm.e="","",
"DOC-"&amp;TEXT(ROW()-ROW(tblMaster[#Headers]),"00000")
))</f>
        <v>DOC-01780</v>
      </c>
      <c r="B1781" s="47">
        <v>45713</v>
      </c>
      <c r="C1781" s="82" t="s">
        <v>1854</v>
      </c>
      <c r="D1781" s="82" t="s">
        <v>6791</v>
      </c>
      <c r="E1781" s="77" t="s">
        <v>6792</v>
      </c>
      <c r="F1781" s="82" t="s">
        <v>6793</v>
      </c>
      <c r="G1781"/>
      <c r="I1781" s="17" t="s">
        <v>5679</v>
      </c>
      <c r="J1781" s="99" t="s">
        <v>194</v>
      </c>
      <c r="K1781" s="5" t="s">
        <v>226</v>
      </c>
      <c r="L1781" t="str">
        <f t="shared" si="30"/>
        <v>yeseagulls@outlook.com</v>
      </c>
    </row>
    <row r="1782" spans="1:12" ht="15.75">
      <c r="A1782" t="str" cm="1">
        <f t="array" ref="A1782">_xlfn.LET(_xlpm.e,L1782,
IF(_xlpm.e="","",
"DOC-"&amp;TEXT(ROW()-ROW(tblMaster[#Headers]),"00000")
))</f>
        <v>DOC-01781</v>
      </c>
      <c r="B1782" s="47">
        <v>45772</v>
      </c>
      <c r="C1782" s="82" t="s">
        <v>6794</v>
      </c>
      <c r="D1782" s="36" t="s">
        <v>6795</v>
      </c>
      <c r="E1782" s="77" t="s">
        <v>6796</v>
      </c>
      <c r="F1782" s="82" t="s">
        <v>6797</v>
      </c>
      <c r="G1782"/>
      <c r="I1782" s="17" t="s">
        <v>5679</v>
      </c>
      <c r="J1782" s="99" t="s">
        <v>194</v>
      </c>
      <c r="K1782" s="5" t="s">
        <v>226</v>
      </c>
      <c r="L1782" t="str">
        <f t="shared" si="30"/>
        <v>elecce66@gmail.com</v>
      </c>
    </row>
    <row r="1783" spans="1:12" ht="15.75">
      <c r="A1783" t="str" cm="1">
        <f t="array" ref="A1783">_xlfn.LET(_xlpm.e,L1783,
IF(_xlpm.e="","",
"DOC-"&amp;TEXT(ROW()-ROW(tblMaster[#Headers]),"00000")
))</f>
        <v>DOC-01782</v>
      </c>
      <c r="B1783" s="47">
        <v>45708</v>
      </c>
      <c r="C1783" s="58" t="s">
        <v>6798</v>
      </c>
      <c r="D1783" s="36" t="s">
        <v>6799</v>
      </c>
      <c r="E1783" s="77" t="s">
        <v>6800</v>
      </c>
      <c r="F1783" s="36" t="s">
        <v>6801</v>
      </c>
      <c r="G1783"/>
      <c r="I1783" s="17" t="s">
        <v>5679</v>
      </c>
      <c r="J1783" s="99" t="s">
        <v>66</v>
      </c>
      <c r="K1783" s="5" t="s">
        <v>226</v>
      </c>
      <c r="L1783" t="str">
        <f t="shared" si="30"/>
        <v>kven243@gmail.com</v>
      </c>
    </row>
    <row r="1784" spans="1:12">
      <c r="A1784" t="str" cm="1">
        <f t="array" ref="A1784">_xlfn.LET(_xlpm.e,L1784,
IF(_xlpm.e="","",
"DOC-"&amp;TEXT(ROW()-ROW(tblMaster[#Headers]),"00000")
))</f>
        <v>DOC-01783</v>
      </c>
      <c r="B1784" s="47">
        <v>45798</v>
      </c>
      <c r="C1784" s="36" t="s">
        <v>6802</v>
      </c>
      <c r="D1784" s="36" t="s">
        <v>1790</v>
      </c>
      <c r="E1784" s="77" t="s">
        <v>6803</v>
      </c>
      <c r="F1784" s="36" t="s">
        <v>6804</v>
      </c>
      <c r="G1784"/>
      <c r="I1784" s="17" t="s">
        <v>5679</v>
      </c>
      <c r="K1784" s="5" t="s">
        <v>226</v>
      </c>
      <c r="L1784" t="str">
        <f t="shared" si="30"/>
        <v>jeff.paul1987@gmail.com</v>
      </c>
    </row>
    <row r="1785" spans="1:12">
      <c r="A1785" t="str" cm="1">
        <f t="array" ref="A1785">_xlfn.LET(_xlpm.e,L1785,
IF(_xlpm.e="","",
"DOC-"&amp;TEXT(ROW()-ROW(tblMaster[#Headers]),"00000")
))</f>
        <v>DOC-01784</v>
      </c>
      <c r="B1785" s="47">
        <v>45628</v>
      </c>
      <c r="C1785" s="36" t="s">
        <v>2468</v>
      </c>
      <c r="D1785" s="36" t="s">
        <v>6805</v>
      </c>
      <c r="E1785" s="77" t="s">
        <v>6806</v>
      </c>
      <c r="F1785" s="36" t="s">
        <v>6807</v>
      </c>
      <c r="G1785"/>
      <c r="I1785" s="17" t="s">
        <v>5679</v>
      </c>
      <c r="J1785" s="99" t="s">
        <v>66</v>
      </c>
      <c r="K1785" s="5" t="s">
        <v>226</v>
      </c>
      <c r="L1785" t="str">
        <f t="shared" si="30"/>
        <v>erauh1217@gmail.com</v>
      </c>
    </row>
    <row r="1786" spans="1:12">
      <c r="A1786" t="str" cm="1">
        <f t="array" ref="A1786">_xlfn.LET(_xlpm.e,L1786,
IF(_xlpm.e="","",
"DOC-"&amp;TEXT(ROW()-ROW(tblMaster[#Headers]),"00000")
))</f>
        <v>DOC-01785</v>
      </c>
      <c r="B1786" s="47">
        <v>45709</v>
      </c>
      <c r="C1786" s="36" t="s">
        <v>6808</v>
      </c>
      <c r="D1786" s="36" t="s">
        <v>897</v>
      </c>
      <c r="E1786" s="77" t="s">
        <v>6809</v>
      </c>
      <c r="F1786" s="36" t="s">
        <v>6810</v>
      </c>
      <c r="G1786"/>
      <c r="I1786" s="17" t="s">
        <v>5679</v>
      </c>
      <c r="J1786" s="99" t="s">
        <v>66</v>
      </c>
      <c r="K1786" s="5" t="s">
        <v>226</v>
      </c>
      <c r="L1786" t="str">
        <f t="shared" si="30"/>
        <v>jzr630@gmail.com</v>
      </c>
    </row>
    <row r="1787" spans="1:12">
      <c r="A1787" t="str" cm="1">
        <f t="array" ref="A1787">_xlfn.LET(_xlpm.e,L1787,
IF(_xlpm.e="","",
"DOC-"&amp;TEXT(ROW()-ROW(tblMaster[#Headers]),"00000")
))</f>
        <v>DOC-01786</v>
      </c>
      <c r="B1787" s="47">
        <v>45629</v>
      </c>
      <c r="C1787" s="36" t="s">
        <v>434</v>
      </c>
      <c r="D1787" s="36" t="s">
        <v>6811</v>
      </c>
      <c r="E1787" s="77" t="s">
        <v>6812</v>
      </c>
      <c r="F1787" s="36" t="s">
        <v>6813</v>
      </c>
      <c r="G1787"/>
      <c r="I1787" s="17" t="s">
        <v>5679</v>
      </c>
      <c r="J1787" s="99" t="s">
        <v>66</v>
      </c>
      <c r="K1787" s="5" t="s">
        <v>226</v>
      </c>
      <c r="L1787" t="str">
        <f t="shared" si="30"/>
        <v>roodysainvil@gmail.com</v>
      </c>
    </row>
    <row r="1788" spans="1:12">
      <c r="A1788" t="str" cm="1">
        <f t="array" ref="A1788">_xlfn.LET(_xlpm.e,L1788,
IF(_xlpm.e="","",
"DOC-"&amp;TEXT(ROW()-ROW(tblMaster[#Headers]),"00000")
))</f>
        <v/>
      </c>
      <c r="B1788" s="47">
        <v>45856</v>
      </c>
      <c r="C1788" s="36" t="s">
        <v>6814</v>
      </c>
      <c r="D1788" s="36" t="s">
        <v>6815</v>
      </c>
      <c r="F1788" s="36" t="s">
        <v>6816</v>
      </c>
      <c r="G1788"/>
      <c r="I1788" s="17" t="s">
        <v>5679</v>
      </c>
      <c r="K1788" s="5" t="s">
        <v>226</v>
      </c>
      <c r="L1788" t="str">
        <f t="shared" si="30"/>
        <v/>
      </c>
    </row>
    <row r="1789" spans="1:12">
      <c r="A1789" t="str" cm="1">
        <f t="array" ref="A1789">_xlfn.LET(_xlpm.e,L1789,
IF(_xlpm.e="","",
"DOC-"&amp;TEXT(ROW()-ROW(tblMaster[#Headers]),"00000")
))</f>
        <v>DOC-01788</v>
      </c>
      <c r="B1789" s="47">
        <v>45840</v>
      </c>
      <c r="C1789" s="36" t="s">
        <v>6817</v>
      </c>
      <c r="D1789" s="36" t="s">
        <v>6818</v>
      </c>
      <c r="E1789" s="77" t="s">
        <v>6819</v>
      </c>
      <c r="F1789" s="36" t="s">
        <v>6820</v>
      </c>
      <c r="G1789"/>
      <c r="I1789" s="17" t="s">
        <v>5679</v>
      </c>
      <c r="J1789" s="99" t="s">
        <v>497</v>
      </c>
      <c r="K1789" s="5" t="s">
        <v>226</v>
      </c>
      <c r="L1789" t="str">
        <f t="shared" si="30"/>
        <v>stnlgustave@gmail.com</v>
      </c>
    </row>
    <row r="1790" spans="1:12" ht="15.75">
      <c r="A1790" t="str" cm="1">
        <f t="array" ref="A1790">_xlfn.LET(_xlpm.e,L1790,
IF(_xlpm.e="","",
"DOC-"&amp;TEXT(ROW()-ROW(tblMaster[#Headers]),"00000")
))</f>
        <v>DOC-01789</v>
      </c>
      <c r="B1790" s="47">
        <v>45831</v>
      </c>
      <c r="C1790" s="36" t="s">
        <v>1689</v>
      </c>
      <c r="D1790" s="36" t="s">
        <v>6821</v>
      </c>
      <c r="E1790" s="77" t="s">
        <v>6822</v>
      </c>
      <c r="F1790" s="58" t="s">
        <v>6823</v>
      </c>
      <c r="G1790"/>
      <c r="I1790" s="17" t="s">
        <v>5679</v>
      </c>
      <c r="J1790" s="99" t="s">
        <v>66</v>
      </c>
      <c r="K1790" s="5" t="s">
        <v>226</v>
      </c>
      <c r="L1790" t="str">
        <f t="shared" si="30"/>
        <v>slashua@comcast.net</v>
      </c>
    </row>
    <row r="1791" spans="1:12">
      <c r="A1791" t="str" cm="1">
        <f t="array" ref="A1791">_xlfn.LET(_xlpm.e,L1791,
IF(_xlpm.e="","",
"DOC-"&amp;TEXT(ROW()-ROW(tblMaster[#Headers]),"00000")
))</f>
        <v>DOC-01790</v>
      </c>
      <c r="B1791" s="47">
        <v>45627</v>
      </c>
      <c r="C1791" s="36" t="s">
        <v>3065</v>
      </c>
      <c r="D1791" s="36" t="s">
        <v>6824</v>
      </c>
      <c r="E1791" s="77" t="s">
        <v>6825</v>
      </c>
      <c r="F1791" s="36" t="s">
        <v>6826</v>
      </c>
      <c r="G1791"/>
      <c r="I1791" s="17" t="s">
        <v>5679</v>
      </c>
      <c r="J1791" s="99" t="s">
        <v>66</v>
      </c>
      <c r="K1791" s="5" t="s">
        <v>226</v>
      </c>
      <c r="L1791" t="str">
        <f t="shared" si="30"/>
        <v>ruthgolds76@gmail.com</v>
      </c>
    </row>
    <row r="1792" spans="1:12">
      <c r="A1792" t="str" cm="1">
        <f t="array" ref="A1792">_xlfn.LET(_xlpm.e,L1792,
IF(_xlpm.e="","",
"DOC-"&amp;TEXT(ROW()-ROW(tblMaster[#Headers]),"00000")
))</f>
        <v>DOC-01791</v>
      </c>
      <c r="B1792" s="47">
        <v>45646</v>
      </c>
      <c r="C1792" s="36" t="s">
        <v>6827</v>
      </c>
      <c r="D1792" s="36" t="s">
        <v>2668</v>
      </c>
      <c r="E1792" s="77" t="s">
        <v>6828</v>
      </c>
      <c r="F1792" s="36" t="s">
        <v>6829</v>
      </c>
      <c r="G1792"/>
      <c r="I1792" s="17" t="s">
        <v>5679</v>
      </c>
      <c r="J1792" s="99" t="s">
        <v>66</v>
      </c>
      <c r="K1792" s="5" t="s">
        <v>226</v>
      </c>
      <c r="L1792" t="str">
        <f t="shared" si="30"/>
        <v>dariuswhite85@yahoo.com</v>
      </c>
    </row>
    <row r="1793" spans="1:12">
      <c r="A1793" t="str" cm="1">
        <f t="array" ref="A1793">_xlfn.LET(_xlpm.e,L1793,
IF(_xlpm.e="","",
"DOC-"&amp;TEXT(ROW()-ROW(tblMaster[#Headers]),"00000")
))</f>
        <v>DOC-01792</v>
      </c>
      <c r="B1793" s="47">
        <v>45881</v>
      </c>
      <c r="C1793" s="36" t="s">
        <v>3240</v>
      </c>
      <c r="D1793" s="36" t="s">
        <v>6830</v>
      </c>
      <c r="E1793" s="77" t="s">
        <v>3241</v>
      </c>
      <c r="F1793" s="36" t="s">
        <v>3242</v>
      </c>
      <c r="G1793"/>
      <c r="I1793" s="17" t="s">
        <v>5679</v>
      </c>
      <c r="J1793" s="99" t="s">
        <v>66</v>
      </c>
      <c r="K1793" s="5" t="s">
        <v>226</v>
      </c>
      <c r="L1793" t="str">
        <f t="shared" si="30"/>
        <v>rositta85@gmail.com</v>
      </c>
    </row>
    <row r="1794" spans="1:12">
      <c r="A1794" t="str" cm="1">
        <f t="array" ref="A1794">_xlfn.LET(_xlpm.e,L1794,
IF(_xlpm.e="","",
"DOC-"&amp;TEXT(ROW()-ROW(tblMaster[#Headers]),"00000")
))</f>
        <v>DOC-01793</v>
      </c>
      <c r="B1794" s="47">
        <v>45940</v>
      </c>
      <c r="C1794" s="56" t="s">
        <v>4044</v>
      </c>
      <c r="D1794" s="56" t="s">
        <v>4045</v>
      </c>
      <c r="E1794" s="46" t="s">
        <v>4046</v>
      </c>
      <c r="F1794" s="118" t="s">
        <v>4047</v>
      </c>
      <c r="G1794"/>
      <c r="I1794" s="17" t="s">
        <v>5679</v>
      </c>
      <c r="K1794" s="5" t="s">
        <v>226</v>
      </c>
      <c r="L1794" t="str">
        <f t="shared" si="30"/>
        <v>yuls52012@icloud.com</v>
      </c>
    </row>
    <row r="1795" spans="1:12">
      <c r="A1795" t="str" cm="1">
        <f t="array" ref="A1795">_xlfn.LET(_xlpm.e,L1795,
IF(_xlpm.e="","",
"DOC-"&amp;TEXT(ROW()-ROW(tblMaster[#Headers]),"00000")
))</f>
        <v>DOC-01794</v>
      </c>
      <c r="B1795" s="47">
        <v>45737</v>
      </c>
      <c r="C1795" s="36" t="s">
        <v>1057</v>
      </c>
      <c r="D1795" s="36" t="s">
        <v>6831</v>
      </c>
      <c r="E1795" s="77" t="s">
        <v>6832</v>
      </c>
      <c r="F1795" s="36" t="s">
        <v>6833</v>
      </c>
      <c r="G1795"/>
      <c r="I1795" s="17" t="s">
        <v>5679</v>
      </c>
      <c r="J1795" s="99" t="s">
        <v>194</v>
      </c>
      <c r="K1795" s="5" t="s">
        <v>226</v>
      </c>
      <c r="L1795" t="str">
        <f t="shared" si="30"/>
        <v>jennabeanmarie@gmail.com</v>
      </c>
    </row>
    <row r="1796" spans="1:12">
      <c r="A1796" t="str" cm="1">
        <f t="array" ref="A1796">_xlfn.LET(_xlpm.e,L1796,
IF(_xlpm.e="","",
"DOC-"&amp;TEXT(ROW()-ROW(tblMaster[#Headers]),"00000")
))</f>
        <v>DOC-01795</v>
      </c>
      <c r="B1796" s="47">
        <v>45612</v>
      </c>
      <c r="C1796" s="36" t="s">
        <v>6834</v>
      </c>
      <c r="D1796" s="36" t="s">
        <v>6835</v>
      </c>
      <c r="E1796" s="77" t="s">
        <v>6836</v>
      </c>
      <c r="F1796" s="36" t="s">
        <v>6837</v>
      </c>
      <c r="G1796"/>
      <c r="I1796" s="17" t="s">
        <v>5679</v>
      </c>
      <c r="J1796" s="99" t="s">
        <v>66</v>
      </c>
      <c r="K1796" s="5" t="s">
        <v>226</v>
      </c>
      <c r="L1796" t="str">
        <f t="shared" si="30"/>
        <v>p_paulausa@hotmail.com</v>
      </c>
    </row>
    <row r="1797" spans="1:12">
      <c r="A1797" t="str" cm="1">
        <f t="array" ref="A1797">_xlfn.LET(_xlpm.e,L1797,
IF(_xlpm.e="","",
"DOC-"&amp;TEXT(ROW()-ROW(tblMaster[#Headers]),"00000")
))</f>
        <v>DOC-01796</v>
      </c>
      <c r="B1797" s="47">
        <v>45676</v>
      </c>
      <c r="C1797" s="36" t="s">
        <v>6838</v>
      </c>
      <c r="D1797" s="36" t="s">
        <v>98</v>
      </c>
      <c r="E1797" s="77" t="s">
        <v>6839</v>
      </c>
      <c r="F1797" s="36" t="s">
        <v>6840</v>
      </c>
      <c r="G1797"/>
      <c r="I1797" s="17" t="s">
        <v>5679</v>
      </c>
      <c r="J1797" s="99" t="s">
        <v>66</v>
      </c>
      <c r="K1797" s="5" t="s">
        <v>226</v>
      </c>
      <c r="L1797" t="str">
        <f t="shared" si="30"/>
        <v>jaydenlee41304@icloud.com</v>
      </c>
    </row>
    <row r="1798" spans="1:12">
      <c r="A1798" t="str" cm="1">
        <f t="array" ref="A1798">_xlfn.LET(_xlpm.e,L1798,
IF(_xlpm.e="","",
"DOC-"&amp;TEXT(ROW()-ROW(tblMaster[#Headers]),"00000")
))</f>
        <v>DOC-01797</v>
      </c>
      <c r="B1798" s="47">
        <v>45849</v>
      </c>
      <c r="C1798" s="36" t="s">
        <v>6841</v>
      </c>
      <c r="D1798" s="36" t="s">
        <v>6842</v>
      </c>
      <c r="E1798" s="77" t="s">
        <v>6843</v>
      </c>
      <c r="F1798" s="36" t="s">
        <v>6844</v>
      </c>
      <c r="G1798"/>
      <c r="I1798" s="17" t="s">
        <v>5679</v>
      </c>
      <c r="J1798" s="99" t="s">
        <v>66</v>
      </c>
      <c r="K1798" s="5" t="s">
        <v>226</v>
      </c>
      <c r="L1798" t="str">
        <f t="shared" si="30"/>
        <v>jxhija14@gmail.com</v>
      </c>
    </row>
    <row r="1799" spans="1:12">
      <c r="A1799" t="str" cm="1">
        <f t="array" ref="A1799">_xlfn.LET(_xlpm.e,L1799,
IF(_xlpm.e="","",
"DOC-"&amp;TEXT(ROW()-ROW(tblMaster[#Headers]),"00000")
))</f>
        <v>DOC-01798</v>
      </c>
      <c r="B1799" s="47">
        <v>45679</v>
      </c>
      <c r="C1799" s="36" t="s">
        <v>1925</v>
      </c>
      <c r="D1799" s="36" t="s">
        <v>6845</v>
      </c>
      <c r="E1799" s="77" t="s">
        <v>6846</v>
      </c>
      <c r="F1799" s="86" t="s">
        <v>6847</v>
      </c>
      <c r="G1799"/>
      <c r="I1799" s="17" t="s">
        <v>5679</v>
      </c>
      <c r="J1799" s="99" t="s">
        <v>66</v>
      </c>
      <c r="K1799" s="5" t="s">
        <v>226</v>
      </c>
      <c r="L1799" t="str">
        <f t="shared" si="30"/>
        <v>racingtntmx@aol.com</v>
      </c>
    </row>
    <row r="1800" spans="1:12">
      <c r="A1800" t="str" cm="1">
        <f t="array" ref="A1800">_xlfn.LET(_xlpm.e,L1800,
IF(_xlpm.e="","",
"DOC-"&amp;TEXT(ROW()-ROW(tblMaster[#Headers]),"00000")
))</f>
        <v>DOC-01799</v>
      </c>
      <c r="B1800" s="47">
        <v>45708</v>
      </c>
      <c r="C1800" s="36" t="s">
        <v>6848</v>
      </c>
      <c r="D1800" s="36" t="s">
        <v>6849</v>
      </c>
      <c r="E1800" s="77" t="s">
        <v>6850</v>
      </c>
      <c r="F1800" s="36" t="s">
        <v>6851</v>
      </c>
      <c r="G1800"/>
      <c r="I1800" s="17" t="s">
        <v>5679</v>
      </c>
      <c r="J1800" s="99" t="s">
        <v>194</v>
      </c>
      <c r="K1800" s="5" t="s">
        <v>226</v>
      </c>
      <c r="L1800" t="str">
        <f t="shared" si="30"/>
        <v>elizatripp01@gmail.com</v>
      </c>
    </row>
    <row r="1801" spans="1:12">
      <c r="A1801" t="str" cm="1">
        <f t="array" ref="A1801">_xlfn.LET(_xlpm.e,L1801,
IF(_xlpm.e="","",
"DOC-"&amp;TEXT(ROW()-ROW(tblMaster[#Headers]),"00000")
))</f>
        <v>DOC-01800</v>
      </c>
      <c r="B1801" s="51">
        <v>45957</v>
      </c>
      <c r="C1801" s="91" t="s">
        <v>2984</v>
      </c>
      <c r="D1801" s="36" t="s">
        <v>6852</v>
      </c>
      <c r="E1801" s="97" t="s">
        <v>6853</v>
      </c>
      <c r="F1801" s="36" t="s">
        <v>6854</v>
      </c>
      <c r="I1801" s="17" t="s">
        <v>5679</v>
      </c>
      <c r="J1801" s="99" t="s">
        <v>66</v>
      </c>
      <c r="K1801" s="5" t="s">
        <v>226</v>
      </c>
      <c r="L1801" t="str">
        <f t="shared" si="30"/>
        <v>dudamaga2002@gmail.com</v>
      </c>
    </row>
    <row r="1802" spans="1:12">
      <c r="A1802" t="str" cm="1">
        <f t="array" ref="A1802">_xlfn.LET(_xlpm.e,L1802,
IF(_xlpm.e="","",
"DOC-"&amp;TEXT(ROW()-ROW(tblMaster[#Headers]),"00000")
))</f>
        <v>DOC-01801</v>
      </c>
      <c r="B1802" s="51">
        <v>45957</v>
      </c>
      <c r="C1802" s="34" t="s">
        <v>1544</v>
      </c>
      <c r="D1802" t="s">
        <v>6855</v>
      </c>
      <c r="E1802" s="128" t="s">
        <v>6856</v>
      </c>
      <c r="F1802" t="s">
        <v>6857</v>
      </c>
      <c r="G1802"/>
      <c r="I1802" s="17" t="s">
        <v>5679</v>
      </c>
      <c r="J1802" s="99" t="s">
        <v>560</v>
      </c>
      <c r="K1802" s="5" t="s">
        <v>226</v>
      </c>
      <c r="L1802" t="str">
        <f t="shared" si="30"/>
        <v>pean1226@yahoo.fr</v>
      </c>
    </row>
    <row r="1803" spans="1:12">
      <c r="A1803" t="str" cm="1">
        <f t="array" ref="A1803">_xlfn.LET(_xlpm.e,L1803,
IF(_xlpm.e="","",
"DOC-"&amp;TEXT(ROW()-ROW(tblMaster[#Headers]),"00000")
))</f>
        <v>DOC-01802</v>
      </c>
      <c r="B1803" s="51">
        <v>45957</v>
      </c>
      <c r="C1803" s="129" t="s">
        <v>6858</v>
      </c>
      <c r="D1803" t="s">
        <v>6859</v>
      </c>
      <c r="E1803" s="130" t="s">
        <v>6860</v>
      </c>
      <c r="F1803" t="s">
        <v>6861</v>
      </c>
      <c r="G1803"/>
      <c r="I1803" s="17" t="s">
        <v>5679</v>
      </c>
      <c r="J1803" s="99" t="s">
        <v>560</v>
      </c>
      <c r="K1803" s="5" t="s">
        <v>226</v>
      </c>
      <c r="L1803" t="str">
        <f t="shared" si="30"/>
        <v>jesus.r.moreta@gmail.com</v>
      </c>
    </row>
    <row r="1804" spans="1:12">
      <c r="A1804" t="str" cm="1">
        <f t="array" ref="A1804">_xlfn.LET(_xlpm.e,L1804,
IF(_xlpm.e="","",
"DOC-"&amp;TEXT(ROW()-ROW(tblMaster[#Headers]),"00000")
))</f>
        <v>DOC-01803</v>
      </c>
      <c r="B1804" s="51">
        <v>45957</v>
      </c>
      <c r="C1804" s="129" t="s">
        <v>2604</v>
      </c>
      <c r="D1804" t="s">
        <v>2605</v>
      </c>
      <c r="E1804" s="128" t="s">
        <v>6862</v>
      </c>
      <c r="F1804" t="s">
        <v>6863</v>
      </c>
      <c r="G1804"/>
      <c r="I1804" s="17" t="s">
        <v>5679</v>
      </c>
      <c r="J1804" s="99" t="s">
        <v>560</v>
      </c>
      <c r="K1804" s="5" t="s">
        <v>226</v>
      </c>
      <c r="L1804" t="str">
        <f t="shared" si="30"/>
        <v>anferadames1305@gmail.com</v>
      </c>
    </row>
    <row r="1805" spans="1:12">
      <c r="A1805" t="str" cm="1">
        <f t="array" ref="A1805">_xlfn.LET(_xlpm.e,L1805,
IF(_xlpm.e="","",
"DOC-"&amp;TEXT(ROW()-ROW(tblMaster[#Headers]),"00000")
))</f>
        <v>DOC-01804</v>
      </c>
      <c r="B1805" s="51">
        <v>45957</v>
      </c>
      <c r="C1805" s="91" t="s">
        <v>2656</v>
      </c>
      <c r="D1805" s="36" t="s">
        <v>1900</v>
      </c>
      <c r="E1805" s="98" t="s">
        <v>6864</v>
      </c>
      <c r="F1805" s="36" t="s">
        <v>6865</v>
      </c>
      <c r="I1805" s="17" t="s">
        <v>5679</v>
      </c>
      <c r="J1805" s="99" t="s">
        <v>118</v>
      </c>
      <c r="K1805" s="5" t="s">
        <v>226</v>
      </c>
      <c r="L1805" t="str">
        <f t="shared" si="30"/>
        <v>smithjacey20@gmail.com</v>
      </c>
    </row>
    <row r="1806" spans="1:12">
      <c r="A1806" t="str" cm="1">
        <f t="array" ref="A1806">_xlfn.LET(_xlpm.e,L1806,
IF(_xlpm.e="","",
"DOC-"&amp;TEXT(ROW()-ROW(tblMaster[#Headers]),"00000")
))</f>
        <v>DOC-01805</v>
      </c>
      <c r="B1806" s="51">
        <v>45958</v>
      </c>
      <c r="C1806" s="56" t="s">
        <v>3435</v>
      </c>
      <c r="D1806" s="41" t="s">
        <v>6866</v>
      </c>
      <c r="E1806" s="77" t="s">
        <v>3437</v>
      </c>
      <c r="F1806" s="74" t="s">
        <v>3438</v>
      </c>
      <c r="I1806" s="17" t="s">
        <v>5679</v>
      </c>
      <c r="J1806" s="99" t="s">
        <v>118</v>
      </c>
      <c r="K1806" s="5" t="s">
        <v>226</v>
      </c>
      <c r="L1806" t="str">
        <f t="shared" si="30"/>
        <v>mauricio_peralta32@hotmail.com</v>
      </c>
    </row>
    <row r="1807" spans="1:12">
      <c r="A1807" t="str" cm="1">
        <f t="array" ref="A1807">_xlfn.LET(_xlpm.e,L1807,
IF(_xlpm.e="","",
"DOC-"&amp;TEXT(ROW()-ROW(tblMaster[#Headers]),"00000")
))</f>
        <v>DOC-01806</v>
      </c>
      <c r="B1807" s="51">
        <v>45958</v>
      </c>
      <c r="C1807" s="56" t="s">
        <v>3419</v>
      </c>
      <c r="D1807" s="41" t="s">
        <v>3420</v>
      </c>
      <c r="E1807" s="71" t="s">
        <v>3421</v>
      </c>
      <c r="F1807" s="74" t="s">
        <v>3422</v>
      </c>
      <c r="I1807" s="17" t="s">
        <v>5679</v>
      </c>
      <c r="K1807" s="5" t="s">
        <v>226</v>
      </c>
      <c r="L1807" t="str">
        <f t="shared" si="30"/>
        <v>gguardado@worcester.edu</v>
      </c>
    </row>
    <row r="1808" spans="1:12">
      <c r="A1808" t="str" cm="1">
        <f t="array" ref="A1808">_xlfn.LET(_xlpm.e,L1808,
IF(_xlpm.e="","",
"DOC-"&amp;TEXT(ROW()-ROW(tblMaster[#Headers]),"00000")
))</f>
        <v>DOC-01807</v>
      </c>
      <c r="B1808" s="51">
        <v>45957</v>
      </c>
      <c r="C1808" s="91" t="s">
        <v>6867</v>
      </c>
      <c r="D1808" s="36" t="s">
        <v>6868</v>
      </c>
      <c r="E1808" s="98" t="s">
        <v>6869</v>
      </c>
      <c r="F1808" s="72" t="s">
        <v>6870</v>
      </c>
      <c r="I1808" s="17" t="s">
        <v>5679</v>
      </c>
      <c r="K1808" s="5" t="s">
        <v>226</v>
      </c>
      <c r="L1808" t="str">
        <f t="shared" si="30"/>
        <v>ericksondimitri@yahoo.com</v>
      </c>
    </row>
    <row r="1809" spans="1:12">
      <c r="A1809" t="str" cm="1">
        <f t="array" ref="A1809">_xlfn.LET(_xlpm.e,L1809,
IF(_xlpm.e="","",
"DOC-"&amp;TEXT(ROW()-ROW(tblMaster[#Headers]),"00000")
))</f>
        <v>DOC-01808</v>
      </c>
      <c r="B1809" s="47">
        <v>46051</v>
      </c>
      <c r="C1809" s="36" t="s">
        <v>6871</v>
      </c>
      <c r="D1809" s="36" t="s">
        <v>1943</v>
      </c>
      <c r="E1809" s="71" t="s">
        <v>6872</v>
      </c>
      <c r="F1809" s="4" t="s">
        <v>6873</v>
      </c>
      <c r="G1809" s="36" t="s">
        <v>6874</v>
      </c>
      <c r="H1809" t="s">
        <v>888</v>
      </c>
      <c r="I1809" s="18" t="s">
        <v>54</v>
      </c>
      <c r="K1809" s="5" t="s">
        <v>4185</v>
      </c>
      <c r="L1809" t="str">
        <f t="shared" ref="L1809:L1814" si="31">_xlfn.LET(_xlpm.x,E1809,
_xlpm.y,TRIM(CLEAN(SUBSTITUTE(_xlpm.x,CHAR(160)," "))),
LOWER(_xlpm.y))</f>
        <v>letslopezjulian@proton.me</v>
      </c>
    </row>
    <row r="1810" spans="1:12">
      <c r="A1810" t="str" cm="1">
        <f t="array" ref="A1810">_xlfn.LET(_xlpm.e,L1810,
IF(_xlpm.e="","",
"DOC-"&amp;TEXT(ROW()-ROW(tblMaster[#Headers]),"00000")
))</f>
        <v>DOC-01809</v>
      </c>
      <c r="B1810" s="47">
        <v>45744</v>
      </c>
      <c r="C1810" s="36" t="s">
        <v>587</v>
      </c>
      <c r="D1810" s="36" t="s">
        <v>6875</v>
      </c>
      <c r="E1810" s="71" t="s">
        <v>6876</v>
      </c>
      <c r="F1810" s="4" t="s">
        <v>6877</v>
      </c>
      <c r="I1810" s="17" t="s">
        <v>5679</v>
      </c>
      <c r="J1810" s="99" t="s">
        <v>66</v>
      </c>
      <c r="K1810" s="5" t="s">
        <v>226</v>
      </c>
      <c r="L1810" t="str">
        <f t="shared" si="31"/>
        <v>opongeugene@gmail.com</v>
      </c>
    </row>
    <row r="1811" spans="1:12">
      <c r="A1811" t="str" cm="1">
        <f t="array" ref="A1811">_xlfn.LET(_xlpm.e,L1811,
IF(_xlpm.e="","",
"DOC-"&amp;TEXT(ROW()-ROW(tblMaster[#Headers]),"00000")
))</f>
        <v>DOC-01810</v>
      </c>
      <c r="B1811" s="47">
        <v>45531</v>
      </c>
      <c r="C1811" s="36" t="s">
        <v>6878</v>
      </c>
      <c r="D1811" s="36" t="s">
        <v>6879</v>
      </c>
      <c r="E1811" s="71" t="s">
        <v>6880</v>
      </c>
      <c r="F1811" s="4" t="s">
        <v>6881</v>
      </c>
      <c r="G1811" s="36" t="s">
        <v>457</v>
      </c>
      <c r="H1811" t="s">
        <v>17</v>
      </c>
      <c r="I1811" s="17" t="s">
        <v>5679</v>
      </c>
      <c r="J1811" s="99" t="s">
        <v>66</v>
      </c>
      <c r="K1811" s="5" t="s">
        <v>226</v>
      </c>
      <c r="L1811" t="str">
        <f t="shared" si="31"/>
        <v>aturnerbuisness@aol.com</v>
      </c>
    </row>
    <row r="1812" spans="1:12">
      <c r="A1812" t="str" cm="1">
        <f t="array" ref="A1812">_xlfn.LET(_xlpm.e,L1812,
IF(_xlpm.e="","",
"DOC-"&amp;TEXT(ROW()-ROW(tblMaster[#Headers]),"00000")
))</f>
        <v>DOC-01811</v>
      </c>
      <c r="B1812" s="47">
        <v>45778</v>
      </c>
      <c r="C1812" s="36" t="s">
        <v>6882</v>
      </c>
      <c r="D1812" s="36" t="s">
        <v>2732</v>
      </c>
      <c r="E1812" s="71" t="s">
        <v>6883</v>
      </c>
      <c r="F1812" s="4" t="s">
        <v>6884</v>
      </c>
      <c r="G1812" s="36" t="s">
        <v>281</v>
      </c>
      <c r="H1812" t="s">
        <v>17</v>
      </c>
      <c r="I1812" s="17" t="s">
        <v>5679</v>
      </c>
      <c r="J1812" s="99" t="s">
        <v>66</v>
      </c>
      <c r="K1812" s="5" t="s">
        <v>226</v>
      </c>
      <c r="L1812" t="str">
        <f t="shared" si="31"/>
        <v>taiouetrey11@gmail.com</v>
      </c>
    </row>
    <row r="1813" spans="1:12">
      <c r="A1813" t="str" cm="1">
        <f t="array" ref="A1813">_xlfn.LET(_xlpm.e,L1813,
IF(_xlpm.e="","",
"DOC-"&amp;TEXT(ROW()-ROW(tblMaster[#Headers]),"00000")
))</f>
        <v>DOC-01812</v>
      </c>
      <c r="C1813" s="36" t="s">
        <v>6885</v>
      </c>
      <c r="D1813" s="36" t="s">
        <v>6886</v>
      </c>
      <c r="E1813" s="71" t="s">
        <v>6887</v>
      </c>
      <c r="F1813" s="4" t="s">
        <v>6888</v>
      </c>
      <c r="I1813" s="17" t="s">
        <v>5679</v>
      </c>
      <c r="J1813" s="99" t="s">
        <v>497</v>
      </c>
      <c r="K1813" s="5" t="s">
        <v>226</v>
      </c>
      <c r="L1813" t="str">
        <f t="shared" si="31"/>
        <v>mcneil2137@gmail.com</v>
      </c>
    </row>
    <row r="1814" spans="1:12">
      <c r="A1814" t="str" cm="1">
        <f t="array" ref="A1814">_xlfn.LET(_xlpm.e,L1814,
IF(_xlpm.e="","",
"DOC-"&amp;TEXT(ROW()-ROW(tblMaster[#Headers]),"00000")
))</f>
        <v>DOC-01813</v>
      </c>
      <c r="B1814" s="47">
        <v>45769</v>
      </c>
      <c r="C1814" s="36" t="s">
        <v>5686</v>
      </c>
      <c r="D1814" s="36" t="s">
        <v>6889</v>
      </c>
      <c r="E1814" s="71" t="s">
        <v>6890</v>
      </c>
      <c r="F1814" s="4" t="s">
        <v>6891</v>
      </c>
      <c r="I1814" s="17" t="s">
        <v>5679</v>
      </c>
      <c r="J1814" s="99" t="s">
        <v>66</v>
      </c>
      <c r="K1814" s="5" t="s">
        <v>226</v>
      </c>
      <c r="L1814" t="str">
        <f t="shared" si="31"/>
        <v>kylehyeh@gmail.com</v>
      </c>
    </row>
    <row r="1815" spans="1:12">
      <c r="A1815" t="str" cm="1">
        <f t="array" ref="A1815">_xlfn.LET(_xlpm.e,L1815,
IF(_xlpm.e="","",
"DOC-"&amp;TEXT(ROW()-ROW(tblMaster[#Headers]),"00000")
))</f>
        <v>DOC-01814</v>
      </c>
      <c r="B1815" s="47">
        <v>46055</v>
      </c>
      <c r="C1815" s="36" t="s">
        <v>6892</v>
      </c>
      <c r="D1815" s="36" t="s">
        <v>6893</v>
      </c>
      <c r="E1815" s="71" t="s">
        <v>6894</v>
      </c>
      <c r="F1815" s="4" t="s">
        <v>6895</v>
      </c>
      <c r="G1815" s="36" t="s">
        <v>2268</v>
      </c>
      <c r="H1815" t="s">
        <v>53</v>
      </c>
      <c r="I1815" s="18" t="s">
        <v>101</v>
      </c>
      <c r="J1815" s="99" t="s">
        <v>23</v>
      </c>
      <c r="K1815" s="5" t="s">
        <v>4185</v>
      </c>
      <c r="L1815" t="str">
        <f t="shared" ref="L1815:L1849" si="32">_xlfn.LET(_xlpm.x,E1815,
_xlpm.y,TRIM(CLEAN(SUBSTITUTE(_xlpm.x,CHAR(160)," "))),
LOWER(_xlpm.y))</f>
        <v>mariie.jackson@icloud.com</v>
      </c>
    </row>
    <row r="1816" spans="1:12">
      <c r="A1816" t="str" cm="1">
        <f t="array" ref="A1816">_xlfn.LET(_xlpm.e,L1816,
IF(_xlpm.e="","",
"DOC-"&amp;TEXT(ROW()-ROW(tblMaster[#Headers]),"00000")
))</f>
        <v>DOC-01815</v>
      </c>
      <c r="B1816" s="47">
        <v>46055</v>
      </c>
      <c r="C1816" t="s">
        <v>2112</v>
      </c>
      <c r="D1816" t="s">
        <v>6896</v>
      </c>
      <c r="E1816" s="127" t="s">
        <v>6897</v>
      </c>
      <c r="F1816" s="4" t="s">
        <v>6898</v>
      </c>
      <c r="G1816" t="s">
        <v>750</v>
      </c>
      <c r="H1816" t="s">
        <v>17</v>
      </c>
      <c r="I1816" s="5" t="s">
        <v>2276</v>
      </c>
      <c r="J1816" s="99" t="s">
        <v>560</v>
      </c>
      <c r="K1816" s="5" t="s">
        <v>4185</v>
      </c>
      <c r="L1816" t="str">
        <f t="shared" si="32"/>
        <v>znorcross@msn.com</v>
      </c>
    </row>
    <row r="1817" spans="1:12">
      <c r="A1817" t="str" cm="1">
        <f t="array" ref="A1817">_xlfn.LET(_xlpm.e,L1817,
IF(_xlpm.e="","",
"DOC-"&amp;TEXT(ROW()-ROW(tblMaster[#Headers]),"00000")
))</f>
        <v>DOC-01816</v>
      </c>
      <c r="B1817" s="51">
        <v>46055</v>
      </c>
      <c r="C1817" s="56" t="s">
        <v>1349</v>
      </c>
      <c r="D1817" s="119" t="s">
        <v>6899</v>
      </c>
      <c r="E1817" s="105" t="s">
        <v>6900</v>
      </c>
      <c r="F1817" s="33" t="s">
        <v>6901</v>
      </c>
      <c r="G1817" s="56" t="s">
        <v>606</v>
      </c>
      <c r="H1817" t="s">
        <v>60</v>
      </c>
      <c r="I1817" s="18" t="s">
        <v>54</v>
      </c>
      <c r="J1817" s="99" t="s">
        <v>118</v>
      </c>
      <c r="K1817" s="5" t="s">
        <v>4185</v>
      </c>
      <c r="L1817" t="str">
        <f t="shared" si="32"/>
        <v>kelyssama2@gmail.com</v>
      </c>
    </row>
    <row r="1818" spans="1:12">
      <c r="A1818" t="str" cm="1">
        <f t="array" ref="A1818">_xlfn.LET(_xlpm.e,L1818,
IF(_xlpm.e="","",
"DOC-"&amp;TEXT(ROW()-ROW(tblMaster[#Headers]),"00000")
))</f>
        <v>DOC-01817</v>
      </c>
      <c r="B1818" s="51">
        <v>46055</v>
      </c>
      <c r="C1818" s="56" t="s">
        <v>55</v>
      </c>
      <c r="D1818" s="56" t="s">
        <v>1595</v>
      </c>
      <c r="E1818" s="105" t="s">
        <v>6902</v>
      </c>
      <c r="F1818" s="33" t="s">
        <v>6903</v>
      </c>
      <c r="G1818" s="56" t="s">
        <v>6904</v>
      </c>
      <c r="I1818" s="18" t="s">
        <v>54</v>
      </c>
      <c r="J1818" s="99" t="s">
        <v>497</v>
      </c>
      <c r="K1818" s="5" t="s">
        <v>4185</v>
      </c>
      <c r="L1818" t="str">
        <f t="shared" si="32"/>
        <v>mik3_smith88@yahoo.com</v>
      </c>
    </row>
    <row r="1819" spans="1:12">
      <c r="A1819" t="str" cm="1">
        <f t="array" ref="A1819">_xlfn.LET(_xlpm.e,L1819,
IF(_xlpm.e="","",
"DOC-"&amp;TEXT(ROW()-ROW(tblMaster[#Headers]),"00000")
))</f>
        <v>DOC-01818</v>
      </c>
      <c r="B1819" s="51">
        <v>46055</v>
      </c>
      <c r="C1819" s="56" t="s">
        <v>6905</v>
      </c>
      <c r="D1819" s="56" t="s">
        <v>6906</v>
      </c>
      <c r="E1819" s="105" t="s">
        <v>6907</v>
      </c>
      <c r="F1819" s="33" t="s">
        <v>6908</v>
      </c>
      <c r="G1819" s="56" t="s">
        <v>5152</v>
      </c>
      <c r="I1819" s="18" t="s">
        <v>54</v>
      </c>
      <c r="J1819" s="99" t="s">
        <v>194</v>
      </c>
      <c r="K1819" s="5" t="s">
        <v>4185</v>
      </c>
      <c r="L1819" t="str">
        <f t="shared" si="32"/>
        <v>mahira.mukhtarova@outlook.com</v>
      </c>
    </row>
    <row r="1820" spans="1:12">
      <c r="A1820" t="str" cm="1">
        <f t="array" ref="A1820">_xlfn.LET(_xlpm.e,L1820,
IF(_xlpm.e="","",
"DOC-"&amp;TEXT(ROW()-ROW(tblMaster[#Headers]),"00000")
))</f>
        <v>DOC-01819</v>
      </c>
      <c r="B1820" s="51">
        <v>46055</v>
      </c>
      <c r="C1820" s="56" t="s">
        <v>4631</v>
      </c>
      <c r="D1820" s="56" t="s">
        <v>6909</v>
      </c>
      <c r="E1820" s="105" t="s">
        <v>6910</v>
      </c>
      <c r="F1820" s="33" t="s">
        <v>6911</v>
      </c>
      <c r="G1820" s="56" t="s">
        <v>6912</v>
      </c>
      <c r="I1820" s="18" t="s">
        <v>54</v>
      </c>
      <c r="J1820" s="99" t="s">
        <v>66</v>
      </c>
      <c r="K1820" s="5" t="s">
        <v>4185</v>
      </c>
      <c r="L1820" t="str">
        <f t="shared" si="32"/>
        <v>d.diasphc@comcast.net</v>
      </c>
    </row>
    <row r="1821" spans="1:12">
      <c r="A1821" t="str" cm="1">
        <f t="array" ref="A1821">_xlfn.LET(_xlpm.e,L1821,
IF(_xlpm.e="","",
"DOC-"&amp;TEXT(ROW()-ROW(tblMaster[#Headers]),"00000")
))</f>
        <v>DOC-01820</v>
      </c>
      <c r="B1821" s="51">
        <v>46055</v>
      </c>
      <c r="C1821" s="56" t="s">
        <v>581</v>
      </c>
      <c r="D1821" s="56" t="s">
        <v>6913</v>
      </c>
      <c r="E1821" s="105" t="s">
        <v>6914</v>
      </c>
      <c r="F1821" s="33" t="s">
        <v>6915</v>
      </c>
      <c r="G1821" s="56" t="s">
        <v>3177</v>
      </c>
      <c r="I1821" s="18" t="s">
        <v>54</v>
      </c>
      <c r="J1821" s="99" t="s">
        <v>118</v>
      </c>
      <c r="K1821" s="5" t="s">
        <v>4185</v>
      </c>
      <c r="L1821" t="str">
        <f t="shared" si="32"/>
        <v>everettgoggans@comcast.net</v>
      </c>
    </row>
    <row r="1822" spans="1:12">
      <c r="A1822" t="str" cm="1">
        <f t="array" ref="A1822">_xlfn.LET(_xlpm.e,L1822,
IF(_xlpm.e="","",
"DOC-"&amp;TEXT(ROW()-ROW(tblMaster[#Headers]),"00000")
))</f>
        <v>DOC-01821</v>
      </c>
      <c r="B1822" s="51">
        <v>46055</v>
      </c>
      <c r="C1822" s="34" t="s">
        <v>6916</v>
      </c>
      <c r="D1822" s="34" t="s">
        <v>6917</v>
      </c>
      <c r="E1822" s="131" t="s">
        <v>6918</v>
      </c>
      <c r="F1822" s="125" t="s">
        <v>6919</v>
      </c>
      <c r="G1822" s="34" t="s">
        <v>1276</v>
      </c>
      <c r="I1822" s="18" t="s">
        <v>54</v>
      </c>
      <c r="J1822" s="99" t="s">
        <v>560</v>
      </c>
      <c r="K1822" s="5" t="s">
        <v>4185</v>
      </c>
      <c r="L1822" t="str">
        <f t="shared" si="32"/>
        <v>chetnaputta@gmail.com</v>
      </c>
    </row>
    <row r="1823" spans="1:12">
      <c r="A1823" t="str" cm="1">
        <f t="array" ref="A1823">_xlfn.LET(_xlpm.e,L1823,
IF(_xlpm.e="","",
"DOC-"&amp;TEXT(ROW()-ROW(tblMaster[#Headers]),"00000")
))</f>
        <v>DOC-01822</v>
      </c>
      <c r="B1823" s="51">
        <v>46055</v>
      </c>
      <c r="C1823" s="56" t="s">
        <v>6920</v>
      </c>
      <c r="D1823" s="56" t="s">
        <v>6921</v>
      </c>
      <c r="E1823" s="106" t="s">
        <v>6922</v>
      </c>
      <c r="F1823" s="33" t="s">
        <v>6923</v>
      </c>
      <c r="G1823" s="56" t="s">
        <v>6924</v>
      </c>
      <c r="I1823" s="18" t="s">
        <v>54</v>
      </c>
      <c r="J1823" s="99" t="s">
        <v>23</v>
      </c>
      <c r="K1823" s="5" t="s">
        <v>4185</v>
      </c>
      <c r="L1823" t="str">
        <f t="shared" si="32"/>
        <v>phamtrang161992@gmail.com</v>
      </c>
    </row>
    <row r="1824" spans="1:12">
      <c r="A1824" t="str" cm="1">
        <f t="array" ref="A1824">_xlfn.LET(_xlpm.e,L1824,
IF(_xlpm.e="","",
"DOC-"&amp;TEXT(ROW()-ROW(tblMaster[#Headers]),"00000")
))</f>
        <v>DOC-01823</v>
      </c>
      <c r="B1824" s="51">
        <v>46055</v>
      </c>
      <c r="C1824" s="36" t="s">
        <v>6925</v>
      </c>
      <c r="D1824" s="36" t="s">
        <v>6926</v>
      </c>
      <c r="E1824" s="71" t="s">
        <v>6927</v>
      </c>
      <c r="F1824" s="4" t="s">
        <v>6928</v>
      </c>
      <c r="G1824" s="36" t="s">
        <v>6929</v>
      </c>
      <c r="H1824" t="s">
        <v>17</v>
      </c>
      <c r="I1824" s="18" t="s">
        <v>54</v>
      </c>
      <c r="J1824" s="99" t="s">
        <v>497</v>
      </c>
      <c r="K1824" s="5" t="s">
        <v>4185</v>
      </c>
      <c r="L1824" t="str">
        <f t="shared" si="32"/>
        <v>junemlemieux@gmail.com</v>
      </c>
    </row>
    <row r="1825" spans="1:12">
      <c r="A1825" t="str" cm="1">
        <f t="array" ref="A1825">_xlfn.LET(_xlpm.e,L1825,
IF(_xlpm.e="","",
"DOC-"&amp;TEXT(ROW()-ROW(tblMaster[#Headers]),"00000")
))</f>
        <v>DOC-01824</v>
      </c>
      <c r="B1825" s="51">
        <v>46055</v>
      </c>
      <c r="C1825" s="36" t="s">
        <v>6930</v>
      </c>
      <c r="D1825" s="36" t="s">
        <v>6931</v>
      </c>
      <c r="E1825" s="71" t="s">
        <v>6932</v>
      </c>
      <c r="F1825" s="4" t="s">
        <v>6933</v>
      </c>
      <c r="G1825" s="36" t="s">
        <v>581</v>
      </c>
      <c r="H1825" t="s">
        <v>17</v>
      </c>
      <c r="I1825" s="18" t="s">
        <v>54</v>
      </c>
      <c r="J1825" s="99" t="s">
        <v>194</v>
      </c>
      <c r="K1825" s="5" t="s">
        <v>4185</v>
      </c>
      <c r="L1825" t="str">
        <f t="shared" si="32"/>
        <v>kgcreative23@gmail.com</v>
      </c>
    </row>
    <row r="1826" spans="1:12">
      <c r="A1826" t="str" cm="1">
        <f t="array" ref="A1826">_xlfn.LET(_xlpm.e,L1826,
IF(_xlpm.e="","",
"DOC-"&amp;TEXT(ROW()-ROW(tblMaster[#Headers]),"00000")
))</f>
        <v>DOC-01825</v>
      </c>
      <c r="B1826" s="51">
        <v>46055</v>
      </c>
      <c r="C1826" s="36" t="s">
        <v>6934</v>
      </c>
      <c r="D1826" s="36" t="s">
        <v>6931</v>
      </c>
      <c r="E1826" s="71" t="s">
        <v>6935</v>
      </c>
      <c r="F1826" s="4" t="s">
        <v>6936</v>
      </c>
      <c r="G1826" s="36" t="s">
        <v>581</v>
      </c>
      <c r="H1826" t="s">
        <v>17</v>
      </c>
      <c r="I1826" s="18" t="s">
        <v>54</v>
      </c>
      <c r="J1826" s="99" t="s">
        <v>66</v>
      </c>
      <c r="K1826" s="5" t="s">
        <v>4185</v>
      </c>
      <c r="L1826" t="str">
        <f t="shared" si="32"/>
        <v>wiskennice@gmail.com</v>
      </c>
    </row>
    <row r="1827" spans="1:12">
      <c r="A1827" t="str" cm="1">
        <f t="array" ref="A1827">_xlfn.LET(_xlpm.e,L1827,
IF(_xlpm.e="","",
"DOC-"&amp;TEXT(ROW()-ROW(tblMaster[#Headers]),"00000")
))</f>
        <v>DOC-01826</v>
      </c>
      <c r="B1827" s="51">
        <v>46055</v>
      </c>
      <c r="C1827" s="36" t="s">
        <v>6937</v>
      </c>
      <c r="D1827" s="36" t="s">
        <v>6938</v>
      </c>
      <c r="E1827" s="71" t="s">
        <v>6939</v>
      </c>
      <c r="F1827" s="4" t="s">
        <v>6940</v>
      </c>
      <c r="G1827" s="36" t="s">
        <v>448</v>
      </c>
      <c r="H1827" t="s">
        <v>17</v>
      </c>
      <c r="I1827" s="18" t="s">
        <v>54</v>
      </c>
      <c r="J1827" s="99" t="s">
        <v>118</v>
      </c>
      <c r="K1827" s="5" t="s">
        <v>4185</v>
      </c>
      <c r="L1827" t="str">
        <f t="shared" si="32"/>
        <v>khabibulan@yahoo.com</v>
      </c>
    </row>
    <row r="1828" spans="1:12">
      <c r="A1828" t="str" cm="1">
        <f t="array" ref="A1828">_xlfn.LET(_xlpm.e,L1828,
IF(_xlpm.e="","",
"DOC-"&amp;TEXT(ROW()-ROW(tblMaster[#Headers]),"00000")
))</f>
        <v>DOC-01827</v>
      </c>
      <c r="B1828" s="51">
        <v>46055</v>
      </c>
      <c r="C1828" t="s">
        <v>6941</v>
      </c>
      <c r="D1828" t="s">
        <v>6942</v>
      </c>
      <c r="E1828" s="127" t="s">
        <v>6943</v>
      </c>
      <c r="F1828" s="4" t="s">
        <v>6944</v>
      </c>
      <c r="G1828" t="s">
        <v>257</v>
      </c>
      <c r="H1828" t="s">
        <v>17</v>
      </c>
      <c r="I1828" s="18" t="s">
        <v>54</v>
      </c>
      <c r="J1828" s="99" t="s">
        <v>560</v>
      </c>
      <c r="K1828" s="5" t="s">
        <v>4185</v>
      </c>
      <c r="L1828" t="str">
        <f t="shared" si="32"/>
        <v>bharathrajpragada@gmail.com</v>
      </c>
    </row>
    <row r="1829" spans="1:12">
      <c r="A1829" t="str" cm="1">
        <f t="array" ref="A1829">_xlfn.LET(_xlpm.e,L1829,
IF(_xlpm.e="","",
"DOC-"&amp;TEXT(ROW()-ROW(tblMaster[#Headers]),"00000")
))</f>
        <v>DOC-01828</v>
      </c>
      <c r="B1829" s="51">
        <v>46055</v>
      </c>
      <c r="C1829" s="36" t="s">
        <v>6945</v>
      </c>
      <c r="D1829" s="36" t="s">
        <v>6946</v>
      </c>
      <c r="E1829" s="71" t="s">
        <v>6947</v>
      </c>
      <c r="F1829" s="4" t="s">
        <v>6948</v>
      </c>
      <c r="G1829" s="36" t="s">
        <v>629</v>
      </c>
      <c r="H1829" t="s">
        <v>17</v>
      </c>
      <c r="I1829" s="18" t="s">
        <v>54</v>
      </c>
      <c r="J1829" s="99" t="s">
        <v>23</v>
      </c>
      <c r="K1829" s="5" t="s">
        <v>4185</v>
      </c>
      <c r="L1829" t="str">
        <f t="shared" si="32"/>
        <v>asraqadir@msn.com</v>
      </c>
    </row>
    <row r="1830" spans="1:12">
      <c r="A1830" t="str" cm="1">
        <f t="array" ref="A1830">_xlfn.LET(_xlpm.e,L1830,
IF(_xlpm.e="","",
"DOC-"&amp;TEXT(ROW()-ROW(tblMaster[#Headers]),"00000")
))</f>
        <v>DOC-01829</v>
      </c>
      <c r="B1830" s="51">
        <v>46055</v>
      </c>
      <c r="C1830" s="36" t="s">
        <v>6949</v>
      </c>
      <c r="D1830" s="36" t="s">
        <v>6950</v>
      </c>
      <c r="E1830" s="71" t="s">
        <v>6951</v>
      </c>
      <c r="F1830" s="4" t="s">
        <v>6952</v>
      </c>
      <c r="G1830" s="36" t="s">
        <v>2760</v>
      </c>
      <c r="H1830" t="s">
        <v>17</v>
      </c>
      <c r="I1830" s="18" t="s">
        <v>54</v>
      </c>
      <c r="J1830" s="99" t="s">
        <v>497</v>
      </c>
      <c r="K1830" s="5" t="s">
        <v>4185</v>
      </c>
      <c r="L1830" t="str">
        <f t="shared" si="32"/>
        <v>a49yrmc@gmail.com</v>
      </c>
    </row>
    <row r="1831" spans="1:12">
      <c r="A1831" t="str" cm="1">
        <f t="array" ref="A1831">_xlfn.LET(_xlpm.e,L1831,
IF(_xlpm.e="","",
"DOC-"&amp;TEXT(ROW()-ROW(tblMaster[#Headers]),"00000")
))</f>
        <v>DOC-01830</v>
      </c>
      <c r="B1831" s="51">
        <v>46055</v>
      </c>
      <c r="C1831" s="36" t="s">
        <v>2766</v>
      </c>
      <c r="D1831" s="36" t="s">
        <v>6953</v>
      </c>
      <c r="E1831" s="71" t="s">
        <v>6954</v>
      </c>
      <c r="F1831" s="4" t="s">
        <v>6955</v>
      </c>
      <c r="I1831" s="18" t="s">
        <v>54</v>
      </c>
      <c r="J1831" s="99" t="s">
        <v>194</v>
      </c>
      <c r="K1831" s="5" t="s">
        <v>4185</v>
      </c>
      <c r="L1831" t="str">
        <f t="shared" si="32"/>
        <v>cjoakes@comcast.net</v>
      </c>
    </row>
    <row r="1832" spans="1:12">
      <c r="A1832" t="str" cm="1">
        <f t="array" ref="A1832">_xlfn.LET(_xlpm.e,L1832,
IF(_xlpm.e="","",
"DOC-"&amp;TEXT(ROW()-ROW(tblMaster[#Headers]),"00000")
))</f>
        <v>DOC-01831</v>
      </c>
      <c r="B1832" s="51">
        <v>46055</v>
      </c>
      <c r="C1832" s="36" t="s">
        <v>6956</v>
      </c>
      <c r="D1832" s="36" t="s">
        <v>164</v>
      </c>
      <c r="E1832" s="71" t="s">
        <v>6957</v>
      </c>
      <c r="F1832" s="4" t="s">
        <v>6958</v>
      </c>
      <c r="G1832" s="36" t="s">
        <v>2747</v>
      </c>
      <c r="H1832" t="s">
        <v>17</v>
      </c>
      <c r="I1832" s="18" t="s">
        <v>54</v>
      </c>
      <c r="J1832" s="99" t="s">
        <v>66</v>
      </c>
      <c r="K1832" s="5" t="s">
        <v>4185</v>
      </c>
      <c r="L1832" t="str">
        <f t="shared" si="32"/>
        <v>maxytyler10@yahoo.com</v>
      </c>
    </row>
    <row r="1833" spans="1:12">
      <c r="A1833" t="str" cm="1">
        <f t="array" ref="A1833">_xlfn.LET(_xlpm.e,L1833,
IF(_xlpm.e="","",
"DOC-"&amp;TEXT(ROW()-ROW(tblMaster[#Headers]),"00000")
))</f>
        <v>DOC-01832</v>
      </c>
      <c r="B1833" s="51">
        <v>46055</v>
      </c>
      <c r="C1833" s="36" t="s">
        <v>5753</v>
      </c>
      <c r="D1833" s="36" t="s">
        <v>6959</v>
      </c>
      <c r="E1833" s="71" t="s">
        <v>6960</v>
      </c>
      <c r="F1833" s="4" t="s">
        <v>6961</v>
      </c>
      <c r="G1833" s="36" t="s">
        <v>2103</v>
      </c>
      <c r="H1833" t="s">
        <v>17</v>
      </c>
      <c r="I1833" s="18" t="s">
        <v>54</v>
      </c>
      <c r="J1833" s="99" t="s">
        <v>118</v>
      </c>
      <c r="K1833" s="5" t="s">
        <v>4185</v>
      </c>
      <c r="L1833" t="str">
        <f t="shared" si="32"/>
        <v>boakyefk@gmail.com</v>
      </c>
    </row>
    <row r="1834" spans="1:12">
      <c r="A1834" t="str" cm="1">
        <f t="array" ref="A1834">_xlfn.LET(_xlpm.e,L1834,
IF(_xlpm.e="","",
"DOC-"&amp;TEXT(ROW()-ROW(tblMaster[#Headers]),"00000")
))</f>
        <v>DOC-01833</v>
      </c>
      <c r="B1834" s="51">
        <v>46055</v>
      </c>
      <c r="C1834" t="s">
        <v>6962</v>
      </c>
      <c r="D1834" t="s">
        <v>6963</v>
      </c>
      <c r="E1834" s="127" t="s">
        <v>6964</v>
      </c>
      <c r="F1834" s="4" t="s">
        <v>6965</v>
      </c>
      <c r="G1834" t="s">
        <v>3729</v>
      </c>
      <c r="H1834" t="s">
        <v>17</v>
      </c>
      <c r="I1834" s="18" t="s">
        <v>54</v>
      </c>
      <c r="J1834" s="99" t="s">
        <v>560</v>
      </c>
      <c r="K1834" s="5" t="s">
        <v>4185</v>
      </c>
      <c r="L1834" t="str">
        <f t="shared" si="32"/>
        <v>dilshan1boston@gmail.com</v>
      </c>
    </row>
    <row r="1835" spans="1:12">
      <c r="A1835" t="str" cm="1">
        <f t="array" ref="A1835">_xlfn.LET(_xlpm.e,L1835,
IF(_xlpm.e="","",
"DOC-"&amp;TEXT(ROW()-ROW(tblMaster[#Headers]),"00000")
))</f>
        <v>DOC-01834</v>
      </c>
      <c r="B1835" s="51">
        <v>46055</v>
      </c>
      <c r="C1835" s="36" t="s">
        <v>55</v>
      </c>
      <c r="D1835" s="36" t="s">
        <v>6966</v>
      </c>
      <c r="E1835" s="71" t="s">
        <v>6967</v>
      </c>
      <c r="F1835" s="4" t="s">
        <v>6968</v>
      </c>
      <c r="G1835" s="36" t="s">
        <v>281</v>
      </c>
      <c r="H1835" t="s">
        <v>17</v>
      </c>
      <c r="I1835" s="18" t="s">
        <v>54</v>
      </c>
      <c r="J1835" s="99" t="s">
        <v>23</v>
      </c>
      <c r="K1835" s="5" t="s">
        <v>4185</v>
      </c>
      <c r="L1835" t="str">
        <f t="shared" si="32"/>
        <v>michaelatkins93@gmail.com</v>
      </c>
    </row>
    <row r="1836" spans="1:12">
      <c r="A1836" t="str" cm="1">
        <f t="array" ref="A1836">_xlfn.LET(_xlpm.e,L1836,
IF(_xlpm.e="","",
"DOC-"&amp;TEXT(ROW()-ROW(tblMaster[#Headers]),"00000")
))</f>
        <v>DOC-01835</v>
      </c>
      <c r="B1836" s="51">
        <v>46055</v>
      </c>
      <c r="C1836" s="36" t="s">
        <v>1938</v>
      </c>
      <c r="D1836" s="36" t="s">
        <v>1193</v>
      </c>
      <c r="E1836" s="71" t="s">
        <v>6969</v>
      </c>
      <c r="F1836" s="4" t="s">
        <v>6970</v>
      </c>
      <c r="G1836" s="36" t="s">
        <v>6971</v>
      </c>
      <c r="H1836" t="s">
        <v>17</v>
      </c>
      <c r="I1836" s="18" t="s">
        <v>54</v>
      </c>
      <c r="J1836" s="99" t="s">
        <v>497</v>
      </c>
      <c r="K1836" s="5" t="s">
        <v>4185</v>
      </c>
      <c r="L1836" t="str">
        <f t="shared" si="32"/>
        <v>mryan1811@gmail.com</v>
      </c>
    </row>
    <row r="1837" spans="1:12">
      <c r="A1837" t="str" cm="1">
        <f t="array" ref="A1837">_xlfn.LET(_xlpm.e,L1837,
IF(_xlpm.e="","",
"DOC-"&amp;TEXT(ROW()-ROW(tblMaster[#Headers]),"00000")
))</f>
        <v>DOC-01836</v>
      </c>
      <c r="B1837" s="51">
        <v>46055</v>
      </c>
      <c r="C1837" s="36" t="s">
        <v>1080</v>
      </c>
      <c r="D1837" s="36" t="s">
        <v>6972</v>
      </c>
      <c r="E1837" s="71" t="s">
        <v>6973</v>
      </c>
      <c r="F1837" s="4" t="s">
        <v>6974</v>
      </c>
      <c r="G1837" s="36" t="s">
        <v>438</v>
      </c>
      <c r="H1837" t="s">
        <v>17</v>
      </c>
      <c r="I1837" s="18" t="s">
        <v>54</v>
      </c>
      <c r="J1837" s="99" t="s">
        <v>194</v>
      </c>
      <c r="K1837" s="5" t="s">
        <v>4185</v>
      </c>
      <c r="L1837" t="str">
        <f t="shared" si="32"/>
        <v>cj_rickard@yahoo.com</v>
      </c>
    </row>
    <row r="1838" spans="1:12">
      <c r="A1838" t="str" cm="1">
        <f t="array" ref="A1838">_xlfn.LET(_xlpm.e,L1838,
IF(_xlpm.e="","",
"DOC-"&amp;TEXT(ROW()-ROW(tblMaster[#Headers]),"00000")
))</f>
        <v>DOC-01837</v>
      </c>
      <c r="B1838" s="51">
        <v>46055</v>
      </c>
      <c r="C1838" s="36" t="s">
        <v>6975</v>
      </c>
      <c r="D1838" s="36" t="s">
        <v>6976</v>
      </c>
      <c r="E1838" s="71" t="s">
        <v>6977</v>
      </c>
      <c r="F1838" s="4" t="s">
        <v>6978</v>
      </c>
      <c r="G1838" s="36" t="s">
        <v>6979</v>
      </c>
      <c r="H1838" t="s">
        <v>17</v>
      </c>
      <c r="I1838" s="18" t="s">
        <v>54</v>
      </c>
      <c r="J1838" s="99" t="s">
        <v>66</v>
      </c>
      <c r="K1838" s="5" t="s">
        <v>4185</v>
      </c>
      <c r="L1838" t="str">
        <f t="shared" si="32"/>
        <v>ennad2022@gmail.com</v>
      </c>
    </row>
    <row r="1839" spans="1:12">
      <c r="A1839" t="str" cm="1">
        <f t="array" ref="A1839">_xlfn.LET(_xlpm.e,L1839,
IF(_xlpm.e="","",
"DOC-"&amp;TEXT(ROW()-ROW(tblMaster[#Headers]),"00000")
))</f>
        <v>DOC-01838</v>
      </c>
      <c r="B1839" s="51">
        <v>46055</v>
      </c>
      <c r="C1839" t="s">
        <v>6980</v>
      </c>
      <c r="D1839" t="s">
        <v>6981</v>
      </c>
      <c r="E1839" s="127" t="s">
        <v>6982</v>
      </c>
      <c r="F1839" s="4" t="s">
        <v>6983</v>
      </c>
      <c r="G1839" t="s">
        <v>6984</v>
      </c>
      <c r="H1839" t="s">
        <v>17</v>
      </c>
      <c r="I1839" s="18" t="s">
        <v>54</v>
      </c>
      <c r="J1839" s="99" t="s">
        <v>560</v>
      </c>
      <c r="K1839" s="5" t="s">
        <v>4185</v>
      </c>
      <c r="L1839" t="str">
        <f t="shared" si="32"/>
        <v>bsanon512@gmail.com</v>
      </c>
    </row>
    <row r="1840" spans="1:12">
      <c r="A1840" t="str" cm="1">
        <f t="array" ref="A1840">_xlfn.LET(_xlpm.e,L1840,
IF(_xlpm.e="","",
"DOC-"&amp;TEXT(ROW()-ROW(tblMaster[#Headers]),"00000")
))</f>
        <v>DOC-01839</v>
      </c>
      <c r="B1840" s="51">
        <v>46055</v>
      </c>
      <c r="C1840" s="36" t="s">
        <v>6985</v>
      </c>
      <c r="D1840" s="36" t="s">
        <v>6986</v>
      </c>
      <c r="E1840" s="71" t="s">
        <v>6987</v>
      </c>
      <c r="F1840" s="4" t="s">
        <v>6988</v>
      </c>
      <c r="G1840" s="36" t="s">
        <v>6984</v>
      </c>
      <c r="H1840" t="s">
        <v>17</v>
      </c>
      <c r="I1840" s="18" t="s">
        <v>54</v>
      </c>
      <c r="J1840" s="99" t="s">
        <v>118</v>
      </c>
      <c r="K1840" s="5" t="s">
        <v>4185</v>
      </c>
      <c r="L1840" t="str">
        <f t="shared" si="32"/>
        <v>tibmarc16@gmail.com</v>
      </c>
    </row>
    <row r="1841" spans="1:12">
      <c r="A1841" t="str" cm="1">
        <f t="array" ref="A1841">_xlfn.LET(_xlpm.e,L1841,
IF(_xlpm.e="","",
"DOC-"&amp;TEXT(ROW()-ROW(tblMaster[#Headers]),"00000")
))</f>
        <v>DOC-01840</v>
      </c>
      <c r="B1841" s="51">
        <v>46055</v>
      </c>
      <c r="C1841" s="36" t="s">
        <v>6989</v>
      </c>
      <c r="D1841" s="36" t="s">
        <v>6990</v>
      </c>
      <c r="E1841" s="71" t="s">
        <v>6991</v>
      </c>
      <c r="F1841" s="4" t="s">
        <v>6992</v>
      </c>
      <c r="G1841" s="36" t="s">
        <v>5164</v>
      </c>
      <c r="H1841" t="s">
        <v>17</v>
      </c>
      <c r="I1841" s="18" t="s">
        <v>54</v>
      </c>
      <c r="J1841" s="99" t="s">
        <v>23</v>
      </c>
      <c r="K1841" s="5" t="s">
        <v>4185</v>
      </c>
      <c r="L1841" t="str">
        <f t="shared" si="32"/>
        <v>keniaguinto@yahoo.com</v>
      </c>
    </row>
    <row r="1842" spans="1:12">
      <c r="A1842" t="str" cm="1">
        <f t="array" ref="A1842">_xlfn.LET(_xlpm.e,L1842,
IF(_xlpm.e="","",
"DOC-"&amp;TEXT(ROW()-ROW(tblMaster[#Headers]),"00000")
))</f>
        <v>DOC-01841</v>
      </c>
      <c r="B1842" s="51">
        <v>46055</v>
      </c>
      <c r="C1842" s="36" t="s">
        <v>2884</v>
      </c>
      <c r="D1842" s="36" t="s">
        <v>6993</v>
      </c>
      <c r="E1842" s="71" t="s">
        <v>6994</v>
      </c>
      <c r="F1842" s="4" t="s">
        <v>6995</v>
      </c>
      <c r="G1842" s="36" t="s">
        <v>6996</v>
      </c>
      <c r="H1842" t="s">
        <v>17</v>
      </c>
      <c r="I1842" s="18" t="s">
        <v>54</v>
      </c>
      <c r="J1842" s="99" t="s">
        <v>497</v>
      </c>
      <c r="K1842" s="5" t="s">
        <v>4185</v>
      </c>
      <c r="L1842" t="str">
        <f t="shared" si="32"/>
        <v>jlcarter0325@gmail.com</v>
      </c>
    </row>
    <row r="1843" spans="1:12">
      <c r="A1843" t="str" cm="1">
        <f t="array" ref="A1843">_xlfn.LET(_xlpm.e,L1843,
IF(_xlpm.e="","",
"DOC-"&amp;TEXT(ROW()-ROW(tblMaster[#Headers]),"00000")
))</f>
        <v>DOC-01842</v>
      </c>
      <c r="B1843" s="51">
        <v>46055</v>
      </c>
      <c r="C1843" s="36" t="s">
        <v>4635</v>
      </c>
      <c r="D1843" s="36" t="s">
        <v>6997</v>
      </c>
      <c r="E1843" s="71" t="s">
        <v>6998</v>
      </c>
      <c r="F1843" s="4" t="s">
        <v>6999</v>
      </c>
      <c r="G1843" s="36" t="s">
        <v>276</v>
      </c>
      <c r="H1843" t="s">
        <v>17</v>
      </c>
      <c r="I1843" s="18" t="s">
        <v>54</v>
      </c>
      <c r="J1843" s="99" t="s">
        <v>194</v>
      </c>
      <c r="K1843" s="5" t="s">
        <v>4185</v>
      </c>
      <c r="L1843" t="str">
        <f t="shared" si="32"/>
        <v>stevefinch1478@gmail.com</v>
      </c>
    </row>
    <row r="1844" spans="1:12">
      <c r="A1844" t="str" cm="1">
        <f t="array" ref="A1844">_xlfn.LET(_xlpm.e,L1844,
IF(_xlpm.e="","",
"DOC-"&amp;TEXT(ROW()-ROW(tblMaster[#Headers]),"00000")
))</f>
        <v>DOC-01843</v>
      </c>
      <c r="B1844" s="51">
        <v>46055</v>
      </c>
      <c r="C1844" s="36" t="s">
        <v>7000</v>
      </c>
      <c r="D1844" s="36" t="s">
        <v>7001</v>
      </c>
      <c r="E1844" s="71" t="s">
        <v>7002</v>
      </c>
      <c r="F1844" s="4" t="s">
        <v>7003</v>
      </c>
      <c r="G1844" s="36" t="s">
        <v>3449</v>
      </c>
      <c r="H1844" t="s">
        <v>4140</v>
      </c>
      <c r="I1844" s="18" t="s">
        <v>54</v>
      </c>
      <c r="J1844" s="99" t="s">
        <v>66</v>
      </c>
      <c r="K1844" s="5" t="s">
        <v>4185</v>
      </c>
      <c r="L1844" t="str">
        <f t="shared" si="32"/>
        <v>jacawandaniels123@gmail.com</v>
      </c>
    </row>
    <row r="1845" spans="1:12">
      <c r="A1845" t="str" cm="1">
        <f t="array" ref="A1845">_xlfn.LET(_xlpm.e,L1845,
IF(_xlpm.e="","",
"DOC-"&amp;TEXT(ROW()-ROW(tblMaster[#Headers]),"00000")
))</f>
        <v>DOC-01844</v>
      </c>
      <c r="B1845" s="51">
        <v>46055</v>
      </c>
      <c r="C1845" s="36" t="s">
        <v>7004</v>
      </c>
      <c r="D1845" s="36" t="s">
        <v>7005</v>
      </c>
      <c r="E1845" s="71" t="s">
        <v>7006</v>
      </c>
      <c r="F1845" s="4" t="s">
        <v>7007</v>
      </c>
      <c r="G1845" s="36" t="s">
        <v>7008</v>
      </c>
      <c r="H1845" t="s">
        <v>60</v>
      </c>
      <c r="I1845" s="18" t="s">
        <v>54</v>
      </c>
      <c r="J1845" s="99" t="s">
        <v>118</v>
      </c>
      <c r="K1845" s="5" t="s">
        <v>4185</v>
      </c>
      <c r="L1845" t="str">
        <f t="shared" si="32"/>
        <v>blakem667@gmail.com</v>
      </c>
    </row>
    <row r="1846" spans="1:12">
      <c r="A1846" t="str" cm="1">
        <f t="array" ref="A1846">_xlfn.LET(_xlpm.e,L1846,
IF(_xlpm.e="","",
"DOC-"&amp;TEXT(ROW()-ROW(tblMaster[#Headers]),"00000")
))</f>
        <v>DOC-01845</v>
      </c>
      <c r="B1846" s="51">
        <v>46055</v>
      </c>
      <c r="C1846" t="s">
        <v>1761</v>
      </c>
      <c r="D1846" t="s">
        <v>7009</v>
      </c>
      <c r="E1846" s="127" t="s">
        <v>7010</v>
      </c>
      <c r="F1846" s="4" t="s">
        <v>7011</v>
      </c>
      <c r="G1846" t="s">
        <v>1232</v>
      </c>
      <c r="H1846" t="s">
        <v>17</v>
      </c>
      <c r="I1846" s="18" t="s">
        <v>54</v>
      </c>
      <c r="J1846" s="99" t="s">
        <v>560</v>
      </c>
      <c r="K1846" s="5" t="s">
        <v>4185</v>
      </c>
      <c r="L1846" t="str">
        <f t="shared" si="32"/>
        <v>tanishapage03@gmail.com</v>
      </c>
    </row>
    <row r="1847" spans="1:12">
      <c r="A1847" t="str" cm="1">
        <f t="array" ref="A1847">_xlfn.LET(_xlpm.e,L1847,
IF(_xlpm.e="","",
"DOC-"&amp;TEXT(ROW()-ROW(tblMaster[#Headers]),"00000")
))</f>
        <v>DOC-01846</v>
      </c>
      <c r="B1847" s="51">
        <v>46055</v>
      </c>
      <c r="C1847" s="36" t="s">
        <v>1854</v>
      </c>
      <c r="D1847" s="36" t="s">
        <v>7012</v>
      </c>
      <c r="E1847" s="71" t="s">
        <v>7013</v>
      </c>
      <c r="F1847" s="4" t="s">
        <v>7014</v>
      </c>
      <c r="G1847" s="36" t="s">
        <v>4124</v>
      </c>
      <c r="H1847" t="s">
        <v>60</v>
      </c>
      <c r="I1847" s="18" t="s">
        <v>54</v>
      </c>
      <c r="J1847" s="99" t="s">
        <v>23</v>
      </c>
      <c r="K1847" s="5" t="s">
        <v>4185</v>
      </c>
      <c r="L1847" t="str">
        <f t="shared" si="32"/>
        <v>sam.semedo25@gmail.com</v>
      </c>
    </row>
    <row r="1848" spans="1:12">
      <c r="A1848" t="str" cm="1">
        <f t="array" ref="A1848">_xlfn.LET(_xlpm.e,L1848,
IF(_xlpm.e="","",
"DOC-"&amp;TEXT(ROW()-ROW(tblMaster[#Headers]),"00000")
))</f>
        <v>DOC-01847</v>
      </c>
      <c r="B1848" s="51">
        <v>46055</v>
      </c>
      <c r="C1848" s="36" t="s">
        <v>7015</v>
      </c>
      <c r="D1848" s="36" t="s">
        <v>7016</v>
      </c>
      <c r="E1848" s="71" t="s">
        <v>7017</v>
      </c>
      <c r="F1848" s="4" t="s">
        <v>7018</v>
      </c>
      <c r="G1848" s="36" t="s">
        <v>438</v>
      </c>
      <c r="H1848" t="s">
        <v>17</v>
      </c>
      <c r="I1848" s="18" t="s">
        <v>54</v>
      </c>
      <c r="J1848" s="99" t="s">
        <v>497</v>
      </c>
      <c r="K1848" s="5" t="s">
        <v>4185</v>
      </c>
      <c r="L1848" t="str">
        <f t="shared" si="32"/>
        <v>kostarabaxhi@gmail.com</v>
      </c>
    </row>
    <row r="1849" spans="1:12">
      <c r="A1849" t="str" cm="1">
        <f t="array" ref="A1849">_xlfn.LET(_xlpm.e,L1849,
IF(_xlpm.e="","",
"DOC-"&amp;TEXT(ROW()-ROW(tblMaster[#Headers]),"00000")
))</f>
        <v>DOC-01848</v>
      </c>
      <c r="B1849" s="47">
        <v>46056</v>
      </c>
      <c r="C1849" s="36" t="s">
        <v>1774</v>
      </c>
      <c r="D1849" s="36" t="s">
        <v>7019</v>
      </c>
      <c r="E1849" s="71" t="s">
        <v>7020</v>
      </c>
      <c r="F1849" s="4" t="s">
        <v>7021</v>
      </c>
      <c r="G1849" s="36" t="s">
        <v>2959</v>
      </c>
      <c r="H1849" t="s">
        <v>17</v>
      </c>
      <c r="I1849" s="18" t="s">
        <v>54</v>
      </c>
      <c r="J1849" s="99" t="s">
        <v>194</v>
      </c>
      <c r="K1849" s="5" t="s">
        <v>4185</v>
      </c>
      <c r="L1849" t="str">
        <f t="shared" si="32"/>
        <v>alexandon81392@gmail.com</v>
      </c>
    </row>
    <row r="1850" spans="1:12">
      <c r="A1850" t="str" cm="1">
        <f t="array" ref="A1850">_xlfn.LET(_xlpm.e,L1850,
IF(_xlpm.e="","",
"DOC-"&amp;TEXT(ROW()-ROW(tblMaster[#Headers]),"00000")
))</f>
        <v>DOC-01849</v>
      </c>
      <c r="B1850" s="47">
        <v>46056</v>
      </c>
      <c r="C1850" s="36" t="s">
        <v>1379</v>
      </c>
      <c r="D1850" s="36" t="s">
        <v>7022</v>
      </c>
      <c r="E1850" s="71" t="s">
        <v>7023</v>
      </c>
      <c r="F1850" s="4" t="s">
        <v>7024</v>
      </c>
      <c r="G1850" s="36" t="s">
        <v>7025</v>
      </c>
      <c r="H1850" t="s">
        <v>17</v>
      </c>
      <c r="I1850" s="18" t="s">
        <v>54</v>
      </c>
      <c r="J1850" s="99" t="s">
        <v>66</v>
      </c>
      <c r="K1850" s="5" t="s">
        <v>4185</v>
      </c>
      <c r="L1850" t="str">
        <f t="shared" ref="L1850:L1858" si="33">_xlfn.LET(_xlpm.x,E1850,
_xlpm.y,TRIM(CLEAN(SUBSTITUTE(_xlpm.x,CHAR(160)," "))),
LOWER(_xlpm.y))</f>
        <v>ryan11maloney@gmail.com</v>
      </c>
    </row>
    <row r="1851" spans="1:12">
      <c r="A1851" t="str" cm="1">
        <f t="array" ref="A1851">_xlfn.LET(_xlpm.e,L1851,
IF(_xlpm.e="","",
"DOC-"&amp;TEXT(ROW()-ROW(tblMaster[#Headers]),"00000")
))</f>
        <v>DOC-01850</v>
      </c>
      <c r="B1851" s="47">
        <v>46056</v>
      </c>
      <c r="C1851" s="36" t="s">
        <v>7026</v>
      </c>
      <c r="D1851" s="36" t="s">
        <v>7027</v>
      </c>
      <c r="E1851" s="71" t="s">
        <v>7028</v>
      </c>
      <c r="F1851" s="4" t="s">
        <v>7029</v>
      </c>
      <c r="G1851" s="36" t="s">
        <v>52</v>
      </c>
      <c r="H1851" t="s">
        <v>17</v>
      </c>
      <c r="I1851" s="18" t="s">
        <v>54</v>
      </c>
      <c r="J1851" s="99" t="s">
        <v>118</v>
      </c>
      <c r="K1851" s="5" t="s">
        <v>4185</v>
      </c>
      <c r="L1851" t="str">
        <f t="shared" si="33"/>
        <v>sequoia97@gmail.com</v>
      </c>
    </row>
    <row r="1852" spans="1:12">
      <c r="A1852" t="str" cm="1">
        <f t="array" ref="A1852">_xlfn.LET(_xlpm.e,L1852,
IF(_xlpm.e="","",
"DOC-"&amp;TEXT(ROW()-ROW(tblMaster[#Headers]),"00000")
))</f>
        <v>DOC-01851</v>
      </c>
      <c r="B1852" s="47">
        <v>46056</v>
      </c>
      <c r="C1852" t="s">
        <v>7030</v>
      </c>
      <c r="D1852" t="s">
        <v>7031</v>
      </c>
      <c r="E1852" s="127" t="s">
        <v>7032</v>
      </c>
      <c r="G1852"/>
      <c r="I1852" s="18" t="s">
        <v>101</v>
      </c>
      <c r="J1852" s="99" t="s">
        <v>560</v>
      </c>
      <c r="K1852" s="5" t="s">
        <v>4185</v>
      </c>
      <c r="L1852" t="str">
        <f t="shared" si="33"/>
        <v>ceceangry347@icloud.com</v>
      </c>
    </row>
    <row r="1853" spans="1:12">
      <c r="A1853" t="str" cm="1">
        <f t="array" ref="A1853">_xlfn.LET(_xlpm.e,L1853,
IF(_xlpm.e="","",
"DOC-"&amp;TEXT(ROW()-ROW(tblMaster[#Headers]),"00000")
))</f>
        <v>DOC-01852</v>
      </c>
      <c r="B1853" s="47">
        <v>46056</v>
      </c>
      <c r="C1853" s="36" t="s">
        <v>7033</v>
      </c>
      <c r="D1853" s="36" t="s">
        <v>7034</v>
      </c>
      <c r="E1853" s="71" t="s">
        <v>7035</v>
      </c>
      <c r="F1853" s="4" t="s">
        <v>7036</v>
      </c>
      <c r="G1853" s="36" t="s">
        <v>2811</v>
      </c>
      <c r="H1853" t="s">
        <v>17</v>
      </c>
      <c r="I1853" s="18" t="s">
        <v>54</v>
      </c>
      <c r="J1853" s="99" t="s">
        <v>23</v>
      </c>
      <c r="K1853" s="5" t="s">
        <v>4185</v>
      </c>
      <c r="L1853" t="str">
        <f t="shared" si="33"/>
        <v>shaniqua.hunt0@gmail.com</v>
      </c>
    </row>
    <row r="1854" spans="1:12">
      <c r="A1854" t="str" cm="1">
        <f t="array" ref="A1854">_xlfn.LET(_xlpm.e,L1854,
IF(_xlpm.e="","",
"DOC-"&amp;TEXT(ROW()-ROW(tblMaster[#Headers]),"00000")
))</f>
        <v>DOC-01853</v>
      </c>
      <c r="B1854" s="47">
        <v>46056</v>
      </c>
      <c r="C1854" s="109" t="s">
        <v>7037</v>
      </c>
      <c r="D1854" s="110" t="s">
        <v>7038</v>
      </c>
      <c r="E1854" s="108" t="s">
        <v>7039</v>
      </c>
      <c r="F1854" s="4" t="s">
        <v>7040</v>
      </c>
      <c r="G1854" s="36" t="s">
        <v>7041</v>
      </c>
      <c r="H1854" t="s">
        <v>17</v>
      </c>
      <c r="I1854" s="18" t="s">
        <v>54</v>
      </c>
      <c r="J1854" s="99" t="s">
        <v>497</v>
      </c>
      <c r="K1854" s="5" t="s">
        <v>4185</v>
      </c>
      <c r="L1854" t="str">
        <f t="shared" si="33"/>
        <v>timdufresne73@gmail.com</v>
      </c>
    </row>
    <row r="1855" spans="1:12">
      <c r="A1855" t="str" cm="1">
        <f t="array" ref="A1855">_xlfn.LET(_xlpm.e,L1855,
IF(_xlpm.e="","",
"DOC-"&amp;TEXT(ROW()-ROW(tblMaster[#Headers]),"00000")
))</f>
        <v>DOC-01854</v>
      </c>
      <c r="B1855" s="47">
        <v>46056</v>
      </c>
      <c r="C1855" s="36" t="s">
        <v>7042</v>
      </c>
      <c r="D1855" s="36" t="s">
        <v>5292</v>
      </c>
      <c r="E1855" s="71" t="s">
        <v>5293</v>
      </c>
      <c r="F1855" s="4" t="s">
        <v>7043</v>
      </c>
      <c r="G1855" s="36" t="s">
        <v>596</v>
      </c>
      <c r="H1855" t="s">
        <v>17</v>
      </c>
      <c r="I1855" s="18" t="s">
        <v>54</v>
      </c>
      <c r="J1855" s="99" t="s">
        <v>194</v>
      </c>
      <c r="K1855" s="5" t="s">
        <v>652</v>
      </c>
      <c r="L1855" t="str">
        <f t="shared" si="33"/>
        <v>aaronatherton2@gmail.com</v>
      </c>
    </row>
    <row r="1856" spans="1:12">
      <c r="A1856" t="str" cm="1">
        <f t="array" ref="A1856">_xlfn.LET(_xlpm.e,L1856,
IF(_xlpm.e="","",
"DOC-"&amp;TEXT(ROW()-ROW(tblMaster[#Headers]),"00000")
))</f>
        <v>DOC-01855</v>
      </c>
      <c r="B1856" s="47">
        <v>46057</v>
      </c>
      <c r="C1856" s="36" t="s">
        <v>3388</v>
      </c>
      <c r="D1856" s="36" t="s">
        <v>7044</v>
      </c>
      <c r="E1856" s="108" t="s">
        <v>7045</v>
      </c>
      <c r="F1856" s="107" t="s">
        <v>7046</v>
      </c>
      <c r="G1856" s="36" t="s">
        <v>7047</v>
      </c>
      <c r="H1856" t="s">
        <v>17</v>
      </c>
      <c r="I1856" s="18" t="s">
        <v>54</v>
      </c>
      <c r="J1856" s="99" t="s">
        <v>66</v>
      </c>
      <c r="K1856" s="5" t="s">
        <v>4185</v>
      </c>
      <c r="L1856" t="str">
        <f t="shared" si="33"/>
        <v>jrios2002@icloud.com</v>
      </c>
    </row>
    <row r="1857" spans="1:12">
      <c r="A1857" t="str" cm="1">
        <f t="array" ref="A1857">_xlfn.LET(_xlpm.e,L1857,
IF(_xlpm.e="","",
"DOC-"&amp;TEXT(ROW()-ROW(tblMaster[#Headers]),"00000")
))</f>
        <v>DOC-01856</v>
      </c>
      <c r="B1857" s="47">
        <v>46057</v>
      </c>
      <c r="C1857" s="107" t="s">
        <v>286</v>
      </c>
      <c r="D1857" s="107" t="s">
        <v>7048</v>
      </c>
      <c r="E1857" s="108" t="s">
        <v>7049</v>
      </c>
      <c r="F1857" s="107" t="s">
        <v>7050</v>
      </c>
      <c r="G1857" s="107" t="s">
        <v>544</v>
      </c>
      <c r="H1857" t="s">
        <v>17</v>
      </c>
      <c r="I1857" s="18" t="s">
        <v>54</v>
      </c>
      <c r="J1857" s="99" t="s">
        <v>118</v>
      </c>
      <c r="K1857" s="5" t="s">
        <v>4185</v>
      </c>
      <c r="L1857" t="str">
        <f t="shared" si="33"/>
        <v>aoyola9696@gmail.com</v>
      </c>
    </row>
    <row r="1858" spans="1:12">
      <c r="A1858" t="str" cm="1">
        <f t="array" ref="A1858">_xlfn.LET(_xlpm.e,L1858,
IF(_xlpm.e="","",
"DOC-"&amp;TEXT(ROW()-ROW(tblMaster[#Headers]),"00000")
))</f>
        <v>DOC-01857</v>
      </c>
      <c r="B1858" s="47">
        <v>46057</v>
      </c>
      <c r="C1858" s="107" t="s">
        <v>7051</v>
      </c>
      <c r="D1858" t="s">
        <v>7052</v>
      </c>
      <c r="E1858" s="127" t="s">
        <v>7053</v>
      </c>
      <c r="F1858" s="107" t="s">
        <v>7054</v>
      </c>
      <c r="G1858" s="107" t="s">
        <v>79</v>
      </c>
      <c r="H1858" t="s">
        <v>17</v>
      </c>
      <c r="I1858" s="18" t="s">
        <v>54</v>
      </c>
      <c r="J1858" s="99" t="s">
        <v>560</v>
      </c>
      <c r="K1858" s="5" t="s">
        <v>4185</v>
      </c>
      <c r="L1858" t="str">
        <f t="shared" si="33"/>
        <v>1pattycamp@gmail.com</v>
      </c>
    </row>
    <row r="1859" spans="1:12">
      <c r="A1859" t="str" cm="1">
        <f t="array" ref="A1859">_xlfn.LET(_xlpm.e,L1859,
IF(_xlpm.e="","",
"DOC-"&amp;TEXT(ROW()-ROW(tblMaster[#Headers]),"00000")
))</f>
        <v>DOC-01858</v>
      </c>
      <c r="B1859" s="47">
        <v>46057</v>
      </c>
      <c r="C1859" s="36" t="s">
        <v>1689</v>
      </c>
      <c r="D1859" s="36" t="s">
        <v>2024</v>
      </c>
      <c r="E1859" s="71" t="s">
        <v>7055</v>
      </c>
      <c r="F1859" s="4" t="s">
        <v>7056</v>
      </c>
      <c r="G1859" s="36" t="s">
        <v>2770</v>
      </c>
      <c r="H1859" t="s">
        <v>17</v>
      </c>
      <c r="I1859" s="18" t="s">
        <v>54</v>
      </c>
      <c r="J1859" s="99" t="s">
        <v>23</v>
      </c>
      <c r="K1859" s="5" t="s">
        <v>4185</v>
      </c>
      <c r="L1859" t="str">
        <f t="shared" ref="L1859:L1865" si="34">_xlfn.LET(_xlpm.x,E1859,
_xlpm.y,TRIM(CLEAN(SUBSTITUTE(_xlpm.x,CHAR(160)," "))),
LOWER(_xlpm.y))</f>
        <v>swjrbears@gmail.com</v>
      </c>
    </row>
    <row r="1860" spans="1:12">
      <c r="A1860" t="str" cm="1">
        <f t="array" ref="A1860">_xlfn.LET(_xlpm.e,L1860,
IF(_xlpm.e="","",
"DOC-"&amp;TEXT(ROW()-ROW(tblMaster[#Headers]),"00000")
))</f>
        <v>DOC-01859</v>
      </c>
      <c r="B1860" s="47">
        <v>46057</v>
      </c>
      <c r="C1860" s="36" t="s">
        <v>7057</v>
      </c>
      <c r="D1860" s="36" t="s">
        <v>7058</v>
      </c>
      <c r="E1860" s="71" t="s">
        <v>7059</v>
      </c>
      <c r="F1860" s="4" t="s">
        <v>7060</v>
      </c>
      <c r="G1860" s="36" t="s">
        <v>979</v>
      </c>
      <c r="H1860" t="s">
        <v>17</v>
      </c>
      <c r="I1860" s="18" t="s">
        <v>54</v>
      </c>
      <c r="J1860" s="99" t="s">
        <v>497</v>
      </c>
      <c r="K1860" s="5" t="s">
        <v>4185</v>
      </c>
      <c r="L1860" t="str">
        <f t="shared" si="34"/>
        <v>acaldeira362007@gmail.com</v>
      </c>
    </row>
    <row r="1861" spans="1:12">
      <c r="A1861" t="str" cm="1">
        <f t="array" ref="A1861">_xlfn.LET(_xlpm.e,L1861,
IF(_xlpm.e="","",
"DOC-"&amp;TEXT(ROW()-ROW(tblMaster[#Headers]),"00000")
))</f>
        <v>DOC-01860</v>
      </c>
      <c r="B1861" s="47">
        <v>46057</v>
      </c>
      <c r="C1861" s="36" t="s">
        <v>7061</v>
      </c>
      <c r="D1861" s="36" t="s">
        <v>7062</v>
      </c>
      <c r="E1861" s="71" t="s">
        <v>7063</v>
      </c>
      <c r="F1861" s="4" t="s">
        <v>7064</v>
      </c>
      <c r="G1861" s="36" t="s">
        <v>257</v>
      </c>
      <c r="H1861" t="s">
        <v>17</v>
      </c>
      <c r="I1861" s="18" t="s">
        <v>54</v>
      </c>
      <c r="J1861" s="99" t="s">
        <v>194</v>
      </c>
      <c r="K1861" s="5" t="s">
        <v>4185</v>
      </c>
      <c r="L1861" t="str">
        <f t="shared" si="34"/>
        <v>zvetter715@gmail.com</v>
      </c>
    </row>
    <row r="1862" spans="1:12">
      <c r="A1862" t="str" cm="1">
        <f t="array" ref="A1862">_xlfn.LET(_xlpm.e,L1862,
IF(_xlpm.e="","",
"DOC-"&amp;TEXT(ROW()-ROW(tblMaster[#Headers]),"00000")
))</f>
        <v>DOC-01861</v>
      </c>
      <c r="B1862" s="47">
        <v>46057</v>
      </c>
      <c r="C1862" s="36" t="s">
        <v>7065</v>
      </c>
      <c r="D1862" s="36" t="s">
        <v>7066</v>
      </c>
      <c r="E1862" s="71" t="s">
        <v>7067</v>
      </c>
      <c r="F1862" s="4" t="s">
        <v>7068</v>
      </c>
      <c r="G1862" s="36" t="s">
        <v>2215</v>
      </c>
      <c r="H1862" t="s">
        <v>17</v>
      </c>
      <c r="I1862" s="18" t="s">
        <v>54</v>
      </c>
      <c r="J1862" s="99" t="s">
        <v>66</v>
      </c>
      <c r="K1862" s="5" t="s">
        <v>4185</v>
      </c>
      <c r="L1862" t="str">
        <f t="shared" si="34"/>
        <v>tabithagable1201@gmail.com</v>
      </c>
    </row>
    <row r="1863" spans="1:12">
      <c r="A1863" t="str" cm="1">
        <f t="array" ref="A1863">_xlfn.LET(_xlpm.e,L1863,
IF(_xlpm.e="","",
"DOC-"&amp;TEXT(ROW()-ROW(tblMaster[#Headers]),"00000")
))</f>
        <v>DOC-01862</v>
      </c>
      <c r="B1863" s="47">
        <v>46057</v>
      </c>
      <c r="C1863" s="36" t="s">
        <v>934</v>
      </c>
      <c r="D1863" s="36" t="s">
        <v>7069</v>
      </c>
      <c r="E1863" s="71" t="s">
        <v>7070</v>
      </c>
      <c r="F1863" s="4" t="s">
        <v>7071</v>
      </c>
      <c r="G1863" s="36" t="s">
        <v>979</v>
      </c>
      <c r="H1863" t="s">
        <v>17</v>
      </c>
      <c r="I1863" s="18" t="s">
        <v>101</v>
      </c>
      <c r="J1863" s="99" t="s">
        <v>66</v>
      </c>
      <c r="K1863" s="5" t="s">
        <v>4185</v>
      </c>
      <c r="L1863" t="str">
        <f t="shared" si="34"/>
        <v>davidlacreta@gmail.com</v>
      </c>
    </row>
    <row r="1864" spans="1:12">
      <c r="A1864" t="str" cm="1">
        <f t="array" ref="A1864">_xlfn.LET(_xlpm.e,L1864,
IF(_xlpm.e="","",
"DOC-"&amp;TEXT(ROW()-ROW(tblMaster[#Headers]),"00000")
))</f>
        <v>DOC-01863</v>
      </c>
      <c r="B1864" s="47">
        <v>46057</v>
      </c>
      <c r="C1864" t="s">
        <v>7072</v>
      </c>
      <c r="D1864" t="s">
        <v>7073</v>
      </c>
      <c r="E1864" s="127" t="s">
        <v>7074</v>
      </c>
      <c r="F1864" s="4" t="s">
        <v>7075</v>
      </c>
      <c r="G1864" t="s">
        <v>257</v>
      </c>
      <c r="H1864" t="s">
        <v>17</v>
      </c>
      <c r="I1864" s="18" t="s">
        <v>54</v>
      </c>
      <c r="J1864" s="99" t="s">
        <v>560</v>
      </c>
      <c r="K1864" s="5" t="s">
        <v>4185</v>
      </c>
      <c r="L1864" t="str">
        <f t="shared" si="34"/>
        <v>hbaez6746@gmail.com</v>
      </c>
    </row>
    <row r="1865" spans="1:12">
      <c r="A1865" t="str" cm="1">
        <f t="array" ref="A1865">_xlfn.LET(_xlpm.e,L1865,
IF(_xlpm.e="","",
"DOC-"&amp;TEXT(ROW()-ROW(tblMaster[#Headers]),"00000")
))</f>
        <v>DOC-01864</v>
      </c>
      <c r="B1865" s="47">
        <v>46057</v>
      </c>
      <c r="C1865" s="36" t="s">
        <v>7076</v>
      </c>
      <c r="D1865" s="36" t="s">
        <v>7077</v>
      </c>
      <c r="E1865" s="71" t="s">
        <v>7078</v>
      </c>
      <c r="F1865" s="4" t="s">
        <v>7079</v>
      </c>
      <c r="G1865" s="36" t="s">
        <v>6043</v>
      </c>
      <c r="H1865" t="s">
        <v>17</v>
      </c>
      <c r="I1865" s="18" t="s">
        <v>54</v>
      </c>
      <c r="J1865" s="99" t="s">
        <v>23</v>
      </c>
      <c r="K1865" s="5" t="s">
        <v>4185</v>
      </c>
      <c r="L1865" t="str">
        <f t="shared" si="34"/>
        <v>jahairi24@gmail.com</v>
      </c>
    </row>
    <row r="1866" spans="1:12">
      <c r="A1866" t="str" cm="1">
        <f t="array" ref="A1866">_xlfn.LET(_xlpm.e,L1866,
IF(_xlpm.e="","",
"DOC-"&amp;TEXT(ROW()-ROW(tblMaster[#Headers]),"00000")
))</f>
        <v>DOC-01865</v>
      </c>
      <c r="B1866" s="47">
        <v>46057</v>
      </c>
      <c r="C1866" s="36" t="s">
        <v>7080</v>
      </c>
      <c r="D1866" s="36" t="s">
        <v>7081</v>
      </c>
      <c r="E1866" s="71" t="s">
        <v>7082</v>
      </c>
      <c r="F1866" s="4" t="s">
        <v>7083</v>
      </c>
      <c r="G1866" s="36" t="s">
        <v>728</v>
      </c>
      <c r="H1866" t="s">
        <v>17</v>
      </c>
      <c r="I1866" s="18" t="s">
        <v>54</v>
      </c>
      <c r="J1866" s="99" t="s">
        <v>497</v>
      </c>
      <c r="K1866" s="5" t="s">
        <v>4185</v>
      </c>
      <c r="L1866" t="str">
        <f t="shared" ref="L1866:L1875" si="35">_xlfn.LET(_xlpm.x,E1866,
_xlpm.y,TRIM(CLEAN(SUBSTITUTE(_xlpm.x,CHAR(160)," "))),
LOWER(_xlpm.y))</f>
        <v>oshanahmonteiro95@gmail.com</v>
      </c>
    </row>
    <row r="1867" spans="1:12">
      <c r="A1867" t="str" cm="1">
        <f t="array" ref="A1867">_xlfn.LET(_xlpm.e,L1867,
IF(_xlpm.e="","",
"DOC-"&amp;TEXT(ROW()-ROW(tblMaster[#Headers]),"00000")
))</f>
        <v>DOC-01866</v>
      </c>
      <c r="B1867" s="47">
        <v>46058</v>
      </c>
      <c r="C1867" s="36" t="s">
        <v>7084</v>
      </c>
      <c r="D1867" s="36" t="s">
        <v>7085</v>
      </c>
      <c r="E1867" s="71" t="s">
        <v>7086</v>
      </c>
      <c r="F1867" s="4" t="s">
        <v>7087</v>
      </c>
      <c r="G1867" s="36" t="s">
        <v>502</v>
      </c>
      <c r="H1867" t="s">
        <v>17</v>
      </c>
      <c r="I1867" s="18" t="s">
        <v>54</v>
      </c>
      <c r="J1867" s="99" t="s">
        <v>194</v>
      </c>
      <c r="K1867" s="5" t="s">
        <v>4185</v>
      </c>
      <c r="L1867" t="str">
        <f t="shared" si="35"/>
        <v>apollon.reggiani@icloud.com</v>
      </c>
    </row>
    <row r="1868" spans="1:12">
      <c r="A1868" t="str" cm="1">
        <f t="array" ref="A1868">_xlfn.LET(_xlpm.e,L1868,
IF(_xlpm.e="","",
"DOC-"&amp;TEXT(ROW()-ROW(tblMaster[#Headers]),"00000")
))</f>
        <v>DOC-01867</v>
      </c>
      <c r="B1868" s="47">
        <v>46058</v>
      </c>
      <c r="C1868" s="36" t="s">
        <v>7088</v>
      </c>
      <c r="D1868" s="36" t="s">
        <v>7089</v>
      </c>
      <c r="E1868" s="71" t="s">
        <v>7090</v>
      </c>
      <c r="F1868" s="4" t="s">
        <v>7091</v>
      </c>
      <c r="G1868" s="36" t="s">
        <v>19</v>
      </c>
      <c r="H1868" t="s">
        <v>153</v>
      </c>
      <c r="I1868" s="18" t="s">
        <v>101</v>
      </c>
      <c r="J1868" s="99" t="s">
        <v>66</v>
      </c>
      <c r="K1868" s="5" t="s">
        <v>4185</v>
      </c>
      <c r="L1868" t="str">
        <f t="shared" si="35"/>
        <v>ronnieformore@yahoo.com</v>
      </c>
    </row>
    <row r="1869" spans="1:12">
      <c r="A1869" t="str" cm="1">
        <f t="array" ref="A1869">_xlfn.LET(_xlpm.e,L1869,
IF(_xlpm.e="","",
"DOC-"&amp;TEXT(ROW()-ROW(tblMaster[#Headers]),"00000")
))</f>
        <v>DOC-01868</v>
      </c>
      <c r="B1869" s="47">
        <v>46058</v>
      </c>
      <c r="C1869" s="36" t="s">
        <v>1774</v>
      </c>
      <c r="D1869" s="36" t="s">
        <v>7092</v>
      </c>
      <c r="E1869" s="71" t="s">
        <v>7093</v>
      </c>
      <c r="F1869" s="4" t="s">
        <v>7094</v>
      </c>
      <c r="G1869" s="36" t="s">
        <v>3602</v>
      </c>
      <c r="H1869" t="s">
        <v>17</v>
      </c>
      <c r="I1869" s="18" t="s">
        <v>54</v>
      </c>
      <c r="J1869" s="99" t="s">
        <v>118</v>
      </c>
      <c r="K1869" s="5" t="s">
        <v>4185</v>
      </c>
      <c r="L1869" t="str">
        <f t="shared" si="35"/>
        <v>alexrosati99@gmail.com</v>
      </c>
    </row>
    <row r="1870" spans="1:12">
      <c r="A1870" t="str" cm="1">
        <f t="array" ref="A1870">_xlfn.LET(_xlpm.e,L1870,
IF(_xlpm.e="","",
"DOC-"&amp;TEXT(ROW()-ROW(tblMaster[#Headers]),"00000")
))</f>
        <v>DOC-01869</v>
      </c>
      <c r="B1870" s="47">
        <v>46058</v>
      </c>
      <c r="C1870" t="s">
        <v>7095</v>
      </c>
      <c r="D1870" t="s">
        <v>7096</v>
      </c>
      <c r="E1870" s="127" t="s">
        <v>7097</v>
      </c>
      <c r="F1870" s="4" t="s">
        <v>7098</v>
      </c>
      <c r="G1870" t="s">
        <v>1463</v>
      </c>
      <c r="H1870" t="s">
        <v>17</v>
      </c>
      <c r="I1870" s="18" t="s">
        <v>54</v>
      </c>
      <c r="J1870" s="99" t="s">
        <v>560</v>
      </c>
      <c r="K1870" s="5" t="s">
        <v>4185</v>
      </c>
      <c r="L1870" t="str">
        <f t="shared" si="35"/>
        <v>lozamaexil@yahoo.fr</v>
      </c>
    </row>
    <row r="1871" spans="1:12">
      <c r="A1871" t="str" cm="1">
        <f t="array" ref="A1871">_xlfn.LET(_xlpm.e,L1871,
IF(_xlpm.e="","",
"DOC-"&amp;TEXT(ROW()-ROW(tblMaster[#Headers]),"00000")
))</f>
        <v>DOC-01870</v>
      </c>
      <c r="B1871" s="47">
        <v>46058</v>
      </c>
      <c r="C1871" s="36" t="s">
        <v>1113</v>
      </c>
      <c r="D1871" s="36" t="s">
        <v>7099</v>
      </c>
      <c r="E1871" s="71" t="s">
        <v>7100</v>
      </c>
      <c r="F1871" s="4" t="s">
        <v>7101</v>
      </c>
      <c r="G1871" s="36" t="s">
        <v>2864</v>
      </c>
      <c r="H1871" t="s">
        <v>267</v>
      </c>
      <c r="I1871" s="5" t="s">
        <v>2276</v>
      </c>
      <c r="J1871" s="99" t="s">
        <v>118</v>
      </c>
      <c r="K1871" s="5" t="s">
        <v>4185</v>
      </c>
      <c r="L1871" t="str">
        <f t="shared" si="35"/>
        <v>joeycolon444@gmail.com</v>
      </c>
    </row>
    <row r="1872" spans="1:12">
      <c r="A1872" t="str" cm="1">
        <f t="array" ref="A1872">_xlfn.LET(_xlpm.e,L1872,
IF(_xlpm.e="","",
"DOC-"&amp;TEXT(ROW()-ROW(tblMaster[#Headers]),"00000")
))</f>
        <v>DOC-01871</v>
      </c>
      <c r="B1872" s="47">
        <v>46058</v>
      </c>
      <c r="C1872" s="36" t="s">
        <v>7102</v>
      </c>
      <c r="D1872" s="36" t="s">
        <v>7103</v>
      </c>
      <c r="E1872" s="71" t="s">
        <v>7104</v>
      </c>
      <c r="F1872" s="4" t="s">
        <v>7105</v>
      </c>
      <c r="G1872" s="36" t="s">
        <v>257</v>
      </c>
      <c r="H1872" t="s">
        <v>17</v>
      </c>
      <c r="I1872" s="5" t="s">
        <v>2276</v>
      </c>
      <c r="J1872" s="99" t="s">
        <v>23</v>
      </c>
      <c r="K1872" s="5" t="s">
        <v>4185</v>
      </c>
      <c r="L1872" t="str">
        <f t="shared" si="35"/>
        <v>lockesmeas@gmail.com</v>
      </c>
    </row>
    <row r="1873" spans="1:12">
      <c r="A1873" t="str" cm="1">
        <f t="array" ref="A1873">_xlfn.LET(_xlpm.e,L1873,
IF(_xlpm.e="","",
"DOC-"&amp;TEXT(ROW()-ROW(tblMaster[#Headers]),"00000")
))</f>
        <v>DOC-01872</v>
      </c>
      <c r="B1873" s="47">
        <v>46058</v>
      </c>
      <c r="C1873" s="36" t="s">
        <v>4510</v>
      </c>
      <c r="D1873" s="36" t="s">
        <v>7106</v>
      </c>
      <c r="E1873" s="71" t="s">
        <v>7107</v>
      </c>
      <c r="F1873" s="4" t="s">
        <v>7108</v>
      </c>
      <c r="G1873" s="36" t="s">
        <v>7109</v>
      </c>
      <c r="H1873" t="s">
        <v>7110</v>
      </c>
      <c r="I1873" s="5" t="s">
        <v>2276</v>
      </c>
      <c r="J1873" s="99" t="s">
        <v>497</v>
      </c>
      <c r="K1873" s="5" t="s">
        <v>4185</v>
      </c>
      <c r="L1873" t="str">
        <f t="shared" si="35"/>
        <v>jamiecourtney1989@gmail.com</v>
      </c>
    </row>
    <row r="1874" spans="1:12">
      <c r="A1874" t="str" cm="1">
        <f t="array" ref="A1874">_xlfn.LET(_xlpm.e,L1874,
IF(_xlpm.e="","",
"DOC-"&amp;TEXT(ROW()-ROW(tblMaster[#Headers]),"00000")
))</f>
        <v>DOC-01873</v>
      </c>
      <c r="B1874" s="47">
        <v>46058</v>
      </c>
      <c r="C1874" s="36" t="s">
        <v>1739</v>
      </c>
      <c r="D1874" s="36" t="s">
        <v>7111</v>
      </c>
      <c r="E1874" s="71" t="s">
        <v>7112</v>
      </c>
      <c r="F1874" s="4" t="s">
        <v>7113</v>
      </c>
      <c r="G1874" s="36" t="s">
        <v>281</v>
      </c>
      <c r="H1874" t="s">
        <v>17</v>
      </c>
      <c r="I1874" s="5" t="s">
        <v>2276</v>
      </c>
      <c r="J1874" s="99" t="s">
        <v>194</v>
      </c>
      <c r="K1874" s="5" t="s">
        <v>4185</v>
      </c>
      <c r="L1874" t="str">
        <f t="shared" si="35"/>
        <v>petitbabo@gmail.com</v>
      </c>
    </row>
    <row r="1875" spans="1:12">
      <c r="A1875" t="str" cm="1">
        <f t="array" ref="A1875">_xlfn.LET(_xlpm.e,L1875,
IF(_xlpm.e="","",
"DOC-"&amp;TEXT(ROW()-ROW(tblMaster[#Headers]),"00000")
))</f>
        <v>DOC-01874</v>
      </c>
      <c r="B1875" s="47">
        <v>46058</v>
      </c>
      <c r="C1875" s="107" t="s">
        <v>4171</v>
      </c>
      <c r="D1875" s="107" t="s">
        <v>25</v>
      </c>
      <c r="E1875" s="127" t="s">
        <v>7114</v>
      </c>
      <c r="F1875" s="107" t="s">
        <v>7115</v>
      </c>
      <c r="G1875" s="107" t="s">
        <v>7116</v>
      </c>
      <c r="H1875" t="s">
        <v>17</v>
      </c>
      <c r="I1875" s="18" t="s">
        <v>54</v>
      </c>
      <c r="J1875" s="99" t="s">
        <v>560</v>
      </c>
      <c r="K1875" s="5" t="s">
        <v>4185</v>
      </c>
      <c r="L1875" t="str">
        <f t="shared" si="35"/>
        <v>oisaiah56@gmail.com</v>
      </c>
    </row>
    <row r="1876" spans="1:12">
      <c r="A1876" t="str" cm="1">
        <f t="array" ref="A1876">_xlfn.LET(_xlpm.e,L1876,
IF(_xlpm.e="","",
"DOC-"&amp;TEXT(ROW()-ROW(tblMaster[#Headers]),"00000")
))</f>
        <v>DOC-01875</v>
      </c>
      <c r="B1876" s="47">
        <v>46058</v>
      </c>
      <c r="C1876" s="36" t="s">
        <v>3411</v>
      </c>
      <c r="D1876" s="36" t="s">
        <v>7117</v>
      </c>
      <c r="E1876" s="71" t="s">
        <v>7118</v>
      </c>
      <c r="F1876" s="4" t="s">
        <v>7119</v>
      </c>
      <c r="G1876" s="36" t="s">
        <v>7120</v>
      </c>
      <c r="H1876" t="s">
        <v>17</v>
      </c>
      <c r="I1876" s="5" t="s">
        <v>2276</v>
      </c>
      <c r="J1876" s="99" t="s">
        <v>23</v>
      </c>
      <c r="K1876" s="5" t="s">
        <v>4185</v>
      </c>
      <c r="L1876" t="str">
        <f t="shared" ref="L1876:L1907" si="36">_xlfn.LET(_xlpm.x,E1876,
_xlpm.y,TRIM(CLEAN(SUBSTITUTE(_xlpm.x,CHAR(160)," "))),
LOWER(_xlpm.y))</f>
        <v>alexander.t.parke@gmail.com</v>
      </c>
    </row>
    <row r="1877" spans="1:12">
      <c r="A1877" t="str" cm="1">
        <f t="array" ref="A1877">_xlfn.LET(_xlpm.e,L1877,
IF(_xlpm.e="","",
"DOC-"&amp;TEXT(ROW()-ROW(tblMaster[#Headers]),"00000")
))</f>
        <v>DOC-01876</v>
      </c>
      <c r="B1877" s="47">
        <v>46058</v>
      </c>
      <c r="C1877" s="36" t="s">
        <v>7121</v>
      </c>
      <c r="D1877" s="36" t="s">
        <v>7122</v>
      </c>
      <c r="E1877" s="71" t="s">
        <v>7123</v>
      </c>
      <c r="F1877" s="4" t="s">
        <v>7124</v>
      </c>
      <c r="G1877" s="36" t="s">
        <v>1034</v>
      </c>
      <c r="H1877" t="s">
        <v>17</v>
      </c>
      <c r="I1877" s="5" t="s">
        <v>2276</v>
      </c>
      <c r="J1877" s="99" t="s">
        <v>497</v>
      </c>
      <c r="K1877" s="5" t="s">
        <v>4185</v>
      </c>
      <c r="L1877" t="str">
        <f t="shared" si="36"/>
        <v>omar.rehman.usa@gmail.com</v>
      </c>
    </row>
    <row r="1878" spans="1:12">
      <c r="A1878" t="str" cm="1">
        <f t="array" ref="A1878">_xlfn.LET(_xlpm.e,L1878,
IF(_xlpm.e="","",
"DOC-"&amp;TEXT(ROW()-ROW(tblMaster[#Headers]),"00000")
))</f>
        <v>DOC-01877</v>
      </c>
      <c r="B1878" s="47">
        <v>46059</v>
      </c>
      <c r="C1878" s="36" t="s">
        <v>5980</v>
      </c>
      <c r="D1878" s="36" t="s">
        <v>7125</v>
      </c>
      <c r="E1878" s="71" t="s">
        <v>7126</v>
      </c>
      <c r="F1878" s="4" t="s">
        <v>7127</v>
      </c>
      <c r="G1878" s="36" t="s">
        <v>257</v>
      </c>
      <c r="H1878" t="s">
        <v>17</v>
      </c>
      <c r="I1878" s="18" t="s">
        <v>54</v>
      </c>
      <c r="J1878" s="99" t="s">
        <v>194</v>
      </c>
      <c r="K1878" s="5" t="s">
        <v>4185</v>
      </c>
      <c r="L1878" t="str">
        <f t="shared" si="36"/>
        <v>rayslove2001@gmail.com</v>
      </c>
    </row>
    <row r="1879" spans="1:12">
      <c r="A1879" t="str" cm="1">
        <f t="array" ref="A1879">_xlfn.LET(_xlpm.e,L1879,
IF(_xlpm.e="","",
"DOC-"&amp;TEXT(ROW()-ROW(tblMaster[#Headers]),"00000")
))</f>
        <v>DOC-01878</v>
      </c>
      <c r="B1879" s="47">
        <v>46059</v>
      </c>
      <c r="C1879" s="36" t="s">
        <v>4755</v>
      </c>
      <c r="D1879" s="36" t="s">
        <v>7128</v>
      </c>
      <c r="E1879" s="71" t="s">
        <v>7129</v>
      </c>
      <c r="F1879" s="4" t="s">
        <v>7130</v>
      </c>
      <c r="G1879" s="36" t="s">
        <v>6912</v>
      </c>
      <c r="H1879" t="s">
        <v>17</v>
      </c>
      <c r="I1879" s="18" t="s">
        <v>54</v>
      </c>
      <c r="J1879" s="99" t="s">
        <v>66</v>
      </c>
      <c r="K1879" s="5" t="s">
        <v>4185</v>
      </c>
      <c r="L1879" t="str">
        <f t="shared" si="36"/>
        <v>alexa.oneill92@gmail.com</v>
      </c>
    </row>
    <row r="1880" spans="1:12">
      <c r="A1880" t="str" cm="1">
        <f t="array" ref="A1880">_xlfn.LET(_xlpm.e,L1880,
IF(_xlpm.e="","",
"DOC-"&amp;TEXT(ROW()-ROW(tblMaster[#Headers]),"00000")
))</f>
        <v>DOC-01879</v>
      </c>
      <c r="B1880" s="47">
        <v>46059</v>
      </c>
      <c r="C1880" s="36" t="s">
        <v>7131</v>
      </c>
      <c r="D1880" s="36" t="s">
        <v>7132</v>
      </c>
      <c r="E1880" s="71" t="s">
        <v>7133</v>
      </c>
      <c r="F1880" s="4" t="s">
        <v>7134</v>
      </c>
      <c r="G1880" s="36" t="s">
        <v>539</v>
      </c>
      <c r="H1880" t="s">
        <v>17</v>
      </c>
      <c r="I1880" s="18" t="s">
        <v>54</v>
      </c>
      <c r="J1880" s="99" t="s">
        <v>66</v>
      </c>
      <c r="K1880" s="5" t="s">
        <v>4185</v>
      </c>
      <c r="L1880" t="str">
        <f t="shared" si="36"/>
        <v>whitneycadet2623@gmail.com</v>
      </c>
    </row>
    <row r="1881" spans="1:12" ht="15" customHeight="1">
      <c r="A1881" t="str" cm="1">
        <f t="array" ref="A1881">_xlfn.LET(_xlpm.e,L1881,
IF(_xlpm.e="","",
"DOC-"&amp;TEXT(ROW()-ROW(tblMaster[#Headers]),"00000")
))</f>
        <v>DOC-01880</v>
      </c>
      <c r="B1881" s="47">
        <v>46062</v>
      </c>
      <c r="C1881" s="120" t="s">
        <v>7135</v>
      </c>
      <c r="D1881" s="120" t="s">
        <v>7135</v>
      </c>
      <c r="E1881" s="108" t="s">
        <v>7136</v>
      </c>
      <c r="F1881" s="121" t="s">
        <v>7137</v>
      </c>
      <c r="G1881" s="121" t="s">
        <v>7138</v>
      </c>
      <c r="H1881" t="s">
        <v>17</v>
      </c>
      <c r="I1881" s="18" t="s">
        <v>54</v>
      </c>
      <c r="J1881" s="99" t="s">
        <v>23</v>
      </c>
      <c r="K1881" s="5" t="s">
        <v>4185</v>
      </c>
      <c r="L1881" t="str">
        <f t="shared" si="36"/>
        <v>zainh75@yahoo.com</v>
      </c>
    </row>
    <row r="1882" spans="1:12" ht="15" customHeight="1">
      <c r="A1882" t="str" cm="1">
        <f t="array" ref="A1882">_xlfn.LET(_xlpm.e,L1882,
IF(_xlpm.e="","",
"DOC-"&amp;TEXT(ROW()-ROW(tblMaster[#Headers]),"00000")
))</f>
        <v>DOC-01881</v>
      </c>
      <c r="B1882" s="47">
        <v>46062</v>
      </c>
      <c r="C1882" t="s">
        <v>7139</v>
      </c>
      <c r="D1882" t="s">
        <v>7140</v>
      </c>
      <c r="E1882" t="s">
        <v>7141</v>
      </c>
      <c r="F1882" t="s">
        <v>7142</v>
      </c>
      <c r="G1882"/>
      <c r="I1882" s="18" t="s">
        <v>54</v>
      </c>
      <c r="J1882" t="s">
        <v>118</v>
      </c>
      <c r="K1882" t="s">
        <v>4185</v>
      </c>
      <c r="L1882" t="str">
        <f t="shared" si="36"/>
        <v>malu1142@yahoo.com</v>
      </c>
    </row>
    <row r="1883" spans="1:12" ht="15" customHeight="1">
      <c r="A1883" t="str" cm="1">
        <f t="array" ref="A1883">_xlfn.LET(_xlpm.e,L1883,
IF(_xlpm.e="","",
"DOC-"&amp;TEXT(ROW()-ROW(tblMaster[#Headers]),"00000")
))</f>
        <v>DOC-01882</v>
      </c>
      <c r="B1883" s="47">
        <v>46062</v>
      </c>
      <c r="C1883" t="s">
        <v>7143</v>
      </c>
      <c r="D1883" t="s">
        <v>2523</v>
      </c>
      <c r="E1883" s="127" t="s">
        <v>7144</v>
      </c>
      <c r="F1883" t="s">
        <v>7145</v>
      </c>
      <c r="G1883" s="7" t="s">
        <v>7146</v>
      </c>
      <c r="H1883" t="s">
        <v>17</v>
      </c>
      <c r="I1883" s="18" t="s">
        <v>54</v>
      </c>
      <c r="J1883" t="s">
        <v>560</v>
      </c>
      <c r="K1883" t="s">
        <v>4185</v>
      </c>
      <c r="L1883" t="str">
        <f t="shared" si="36"/>
        <v>kathleenlgomes@gmail.com</v>
      </c>
    </row>
    <row r="1884" spans="1:12" ht="15" customHeight="1">
      <c r="A1884" t="str" cm="1">
        <f t="array" ref="A1884">_xlfn.LET(_xlpm.e,L1884,
IF(_xlpm.e="","",
"DOC-"&amp;TEXT(ROW()-ROW(tblMaster[#Headers]),"00000")
))</f>
        <v>DOC-01883</v>
      </c>
      <c r="B1884" s="47">
        <v>46062</v>
      </c>
      <c r="C1884" t="s">
        <v>7147</v>
      </c>
      <c r="D1884" t="s">
        <v>7148</v>
      </c>
      <c r="E1884" s="7" t="s">
        <v>7149</v>
      </c>
      <c r="F1884" t="s">
        <v>7150</v>
      </c>
      <c r="G1884" s="7" t="s">
        <v>7151</v>
      </c>
      <c r="H1884" t="s">
        <v>17</v>
      </c>
      <c r="I1884" s="18" t="s">
        <v>54</v>
      </c>
      <c r="J1884" t="s">
        <v>497</v>
      </c>
      <c r="K1884" t="s">
        <v>4185</v>
      </c>
      <c r="L1884" t="str">
        <f t="shared" si="36"/>
        <v>mposey1833@gmail.com</v>
      </c>
    </row>
    <row r="1885" spans="1:12" ht="15" customHeight="1">
      <c r="A1885" t="str" cm="1">
        <f t="array" ref="A1885">_xlfn.LET(_xlpm.e,L1885,
IF(_xlpm.e="","",
"DOC-"&amp;TEXT(ROW()-ROW(tblMaster[#Headers]),"00000")
))</f>
        <v>DOC-01884</v>
      </c>
      <c r="B1885" s="47">
        <v>46062</v>
      </c>
      <c r="C1885" s="120" t="s">
        <v>3620</v>
      </c>
      <c r="D1885" s="120" t="s">
        <v>7152</v>
      </c>
      <c r="E1885" s="122" t="s">
        <v>7153</v>
      </c>
      <c r="F1885" s="121" t="s">
        <v>7154</v>
      </c>
      <c r="G1885" s="121" t="s">
        <v>2392</v>
      </c>
      <c r="H1885" t="s">
        <v>60</v>
      </c>
      <c r="I1885" t="s">
        <v>943</v>
      </c>
      <c r="J1885" s="99" t="s">
        <v>66</v>
      </c>
      <c r="K1885" s="5" t="s">
        <v>4185</v>
      </c>
      <c r="L1885" t="str">
        <f t="shared" si="36"/>
        <v>jakecordeiro88@gmail.com</v>
      </c>
    </row>
    <row r="1886" spans="1:12" ht="15" customHeight="1">
      <c r="A1886" t="str" cm="1">
        <f t="array" ref="A1886">_xlfn.LET(_xlpm.e,L1886,
IF(_xlpm.e="","",
"DOC-"&amp;TEXT(ROW()-ROW(tblMaster[#Headers]),"00000")
))</f>
        <v>DOC-01885</v>
      </c>
      <c r="B1886" s="47">
        <v>46062</v>
      </c>
      <c r="C1886" s="120" t="s">
        <v>7155</v>
      </c>
      <c r="D1886" s="120" t="s">
        <v>7156</v>
      </c>
      <c r="E1886" s="108" t="s">
        <v>7157</v>
      </c>
      <c r="F1886" s="120" t="s">
        <v>7158</v>
      </c>
      <c r="G1886" s="120" t="s">
        <v>2027</v>
      </c>
      <c r="H1886" t="s">
        <v>267</v>
      </c>
      <c r="I1886" s="18" t="s">
        <v>54</v>
      </c>
      <c r="J1886" s="99" t="s">
        <v>194</v>
      </c>
      <c r="K1886" s="5" t="s">
        <v>4185</v>
      </c>
      <c r="L1886" t="str">
        <f t="shared" si="36"/>
        <v>d.doran3000@gmail.com</v>
      </c>
    </row>
    <row r="1887" spans="1:12" ht="15" customHeight="1">
      <c r="A1887" t="str" cm="1">
        <f t="array" ref="A1887">_xlfn.LET(_xlpm.e,L1887,
IF(_xlpm.e="","",
"DOC-"&amp;TEXT(ROW()-ROW(tblMaster[#Headers]),"00000")
))</f>
        <v>DOC-01886</v>
      </c>
      <c r="B1887" s="47">
        <v>46062</v>
      </c>
      <c r="C1887" s="120" t="s">
        <v>3771</v>
      </c>
      <c r="D1887" s="120" t="s">
        <v>7159</v>
      </c>
      <c r="E1887" s="108" t="s">
        <v>7160</v>
      </c>
      <c r="F1887" s="121" t="s">
        <v>7161</v>
      </c>
      <c r="G1887" s="120" t="s">
        <v>2770</v>
      </c>
      <c r="H1887" t="s">
        <v>17</v>
      </c>
      <c r="I1887" s="18" t="s">
        <v>54</v>
      </c>
      <c r="J1887" s="99" t="s">
        <v>66</v>
      </c>
      <c r="K1887" s="5" t="s">
        <v>4185</v>
      </c>
      <c r="L1887" t="str">
        <f t="shared" si="36"/>
        <v>shawnborges1982@gmail.com</v>
      </c>
    </row>
    <row r="1888" spans="1:12" ht="15" customHeight="1">
      <c r="A1888" t="str" cm="1">
        <f t="array" ref="A1888">_xlfn.LET(_xlpm.e,L1888,
IF(_xlpm.e="","",
"DOC-"&amp;TEXT(ROW()-ROW(tblMaster[#Headers]),"00000")
))</f>
        <v>DOC-01887</v>
      </c>
      <c r="B1888" s="47">
        <v>46062</v>
      </c>
      <c r="C1888" s="36" t="s">
        <v>7162</v>
      </c>
      <c r="D1888" s="36" t="s">
        <v>7163</v>
      </c>
      <c r="E1888" s="71" t="s">
        <v>7164</v>
      </c>
      <c r="F1888" s="4" t="s">
        <v>7165</v>
      </c>
      <c r="G1888" s="36" t="s">
        <v>47</v>
      </c>
      <c r="H1888" t="s">
        <v>17</v>
      </c>
      <c r="I1888" s="18" t="s">
        <v>101</v>
      </c>
      <c r="J1888" s="99" t="s">
        <v>118</v>
      </c>
      <c r="K1888" s="5" t="s">
        <v>4185</v>
      </c>
      <c r="L1888" t="str">
        <f t="shared" si="36"/>
        <v>kareenfrancois@gmail.com</v>
      </c>
    </row>
    <row r="1889" spans="1:12" ht="15" customHeight="1">
      <c r="A1889" t="str" cm="1">
        <f t="array" ref="A1889">_xlfn.LET(_xlpm.e,L1889,
IF(_xlpm.e="","",
"DOC-"&amp;TEXT(ROW()-ROW(tblMaster[#Headers]),"00000")
))</f>
        <v>DOC-01888</v>
      </c>
      <c r="B1889" s="47">
        <v>46062</v>
      </c>
      <c r="C1889" t="s">
        <v>7166</v>
      </c>
      <c r="D1889" t="s">
        <v>7167</v>
      </c>
      <c r="E1889" s="127" t="s">
        <v>7168</v>
      </c>
      <c r="F1889" s="132" t="s">
        <v>7169</v>
      </c>
      <c r="G1889" t="s">
        <v>704</v>
      </c>
      <c r="H1889" t="s">
        <v>17</v>
      </c>
      <c r="I1889" s="18" t="s">
        <v>101</v>
      </c>
      <c r="J1889" s="99" t="s">
        <v>560</v>
      </c>
      <c r="K1889" s="5" t="s">
        <v>4185</v>
      </c>
      <c r="L1889" t="str">
        <f t="shared" si="36"/>
        <v>ariana12495@icloud.com</v>
      </c>
    </row>
    <row r="1890" spans="1:12" ht="15" customHeight="1">
      <c r="A1890" t="str" cm="1">
        <f t="array" ref="A1890">_xlfn.LET(_xlpm.e,L1890,
IF(_xlpm.e="","",
"DOC-"&amp;TEXT(ROW()-ROW(tblMaster[#Headers]),"00000")
))</f>
        <v>DOC-01889</v>
      </c>
      <c r="B1890" s="47">
        <v>46062</v>
      </c>
      <c r="C1890" t="s">
        <v>7170</v>
      </c>
      <c r="D1890" t="s">
        <v>7171</v>
      </c>
      <c r="E1890" s="127" t="s">
        <v>7172</v>
      </c>
      <c r="F1890" s="4" t="s">
        <v>7173</v>
      </c>
      <c r="G1890" t="s">
        <v>281</v>
      </c>
      <c r="H1890" t="s">
        <v>17</v>
      </c>
      <c r="I1890" s="18" t="s">
        <v>101</v>
      </c>
      <c r="J1890" s="99" t="s">
        <v>560</v>
      </c>
      <c r="K1890" s="5" t="s">
        <v>4185</v>
      </c>
      <c r="L1890" t="str">
        <f t="shared" si="36"/>
        <v>ssaquon617@icloud.com</v>
      </c>
    </row>
    <row r="1891" spans="1:12" ht="15" customHeight="1">
      <c r="A1891" t="str" cm="1">
        <f t="array" ref="A1891">_xlfn.LET(_xlpm.e,L1891,
IF(_xlpm.e="","",
"DOC-"&amp;TEXT(ROW()-ROW(tblMaster[#Headers]),"00000")
))</f>
        <v>DOC-01890</v>
      </c>
      <c r="B1891" s="47">
        <v>46062</v>
      </c>
      <c r="C1891" s="120" t="s">
        <v>7174</v>
      </c>
      <c r="D1891" s="120" t="s">
        <v>1516</v>
      </c>
      <c r="E1891" s="108" t="s">
        <v>7175</v>
      </c>
      <c r="F1891" s="121" t="s">
        <v>7176</v>
      </c>
      <c r="G1891" s="120" t="s">
        <v>1324</v>
      </c>
      <c r="H1891" t="s">
        <v>17</v>
      </c>
      <c r="I1891" s="18" t="s">
        <v>54</v>
      </c>
      <c r="J1891" s="99" t="s">
        <v>497</v>
      </c>
      <c r="K1891" s="5" t="s">
        <v>4185</v>
      </c>
      <c r="L1891" t="str">
        <f t="shared" si="36"/>
        <v>santiagoeliel2006@gmail.com</v>
      </c>
    </row>
    <row r="1892" spans="1:12">
      <c r="A1892" t="str" cm="1">
        <f t="array" ref="A1892">_xlfn.LET(_xlpm.e,L1892,
IF(_xlpm.e="","",
"DOC-"&amp;TEXT(ROW()-ROW(tblMaster[#Headers]),"00000")
))</f>
        <v>DOC-01891</v>
      </c>
      <c r="B1892" s="47">
        <v>46062</v>
      </c>
      <c r="C1892" s="36" t="s">
        <v>7177</v>
      </c>
      <c r="D1892" s="36" t="s">
        <v>7178</v>
      </c>
      <c r="E1892" s="71" t="s">
        <v>7179</v>
      </c>
      <c r="F1892" s="4" t="s">
        <v>7180</v>
      </c>
      <c r="G1892" s="36" t="s">
        <v>2088</v>
      </c>
      <c r="H1892" t="s">
        <v>17</v>
      </c>
      <c r="I1892" s="5" t="s">
        <v>2276</v>
      </c>
      <c r="J1892" s="99" t="s">
        <v>23</v>
      </c>
      <c r="K1892" s="5" t="s">
        <v>4185</v>
      </c>
      <c r="L1892" t="str">
        <f t="shared" si="36"/>
        <v>tasosapostle57@gmail.com</v>
      </c>
    </row>
    <row r="1893" spans="1:12">
      <c r="A1893" t="str" cm="1">
        <f t="array" ref="A1893">_xlfn.LET(_xlpm.e,L1893,
IF(_xlpm.e="","",
"DOC-"&amp;TEXT(ROW()-ROW(tblMaster[#Headers]),"00000")
))</f>
        <v>DOC-01892</v>
      </c>
      <c r="B1893" s="47">
        <v>46062</v>
      </c>
      <c r="C1893" s="36" t="s">
        <v>4161</v>
      </c>
      <c r="D1893" s="36" t="s">
        <v>7181</v>
      </c>
      <c r="E1893" s="71" t="s">
        <v>7182</v>
      </c>
      <c r="I1893" s="18" t="s">
        <v>101</v>
      </c>
      <c r="J1893" s="99" t="s">
        <v>194</v>
      </c>
      <c r="K1893" s="5" t="s">
        <v>4185</v>
      </c>
      <c r="L1893" t="str">
        <f t="shared" si="36"/>
        <v>adimonte91@gmail.com</v>
      </c>
    </row>
    <row r="1894" spans="1:12">
      <c r="A1894" t="str" cm="1">
        <f t="array" ref="A1894">_xlfn.LET(_xlpm.e,L1894,
IF(_xlpm.e="","",
"DOC-"&amp;TEXT(ROW()-ROW(tblMaster[#Headers]),"00000")
))</f>
        <v>DOC-01893</v>
      </c>
      <c r="B1894" s="47">
        <v>46062</v>
      </c>
      <c r="C1894" s="36" t="s">
        <v>6885</v>
      </c>
      <c r="D1894" s="36" t="s">
        <v>7183</v>
      </c>
      <c r="E1894" s="71" t="s">
        <v>7184</v>
      </c>
      <c r="F1894" s="4" t="s">
        <v>7185</v>
      </c>
      <c r="G1894" s="36" t="s">
        <v>1361</v>
      </c>
      <c r="H1894" t="s">
        <v>17</v>
      </c>
      <c r="I1894" s="18" t="s">
        <v>54</v>
      </c>
      <c r="J1894" s="99" t="s">
        <v>66</v>
      </c>
      <c r="K1894" s="5" t="s">
        <v>4185</v>
      </c>
      <c r="L1894" t="str">
        <f t="shared" si="36"/>
        <v>brian.toste@outlook.com</v>
      </c>
    </row>
    <row r="1895" spans="1:12">
      <c r="A1895" t="str" cm="1">
        <f t="array" ref="A1895">_xlfn.LET(_xlpm.e,L1895,
IF(_xlpm.e="","",
"DOC-"&amp;TEXT(ROW()-ROW(tblMaster[#Headers]),"00000")
))</f>
        <v>DOC-01894</v>
      </c>
      <c r="B1895" s="47">
        <v>46062</v>
      </c>
      <c r="C1895" t="s">
        <v>7186</v>
      </c>
      <c r="D1895" t="s">
        <v>7187</v>
      </c>
      <c r="E1895" s="127" t="s">
        <v>7188</v>
      </c>
      <c r="F1895" s="4" t="s">
        <v>7189</v>
      </c>
      <c r="G1895" t="s">
        <v>74</v>
      </c>
      <c r="H1895" t="s">
        <v>17</v>
      </c>
      <c r="I1895" s="18" t="s">
        <v>101</v>
      </c>
      <c r="J1895" s="99" t="s">
        <v>560</v>
      </c>
      <c r="K1895" s="5" t="s">
        <v>4185</v>
      </c>
      <c r="L1895" t="str">
        <f t="shared" si="36"/>
        <v>kaluumae70@gmail.com</v>
      </c>
    </row>
    <row r="1896" spans="1:12">
      <c r="A1896" t="str" cm="1">
        <f t="array" ref="A1896">_xlfn.LET(_xlpm.e,L1896,
IF(_xlpm.e="","",
"DOC-"&amp;TEXT(ROW()-ROW(tblMaster[#Headers]),"00000")
))</f>
        <v>DOC-01895</v>
      </c>
      <c r="B1896" s="47">
        <v>46062</v>
      </c>
      <c r="C1896" s="36" t="s">
        <v>7190</v>
      </c>
      <c r="D1896" s="36" t="s">
        <v>7191</v>
      </c>
      <c r="E1896" s="71" t="s">
        <v>7192</v>
      </c>
      <c r="F1896" s="4" t="s">
        <v>7193</v>
      </c>
      <c r="G1896" s="36" t="s">
        <v>52</v>
      </c>
      <c r="H1896" t="s">
        <v>17</v>
      </c>
      <c r="I1896" s="18" t="s">
        <v>54</v>
      </c>
      <c r="J1896" s="99" t="s">
        <v>118</v>
      </c>
      <c r="K1896" s="5" t="s">
        <v>4185</v>
      </c>
      <c r="L1896" t="str">
        <f t="shared" si="36"/>
        <v>jay.benzzzz1@gmail.com</v>
      </c>
    </row>
    <row r="1897" spans="1:12">
      <c r="A1897" t="str" cm="1">
        <f t="array" ref="A1897">_xlfn.LET(_xlpm.e,L1897,
IF(_xlpm.e="","",
"DOC-"&amp;TEXT(ROW()-ROW(tblMaster[#Headers]),"00000")
))</f>
        <v>DOC-01896</v>
      </c>
      <c r="B1897" s="47">
        <v>46062</v>
      </c>
      <c r="C1897" s="36" t="s">
        <v>2698</v>
      </c>
      <c r="D1897" s="36" t="s">
        <v>7194</v>
      </c>
      <c r="E1897" s="71" t="s">
        <v>7195</v>
      </c>
      <c r="F1897" s="4" t="s">
        <v>7196</v>
      </c>
      <c r="G1897" s="36" t="s">
        <v>7197</v>
      </c>
      <c r="H1897" t="s">
        <v>153</v>
      </c>
      <c r="I1897" s="18" t="s">
        <v>54</v>
      </c>
      <c r="J1897" s="99" t="s">
        <v>23</v>
      </c>
      <c r="K1897" s="5" t="s">
        <v>4185</v>
      </c>
      <c r="L1897" t="str">
        <f t="shared" si="36"/>
        <v>ernerstoh.eak@gmail.com</v>
      </c>
    </row>
    <row r="1898" spans="1:12">
      <c r="A1898" t="str" cm="1">
        <f t="array" ref="A1898">_xlfn.LET(_xlpm.e,L1898,
IF(_xlpm.e="","",
"DOC-"&amp;TEXT(ROW()-ROW(tblMaster[#Headers]),"00000")
))</f>
        <v>DOC-01897</v>
      </c>
      <c r="B1898" s="47">
        <v>46062</v>
      </c>
      <c r="C1898" s="36" t="s">
        <v>7198</v>
      </c>
      <c r="D1898" s="36" t="s">
        <v>2421</v>
      </c>
      <c r="E1898" s="71" t="s">
        <v>7199</v>
      </c>
      <c r="F1898" s="4" t="s">
        <v>7200</v>
      </c>
      <c r="G1898" s="36" t="s">
        <v>2088</v>
      </c>
      <c r="H1898" t="s">
        <v>17</v>
      </c>
      <c r="I1898" s="5" t="s">
        <v>2276</v>
      </c>
      <c r="J1898" s="99" t="s">
        <v>194</v>
      </c>
      <c r="K1898" s="5" t="s">
        <v>4185</v>
      </c>
      <c r="L1898" t="str">
        <f t="shared" si="36"/>
        <v>elirussell01@gmail.com</v>
      </c>
    </row>
    <row r="1899" spans="1:12">
      <c r="A1899" t="str" cm="1">
        <f t="array" ref="A1899">_xlfn.LET(_xlpm.e,L1899,
IF(_xlpm.e="","",
"DOC-"&amp;TEXT(ROW()-ROW(tblMaster[#Headers]),"00000")
))</f>
        <v>DOC-01898</v>
      </c>
      <c r="B1899" s="47">
        <v>46063</v>
      </c>
      <c r="C1899" t="s">
        <v>7201</v>
      </c>
      <c r="D1899" t="s">
        <v>7202</v>
      </c>
      <c r="E1899" t="s">
        <v>7203</v>
      </c>
      <c r="F1899" t="s">
        <v>7204</v>
      </c>
      <c r="G1899" t="s">
        <v>7205</v>
      </c>
      <c r="H1899" t="s">
        <v>17</v>
      </c>
      <c r="I1899" s="18" t="s">
        <v>54</v>
      </c>
      <c r="J1899" t="s">
        <v>560</v>
      </c>
      <c r="K1899" t="s">
        <v>4185</v>
      </c>
      <c r="L1899" t="str">
        <f t="shared" si="36"/>
        <v>ellisannysilvestre@gmail.com</v>
      </c>
    </row>
    <row r="1900" spans="1:12">
      <c r="A1900" t="str" cm="1">
        <f t="array" ref="A1900">_xlfn.LET(_xlpm.e,L1900,
IF(_xlpm.e="","",
"DOC-"&amp;TEXT(ROW()-ROW(tblMaster[#Headers]),"00000")
))</f>
        <v>DOC-01899</v>
      </c>
      <c r="B1900" s="47">
        <v>46063</v>
      </c>
      <c r="C1900" t="s">
        <v>7206</v>
      </c>
      <c r="D1900" t="s">
        <v>2421</v>
      </c>
      <c r="E1900" t="s">
        <v>7207</v>
      </c>
      <c r="F1900" t="s">
        <v>7208</v>
      </c>
      <c r="G1900" t="s">
        <v>7209</v>
      </c>
      <c r="H1900" t="s">
        <v>17</v>
      </c>
      <c r="I1900" s="18" t="s">
        <v>54</v>
      </c>
      <c r="J1900" t="s">
        <v>23</v>
      </c>
      <c r="K1900" t="s">
        <v>4185</v>
      </c>
      <c r="L1900" t="str">
        <f t="shared" si="36"/>
        <v>russellkyle2002@gmail.com</v>
      </c>
    </row>
    <row r="1901" spans="1:12">
      <c r="A1901" t="str" cm="1">
        <f t="array" ref="A1901">_xlfn.LET(_xlpm.e,L1901,
IF(_xlpm.e="","",
"DOC-"&amp;TEXT(ROW()-ROW(tblMaster[#Headers]),"00000")
))</f>
        <v>DOC-01900</v>
      </c>
      <c r="B1901" s="47">
        <v>46063</v>
      </c>
      <c r="C1901" s="36" t="s">
        <v>1672</v>
      </c>
      <c r="D1901" s="36" t="s">
        <v>7210</v>
      </c>
      <c r="E1901" s="71" t="s">
        <v>7211</v>
      </c>
      <c r="F1901" s="4" t="s">
        <v>7212</v>
      </c>
      <c r="G1901" s="36" t="s">
        <v>544</v>
      </c>
      <c r="H1901" t="s">
        <v>17</v>
      </c>
      <c r="I1901" s="18" t="s">
        <v>54</v>
      </c>
      <c r="J1901" s="99" t="s">
        <v>497</v>
      </c>
      <c r="K1901" s="5" t="s">
        <v>4185</v>
      </c>
      <c r="L1901" t="str">
        <f t="shared" si="36"/>
        <v>lasargardy11@gmail.com</v>
      </c>
    </row>
    <row r="1902" spans="1:12">
      <c r="A1902" t="str" cm="1">
        <f t="array" ref="A1902">_xlfn.LET(_xlpm.e,L1902,
IF(_xlpm.e="","",
"DOC-"&amp;TEXT(ROW()-ROW(tblMaster[#Headers]),"00000")
))</f>
        <v>DOC-01901</v>
      </c>
      <c r="B1902" s="47">
        <v>46063</v>
      </c>
      <c r="C1902" t="s">
        <v>7213</v>
      </c>
      <c r="D1902" t="s">
        <v>7214</v>
      </c>
      <c r="E1902" t="s">
        <v>7215</v>
      </c>
      <c r="F1902" t="s">
        <v>7216</v>
      </c>
      <c r="G1902" t="s">
        <v>1502</v>
      </c>
      <c r="H1902" t="s">
        <v>17</v>
      </c>
      <c r="I1902" s="18" t="s">
        <v>54</v>
      </c>
      <c r="J1902" t="s">
        <v>560</v>
      </c>
      <c r="K1902" s="5" t="s">
        <v>4185</v>
      </c>
      <c r="L1902" t="str">
        <f t="shared" si="36"/>
        <v>cjalphonse001@gmail.com</v>
      </c>
    </row>
    <row r="1903" spans="1:12">
      <c r="A1903" t="str" cm="1">
        <f t="array" ref="A1903">_xlfn.LET(_xlpm.e,L1903,
IF(_xlpm.e="","",
"DOC-"&amp;TEXT(ROW()-ROW(tblMaster[#Headers]),"00000")
))</f>
        <v>DOC-01902</v>
      </c>
      <c r="B1903" s="47">
        <v>46063</v>
      </c>
      <c r="C1903" s="120" t="s">
        <v>7217</v>
      </c>
      <c r="D1903" s="120" t="s">
        <v>7218</v>
      </c>
      <c r="E1903" s="108" t="s">
        <v>7219</v>
      </c>
      <c r="F1903" s="120" t="s">
        <v>7220</v>
      </c>
      <c r="G1903" s="120" t="s">
        <v>596</v>
      </c>
      <c r="H1903" t="s">
        <v>17</v>
      </c>
      <c r="I1903" s="18" t="s">
        <v>54</v>
      </c>
      <c r="J1903" s="99" t="s">
        <v>23</v>
      </c>
      <c r="K1903" s="5" t="s">
        <v>4185</v>
      </c>
      <c r="L1903" t="str">
        <f t="shared" si="36"/>
        <v>lauannydutradossantos34@gmail.com</v>
      </c>
    </row>
    <row r="1904" spans="1:12">
      <c r="A1904" t="str" cm="1">
        <f t="array" ref="A1904">_xlfn.LET(_xlpm.e,L1904,
IF(_xlpm.e="","",
"DOC-"&amp;TEXT(ROW()-ROW(tblMaster[#Headers]),"00000")
))</f>
        <v>DOC-01903</v>
      </c>
      <c r="B1904" s="47">
        <v>46063</v>
      </c>
      <c r="C1904" s="120" t="s">
        <v>7221</v>
      </c>
      <c r="D1904" s="120" t="s">
        <v>7222</v>
      </c>
      <c r="E1904" s="71" t="s">
        <v>7223</v>
      </c>
      <c r="F1904" t="s">
        <v>7224</v>
      </c>
      <c r="G1904" s="36" t="s">
        <v>438</v>
      </c>
      <c r="H1904" t="s">
        <v>17</v>
      </c>
      <c r="I1904" s="18" t="s">
        <v>54</v>
      </c>
      <c r="J1904" s="99" t="s">
        <v>497</v>
      </c>
      <c r="K1904" s="5" t="s">
        <v>4185</v>
      </c>
      <c r="L1904" t="str">
        <f t="shared" si="36"/>
        <v>geromesbendji@gmail.com</v>
      </c>
    </row>
    <row r="1905" spans="1:12">
      <c r="A1905" t="str" cm="1">
        <f t="array" ref="A1905">_xlfn.LET(_xlpm.e,L1905,
IF(_xlpm.e="","",
"DOC-"&amp;TEXT(ROW()-ROW(tblMaster[#Headers]),"00000")
))</f>
        <v>DOC-01904</v>
      </c>
      <c r="B1905" s="47">
        <v>46063</v>
      </c>
      <c r="C1905" s="36" t="s">
        <v>7225</v>
      </c>
      <c r="D1905" s="36" t="s">
        <v>7226</v>
      </c>
      <c r="E1905" s="71" t="s">
        <v>7227</v>
      </c>
      <c r="F1905" t="s">
        <v>7228</v>
      </c>
      <c r="G1905" s="36" t="s">
        <v>1084</v>
      </c>
      <c r="H1905" t="s">
        <v>17</v>
      </c>
      <c r="I1905" s="18" t="s">
        <v>101</v>
      </c>
      <c r="J1905" s="99" t="s">
        <v>23</v>
      </c>
      <c r="K1905" s="5" t="s">
        <v>4185</v>
      </c>
      <c r="L1905" t="str">
        <f t="shared" si="36"/>
        <v>hanscarddormues@gmail.com</v>
      </c>
    </row>
    <row r="1906" spans="1:12">
      <c r="A1906" t="str" cm="1">
        <f t="array" ref="A1906">_xlfn.LET(_xlpm.e,L1906,
IF(_xlpm.e="","",
"DOC-"&amp;TEXT(ROW()-ROW(tblMaster[#Headers]),"00000")
))</f>
        <v>DOC-01905</v>
      </c>
      <c r="B1906" s="47">
        <v>46063</v>
      </c>
      <c r="C1906" s="36" t="s">
        <v>7229</v>
      </c>
      <c r="D1906" s="36" t="s">
        <v>7230</v>
      </c>
      <c r="E1906" s="71" t="s">
        <v>7231</v>
      </c>
      <c r="F1906" s="4" t="s">
        <v>7232</v>
      </c>
      <c r="G1906" s="36" t="s">
        <v>3296</v>
      </c>
      <c r="H1906" t="s">
        <v>17</v>
      </c>
      <c r="I1906" s="18" t="s">
        <v>54</v>
      </c>
      <c r="J1906" s="99" t="s">
        <v>118</v>
      </c>
      <c r="K1906" s="5" t="s">
        <v>4185</v>
      </c>
      <c r="L1906" t="str">
        <f t="shared" si="36"/>
        <v>jeanelapointe@gmail.com</v>
      </c>
    </row>
    <row r="1907" spans="1:12">
      <c r="A1907" t="str" cm="1">
        <f t="array" ref="A1907">_xlfn.LET(_xlpm.e,L1907,
IF(_xlpm.e="","",
"DOC-"&amp;TEXT(ROW()-ROW(tblMaster[#Headers]),"00000")
))</f>
        <v>DOC-01906</v>
      </c>
      <c r="B1907" s="47">
        <v>46063</v>
      </c>
      <c r="C1907" s="36" t="s">
        <v>7233</v>
      </c>
      <c r="D1907" s="36" t="s">
        <v>7234</v>
      </c>
      <c r="E1907" s="71" t="s">
        <v>7235</v>
      </c>
      <c r="F1907" s="4" t="s">
        <v>7236</v>
      </c>
      <c r="G1907" s="36" t="s">
        <v>7237</v>
      </c>
      <c r="H1907" t="s">
        <v>17</v>
      </c>
      <c r="I1907" s="5" t="s">
        <v>2276</v>
      </c>
      <c r="J1907" s="99" t="s">
        <v>23</v>
      </c>
      <c r="K1907" s="5" t="s">
        <v>4185</v>
      </c>
      <c r="L1907" t="str">
        <f t="shared" si="36"/>
        <v>aguila75joel@gmail.com</v>
      </c>
    </row>
    <row r="1908" spans="1:12">
      <c r="A1908" t="str" cm="1">
        <f t="array" ref="A1908">_xlfn.LET(_xlpm.e,L1908,
IF(_xlpm.e="","",
"DOC-"&amp;TEXT(ROW()-ROW(tblMaster[#Headers]),"00000")
))</f>
        <v>DOC-01907</v>
      </c>
      <c r="B1908" s="47">
        <v>46063</v>
      </c>
      <c r="C1908" s="36" t="s">
        <v>7238</v>
      </c>
      <c r="D1908" s="36" t="s">
        <v>476</v>
      </c>
      <c r="E1908" s="71" t="s">
        <v>7239</v>
      </c>
      <c r="F1908" s="4" t="s">
        <v>7240</v>
      </c>
      <c r="G1908" s="36" t="s">
        <v>782</v>
      </c>
      <c r="H1908" t="s">
        <v>53</v>
      </c>
      <c r="I1908" s="18" t="s">
        <v>101</v>
      </c>
      <c r="J1908" s="99" t="s">
        <v>497</v>
      </c>
      <c r="K1908" s="5" t="s">
        <v>4185</v>
      </c>
      <c r="L1908" t="str">
        <f t="shared" ref="L1908:L1939" si="37">_xlfn.LET(_xlpm.x,E1908,
_xlpm.y,TRIM(CLEAN(SUBSTITUTE(_xlpm.x,CHAR(160)," "))),
LOWER(_xlpm.y))</f>
        <v>aviante77@proton.me</v>
      </c>
    </row>
    <row r="1909" spans="1:12">
      <c r="A1909" t="str" cm="1">
        <f t="array" ref="A1909">_xlfn.LET(_xlpm.e,L1909,
IF(_xlpm.e="","",
"DOC-"&amp;TEXT(ROW()-ROW(tblMaster[#Headers]),"00000")
))</f>
        <v>DOC-01908</v>
      </c>
      <c r="B1909" s="47">
        <v>46063</v>
      </c>
      <c r="C1909" s="36" t="s">
        <v>7241</v>
      </c>
      <c r="D1909" s="36" t="s">
        <v>7242</v>
      </c>
      <c r="E1909" s="71" t="s">
        <v>7243</v>
      </c>
      <c r="F1909" s="4" t="s">
        <v>7244</v>
      </c>
      <c r="G1909" s="36" t="s">
        <v>257</v>
      </c>
      <c r="H1909" t="s">
        <v>17</v>
      </c>
      <c r="I1909" s="18" t="s">
        <v>101</v>
      </c>
      <c r="J1909" s="99" t="s">
        <v>497</v>
      </c>
      <c r="K1909" s="5" t="s">
        <v>4185</v>
      </c>
      <c r="L1909" t="str">
        <f t="shared" si="37"/>
        <v>domingos75cv@gmail.com</v>
      </c>
    </row>
    <row r="1910" spans="1:12">
      <c r="A1910" t="str" cm="1">
        <f t="array" ref="A1910">_xlfn.LET(_xlpm.e,L1910,
IF(_xlpm.e="","",
"DOC-"&amp;TEXT(ROW()-ROW(tblMaster[#Headers]),"00000")
))</f>
        <v>DOC-01909</v>
      </c>
      <c r="B1910" s="47">
        <v>46063</v>
      </c>
      <c r="C1910" s="36" t="s">
        <v>7245</v>
      </c>
      <c r="D1910" s="36" t="s">
        <v>7246</v>
      </c>
      <c r="E1910" s="71" t="s">
        <v>7247</v>
      </c>
      <c r="F1910" s="140" t="s">
        <v>7248</v>
      </c>
      <c r="G1910" s="36" t="s">
        <v>517</v>
      </c>
      <c r="H1910" t="s">
        <v>53</v>
      </c>
      <c r="I1910" s="18" t="s">
        <v>101</v>
      </c>
      <c r="J1910" s="99" t="s">
        <v>560</v>
      </c>
      <c r="K1910" s="5" t="s">
        <v>4185</v>
      </c>
      <c r="L1910" t="str">
        <f t="shared" si="37"/>
        <v>lilktrina333@icloud.com</v>
      </c>
    </row>
    <row r="1911" spans="1:12">
      <c r="A1911" t="str" cm="1">
        <f t="array" ref="A1911">_xlfn.LET(_xlpm.e,L1911,
IF(_xlpm.e="","",
"DOC-"&amp;TEXT(ROW()-ROW(tblMaster[#Headers]),"00000")
))</f>
        <v>DOC-01910</v>
      </c>
      <c r="B1911" s="134">
        <v>46063</v>
      </c>
      <c r="C1911" s="135" t="s">
        <v>7249</v>
      </c>
      <c r="D1911" s="135" t="s">
        <v>3987</v>
      </c>
      <c r="E1911" s="71" t="s">
        <v>7250</v>
      </c>
      <c r="F1911" s="135">
        <v>7742712110</v>
      </c>
      <c r="G1911" s="135" t="s">
        <v>1109</v>
      </c>
      <c r="H1911" s="133" t="s">
        <v>17</v>
      </c>
      <c r="I1911" s="133" t="s">
        <v>7251</v>
      </c>
      <c r="J1911" s="99" t="s">
        <v>560</v>
      </c>
      <c r="K1911" s="5" t="s">
        <v>4185</v>
      </c>
      <c r="L1911" t="str">
        <f t="shared" si="37"/>
        <v>joneschantel14@gmail.com</v>
      </c>
    </row>
    <row r="1912" spans="1:12">
      <c r="A1912" t="str" cm="1">
        <f t="array" ref="A1912">_xlfn.LET(_xlpm.e,L1912,
IF(_xlpm.e="","",
"DOC-"&amp;TEXT(ROW()-ROW(tblMaster[#Headers]),"00000")
))</f>
        <v>DOC-01911</v>
      </c>
      <c r="B1912" s="137">
        <v>46063</v>
      </c>
      <c r="C1912" s="138" t="s">
        <v>7252</v>
      </c>
      <c r="D1912" s="138" t="s">
        <v>7253</v>
      </c>
      <c r="E1912" s="139" t="s">
        <v>7254</v>
      </c>
      <c r="F1912" s="138">
        <v>17815022904</v>
      </c>
      <c r="G1912" s="138" t="s">
        <v>7255</v>
      </c>
      <c r="H1912" s="136" t="s">
        <v>17</v>
      </c>
      <c r="I1912" s="133" t="s">
        <v>7251</v>
      </c>
      <c r="J1912" s="99" t="s">
        <v>560</v>
      </c>
      <c r="K1912" s="5" t="s">
        <v>4185</v>
      </c>
      <c r="L1912" t="str">
        <f t="shared" si="37"/>
        <v>kevynpersonal@gmail.com</v>
      </c>
    </row>
    <row r="1913" spans="1:12">
      <c r="A1913" t="str" cm="1">
        <f t="array" ref="A1913">_xlfn.LET(_xlpm.e,L1913,
IF(_xlpm.e="","",
"DOC-"&amp;TEXT(ROW()-ROW(tblMaster[#Headers]),"00000")
))</f>
        <v>DOC-01912</v>
      </c>
      <c r="B1913" s="47">
        <v>46063</v>
      </c>
      <c r="C1913" s="36" t="s">
        <v>7256</v>
      </c>
      <c r="D1913" s="36" t="s">
        <v>7257</v>
      </c>
      <c r="E1913" s="71" t="s">
        <v>7258</v>
      </c>
      <c r="F1913" s="4" t="s">
        <v>7259</v>
      </c>
      <c r="G1913" s="36" t="s">
        <v>2366</v>
      </c>
      <c r="H1913" t="s">
        <v>53</v>
      </c>
      <c r="I1913" s="18" t="s">
        <v>101</v>
      </c>
      <c r="J1913" s="99" t="s">
        <v>23</v>
      </c>
      <c r="K1913" s="5" t="s">
        <v>4185</v>
      </c>
      <c r="L1913" t="str">
        <f t="shared" si="37"/>
        <v>lea@leamaclean.com</v>
      </c>
    </row>
    <row r="1914" spans="1:12">
      <c r="A1914" t="str" cm="1">
        <f t="array" ref="A1914">_xlfn.LET(_xlpm.e,L1914,
IF(_xlpm.e="","",
"DOC-"&amp;TEXT(ROW()-ROW(tblMaster[#Headers]),"00000")
))</f>
        <v>DOC-01913</v>
      </c>
      <c r="B1914" s="47">
        <v>46063</v>
      </c>
      <c r="C1914" s="36" t="s">
        <v>262</v>
      </c>
      <c r="D1914" s="36" t="s">
        <v>7260</v>
      </c>
      <c r="E1914" s="71" t="s">
        <v>7261</v>
      </c>
      <c r="F1914" s="4" t="s">
        <v>7262</v>
      </c>
      <c r="G1914" s="36" t="s">
        <v>7263</v>
      </c>
      <c r="H1914" t="s">
        <v>53</v>
      </c>
      <c r="I1914" s="18" t="s">
        <v>54</v>
      </c>
      <c r="J1914" s="99" t="s">
        <v>497</v>
      </c>
      <c r="K1914" s="5" t="s">
        <v>4185</v>
      </c>
      <c r="L1914" t="str">
        <f t="shared" si="37"/>
        <v>hockeyplayer0810@yahoo.com</v>
      </c>
    </row>
    <row r="1915" spans="1:12">
      <c r="A1915" t="str" cm="1">
        <f t="array" ref="A1915">_xlfn.LET(_xlpm.e,L1915,
IF(_xlpm.e="","",
"DOC-"&amp;TEXT(ROW()-ROW(tblMaster[#Headers]),"00000")
))</f>
        <v>DOC-01914</v>
      </c>
      <c r="B1915" s="47">
        <v>46063</v>
      </c>
      <c r="C1915" s="36" t="s">
        <v>7264</v>
      </c>
      <c r="D1915" s="36" t="s">
        <v>7265</v>
      </c>
      <c r="E1915" s="71" t="s">
        <v>7266</v>
      </c>
      <c r="F1915" s="4" t="s">
        <v>7267</v>
      </c>
      <c r="G1915" s="36" t="s">
        <v>1276</v>
      </c>
      <c r="H1915" t="s">
        <v>53</v>
      </c>
      <c r="I1915" s="18" t="s">
        <v>54</v>
      </c>
      <c r="J1915" s="99" t="s">
        <v>66</v>
      </c>
      <c r="K1915" s="5" t="s">
        <v>4185</v>
      </c>
      <c r="L1915" t="str">
        <f t="shared" si="37"/>
        <v>ruthelqueen113@gmail.com</v>
      </c>
    </row>
    <row r="1916" spans="1:12">
      <c r="A1916" t="str" cm="1">
        <f t="array" ref="A1916">_xlfn.LET(_xlpm.e,L1916,
IF(_xlpm.e="","",
"DOC-"&amp;TEXT(ROW()-ROW(tblMaster[#Headers]),"00000")
))</f>
        <v>DOC-01915</v>
      </c>
      <c r="B1916" s="47">
        <v>46064</v>
      </c>
      <c r="C1916" s="36" t="s">
        <v>7268</v>
      </c>
      <c r="D1916" s="36" t="s">
        <v>7269</v>
      </c>
      <c r="E1916" s="71" t="s">
        <v>7270</v>
      </c>
      <c r="F1916" s="4" t="s">
        <v>7271</v>
      </c>
      <c r="G1916" s="36" t="s">
        <v>2760</v>
      </c>
      <c r="H1916" t="s">
        <v>1590</v>
      </c>
      <c r="I1916" s="18" t="s">
        <v>54</v>
      </c>
      <c r="J1916" s="99" t="s">
        <v>118</v>
      </c>
      <c r="K1916" s="5" t="s">
        <v>4185</v>
      </c>
      <c r="L1916" t="str">
        <f t="shared" si="37"/>
        <v>ivana2199@yahoo.com</v>
      </c>
    </row>
    <row r="1917" spans="1:12">
      <c r="A1917" t="str" cm="1">
        <f t="array" ref="A1917">_xlfn.LET(_xlpm.e,L1917,
IF(_xlpm.e="","",
"DOC-"&amp;TEXT(ROW()-ROW(tblMaster[#Headers]),"00000")
))</f>
        <v>DOC-01916</v>
      </c>
      <c r="B1917" s="47">
        <v>46064</v>
      </c>
      <c r="C1917" s="36" t="s">
        <v>7272</v>
      </c>
      <c r="D1917" s="36" t="s">
        <v>7273</v>
      </c>
      <c r="E1917" s="71" t="s">
        <v>7274</v>
      </c>
      <c r="F1917" s="4" t="s">
        <v>7275</v>
      </c>
      <c r="G1917" s="36" t="s">
        <v>7276</v>
      </c>
      <c r="H1917" t="s">
        <v>888</v>
      </c>
      <c r="I1917" s="18" t="s">
        <v>54</v>
      </c>
      <c r="J1917" s="99" t="s">
        <v>560</v>
      </c>
      <c r="K1917" s="5" t="s">
        <v>4185</v>
      </c>
      <c r="L1917" t="str">
        <f t="shared" si="37"/>
        <v>rivasbismarck45@gmail.com</v>
      </c>
    </row>
    <row r="1918" spans="1:12">
      <c r="A1918" t="str" cm="1">
        <f t="array" ref="A1918">_xlfn.LET(_xlpm.e,L1918,
IF(_xlpm.e="","",
"DOC-"&amp;TEXT(ROW()-ROW(tblMaster[#Headers]),"00000")
))</f>
        <v>DOC-01917</v>
      </c>
      <c r="B1918" s="47">
        <v>46064</v>
      </c>
      <c r="C1918" s="120" t="s">
        <v>4171</v>
      </c>
      <c r="D1918" s="36" t="s">
        <v>7277</v>
      </c>
      <c r="E1918" s="108" t="s">
        <v>7278</v>
      </c>
      <c r="F1918" s="120" t="s">
        <v>7279</v>
      </c>
      <c r="G1918" s="36" t="s">
        <v>1109</v>
      </c>
      <c r="H1918" t="s">
        <v>53</v>
      </c>
      <c r="I1918" s="18" t="s">
        <v>54</v>
      </c>
      <c r="J1918" s="99" t="s">
        <v>23</v>
      </c>
      <c r="K1918" s="5" t="s">
        <v>4185</v>
      </c>
      <c r="L1918" t="str">
        <f t="shared" si="37"/>
        <v>iprince23@icloud.com</v>
      </c>
    </row>
    <row r="1919" spans="1:12">
      <c r="A1919" t="str" cm="1">
        <f t="array" ref="A1919">_xlfn.LET(_xlpm.e,L1919,
IF(_xlpm.e="","",
"DOC-"&amp;TEXT(ROW()-ROW(tblMaster[#Headers]),"00000")
))</f>
        <v>DOC-01918</v>
      </c>
      <c r="B1919" s="47">
        <v>46064</v>
      </c>
      <c r="C1919" s="36" t="s">
        <v>962</v>
      </c>
      <c r="D1919" s="36" t="s">
        <v>6763</v>
      </c>
      <c r="E1919" s="71" t="s">
        <v>7280</v>
      </c>
      <c r="F1919" s="4" t="s">
        <v>7281</v>
      </c>
      <c r="G1919" s="36" t="s">
        <v>7282</v>
      </c>
      <c r="H1919" t="s">
        <v>53</v>
      </c>
      <c r="I1919" s="18" t="s">
        <v>54</v>
      </c>
      <c r="J1919" s="99" t="s">
        <v>497</v>
      </c>
      <c r="K1919" s="5" t="s">
        <v>4185</v>
      </c>
      <c r="L1919" t="str">
        <f t="shared" si="37"/>
        <v>brittneysmith1093@icloud.com</v>
      </c>
    </row>
    <row r="1920" spans="1:12">
      <c r="A1920" t="str" cm="1">
        <f t="array" ref="A1920">_xlfn.LET(_xlpm.e,L1920,
IF(_xlpm.e="","",
"DOC-"&amp;TEXT(ROW()-ROW(tblMaster[#Headers]),"00000")
))</f>
        <v>DOC-01919</v>
      </c>
      <c r="B1920" s="47">
        <v>46064</v>
      </c>
      <c r="C1920" s="36" t="s">
        <v>7283</v>
      </c>
      <c r="D1920" s="36" t="s">
        <v>7284</v>
      </c>
      <c r="E1920" s="71" t="s">
        <v>7285</v>
      </c>
      <c r="F1920" s="4" t="s">
        <v>7286</v>
      </c>
      <c r="G1920" s="36" t="s">
        <v>7287</v>
      </c>
      <c r="H1920" t="s">
        <v>53</v>
      </c>
      <c r="I1920" s="18" t="s">
        <v>101</v>
      </c>
      <c r="J1920" s="99" t="s">
        <v>194</v>
      </c>
      <c r="K1920" s="5" t="s">
        <v>4185</v>
      </c>
      <c r="L1920" t="str">
        <f t="shared" si="37"/>
        <v>elvinlaparra@icloud.com</v>
      </c>
    </row>
    <row r="1921" spans="1:12">
      <c r="A1921" t="str" cm="1">
        <f t="array" ref="A1921">_xlfn.LET(_xlpm.e,L1921,
IF(_xlpm.e="","",
"DOC-"&amp;TEXT(ROW()-ROW(tblMaster[#Headers]),"00000")
))</f>
        <v>DOC-01920</v>
      </c>
      <c r="B1921" s="47">
        <v>46064</v>
      </c>
      <c r="C1921" s="36" t="s">
        <v>7288</v>
      </c>
      <c r="D1921" s="36" t="s">
        <v>7289</v>
      </c>
      <c r="E1921" s="71" t="s">
        <v>7290</v>
      </c>
      <c r="F1921" s="4" t="s">
        <v>7291</v>
      </c>
      <c r="G1921" s="36" t="s">
        <v>629</v>
      </c>
      <c r="H1921" t="s">
        <v>53</v>
      </c>
      <c r="I1921" s="5" t="s">
        <v>2276</v>
      </c>
      <c r="J1921" s="99" t="s">
        <v>66</v>
      </c>
      <c r="K1921" s="5" t="s">
        <v>4185</v>
      </c>
      <c r="L1921" t="str">
        <f t="shared" si="37"/>
        <v>santos.lorraine@yahoo.com</v>
      </c>
    </row>
    <row r="1922" spans="1:12">
      <c r="A1922" t="str" cm="1">
        <f t="array" ref="A1922">_xlfn.LET(_xlpm.e,L1922,
IF(_xlpm.e="","",
"DOC-"&amp;TEXT(ROW()-ROW(tblMaster[#Headers]),"00000")
))</f>
        <v>DOC-01921</v>
      </c>
      <c r="B1922" s="47">
        <v>46064</v>
      </c>
      <c r="C1922" s="36" t="s">
        <v>7292</v>
      </c>
      <c r="D1922" s="36" t="s">
        <v>4521</v>
      </c>
      <c r="E1922" s="71" t="s">
        <v>7293</v>
      </c>
      <c r="F1922" s="4" t="s">
        <v>7294</v>
      </c>
      <c r="G1922" s="36" t="s">
        <v>1084</v>
      </c>
      <c r="H1922" t="s">
        <v>53</v>
      </c>
      <c r="I1922" s="5" t="s">
        <v>2276</v>
      </c>
      <c r="J1922" s="99" t="s">
        <v>23</v>
      </c>
      <c r="K1922" s="5" t="s">
        <v>4185</v>
      </c>
      <c r="L1922" t="str">
        <f t="shared" si="37"/>
        <v>roderickharrisiii@gmail.com</v>
      </c>
    </row>
    <row r="1923" spans="1:12">
      <c r="A1923" t="str" cm="1">
        <f t="array" ref="A1923">_xlfn.LET(_xlpm.e,L1923,
IF(_xlpm.e="","",
"DOC-"&amp;TEXT(ROW()-ROW(tblMaster[#Headers]),"00000")
))</f>
        <v>DOC-01922</v>
      </c>
      <c r="B1923" s="47">
        <v>46064</v>
      </c>
      <c r="C1923" s="36" t="s">
        <v>4266</v>
      </c>
      <c r="D1923" s="36" t="s">
        <v>1996</v>
      </c>
      <c r="E1923" s="71" t="s">
        <v>7295</v>
      </c>
      <c r="F1923" s="4" t="s">
        <v>7296</v>
      </c>
      <c r="G1923" s="36" t="s">
        <v>257</v>
      </c>
      <c r="H1923" t="s">
        <v>53</v>
      </c>
      <c r="I1923" s="18" t="s">
        <v>54</v>
      </c>
      <c r="J1923" s="99" t="s">
        <v>497</v>
      </c>
      <c r="K1923" s="5" t="s">
        <v>4185</v>
      </c>
      <c r="L1923" t="str">
        <f t="shared" si="37"/>
        <v>alainjlouis3@gmail.com</v>
      </c>
    </row>
    <row r="1924" spans="1:12">
      <c r="A1924" t="str" cm="1">
        <f t="array" ref="A1924">_xlfn.LET(_xlpm.e,L1924,
IF(_xlpm.e="","",
"DOC-"&amp;TEXT(ROW()-ROW(tblMaster[#Headers]),"00000")
))</f>
        <v>DOC-01923</v>
      </c>
      <c r="B1924" s="47">
        <v>46064</v>
      </c>
      <c r="C1924" s="36" t="s">
        <v>3070</v>
      </c>
      <c r="D1924" s="36" t="s">
        <v>7297</v>
      </c>
      <c r="E1924" s="71" t="s">
        <v>7298</v>
      </c>
      <c r="F1924" s="4" t="s">
        <v>7299</v>
      </c>
      <c r="G1924" s="36" t="s">
        <v>65</v>
      </c>
      <c r="H1924" t="s">
        <v>53</v>
      </c>
      <c r="I1924" s="133" t="s">
        <v>7251</v>
      </c>
      <c r="J1924" s="99" t="s">
        <v>66</v>
      </c>
      <c r="K1924" s="5" t="s">
        <v>4185</v>
      </c>
      <c r="L1924" t="str">
        <f t="shared" si="37"/>
        <v>wesley.curry@comcast.net</v>
      </c>
    </row>
    <row r="1925" spans="1:12">
      <c r="A1925" t="str" cm="1">
        <f t="array" ref="A1925">_xlfn.LET(_xlpm.e,L1925,
IF(_xlpm.e="","",
"DOC-"&amp;TEXT(ROW()-ROW(tblMaster[#Headers]),"00000")
))</f>
        <v>DOC-01924</v>
      </c>
      <c r="B1925" s="47">
        <v>46064</v>
      </c>
      <c r="C1925" t="s">
        <v>7300</v>
      </c>
      <c r="D1925" t="s">
        <v>2237</v>
      </c>
      <c r="E1925" t="s">
        <v>6872</v>
      </c>
      <c r="F1925" t="s">
        <v>7301</v>
      </c>
      <c r="G1925" t="s">
        <v>7246</v>
      </c>
      <c r="H1925" t="s">
        <v>888</v>
      </c>
      <c r="I1925" s="18" t="s">
        <v>101</v>
      </c>
      <c r="J1925" s="99" t="s">
        <v>560</v>
      </c>
      <c r="K1925" s="5" t="s">
        <v>4185</v>
      </c>
      <c r="L1925" t="str">
        <f t="shared" si="37"/>
        <v>letslopezjulian@proton.me</v>
      </c>
    </row>
    <row r="1926" spans="1:12">
      <c r="A1926" t="str" cm="1">
        <f t="array" ref="A1926">_xlfn.LET(_xlpm.e,L1926,
IF(_xlpm.e="","",
"DOC-"&amp;TEXT(ROW()-ROW(tblMaster[#Headers]),"00000")
))</f>
        <v>DOC-01925</v>
      </c>
      <c r="B1926" s="47">
        <v>46064</v>
      </c>
      <c r="C1926" s="36" t="s">
        <v>1277</v>
      </c>
      <c r="D1926" s="36" t="s">
        <v>7302</v>
      </c>
      <c r="E1926" s="71" t="s">
        <v>7303</v>
      </c>
      <c r="F1926" s="4" t="s">
        <v>7304</v>
      </c>
      <c r="G1926" s="36" t="s">
        <v>2434</v>
      </c>
      <c r="H1926" t="s">
        <v>53</v>
      </c>
      <c r="I1926" s="18" t="s">
        <v>54</v>
      </c>
      <c r="J1926" s="99" t="s">
        <v>118</v>
      </c>
      <c r="K1926" s="5" t="s">
        <v>4185</v>
      </c>
      <c r="L1926" t="str">
        <f t="shared" si="37"/>
        <v>johnrocharicardo@gmail.com</v>
      </c>
    </row>
    <row r="1927" spans="1:12">
      <c r="A1927" t="str" cm="1">
        <f t="array" ref="A1927">_xlfn.LET(_xlpm.e,L1927,
IF(_xlpm.e="","",
"DOC-"&amp;TEXT(ROW()-ROW(tblMaster[#Headers]),"00000")
))</f>
        <v>DOC-01926</v>
      </c>
      <c r="B1927" s="47">
        <v>46065</v>
      </c>
      <c r="C1927" s="36" t="s">
        <v>7305</v>
      </c>
      <c r="D1927" s="36" t="s">
        <v>7306</v>
      </c>
      <c r="E1927" s="71" t="s">
        <v>7307</v>
      </c>
      <c r="I1927" s="18" t="s">
        <v>101</v>
      </c>
      <c r="J1927" s="99" t="s">
        <v>23</v>
      </c>
      <c r="K1927" s="5" t="s">
        <v>4185</v>
      </c>
      <c r="L1927" t="str">
        <f t="shared" si="37"/>
        <v>abdallahmira6@gmail.com</v>
      </c>
    </row>
    <row r="1928" spans="1:12">
      <c r="A1928" t="str" cm="1">
        <f t="array" ref="A1928">_xlfn.LET(_xlpm.e,L1928,
IF(_xlpm.e="","",
"DOC-"&amp;TEXT(ROW()-ROW(tblMaster[#Headers]),"00000")
))</f>
        <v>DOC-01927</v>
      </c>
      <c r="B1928" s="47">
        <v>46065</v>
      </c>
      <c r="C1928" s="36" t="s">
        <v>7308</v>
      </c>
      <c r="D1928" s="36" t="s">
        <v>7309</v>
      </c>
      <c r="E1928" s="71" t="s">
        <v>7310</v>
      </c>
      <c r="F1928" s="4" t="s">
        <v>7311</v>
      </c>
      <c r="G1928" s="36" t="s">
        <v>7312</v>
      </c>
      <c r="H1928" t="s">
        <v>5545</v>
      </c>
      <c r="I1928" s="18" t="s">
        <v>54</v>
      </c>
      <c r="J1928" s="99" t="s">
        <v>66</v>
      </c>
      <c r="K1928" s="5" t="s">
        <v>4185</v>
      </c>
      <c r="L1928" t="str">
        <f t="shared" si="37"/>
        <v>gilmoreoben@yahoo.com</v>
      </c>
    </row>
    <row r="1929" spans="1:12">
      <c r="A1929" t="str" cm="1">
        <f t="array" ref="A1929">_xlfn.LET(_xlpm.e,L1929,
IF(_xlpm.e="","",
"DOC-"&amp;TEXT(ROW()-ROW(tblMaster[#Headers]),"00000")
))</f>
        <v>DOC-01928</v>
      </c>
      <c r="B1929" s="47">
        <v>46065</v>
      </c>
      <c r="C1929" s="36" t="s">
        <v>7313</v>
      </c>
      <c r="D1929" s="36" t="s">
        <v>7314</v>
      </c>
      <c r="E1929" s="108" t="s">
        <v>7315</v>
      </c>
      <c r="F1929" s="4" t="s">
        <v>7316</v>
      </c>
      <c r="G1929" s="36" t="s">
        <v>47</v>
      </c>
      <c r="H1929" t="s">
        <v>53</v>
      </c>
      <c r="I1929" s="5" t="s">
        <v>943</v>
      </c>
      <c r="J1929" s="99" t="s">
        <v>560</v>
      </c>
      <c r="K1929" s="5" t="s">
        <v>4185</v>
      </c>
      <c r="L1929" t="str">
        <f t="shared" si="37"/>
        <v>dstrose9721@gmail.com</v>
      </c>
    </row>
    <row r="1930" spans="1:12">
      <c r="A1930" t="str" cm="1">
        <f t="array" ref="A1930">_xlfn.LET(_xlpm.e,L1930,
IF(_xlpm.e="","",
"DOC-"&amp;TEXT(ROW()-ROW(tblMaster[#Headers]),"00000")
))</f>
        <v>DOC-01929</v>
      </c>
      <c r="B1930" s="47">
        <v>46065</v>
      </c>
      <c r="C1930" s="36" t="s">
        <v>3997</v>
      </c>
      <c r="D1930" s="36" t="s">
        <v>7317</v>
      </c>
      <c r="E1930" s="108" t="s">
        <v>7318</v>
      </c>
      <c r="F1930" s="120" t="s">
        <v>7319</v>
      </c>
      <c r="G1930" s="36" t="s">
        <v>74</v>
      </c>
      <c r="H1930" t="s">
        <v>53</v>
      </c>
      <c r="I1930" s="18" t="s">
        <v>54</v>
      </c>
      <c r="J1930" s="99" t="s">
        <v>560</v>
      </c>
      <c r="K1930" s="5" t="s">
        <v>4185</v>
      </c>
      <c r="L1930" t="str">
        <f t="shared" si="37"/>
        <v>michalcastro2007@gmail.com</v>
      </c>
    </row>
    <row r="1931" spans="1:12">
      <c r="A1931" t="str" cm="1">
        <f t="array" ref="A1931">_xlfn.LET(_xlpm.e,L1931,
IF(_xlpm.e="","",
"DOC-"&amp;TEXT(ROW()-ROW(tblMaster[#Headers]),"00000")
))</f>
        <v>DOC-01930</v>
      </c>
      <c r="B1931" s="47">
        <v>46066</v>
      </c>
      <c r="C1931" s="36" t="s">
        <v>7320</v>
      </c>
      <c r="D1931" s="36" t="s">
        <v>5966</v>
      </c>
      <c r="E1931" s="71" t="s">
        <v>7321</v>
      </c>
      <c r="F1931" s="4" t="s">
        <v>7322</v>
      </c>
      <c r="G1931" s="36" t="s">
        <v>1639</v>
      </c>
      <c r="H1931" t="s">
        <v>53</v>
      </c>
      <c r="I1931" s="18" t="s">
        <v>54</v>
      </c>
      <c r="J1931" s="99" t="s">
        <v>23</v>
      </c>
      <c r="K1931" s="5" t="s">
        <v>4185</v>
      </c>
      <c r="L1931" t="str">
        <f t="shared" si="37"/>
        <v>jordanashleyhughes1@gmail.com</v>
      </c>
    </row>
    <row r="1932" spans="1:12">
      <c r="A1932" t="str" cm="1">
        <f t="array" ref="A1932">_xlfn.LET(_xlpm.e,L1932,
IF(_xlpm.e="","",
"DOC-"&amp;TEXT(ROW()-ROW(tblMaster[#Headers]),"00000")
))</f>
        <v>DOC-01931</v>
      </c>
      <c r="B1932" s="47">
        <v>46066</v>
      </c>
      <c r="C1932" s="36" t="s">
        <v>7323</v>
      </c>
      <c r="D1932" s="36" t="s">
        <v>7324</v>
      </c>
      <c r="E1932" s="108" t="s">
        <v>7325</v>
      </c>
      <c r="F1932" s="120" t="s">
        <v>7326</v>
      </c>
      <c r="G1932" s="36" t="s">
        <v>52</v>
      </c>
      <c r="H1932" t="s">
        <v>53</v>
      </c>
      <c r="I1932" s="18" t="s">
        <v>54</v>
      </c>
      <c r="J1932" s="99" t="s">
        <v>497</v>
      </c>
      <c r="K1932" s="5" t="s">
        <v>4185</v>
      </c>
      <c r="L1932" t="str">
        <f t="shared" si="37"/>
        <v>talktojeff2003@yahoo.com</v>
      </c>
    </row>
    <row r="1933" spans="1:12">
      <c r="A1933" t="str" cm="1">
        <f t="array" ref="A1933">_xlfn.LET(_xlpm.e,L1933,
IF(_xlpm.e="","",
"DOC-"&amp;TEXT(ROW()-ROW(tblMaster[#Headers]),"00000")
))</f>
        <v>DOC-01932</v>
      </c>
      <c r="B1933" s="47">
        <v>46066</v>
      </c>
      <c r="C1933" s="36" t="s">
        <v>1277</v>
      </c>
      <c r="D1933" s="36" t="s">
        <v>7327</v>
      </c>
      <c r="E1933" s="71" t="s">
        <v>7328</v>
      </c>
      <c r="F1933" s="4" t="s">
        <v>7329</v>
      </c>
      <c r="G1933" s="36" t="s">
        <v>2366</v>
      </c>
      <c r="H1933" t="s">
        <v>53</v>
      </c>
      <c r="I1933" s="18" t="s">
        <v>54</v>
      </c>
      <c r="J1933" s="99" t="s">
        <v>194</v>
      </c>
      <c r="K1933" s="5" t="s">
        <v>4185</v>
      </c>
      <c r="L1933" t="str">
        <f t="shared" si="37"/>
        <v>johnmcgrail614@gmail.com</v>
      </c>
    </row>
    <row r="1934" spans="1:12">
      <c r="A1934" t="str" cm="1">
        <f t="array" ref="A1934">_xlfn.LET(_xlpm.e,L1934,
IF(_xlpm.e="","",
"DOC-"&amp;TEXT(ROW()-ROW(tblMaster[#Headers]),"00000")
))</f>
        <v>DOC-01933</v>
      </c>
      <c r="B1934" s="47">
        <v>46066</v>
      </c>
      <c r="C1934" s="36" t="s">
        <v>5291</v>
      </c>
      <c r="D1934" s="36" t="s">
        <v>7330</v>
      </c>
      <c r="E1934" s="71" t="s">
        <v>7331</v>
      </c>
      <c r="F1934" s="4" t="s">
        <v>7332</v>
      </c>
      <c r="G1934" s="36" t="s">
        <v>2103</v>
      </c>
      <c r="H1934" t="s">
        <v>53</v>
      </c>
      <c r="I1934" s="18" t="s">
        <v>54</v>
      </c>
      <c r="J1934" s="99" t="s">
        <v>118</v>
      </c>
      <c r="K1934" s="5" t="s">
        <v>4185</v>
      </c>
      <c r="L1934" t="str">
        <f t="shared" si="37"/>
        <v>aaronjleach11@gmail.com</v>
      </c>
    </row>
    <row r="1935" spans="1:12">
      <c r="A1935" t="str" cm="1">
        <f t="array" ref="A1935">_xlfn.LET(_xlpm.e,L1935,
IF(_xlpm.e="","",
"DOC-"&amp;TEXT(ROW()-ROW(tblMaster[#Headers]),"00000")
))</f>
        <v>DOC-01934</v>
      </c>
      <c r="B1935" s="47">
        <v>46066</v>
      </c>
      <c r="C1935" s="36" t="s">
        <v>7333</v>
      </c>
      <c r="D1935" s="36" t="s">
        <v>7334</v>
      </c>
      <c r="E1935" s="71" t="s">
        <v>7335</v>
      </c>
      <c r="F1935" s="4" t="s">
        <v>7336</v>
      </c>
      <c r="G1935" s="36" t="s">
        <v>182</v>
      </c>
      <c r="H1935" t="s">
        <v>53</v>
      </c>
      <c r="I1935" s="18" t="s">
        <v>54</v>
      </c>
      <c r="J1935" s="99" t="s">
        <v>560</v>
      </c>
      <c r="K1935" s="5" t="s">
        <v>4185</v>
      </c>
      <c r="L1935" t="str">
        <f t="shared" si="37"/>
        <v>stephtejx02@gmail.com</v>
      </c>
    </row>
    <row r="1936" spans="1:12">
      <c r="A1936" t="str" cm="1">
        <f t="array" ref="A1936">_xlfn.LET(_xlpm.e,L1936,
IF(_xlpm.e="","",
"DOC-"&amp;TEXT(ROW()-ROW(tblMaster[#Headers]),"00000")
))</f>
        <v>DOC-01935</v>
      </c>
      <c r="B1936" s="47">
        <v>46069</v>
      </c>
      <c r="C1936" s="36" t="s">
        <v>7337</v>
      </c>
      <c r="D1936" s="36" t="s">
        <v>7338</v>
      </c>
      <c r="E1936" s="71" t="s">
        <v>7339</v>
      </c>
      <c r="F1936" s="4" t="s">
        <v>7340</v>
      </c>
      <c r="G1936" s="36" t="s">
        <v>7341</v>
      </c>
      <c r="H1936" t="s">
        <v>267</v>
      </c>
      <c r="I1936" s="18" t="s">
        <v>54</v>
      </c>
      <c r="J1936" s="99" t="s">
        <v>23</v>
      </c>
      <c r="K1936" s="5" t="s">
        <v>4185</v>
      </c>
      <c r="L1936" t="str">
        <f t="shared" si="37"/>
        <v>nikolliloreno@gmail.com</v>
      </c>
    </row>
    <row r="1937" spans="1:12">
      <c r="A1937" t="str" cm="1">
        <f t="array" ref="A1937">_xlfn.LET(_xlpm.e,L1937,
IF(_xlpm.e="","",
"DOC-"&amp;TEXT(ROW()-ROW(tblMaster[#Headers]),"00000")
))</f>
        <v>DOC-01936</v>
      </c>
      <c r="B1937" s="47">
        <v>46069</v>
      </c>
      <c r="C1937" s="36" t="s">
        <v>7342</v>
      </c>
      <c r="D1937" s="36" t="s">
        <v>7343</v>
      </c>
      <c r="E1937" s="71" t="s">
        <v>7344</v>
      </c>
      <c r="F1937" s="4" t="s">
        <v>7345</v>
      </c>
      <c r="G1937" s="36" t="s">
        <v>517</v>
      </c>
      <c r="H1937" t="s">
        <v>53</v>
      </c>
      <c r="I1937" s="18" t="s">
        <v>54</v>
      </c>
      <c r="J1937" s="99" t="s">
        <v>497</v>
      </c>
      <c r="K1937" s="5" t="s">
        <v>4185</v>
      </c>
      <c r="L1937" t="str">
        <f t="shared" si="37"/>
        <v>eugeniopillkahn@yahoo.com</v>
      </c>
    </row>
    <row r="1938" spans="1:12">
      <c r="A1938" t="str" cm="1">
        <f t="array" ref="A1938">_xlfn.LET(_xlpm.e,L1938,
IF(_xlpm.e="","",
"DOC-"&amp;TEXT(ROW()-ROW(tblMaster[#Headers]),"00000")
))</f>
        <v>DOC-01937</v>
      </c>
      <c r="B1938" s="47">
        <v>46069</v>
      </c>
      <c r="C1938" s="36" t="s">
        <v>7346</v>
      </c>
      <c r="D1938" s="36" t="s">
        <v>7347</v>
      </c>
      <c r="E1938" s="71" t="s">
        <v>7348</v>
      </c>
      <c r="F1938" s="4" t="s">
        <v>7349</v>
      </c>
      <c r="G1938" s="36" t="s">
        <v>7350</v>
      </c>
      <c r="H1938" t="s">
        <v>355</v>
      </c>
      <c r="I1938" s="18" t="s">
        <v>54</v>
      </c>
      <c r="J1938" s="99" t="s">
        <v>194</v>
      </c>
      <c r="K1938" s="5" t="s">
        <v>4185</v>
      </c>
      <c r="L1938" t="str">
        <f t="shared" si="37"/>
        <v>anthony_mendieta@yahoo.com</v>
      </c>
    </row>
    <row r="1939" spans="1:12">
      <c r="A1939" t="str" cm="1">
        <f t="array" ref="A1939">_xlfn.LET(_xlpm.e,L1939,
IF(_xlpm.e="","",
"DOC-"&amp;TEXT(ROW()-ROW(tblMaster[#Headers]),"00000")
))</f>
        <v>DOC-01938</v>
      </c>
      <c r="B1939" s="47">
        <v>46069</v>
      </c>
      <c r="C1939" s="36" t="s">
        <v>7351</v>
      </c>
      <c r="D1939" s="36" t="s">
        <v>7352</v>
      </c>
      <c r="E1939" s="71" t="s">
        <v>7353</v>
      </c>
      <c r="F1939" s="4" t="s">
        <v>7354</v>
      </c>
      <c r="G1939" s="36" t="s">
        <v>559</v>
      </c>
      <c r="H1939" t="s">
        <v>53</v>
      </c>
      <c r="I1939" s="18" t="s">
        <v>54</v>
      </c>
      <c r="J1939" s="99" t="s">
        <v>66</v>
      </c>
      <c r="K1939" s="5" t="s">
        <v>4185</v>
      </c>
      <c r="L1939" t="str">
        <f t="shared" si="37"/>
        <v>romualdcolin01821@gmail.com</v>
      </c>
    </row>
    <row r="1940" spans="1:12">
      <c r="A1940" t="str" cm="1">
        <f t="array" ref="A1940">_xlfn.LET(_xlpm.e,L1940,
IF(_xlpm.e="","",
"DOC-"&amp;TEXT(ROW()-ROW(tblMaster[#Headers]),"00000")
))</f>
        <v>DOC-01939</v>
      </c>
      <c r="B1940" s="47">
        <v>46069</v>
      </c>
      <c r="C1940" s="36" t="s">
        <v>7355</v>
      </c>
      <c r="D1940" s="36" t="s">
        <v>7356</v>
      </c>
      <c r="E1940" s="71" t="s">
        <v>7357</v>
      </c>
      <c r="F1940" s="4" t="s">
        <v>7358</v>
      </c>
      <c r="G1940" s="36" t="s">
        <v>7359</v>
      </c>
      <c r="H1940" t="s">
        <v>7360</v>
      </c>
      <c r="I1940" s="18" t="s">
        <v>54</v>
      </c>
      <c r="J1940" s="99" t="s">
        <v>118</v>
      </c>
      <c r="K1940" s="5" t="s">
        <v>4185</v>
      </c>
      <c r="L1940" t="str">
        <f t="shared" ref="L1940:L1957" si="38">_xlfn.LET(_xlpm.x,E1940,
_xlpm.y,TRIM(CLEAN(SUBSTITUTE(_xlpm.x,CHAR(160)," "))),
LOWER(_xlpm.y))</f>
        <v>jannymedrano@yahoo.com</v>
      </c>
    </row>
    <row r="1941" spans="1:12">
      <c r="A1941" t="str" cm="1">
        <f t="array" ref="A1941">_xlfn.LET(_xlpm.e,L1941,
IF(_xlpm.e="","",
"DOC-"&amp;TEXT(ROW()-ROW(tblMaster[#Headers]),"00000")
))</f>
        <v>DOC-01940</v>
      </c>
      <c r="B1941" s="47">
        <v>46070</v>
      </c>
      <c r="C1941" s="36" t="s">
        <v>7361</v>
      </c>
      <c r="D1941" s="36" t="s">
        <v>7362</v>
      </c>
      <c r="E1941" s="71" t="s">
        <v>7363</v>
      </c>
      <c r="F1941" s="4" t="s">
        <v>7364</v>
      </c>
      <c r="G1941" s="36" t="s">
        <v>1338</v>
      </c>
      <c r="H1941" t="s">
        <v>53</v>
      </c>
      <c r="I1941" s="18" t="s">
        <v>54</v>
      </c>
      <c r="J1941" s="99" t="s">
        <v>560</v>
      </c>
      <c r="K1941" s="5" t="s">
        <v>4185</v>
      </c>
      <c r="L1941" t="str">
        <f t="shared" si="38"/>
        <v>memond95@icloud.com</v>
      </c>
    </row>
    <row r="1942" spans="1:12">
      <c r="A1942" t="str" cm="1">
        <f t="array" ref="A1942">_xlfn.LET(_xlpm.e,L1942,
IF(_xlpm.e="","",
"DOC-"&amp;TEXT(ROW()-ROW(tblMaster[#Headers]),"00000")
))</f>
        <v>DOC-01941</v>
      </c>
      <c r="B1942" s="47">
        <v>46070</v>
      </c>
      <c r="C1942" s="36" t="s">
        <v>7245</v>
      </c>
      <c r="D1942" s="36" t="s">
        <v>5005</v>
      </c>
      <c r="E1942" s="71" t="s">
        <v>7365</v>
      </c>
      <c r="F1942" s="4" t="s">
        <v>7366</v>
      </c>
      <c r="G1942" s="36" t="s">
        <v>7367</v>
      </c>
      <c r="H1942" t="s">
        <v>53</v>
      </c>
      <c r="I1942" s="18" t="s">
        <v>54</v>
      </c>
      <c r="J1942" s="99" t="s">
        <v>23</v>
      </c>
      <c r="K1942" s="5" t="s">
        <v>4185</v>
      </c>
      <c r="L1942" t="str">
        <f t="shared" si="38"/>
        <v>patriciadepinalopes@gmail.com</v>
      </c>
    </row>
    <row r="1943" spans="1:12">
      <c r="A1943" t="str" cm="1">
        <f t="array" ref="A1943">_xlfn.LET(_xlpm.e,L1943,
IF(_xlpm.e="","",
"DOC-"&amp;TEXT(ROW()-ROW(tblMaster[#Headers]),"00000")
))</f>
        <v>DOC-01942</v>
      </c>
      <c r="B1943" s="47">
        <v>46070</v>
      </c>
      <c r="C1943" s="36" t="s">
        <v>7368</v>
      </c>
      <c r="D1943" s="36" t="s">
        <v>4033</v>
      </c>
      <c r="E1943" s="71" t="s">
        <v>7369</v>
      </c>
      <c r="F1943" s="4" t="s">
        <v>7370</v>
      </c>
      <c r="G1943" s="36" t="s">
        <v>74</v>
      </c>
      <c r="H1943" t="s">
        <v>53</v>
      </c>
      <c r="I1943" s="18" t="s">
        <v>54</v>
      </c>
      <c r="J1943" s="99" t="s">
        <v>497</v>
      </c>
      <c r="K1943" s="5" t="s">
        <v>4185</v>
      </c>
      <c r="L1943" t="str">
        <f t="shared" si="38"/>
        <v>bestsm877@gmail.com</v>
      </c>
    </row>
    <row r="1944" spans="1:12">
      <c r="A1944" t="str" cm="1">
        <f t="array" ref="A1944">_xlfn.LET(_xlpm.e,L1944,
IF(_xlpm.e="","",
"DOC-"&amp;TEXT(ROW()-ROW(tblMaster[#Headers]),"00000")
))</f>
        <v>DOC-01943</v>
      </c>
      <c r="B1944" s="47">
        <v>46071</v>
      </c>
      <c r="C1944" s="36" t="s">
        <v>7371</v>
      </c>
      <c r="D1944" s="36" t="s">
        <v>7372</v>
      </c>
      <c r="E1944" s="71" t="s">
        <v>7373</v>
      </c>
      <c r="F1944" s="4" t="s">
        <v>7374</v>
      </c>
      <c r="G1944" s="36" t="s">
        <v>7375</v>
      </c>
      <c r="H1944" t="s">
        <v>1156</v>
      </c>
      <c r="I1944" s="18" t="s">
        <v>54</v>
      </c>
      <c r="J1944" s="99" t="s">
        <v>118</v>
      </c>
      <c r="K1944" s="5" t="s">
        <v>4185</v>
      </c>
      <c r="L1944" t="str">
        <f t="shared" si="38"/>
        <v>lenchiefelix@gmail.com</v>
      </c>
    </row>
    <row r="1945" spans="1:12">
      <c r="A1945" t="s">
        <v>7376</v>
      </c>
      <c r="B1945" s="47">
        <v>45958</v>
      </c>
      <c r="C1945" s="36" t="s">
        <v>7377</v>
      </c>
      <c r="D1945" s="36" t="s">
        <v>7378</v>
      </c>
      <c r="E1945" s="71" t="s">
        <v>7379</v>
      </c>
      <c r="F1945" s="4" t="s">
        <v>7380</v>
      </c>
      <c r="G1945" s="36" t="s">
        <v>369</v>
      </c>
      <c r="H1945" t="s">
        <v>53</v>
      </c>
      <c r="I1945" s="5" t="s">
        <v>2276</v>
      </c>
      <c r="J1945" s="99" t="s">
        <v>497</v>
      </c>
      <c r="K1945" s="5" t="s">
        <v>226</v>
      </c>
      <c r="L1945" t="str">
        <f t="shared" si="38"/>
        <v>rentasciana@gmail.com</v>
      </c>
    </row>
    <row r="1946" spans="1:12">
      <c r="A1946" t="str" cm="1">
        <f t="array" ref="A1946">_xlfn.LET(_xlpm.e,L1946,
IF(_xlpm.e="","",
"DOC-"&amp;TEXT(ROW()-ROW(tblMaster[#Headers]),"00000")
))</f>
        <v>DOC-01945</v>
      </c>
      <c r="B1946" s="47">
        <v>45790</v>
      </c>
      <c r="C1946" s="120" t="s">
        <v>3199</v>
      </c>
      <c r="D1946" s="120" t="s">
        <v>7381</v>
      </c>
      <c r="E1946" s="108" t="s">
        <v>6856</v>
      </c>
      <c r="F1946" t="s">
        <v>7382</v>
      </c>
      <c r="G1946" s="36" t="s">
        <v>7383</v>
      </c>
      <c r="H1946" t="s">
        <v>53</v>
      </c>
      <c r="I1946" s="18" t="s">
        <v>54</v>
      </c>
      <c r="J1946" s="99" t="s">
        <v>497</v>
      </c>
      <c r="K1946" s="5" t="s">
        <v>226</v>
      </c>
      <c r="L1946" t="str">
        <f t="shared" si="38"/>
        <v>pean1226@yahoo.fr</v>
      </c>
    </row>
    <row r="1947" spans="1:12">
      <c r="A1947" t="str" cm="1">
        <f t="array" ref="A1947">_xlfn.LET(_xlpm.e,L1947,
IF(_xlpm.e="","",
"DOC-"&amp;TEXT(ROW()-ROW(tblMaster[#Headers]),"00000")
))</f>
        <v>DOC-01946</v>
      </c>
      <c r="B1947" s="47">
        <v>46072</v>
      </c>
      <c r="C1947" s="36" t="s">
        <v>7384</v>
      </c>
      <c r="D1947" s="36" t="s">
        <v>4033</v>
      </c>
      <c r="E1947" s="71" t="s">
        <v>7385</v>
      </c>
      <c r="F1947" s="4" t="s">
        <v>7386</v>
      </c>
      <c r="G1947" s="36" t="s">
        <v>2098</v>
      </c>
      <c r="H1947" t="s">
        <v>53</v>
      </c>
      <c r="I1947" s="18" t="s">
        <v>54</v>
      </c>
      <c r="J1947" s="99" t="s">
        <v>560</v>
      </c>
      <c r="K1947" s="5" t="s">
        <v>4185</v>
      </c>
      <c r="L1947" t="str">
        <f t="shared" si="38"/>
        <v>rodriguezanjealis9@gmail.com</v>
      </c>
    </row>
    <row r="1948" spans="1:12">
      <c r="A1948" t="str" cm="1">
        <f t="array" ref="A1948">_xlfn.LET(_xlpm.e,L1948,
IF(_xlpm.e="","",
"DOC-"&amp;TEXT(ROW()-ROW(tblMaster[#Headers]),"00000")
))</f>
        <v>DOC-01947</v>
      </c>
      <c r="B1948" s="47">
        <v>46072</v>
      </c>
      <c r="C1948" s="36" t="s">
        <v>7387</v>
      </c>
      <c r="D1948" s="36" t="s">
        <v>7388</v>
      </c>
      <c r="E1948" s="71" t="s">
        <v>7389</v>
      </c>
      <c r="F1948" s="4" t="s">
        <v>7390</v>
      </c>
      <c r="I1948" s="18" t="s">
        <v>54</v>
      </c>
      <c r="J1948" s="99" t="s">
        <v>23</v>
      </c>
      <c r="K1948" s="5" t="s">
        <v>4185</v>
      </c>
      <c r="L1948" t="str">
        <f t="shared" si="38"/>
        <v>meklein118@gmail.com</v>
      </c>
    </row>
    <row r="1949" spans="1:12">
      <c r="A1949" t="str" cm="1">
        <f t="array" ref="A1949">_xlfn.LET(_xlpm.e,L1949,
IF(_xlpm.e="","",
"DOC-"&amp;TEXT(ROW()-ROW(tblMaster[#Headers]),"00000")
))</f>
        <v>DOC-01948</v>
      </c>
      <c r="B1949" s="47">
        <v>46072</v>
      </c>
      <c r="C1949" s="36" t="s">
        <v>7391</v>
      </c>
      <c r="D1949" s="36" t="s">
        <v>7392</v>
      </c>
      <c r="E1949" s="71" t="s">
        <v>7393</v>
      </c>
      <c r="F1949" s="4" t="s">
        <v>7394</v>
      </c>
      <c r="G1949" s="36" t="s">
        <v>106</v>
      </c>
      <c r="H1949" t="s">
        <v>53</v>
      </c>
      <c r="I1949" s="18" t="s">
        <v>54</v>
      </c>
      <c r="J1949" s="99" t="s">
        <v>497</v>
      </c>
      <c r="K1949" s="5" t="s">
        <v>4185</v>
      </c>
      <c r="L1949" t="str">
        <f t="shared" si="38"/>
        <v>edm5225@gmail.com</v>
      </c>
    </row>
    <row r="1950" spans="1:12">
      <c r="A1950" t="str" cm="1">
        <f t="array" ref="A1950">_xlfn.LET(_xlpm.e,L1950,
IF(_xlpm.e="","",
"DOC-"&amp;TEXT(ROW()-ROW(tblMaster[#Headers]),"00000")
))</f>
        <v>DOC-01949</v>
      </c>
      <c r="B1950" s="47">
        <v>46072</v>
      </c>
      <c r="C1950" s="36" t="s">
        <v>6885</v>
      </c>
      <c r="D1950" s="36" t="s">
        <v>7395</v>
      </c>
      <c r="E1950" s="71" t="s">
        <v>7396</v>
      </c>
      <c r="F1950" s="4" t="s">
        <v>7397</v>
      </c>
      <c r="G1950" s="36" t="s">
        <v>182</v>
      </c>
      <c r="H1950" t="s">
        <v>53</v>
      </c>
      <c r="I1950" s="18" t="s">
        <v>54</v>
      </c>
      <c r="J1950" s="99" t="s">
        <v>194</v>
      </c>
      <c r="K1950" s="5" t="s">
        <v>4185</v>
      </c>
      <c r="L1950" t="str">
        <f t="shared" si="38"/>
        <v>brian01904@gmail.com</v>
      </c>
    </row>
    <row r="1951" spans="1:12">
      <c r="A1951" t="str" cm="1">
        <f t="array" ref="A1951">_xlfn.LET(_xlpm.e,L1951,
IF(_xlpm.e="","",
"DOC-"&amp;TEXT(ROW()-ROW(tblMaster[#Headers]),"00000")
))</f>
        <v>DOC-01950</v>
      </c>
      <c r="B1951" s="47">
        <v>46072</v>
      </c>
      <c r="C1951" s="120" t="s">
        <v>7398</v>
      </c>
      <c r="D1951" s="120" t="s">
        <v>7399</v>
      </c>
      <c r="E1951" s="108" t="s">
        <v>2516</v>
      </c>
      <c r="F1951" t="s">
        <v>7400</v>
      </c>
      <c r="G1951" s="36" t="s">
        <v>1954</v>
      </c>
      <c r="H1951" t="s">
        <v>53</v>
      </c>
      <c r="I1951" s="18" t="s">
        <v>54</v>
      </c>
      <c r="K1951" s="5" t="s">
        <v>4185</v>
      </c>
      <c r="L1951" t="str">
        <f t="shared" si="38"/>
        <v>oriakhidestiny@gmail.com</v>
      </c>
    </row>
    <row r="1952" spans="1:12">
      <c r="A1952" t="str" cm="1">
        <f t="array" ref="A1952">_xlfn.LET(_xlpm.e,L1952,
IF(_xlpm.e="","",
"DOC-"&amp;TEXT(ROW()-ROW(tblMaster[#Headers]),"00000")
))</f>
        <v>DOC-01951</v>
      </c>
      <c r="B1952" s="47">
        <v>46072</v>
      </c>
      <c r="C1952" s="36" t="s">
        <v>759</v>
      </c>
      <c r="D1952" s="36" t="s">
        <v>7401</v>
      </c>
      <c r="E1952" s="71" t="s">
        <v>7402</v>
      </c>
      <c r="F1952" s="4" t="s">
        <v>7403</v>
      </c>
      <c r="G1952" s="36" t="s">
        <v>554</v>
      </c>
      <c r="H1952" t="s">
        <v>267</v>
      </c>
      <c r="I1952" s="5" t="s">
        <v>2276</v>
      </c>
      <c r="J1952" s="99" t="s">
        <v>66</v>
      </c>
      <c r="K1952" s="5" t="s">
        <v>226</v>
      </c>
      <c r="L1952" t="str">
        <f t="shared" si="38"/>
        <v>josebaptista10273@gmail.com</v>
      </c>
    </row>
    <row r="1953" spans="1:12">
      <c r="A1953" t="str" cm="1">
        <f t="array" ref="A1953">_xlfn.LET(_xlpm.e,L1953,
IF(_xlpm.e="","",
"DOC-"&amp;TEXT(ROW()-ROW(tblMaster[#Headers]),"00000")
))</f>
        <v>DOC-01952</v>
      </c>
      <c r="B1953" s="47">
        <v>46072</v>
      </c>
      <c r="C1953" s="36" t="s">
        <v>7404</v>
      </c>
      <c r="D1953" s="36" t="s">
        <v>7405</v>
      </c>
      <c r="E1953" s="108" t="s">
        <v>7406</v>
      </c>
      <c r="F1953" s="4" t="s">
        <v>7407</v>
      </c>
      <c r="G1953" s="36" t="s">
        <v>3048</v>
      </c>
      <c r="H1953" t="s">
        <v>53</v>
      </c>
      <c r="I1953" s="18" t="s">
        <v>54</v>
      </c>
      <c r="J1953" s="99" t="s">
        <v>118</v>
      </c>
      <c r="K1953" s="5" t="s">
        <v>4185</v>
      </c>
      <c r="L1953" t="str">
        <f t="shared" si="38"/>
        <v>davionportes91817@gmail.com</v>
      </c>
    </row>
    <row r="1954" spans="1:12">
      <c r="A1954" t="str" cm="1">
        <f t="array" ref="A1954">_xlfn.LET(_xlpm.e,L1954,
IF(_xlpm.e="","",
"DOC-"&amp;TEXT(ROW()-ROW(tblMaster[#Headers]),"00000")
))</f>
        <v>DOC-01953</v>
      </c>
      <c r="B1954" s="47">
        <v>45854</v>
      </c>
      <c r="C1954" s="36" t="s">
        <v>7408</v>
      </c>
      <c r="D1954" s="36" t="s">
        <v>7409</v>
      </c>
      <c r="E1954" s="71" t="s">
        <v>7410</v>
      </c>
      <c r="F1954" t="s">
        <v>7411</v>
      </c>
      <c r="G1954" s="36" t="s">
        <v>7412</v>
      </c>
      <c r="H1954" t="s">
        <v>53</v>
      </c>
      <c r="I1954" s="18" t="s">
        <v>54</v>
      </c>
      <c r="J1954" s="99" t="s">
        <v>66</v>
      </c>
      <c r="K1954" s="5" t="s">
        <v>226</v>
      </c>
      <c r="L1954" t="str">
        <f t="shared" si="38"/>
        <v>cbgauthier12@gmail.com</v>
      </c>
    </row>
    <row r="1955" spans="1:12">
      <c r="A1955" t="str" cm="1">
        <f t="array" ref="A1955">_xlfn.LET(_xlpm.e,L1955,
IF(_xlpm.e="","",
"DOC-"&amp;TEXT(ROW()-ROW(tblMaster[#Headers]),"00000")
))</f>
        <v>DOC-01954</v>
      </c>
      <c r="B1955" s="47">
        <v>45707</v>
      </c>
      <c r="C1955" s="36" t="s">
        <v>75</v>
      </c>
      <c r="D1955" s="36" t="s">
        <v>2237</v>
      </c>
      <c r="E1955" s="71" t="s">
        <v>7413</v>
      </c>
      <c r="F1955" s="4" t="s">
        <v>7414</v>
      </c>
      <c r="G1955" s="36" t="s">
        <v>517</v>
      </c>
      <c r="H1955" t="s">
        <v>53</v>
      </c>
      <c r="I1955" s="18" t="s">
        <v>54</v>
      </c>
      <c r="J1955" s="99" t="s">
        <v>497</v>
      </c>
      <c r="K1955" s="5" t="s">
        <v>4185</v>
      </c>
      <c r="L1955" t="str">
        <f t="shared" si="38"/>
        <v>joshuailopez14@gmail.com</v>
      </c>
    </row>
    <row r="1956" spans="1:12">
      <c r="A1956" t="str" cm="1">
        <f t="array" ref="A1956">_xlfn.LET(_xlpm.e,L1956,
IF(_xlpm.e="","",
"DOC-"&amp;TEXT(ROW()-ROW(tblMaster[#Headers]),"00000")
))</f>
        <v>DOC-01955</v>
      </c>
      <c r="B1956" s="47">
        <v>46073</v>
      </c>
      <c r="C1956" s="120" t="s">
        <v>7415</v>
      </c>
      <c r="D1956" s="120" t="s">
        <v>7415</v>
      </c>
      <c r="E1956" s="108" t="s">
        <v>7416</v>
      </c>
      <c r="F1956" s="4" t="s">
        <v>7417</v>
      </c>
      <c r="G1956" s="36" t="s">
        <v>581</v>
      </c>
      <c r="H1956" t="s">
        <v>53</v>
      </c>
      <c r="I1956" s="18" t="s">
        <v>54</v>
      </c>
      <c r="K1956" s="5" t="s">
        <v>4185</v>
      </c>
      <c r="L1956" t="str">
        <f t="shared" si="38"/>
        <v>dudamaga2002@gmail.com</v>
      </c>
    </row>
    <row r="1957" spans="1:12">
      <c r="A1957" t="str" cm="1">
        <f t="array" ref="A1957">_xlfn.LET(_xlpm.e,L1957,
IF(_xlpm.e="","",
"DOC-"&amp;TEXT(ROW()-ROW(tblMaster[#Headers]),"00000")
))</f>
        <v>DOC-01956</v>
      </c>
      <c r="B1957" s="47">
        <v>46073</v>
      </c>
      <c r="C1957" s="36" t="s">
        <v>2112</v>
      </c>
      <c r="D1957" s="36" t="s">
        <v>7418</v>
      </c>
      <c r="E1957" s="71" t="s">
        <v>7419</v>
      </c>
      <c r="F1957" s="4" t="s">
        <v>7420</v>
      </c>
      <c r="G1957" s="36" t="s">
        <v>1361</v>
      </c>
      <c r="H1957" t="s">
        <v>53</v>
      </c>
      <c r="I1957" s="18" t="s">
        <v>101</v>
      </c>
      <c r="J1957" s="99" t="s">
        <v>23</v>
      </c>
      <c r="K1957" s="5" t="s">
        <v>4185</v>
      </c>
      <c r="L1957" t="str">
        <f t="shared" si="38"/>
        <v>zacharyluzier@yahoo.com</v>
      </c>
    </row>
  </sheetData>
  <sheetProtection selectLockedCells="1" autoFilter="0"/>
  <conditionalFormatting sqref="E1 E1558:E1560 E1562:E1565 E1809:E1816 E1824:E1853 E1855 E1859:E1868 E1870:E1874 E1877:E1880 E1888:E1890 E1892:E1898 E1901 E1906:E1909 E1913:E1914 E1916:E1917 E1919:E1922 E1924 E1927:E1928 E1934:E1945 E1947:E1949 E1952 E1955 E1958:E1048551">
    <cfRule type="expression" priority="43">
      <formula>AND($E2&lt;&gt;"",COUNTIF(tblMasterL2,LOWER(TRIM(CLEAN(SUBSTITUTE($E2,CHAR(160)," ")))))&gt;1)</formula>
    </cfRule>
    <cfRule type="expression" dxfId="66" priority="41">
      <formula>AND($E2&lt;&gt;"",COUNTIF(tblMasterL2,LOWER(TRIM(CLEAN(SUBSTITUTE($E2,CHAR(160)," ")))))&gt;1)</formula>
    </cfRule>
  </conditionalFormatting>
  <conditionalFormatting sqref="E1529">
    <cfRule type="duplicateValues" dxfId="65" priority="35"/>
    <cfRule type="duplicateValues" dxfId="64" priority="34"/>
  </conditionalFormatting>
  <conditionalFormatting sqref="E1530:E1557">
    <cfRule type="duplicateValues" dxfId="63" priority="33"/>
    <cfRule type="duplicateValues" dxfId="62" priority="32"/>
    <cfRule type="duplicateValues" dxfId="61" priority="31"/>
  </conditionalFormatting>
  <conditionalFormatting sqref="E1558:E1560 E1562:E1565 E1809:E1816 E1824:E1853 E1855 E1859:E1868 E1870:E1874 E1877:E1880 E1888:E1890 E1892:E1898 E1901 E1906:E1909 E1913:E1914 E1916:E1917 E1919:E1922 E1924 E1927:E1928 E1934:E1945 E1947:E1949 E1952 E1955 E1958:E1048551 E1">
    <cfRule type="expression" dxfId="60" priority="40">
      <formula>AND($E2&lt;&gt;"",COUNTIF(L2,LOWER(TRIM(CLEAN(SUBSTITUTE($E2,CHAR(160)," ")))))&gt;1)</formula>
    </cfRule>
  </conditionalFormatting>
  <conditionalFormatting sqref="E1558:E1560 E1562:E1565 E1809:E1816 E1824:E1853 E1855 E1859:E1874 E1876:E1880 E1888:E1890 E1892:E1898 E1901 E1906:E1910 E1913:E1917 E1919:E1924 E1926:E1928 E1931 E1933:E1945 E1947:E1950 E1952 E1954:E1955 E1957:E1048576">
    <cfRule type="expression" dxfId="59" priority="36">
      <formula>AND($E1558&lt;&gt;"",COUNTIF($L:$L,$L1558)&gt;1)</formula>
    </cfRule>
  </conditionalFormatting>
  <conditionalFormatting sqref="E1561">
    <cfRule type="duplicateValues" dxfId="58" priority="30"/>
    <cfRule type="duplicateValues" dxfId="57" priority="29"/>
    <cfRule type="duplicateValues" dxfId="56" priority="28"/>
  </conditionalFormatting>
  <conditionalFormatting sqref="E1566:E1808">
    <cfRule type="duplicateValues" dxfId="55" priority="27"/>
  </conditionalFormatting>
  <conditionalFormatting sqref="E1583:E1603 E1566:E1578 E1605:E1642 E1648:E1793 E1645 E1795:E1800">
    <cfRule type="duplicateValues" dxfId="54" priority="26"/>
  </conditionalFormatting>
  <conditionalFormatting sqref="E1604">
    <cfRule type="duplicateValues" dxfId="53" priority="25"/>
    <cfRule type="duplicateValues" dxfId="52" priority="24"/>
  </conditionalFormatting>
  <conditionalFormatting sqref="E1794">
    <cfRule type="duplicateValues" dxfId="51" priority="21"/>
    <cfRule type="duplicateValues" dxfId="50" priority="22"/>
  </conditionalFormatting>
  <conditionalFormatting sqref="E1801">
    <cfRule type="duplicateValues" dxfId="49" priority="20"/>
    <cfRule type="duplicateValues" dxfId="48" priority="19"/>
  </conditionalFormatting>
  <conditionalFormatting sqref="E1802">
    <cfRule type="duplicateValues" dxfId="47" priority="18"/>
    <cfRule type="duplicateValues" dxfId="46" priority="17"/>
  </conditionalFormatting>
  <conditionalFormatting sqref="E1803">
    <cfRule type="duplicateValues" dxfId="45" priority="16"/>
    <cfRule type="duplicateValues" dxfId="44" priority="15"/>
  </conditionalFormatting>
  <conditionalFormatting sqref="E1804">
    <cfRule type="duplicateValues" dxfId="43" priority="14"/>
    <cfRule type="duplicateValues" dxfId="42" priority="13"/>
  </conditionalFormatting>
  <conditionalFormatting sqref="E1805">
    <cfRule type="duplicateValues" dxfId="41" priority="12"/>
    <cfRule type="duplicateValues" dxfId="40" priority="11"/>
  </conditionalFormatting>
  <conditionalFormatting sqref="E1808">
    <cfRule type="duplicateValues" dxfId="39" priority="10"/>
    <cfRule type="duplicateValues" dxfId="38" priority="9"/>
    <cfRule type="duplicateValues" dxfId="37" priority="8"/>
  </conditionalFormatting>
  <conditionalFormatting sqref="E1817:E1823">
    <cfRule type="duplicateValues" dxfId="36" priority="5"/>
    <cfRule type="duplicateValues" dxfId="35" priority="6"/>
    <cfRule type="duplicateValues" dxfId="34" priority="4"/>
  </conditionalFormatting>
  <conditionalFormatting sqref="E1869">
    <cfRule type="expression" priority="47">
      <formula>AND(#REF!&lt;&gt;"",COUNTIF(tblMasterL2,LOWER(TRIM(CLEAN(SUBSTITUTE(#REF!,CHAR(160)," ")))))&gt;1)</formula>
    </cfRule>
    <cfRule type="expression" dxfId="33" priority="92">
      <formula>AND(#REF!&lt;&gt;"",COUNTIF(#REF!,LOWER(TRIM(CLEAN(SUBSTITUTE(#REF!,CHAR(160)," ")))))&gt;1)</formula>
    </cfRule>
    <cfRule type="expression" dxfId="32" priority="46">
      <formula>AND(#REF!&lt;&gt;"",COUNTIF(tblMasterL2,LOWER(TRIM(CLEAN(SUBSTITUTE(#REF!,CHAR(160)," ")))))&gt;1)</formula>
    </cfRule>
  </conditionalFormatting>
  <conditionalFormatting sqref="E1876">
    <cfRule type="expression" dxfId="31" priority="93">
      <formula>AND(#REF!&lt;&gt;"",COUNTIF(tblMasterL2,LOWER(TRIM(CLEAN(SUBSTITUTE(#REF!,CHAR(160)," ")))))&gt;1)</formula>
    </cfRule>
    <cfRule type="expression" priority="94">
      <formula>AND(#REF!&lt;&gt;"",COUNTIF(tblMasterL2,LOWER(TRIM(CLEAN(SUBSTITUTE(#REF!,CHAR(160)," ")))))&gt;1)</formula>
    </cfRule>
    <cfRule type="expression" dxfId="30" priority="105">
      <formula>AND(#REF!&lt;&gt;"",COUNTIF(#REF!,LOWER(TRIM(CLEAN(SUBSTITUTE(#REF!,CHAR(160)," ")))))&gt;1)</formula>
    </cfRule>
  </conditionalFormatting>
  <conditionalFormatting sqref="E1910">
    <cfRule type="expression" dxfId="29" priority="129">
      <formula>AND(#REF!&lt;&gt;"",COUNTIF(tblMasterL2,LOWER(TRIM(CLEAN(SUBSTITUTE(#REF!,CHAR(160)," ")))))&gt;1)</formula>
    </cfRule>
    <cfRule type="expression" priority="130">
      <formula>AND(#REF!&lt;&gt;"",COUNTIF(tblMasterL2,LOWER(TRIM(CLEAN(SUBSTITUTE(#REF!,CHAR(160)," ")))))&gt;1)</formula>
    </cfRule>
    <cfRule type="expression" dxfId="28" priority="145">
      <formula>AND(#REF!&lt;&gt;"",COUNTIF(#REF!,LOWER(TRIM(CLEAN(SUBSTITUTE(#REF!,CHAR(160)," ")))))&gt;1)</formula>
    </cfRule>
  </conditionalFormatting>
  <conditionalFormatting sqref="E1913:E1917 E1:E594 E1855 E1859:E1874 E1876:E1880 E596:E1159 E1888:E1890 E1892:E1898 E1901 E1906:E1910 E1919:E1924 E1926:E1928 E1931 E1933:E1945 E1161:E1853 E1947:E1950 E1952 E1954:E1955 E1957:E1048576">
    <cfRule type="duplicateValues" dxfId="27" priority="7"/>
  </conditionalFormatting>
  <conditionalFormatting sqref="E1915">
    <cfRule type="expression" dxfId="26" priority="166">
      <formula>AND(#REF!&lt;&gt;"",COUNTIF(#REF!,LOWER(TRIM(CLEAN(SUBSTITUTE(#REF!,CHAR(160)," ")))))&gt;1)</formula>
    </cfRule>
    <cfRule type="expression" dxfId="25" priority="150">
      <formula>AND(#REF!&lt;&gt;"",COUNTIF(tblMasterL2,LOWER(TRIM(CLEAN(SUBSTITUTE(#REF!,CHAR(160)," ")))))&gt;1)</formula>
    </cfRule>
    <cfRule type="expression" priority="151">
      <formula>AND(#REF!&lt;&gt;"",COUNTIF(tblMasterL2,LOWER(TRIM(CLEAN(SUBSTITUTE(#REF!,CHAR(160)," ")))))&gt;1)</formula>
    </cfRule>
  </conditionalFormatting>
  <conditionalFormatting sqref="E1923">
    <cfRule type="expression" dxfId="24" priority="171">
      <formula>AND(#REF!&lt;&gt;"",COUNTIF(tblMasterL2,LOWER(TRIM(CLEAN(SUBSTITUTE(#REF!,CHAR(160)," ")))))&gt;1)</formula>
    </cfRule>
    <cfRule type="expression" priority="172">
      <formula>AND(#REF!&lt;&gt;"",COUNTIF(tblMasterL2,LOWER(TRIM(CLEAN(SUBSTITUTE(#REF!,CHAR(160)," ")))))&gt;1)</formula>
    </cfRule>
    <cfRule type="expression" dxfId="23" priority="188">
      <formula>AND(#REF!&lt;&gt;"",COUNTIF(#REF!,LOWER(TRIM(CLEAN(SUBSTITUTE(#REF!,CHAR(160)," ")))))&gt;1)</formula>
    </cfRule>
  </conditionalFormatting>
  <conditionalFormatting sqref="E1926">
    <cfRule type="expression" dxfId="22" priority="207">
      <formula>AND(#REF!&lt;&gt;"",COUNTIF(#REF!,LOWER(TRIM(CLEAN(SUBSTITUTE(#REF!,CHAR(160)," ")))))&gt;1)</formula>
    </cfRule>
    <cfRule type="expression" dxfId="21" priority="189">
      <formula>AND(#REF!&lt;&gt;"",COUNTIF(tblMasterL2,LOWER(TRIM(CLEAN(SUBSTITUTE(#REF!,CHAR(160)," ")))))&gt;1)</formula>
    </cfRule>
    <cfRule type="expression" priority="190">
      <formula>AND(#REF!&lt;&gt;"",COUNTIF(tblMasterL2,LOWER(TRIM(CLEAN(SUBSTITUTE(#REF!,CHAR(160)," ")))))&gt;1)</formula>
    </cfRule>
  </conditionalFormatting>
  <conditionalFormatting sqref="E1931">
    <cfRule type="expression" dxfId="20" priority="208">
      <formula>AND(#REF!&lt;&gt;"",COUNTIF(tblMasterL2,LOWER(TRIM(CLEAN(SUBSTITUTE(#REF!,CHAR(160)," ")))))&gt;1)</formula>
    </cfRule>
    <cfRule type="expression" priority="209">
      <formula>AND(#REF!&lt;&gt;"",COUNTIF(tblMasterL2,LOWER(TRIM(CLEAN(SUBSTITUTE(#REF!,CHAR(160)," ")))))&gt;1)</formula>
    </cfRule>
    <cfRule type="expression" dxfId="19" priority="227">
      <formula>AND(#REF!&lt;&gt;"",COUNTIF(#REF!,LOWER(TRIM(CLEAN(SUBSTITUTE(#REF!,CHAR(160)," ")))))&gt;1)</formula>
    </cfRule>
  </conditionalFormatting>
  <conditionalFormatting sqref="E1933">
    <cfRule type="expression" dxfId="18" priority="228">
      <formula>AND(#REF!&lt;&gt;"",COUNTIF(tblMasterL2,LOWER(TRIM(CLEAN(SUBSTITUTE(#REF!,CHAR(160)," ")))))&gt;1)</formula>
    </cfRule>
    <cfRule type="expression" priority="229">
      <formula>AND(#REF!&lt;&gt;"",COUNTIF(tblMasterL2,LOWER(TRIM(CLEAN(SUBSTITUTE(#REF!,CHAR(160)," ")))))&gt;1)</formula>
    </cfRule>
    <cfRule type="expression" dxfId="17" priority="248">
      <formula>AND(#REF!&lt;&gt;"",COUNTIF(#REF!,LOWER(TRIM(CLEAN(SUBSTITUTE(#REF!,CHAR(160)," ")))))&gt;1)</formula>
    </cfRule>
  </conditionalFormatting>
  <conditionalFormatting sqref="E1950">
    <cfRule type="expression" dxfId="16" priority="253">
      <formula>AND(#REF!&lt;&gt;"",COUNTIF(tblMasterL2,LOWER(TRIM(CLEAN(SUBSTITUTE(#REF!,CHAR(160)," ")))))&gt;1)</formula>
    </cfRule>
    <cfRule type="expression" priority="254">
      <formula>AND(#REF!&lt;&gt;"",COUNTIF(tblMasterL2,LOWER(TRIM(CLEAN(SUBSTITUTE(#REF!,CHAR(160)," ")))))&gt;1)</formula>
    </cfRule>
    <cfRule type="expression" dxfId="15" priority="275">
      <formula>AND(#REF!&lt;&gt;"",COUNTIF(#REF!,LOWER(TRIM(CLEAN(SUBSTITUTE(#REF!,CHAR(160)," ")))))&gt;1)</formula>
    </cfRule>
  </conditionalFormatting>
  <conditionalFormatting sqref="E1954">
    <cfRule type="expression" dxfId="14" priority="276">
      <formula>AND(#REF!&lt;&gt;"",COUNTIF(tblMasterL2,LOWER(TRIM(CLEAN(SUBSTITUTE(#REF!,CHAR(160)," ")))))&gt;1)</formula>
    </cfRule>
    <cfRule type="expression" priority="277">
      <formula>AND(#REF!&lt;&gt;"",COUNTIF(tblMasterL2,LOWER(TRIM(CLEAN(SUBSTITUTE(#REF!,CHAR(160)," ")))))&gt;1)</formula>
    </cfRule>
    <cfRule type="expression" dxfId="13" priority="300">
      <formula>AND(#REF!&lt;&gt;"",COUNTIF(#REF!,LOWER(TRIM(CLEAN(SUBSTITUTE(#REF!,CHAR(160)," ")))))&gt;1)</formula>
    </cfRule>
  </conditionalFormatting>
  <conditionalFormatting sqref="E1957">
    <cfRule type="expression" dxfId="12" priority="301">
      <formula>AND(#REF!&lt;&gt;"",COUNTIF(tblMasterL2,LOWER(TRIM(CLEAN(SUBSTITUTE(#REF!,CHAR(160)," ")))))&gt;1)</formula>
    </cfRule>
    <cfRule type="expression" priority="302">
      <formula>AND(#REF!&lt;&gt;"",COUNTIF(tblMasterL2,LOWER(TRIM(CLEAN(SUBSTITUTE(#REF!,CHAR(160)," ")))))&gt;1)</formula>
    </cfRule>
    <cfRule type="expression" dxfId="11" priority="326">
      <formula>AND(#REF!&lt;&gt;"",COUNTIF(#REF!,LOWER(TRIM(CLEAN(SUBSTITUTE(#REF!,CHAR(160)," ")))))&gt;1)</formula>
    </cfRule>
  </conditionalFormatting>
  <conditionalFormatting sqref="E1048552:E1048576">
    <cfRule type="expression" dxfId="10" priority="95">
      <formula>AND($E1&lt;&gt;"",COUNTIF(tblMasterL2,LOWER(TRIM(CLEAN(SUBSTITUTE($E1,CHAR(160)," ")))))&gt;1)</formula>
    </cfRule>
    <cfRule type="expression" priority="96">
      <formula>AND($E1&lt;&gt;"",COUNTIF(tblMasterL2,LOWER(TRIM(CLEAN(SUBSTITUTE($E1,CHAR(160)," ")))))&gt;1)</formula>
    </cfRule>
    <cfRule type="expression" dxfId="9" priority="106">
      <formula>AND($E1&lt;&gt;"",COUNTIF(L1,LOWER(TRIM(CLEAN(SUBSTITUTE($E1,CHAR(160)," ")))))&gt;1)</formula>
    </cfRule>
  </conditionalFormatting>
  <conditionalFormatting sqref="F1643:F1644">
    <cfRule type="duplicateValues" dxfId="8" priority="23"/>
  </conditionalFormatting>
  <dataValidations count="2">
    <dataValidation allowBlank="1" showInputMessage="1" showErrorMessage="1" sqref="G1629:G1800" xr:uid="{65BC6B4D-54A9-420E-90EA-A3C31702EBB2}"/>
    <dataValidation type="custom" allowBlank="1" showInputMessage="1" showErrorMessage="1" sqref="E1808 E1801:E1805" xr:uid="{1394B3C6-54E7-4E9B-80DD-CD0D7ECCA450}">
      <formula1>COUNTIF($D:$D, E1801)=1</formula1>
    </dataValidation>
  </dataValidations>
  <hyperlinks>
    <hyperlink ref="E4" r:id="rId1" xr:uid="{B2BF6D14-66AC-45A9-866D-89A71683579B}"/>
    <hyperlink ref="E5" r:id="rId2" xr:uid="{BAD5F2B0-DDAE-47F3-94C1-FD4968D88A93}"/>
    <hyperlink ref="E6" r:id="rId3" xr:uid="{A9F82E75-E9F9-4D7C-9A71-46493A060A0E}"/>
    <hyperlink ref="E7" r:id="rId4" xr:uid="{56C46755-E7FF-49B9-89C0-C3D212E82C1F}"/>
    <hyperlink ref="E8" r:id="rId5" xr:uid="{D8DFE079-4492-444E-87D5-DF8DE100C42B}"/>
    <hyperlink ref="E9" r:id="rId6" xr:uid="{59B52171-535F-4BEB-BD82-CBE5D0CEB205}"/>
    <hyperlink ref="E10" r:id="rId7" xr:uid="{4F9E6C9C-5936-417D-80FC-22C67FA71C80}"/>
    <hyperlink ref="E12" r:id="rId8" xr:uid="{56825E7D-3A3F-4D0D-AB6C-627FE96DA56F}"/>
    <hyperlink ref="E14" r:id="rId9" xr:uid="{B9E8CA6C-306B-45D6-8F0C-C2EFC8F1FF1A}"/>
    <hyperlink ref="E15" r:id="rId10" xr:uid="{9C9BC0FF-A251-46D4-A101-9D832809E06D}"/>
    <hyperlink ref="E17" r:id="rId11" xr:uid="{2268913B-DFC2-4231-AB86-C0854A5AEC7B}"/>
    <hyperlink ref="E18" r:id="rId12" xr:uid="{75BFD236-2293-4223-9A00-3277B48C8D30}"/>
    <hyperlink ref="E19" r:id="rId13" xr:uid="{F917B5BE-4FCE-4327-B519-70C9BC4CE62F}"/>
    <hyperlink ref="E20" r:id="rId14" xr:uid="{2C3F89DD-2B8F-4DC7-8874-841D5A22D370}"/>
    <hyperlink ref="E21" r:id="rId15" xr:uid="{98619045-BDCF-429F-9807-D457294A5197}"/>
    <hyperlink ref="E22" r:id="rId16" xr:uid="{C4ED6DDF-5426-4A5B-B034-0D84D1E40BDB}"/>
    <hyperlink ref="E23" r:id="rId17" xr:uid="{2DC0FB9C-62DE-4F5B-A81F-F9B5BF24F746}"/>
    <hyperlink ref="E24" r:id="rId18" xr:uid="{5C907707-6C73-4B76-803C-7C801B4DE6D8}"/>
    <hyperlink ref="E25" r:id="rId19" xr:uid="{E51466BF-2E87-4503-9FBB-0406C2F4D5A8}"/>
    <hyperlink ref="E26" r:id="rId20" xr:uid="{81CD1014-3507-41DA-95C7-CA306C1ACB4F}"/>
    <hyperlink ref="E28" r:id="rId21" xr:uid="{BEC329B3-1769-4A6D-9585-3B22A1210ECD}"/>
    <hyperlink ref="E29" r:id="rId22" xr:uid="{06B85EF8-04A5-402E-99E2-87AD9AA98FB1}"/>
    <hyperlink ref="E30" r:id="rId23" xr:uid="{4B8A1A0E-5BF4-456D-AAC2-80CD46B97501}"/>
    <hyperlink ref="E31" r:id="rId24" xr:uid="{ECF07CD5-1792-4CF4-BC32-0D3068191B96}"/>
    <hyperlink ref="E32" r:id="rId25" xr:uid="{752BB95F-898A-4F6E-84C5-A7E3BCA384A0}"/>
    <hyperlink ref="E33" r:id="rId26" xr:uid="{8A7401EA-8214-42C9-9AB7-973D4C25FBCB}"/>
    <hyperlink ref="E34" r:id="rId27" xr:uid="{08E4A9B1-B185-4547-AF3F-56C845BCFDEA}"/>
    <hyperlink ref="E35" r:id="rId28" xr:uid="{993B842F-F628-4520-BD95-63F38CC624BD}"/>
    <hyperlink ref="E36" r:id="rId29" xr:uid="{322FC1FE-8470-40A9-B4D7-E15222DB12F2}"/>
    <hyperlink ref="E37" r:id="rId30" xr:uid="{5383BBA3-C474-4B19-8B09-136ED2376C53}"/>
    <hyperlink ref="E38" r:id="rId31" xr:uid="{9DB305E8-312D-40FD-B75A-18731F74CCAC}"/>
    <hyperlink ref="E39" r:id="rId32" xr:uid="{4411346A-F1C1-4639-B795-B8CBDD667CCB}"/>
    <hyperlink ref="E40" r:id="rId33" xr:uid="{2C859B38-0E0B-4797-B5C4-9738B050FCC0}"/>
    <hyperlink ref="E41" r:id="rId34" xr:uid="{95DE465F-6619-4005-B65B-24D61AA9CB77}"/>
    <hyperlink ref="E42" r:id="rId35" xr:uid="{247184CD-A53B-4F99-B6D6-D5844A6F7B4F}"/>
    <hyperlink ref="E43" r:id="rId36" xr:uid="{FF85A931-2046-4CE3-B02D-C5BEAB86FD82}"/>
    <hyperlink ref="E44" r:id="rId37" xr:uid="{B2D5088F-1D34-4626-A9F8-57C3A0DC33DC}"/>
    <hyperlink ref="E45" r:id="rId38" xr:uid="{23208E36-3135-40A0-BB0E-83DB407E7869}"/>
    <hyperlink ref="E46" r:id="rId39" xr:uid="{B926DF01-B79F-4A6F-B5F3-3FC312F03603}"/>
    <hyperlink ref="E47" r:id="rId40" xr:uid="{89250293-876E-4BD5-BFD6-1631C3AF1260}"/>
    <hyperlink ref="E48" r:id="rId41" xr:uid="{F4C809C9-F50E-44F4-A8C2-8A75D2DFF498}"/>
    <hyperlink ref="E49" r:id="rId42" xr:uid="{13E9B0E8-6E3D-4CEC-8818-EB82FDD2AF49}"/>
    <hyperlink ref="E50" r:id="rId43" xr:uid="{C843617C-625F-459D-92C2-1D623038EFD9}"/>
    <hyperlink ref="E51" r:id="rId44" xr:uid="{47B8DE47-638C-491F-B4CD-01CFB8CC881B}"/>
    <hyperlink ref="E52" r:id="rId45" xr:uid="{F4C07273-007B-4686-98CD-E86C2DB74631}"/>
    <hyperlink ref="E53" r:id="rId46" xr:uid="{E5D9B9B8-A01E-40EF-8DD9-60C01CFACE67}"/>
    <hyperlink ref="E54" r:id="rId47" xr:uid="{E9D41B94-257F-4630-B482-7CF5225A9839}"/>
    <hyperlink ref="E55" r:id="rId48" xr:uid="{E3C35256-948E-4E3E-92F5-6784EE50907B}"/>
    <hyperlink ref="E56" r:id="rId49" xr:uid="{E1A0F2BD-EF6F-43E4-A741-D9CA3644158B}"/>
    <hyperlink ref="E57" r:id="rId50" xr:uid="{3DB95D2F-8850-42E0-99CE-4551511F2446}"/>
    <hyperlink ref="E58" r:id="rId51" xr:uid="{15D91C89-E8E6-4851-B47B-9D7CD397FC51}"/>
    <hyperlink ref="E59" r:id="rId52" xr:uid="{DC64CB3C-0D1B-4189-8057-9B1678D3FEA4}"/>
    <hyperlink ref="E60" r:id="rId53" xr:uid="{F580C061-87E8-4DEC-B965-0C63BBA132CE}"/>
    <hyperlink ref="E61" r:id="rId54" xr:uid="{66A3AB76-C3E3-4CB5-84B2-1B70495948D1}"/>
    <hyperlink ref="E62" r:id="rId55" xr:uid="{5336F030-83DB-42D8-A231-68DB0FD794D4}"/>
    <hyperlink ref="E63" r:id="rId56" xr:uid="{39A3FC76-FF02-4CC4-8AC6-A8F374B2EA48}"/>
    <hyperlink ref="E64" r:id="rId57" xr:uid="{70E307C5-5D58-47FB-8E59-BA9E2881DDBC}"/>
    <hyperlink ref="E65" r:id="rId58" xr:uid="{719FBE54-32EC-48D9-BD50-10D51FA6C7E5}"/>
    <hyperlink ref="E66" r:id="rId59" xr:uid="{1704C034-8AEB-4D55-99BA-4E5B324921CD}"/>
    <hyperlink ref="E67" r:id="rId60" xr:uid="{6387C8B1-1C47-4009-8E30-62A63254700D}"/>
    <hyperlink ref="E68" r:id="rId61" xr:uid="{E8301199-3179-4D7B-9131-B42ABDC8E328}"/>
    <hyperlink ref="E69" r:id="rId62" xr:uid="{3474299A-6B4F-44A2-BB7D-67CCF3F5FC36}"/>
    <hyperlink ref="E70" r:id="rId63" xr:uid="{6C6B72EC-F9E6-493E-9B53-8A77A46827A2}"/>
    <hyperlink ref="E71" r:id="rId64" xr:uid="{66D4B69A-B1E0-4C3F-987C-0A1C830EFA15}"/>
    <hyperlink ref="E72" r:id="rId65" xr:uid="{D145B98E-884D-4090-B34E-73DF87E42A8F}"/>
    <hyperlink ref="E73" r:id="rId66" xr:uid="{DF1841EB-2900-40BF-B972-0FBA4BA5E4CE}"/>
    <hyperlink ref="E74" r:id="rId67" xr:uid="{6C4E465C-F7E8-411C-ACB5-A4D2036C9FFF}"/>
    <hyperlink ref="E75" r:id="rId68" xr:uid="{B11DBED3-3D78-4E97-9E66-3F7F639142A3}"/>
    <hyperlink ref="E76" r:id="rId69" xr:uid="{67EF8604-8FE6-4C2B-A4FA-CB8BD9DE5326}"/>
    <hyperlink ref="E77" r:id="rId70" xr:uid="{3FA242B7-2D5A-45C5-B5AB-524D1F51477A}"/>
    <hyperlink ref="E78" r:id="rId71" xr:uid="{664CEBCB-FA03-4E02-AC8E-E9C83A468EA8}"/>
    <hyperlink ref="E79" r:id="rId72" xr:uid="{11A6E7C6-B2D7-44A2-A6A3-0FBA46D2E91D}"/>
    <hyperlink ref="E80" r:id="rId73" xr:uid="{E61B7060-EB28-494F-BAAD-3EDD6A4F577E}"/>
    <hyperlink ref="E81" r:id="rId74" xr:uid="{DF1E82DA-DD31-4A77-9815-EDA3A4CA6362}"/>
    <hyperlink ref="E83" r:id="rId75" xr:uid="{DC26AF38-2E17-417B-A608-060B82845CF6}"/>
    <hyperlink ref="E84" r:id="rId76" xr:uid="{5E039AA0-DF55-4C96-9F45-2E0B0CF5CC8C}"/>
    <hyperlink ref="E85" r:id="rId77" xr:uid="{BC95C3E8-F102-4F6D-A555-D70CB7A0C767}"/>
    <hyperlink ref="E86" r:id="rId78" xr:uid="{4CCA72B5-3DF0-4CF8-9405-B28637AD4A2D}"/>
    <hyperlink ref="E87" r:id="rId79" xr:uid="{90D14EC0-E952-4219-AD54-12F96B0E1394}"/>
    <hyperlink ref="E88" r:id="rId80" xr:uid="{3879549C-0D84-4F2D-8EB8-FD5DC2FB32AD}"/>
    <hyperlink ref="E89" r:id="rId81" xr:uid="{0EAE8267-8746-41C4-B489-EFBDEA8CC40B}"/>
    <hyperlink ref="E90" r:id="rId82" xr:uid="{425B55D1-0897-431F-BB03-AABCAB5BBD14}"/>
    <hyperlink ref="E91" r:id="rId83" xr:uid="{FB72F525-FDBF-4BBF-ACAF-C9630967A49C}"/>
    <hyperlink ref="E92" r:id="rId84" xr:uid="{29BDE7BB-9A2A-4E05-94B2-111CEBCC08A0}"/>
    <hyperlink ref="E93" r:id="rId85" xr:uid="{8A52B990-7683-4874-A884-C9BBBFDA8641}"/>
    <hyperlink ref="E94" r:id="rId86" xr:uid="{9333DF77-B7F9-4AD5-9784-39DBAADF9BF4}"/>
    <hyperlink ref="E95" r:id="rId87" xr:uid="{79284857-C8A2-41F2-912D-D9D581C9AF9C}"/>
    <hyperlink ref="E96" r:id="rId88" xr:uid="{B46BD5E4-644A-4412-BEAA-33943C1A06FC}"/>
    <hyperlink ref="E97" r:id="rId89" xr:uid="{BC44B12E-B11D-485C-AE08-5076DF973500}"/>
    <hyperlink ref="E98" r:id="rId90" xr:uid="{67C844E0-0B80-4791-BA16-60F07B508B3E}"/>
    <hyperlink ref="E99" r:id="rId91" xr:uid="{FC031F74-60DC-45E1-9338-5DE644AB44B4}"/>
    <hyperlink ref="E100" r:id="rId92" xr:uid="{87C20224-7BBD-4A31-BDBB-8F50DF859E40}"/>
    <hyperlink ref="E101" r:id="rId93" xr:uid="{066FBA21-1EAF-4D3A-8D2C-298F6F037947}"/>
    <hyperlink ref="E102" r:id="rId94" xr:uid="{8B490704-366F-4806-ADA5-1AD7CCEA7485}"/>
    <hyperlink ref="E103" r:id="rId95" xr:uid="{12CE84C9-28C1-4B2F-B68A-60491015DE55}"/>
    <hyperlink ref="E104" r:id="rId96" xr:uid="{14C17E5D-66BD-4B49-9775-5A61C47C9F5E}"/>
    <hyperlink ref="E105" r:id="rId97" xr:uid="{21B0C8AA-482B-4FDB-806E-92FBB4228594}"/>
    <hyperlink ref="E106" r:id="rId98" xr:uid="{CBA4AB9F-5F67-428C-957F-FC52FD676F25}"/>
    <hyperlink ref="E107" r:id="rId99" xr:uid="{F934B438-7963-442D-A478-FABCBBB9AF47}"/>
    <hyperlink ref="E108" r:id="rId100" xr:uid="{3BA11F59-5792-41C0-8256-D4C56F89A100}"/>
    <hyperlink ref="E109" r:id="rId101" xr:uid="{1698E930-127C-4C49-97A1-9521943E6E99}"/>
    <hyperlink ref="E110" r:id="rId102" xr:uid="{B941337E-7C82-4E0B-846E-0496018C6851}"/>
    <hyperlink ref="E111" r:id="rId103" xr:uid="{2C59EEC9-D6E5-4A5C-BDD0-1E6EE57167B6}"/>
    <hyperlink ref="E112" r:id="rId104" xr:uid="{53006733-FC6A-4B86-8A8F-D6FCF55D49DD}"/>
    <hyperlink ref="E113" r:id="rId105" xr:uid="{014A6C35-6E9D-4766-BE2F-44163BB96143}"/>
    <hyperlink ref="E114" r:id="rId106" xr:uid="{A583118E-4972-4BDC-B967-5C4154842E7A}"/>
    <hyperlink ref="E115" r:id="rId107" xr:uid="{54FEDC88-417F-4612-924C-B9B533C93E14}"/>
    <hyperlink ref="E116" r:id="rId108" xr:uid="{C6429E7E-D27E-439B-A6D0-6CB95A9F9A20}"/>
    <hyperlink ref="E117" r:id="rId109" xr:uid="{49113FA0-B0DA-4AE0-BACE-F6772C2A8AB2}"/>
    <hyperlink ref="E119" r:id="rId110" xr:uid="{31C90BF3-3F14-4F79-9A24-F25DBFB11E54}"/>
    <hyperlink ref="E121" r:id="rId111" xr:uid="{C600C964-8DB6-4149-A148-3AA1D6269C19}"/>
    <hyperlink ref="E122" r:id="rId112" xr:uid="{F598C1FB-A9C3-4F01-9FC7-7F651EACF4CF}"/>
    <hyperlink ref="E123" r:id="rId113" xr:uid="{4D0D3CDC-F95D-4182-AFFD-519C1B83107F}"/>
    <hyperlink ref="E124" r:id="rId114" xr:uid="{5E2C7C49-F0CB-46B2-89AF-CF70366B43E3}"/>
    <hyperlink ref="E125" r:id="rId115" xr:uid="{225EBA09-2D81-44E2-858C-073013855FA6}"/>
    <hyperlink ref="E126" r:id="rId116" xr:uid="{1B1E7031-75DC-4153-BE91-469BCD6FFFFD}"/>
    <hyperlink ref="E127" r:id="rId117" xr:uid="{B9F2F473-D078-4CE3-8023-0331D55B5D72}"/>
    <hyperlink ref="E128" r:id="rId118" xr:uid="{2025412F-4572-4C6B-A382-EA209099E45B}"/>
    <hyperlink ref="E129" r:id="rId119" xr:uid="{EDED93AE-E5AF-4D1A-A7F3-7384BBDAFBB1}"/>
    <hyperlink ref="E130" r:id="rId120" xr:uid="{ED612B82-A76D-44C9-AB5A-5C124014F543}"/>
    <hyperlink ref="E131" r:id="rId121" xr:uid="{59A46AB4-2CF2-4EB9-B96E-5B30E1FA4B3C}"/>
    <hyperlink ref="E132" r:id="rId122" xr:uid="{E5E20363-760D-4597-BE74-8551135F4CD6}"/>
    <hyperlink ref="E133" r:id="rId123" xr:uid="{FAEA66BE-3B61-42B9-A8C3-DDC84EA2C875}"/>
    <hyperlink ref="E134" r:id="rId124" xr:uid="{9C6F8066-BF9D-4A93-87F0-EA8CAB0A29CA}"/>
    <hyperlink ref="E135" r:id="rId125" xr:uid="{CBABCEFB-B835-41F7-85B1-02307F17A801}"/>
    <hyperlink ref="E136" r:id="rId126" xr:uid="{33AC41D3-05B8-4E14-AB0E-D85289469DCF}"/>
    <hyperlink ref="E137" r:id="rId127" xr:uid="{9BBF918B-52A3-4A83-BDB5-301369E652D8}"/>
    <hyperlink ref="E138" r:id="rId128" xr:uid="{4DD730A5-22CB-4B01-940D-3E82B39E8DCE}"/>
    <hyperlink ref="E139" r:id="rId129" xr:uid="{698EA8A5-ADB8-444D-861E-542BEF3CD00F}"/>
    <hyperlink ref="E140" r:id="rId130" xr:uid="{94DB654E-F5AE-4B61-A709-317A100E617F}"/>
    <hyperlink ref="E141" r:id="rId131" xr:uid="{FCD0E63E-B97F-4E37-A10C-46B2084A78DC}"/>
    <hyperlink ref="E142" r:id="rId132" xr:uid="{42B60D16-E6E7-4833-ADBE-584960CD1561}"/>
    <hyperlink ref="E143" r:id="rId133" xr:uid="{B8EE358A-7627-4FA3-928A-F92A4B6382BE}"/>
    <hyperlink ref="E145" r:id="rId134" xr:uid="{9E4D6CBC-9A9C-47E4-A040-813ECC2067B0}"/>
    <hyperlink ref="E146" r:id="rId135" xr:uid="{3374A9EF-9381-4E82-BC03-A43549B4A584}"/>
    <hyperlink ref="E147" r:id="rId136" xr:uid="{3E366729-532A-43C5-8F8B-0E44AC0133DC}"/>
    <hyperlink ref="E148" r:id="rId137" xr:uid="{F86E93A4-B043-4A3E-A5A5-C2AE9D4B817E}"/>
    <hyperlink ref="E149" r:id="rId138" xr:uid="{D50A7B81-499F-4074-89E2-319EFA40B878}"/>
    <hyperlink ref="E150" r:id="rId139" xr:uid="{E0D197F2-C02F-4BC0-8807-8393B6070289}"/>
    <hyperlink ref="E151" r:id="rId140" xr:uid="{E989BF30-D2AD-4E21-8620-2862FD92A23C}"/>
    <hyperlink ref="E152" r:id="rId141" xr:uid="{0DC1125A-2B43-4BA6-BC69-6BC98F5C01A4}"/>
    <hyperlink ref="E153" r:id="rId142" xr:uid="{12B65E3E-0CC1-4F7B-B441-44A33D67986C}"/>
    <hyperlink ref="E154" r:id="rId143" xr:uid="{915CD52E-43CB-46C8-A929-D50FB3F6DE09}"/>
    <hyperlink ref="E155" r:id="rId144" xr:uid="{26C027E1-01D2-42D8-A631-3DD8B510FD33}"/>
    <hyperlink ref="E156" r:id="rId145" xr:uid="{D67F3B23-B5DB-4365-BB1C-B2B88DE5F1A8}"/>
    <hyperlink ref="E157" r:id="rId146" xr:uid="{745E2B79-183B-4159-811A-6D3390C7A097}"/>
    <hyperlink ref="E158" r:id="rId147" xr:uid="{7D0D7AE9-7AF9-466F-81DE-C4C625D60E8A}"/>
    <hyperlink ref="E159" r:id="rId148" xr:uid="{782E6BA1-3B8A-41FB-94E9-EE849A1BE952}"/>
    <hyperlink ref="E160" r:id="rId149" xr:uid="{3C9E4836-5E44-4D42-BA6E-6F1D9E134120}"/>
    <hyperlink ref="E161" r:id="rId150" xr:uid="{5AF0CC9A-FFF5-4516-BFC1-8F758E3DFCE7}"/>
    <hyperlink ref="E162" r:id="rId151" xr:uid="{BC92129D-EAB1-43ED-BF84-25DDA8E66C1B}"/>
    <hyperlink ref="E163" r:id="rId152" xr:uid="{3896B55A-FBB2-48B4-B81F-B7DEC4864600}"/>
    <hyperlink ref="E164" r:id="rId153" xr:uid="{3B4E4FC6-6CB9-434A-B99E-EE93F22D2197}"/>
    <hyperlink ref="E165" r:id="rId154" xr:uid="{8A2CC262-CA5D-4A82-826B-935410837F53}"/>
    <hyperlink ref="E166" r:id="rId155" xr:uid="{8F8A6EB8-E5F8-4A2C-9C9E-E632E3B112D2}"/>
    <hyperlink ref="E167" r:id="rId156" xr:uid="{3189DB62-5CEE-4318-8EEE-3201FD22BEBB}"/>
    <hyperlink ref="E168" r:id="rId157" xr:uid="{C70CE7EB-01AE-4CD3-B5C2-842566B11AC4}"/>
    <hyperlink ref="E169" r:id="rId158" xr:uid="{964386DA-10DD-4C99-B25B-15E5C6D09CFD}"/>
    <hyperlink ref="E170" r:id="rId159" xr:uid="{88540A76-40AF-4CB9-94FF-9B334C590E1C}"/>
    <hyperlink ref="E171" r:id="rId160" xr:uid="{A26DAA89-0697-4828-9495-AA97EBC825FB}"/>
    <hyperlink ref="E172" r:id="rId161" xr:uid="{A9EF4EAA-3A99-4C3E-92EF-E3353CF0F659}"/>
    <hyperlink ref="E173" r:id="rId162" xr:uid="{266B1F43-7754-44F4-819A-C5308983181E}"/>
    <hyperlink ref="E174" r:id="rId163" xr:uid="{CB26D395-E3F1-4F08-9C2E-5BD38DA7D1ED}"/>
    <hyperlink ref="E175" r:id="rId164" xr:uid="{8D2C2D7D-8A92-4830-AAE1-7F0A72F7974D}"/>
    <hyperlink ref="E176" r:id="rId165" xr:uid="{32838C94-D0B3-4D70-B4D9-BBB4F19BDFCA}"/>
    <hyperlink ref="E177" r:id="rId166" xr:uid="{4F5E46A7-383D-456B-B77A-9258502CAAC6}"/>
    <hyperlink ref="E178" r:id="rId167" xr:uid="{F94AD166-AC8D-4989-AAA6-3DB1C7C249D0}"/>
    <hyperlink ref="E179" r:id="rId168" xr:uid="{98FE2C07-3D89-4108-AAA6-BC49D47AE97F}"/>
    <hyperlink ref="E180" r:id="rId169" xr:uid="{A680BFFB-391A-428D-9CE9-26F58A741BF3}"/>
    <hyperlink ref="E181" r:id="rId170" xr:uid="{5F17A389-5417-4CE9-A7E0-B62EE7333591}"/>
    <hyperlink ref="E182" r:id="rId171" xr:uid="{4B8AA4B7-F890-40CE-9E27-8E8665B31432}"/>
    <hyperlink ref="E183" r:id="rId172" xr:uid="{8081911B-DE2D-4CFE-AB38-5D8F29E43F73}"/>
    <hyperlink ref="E184" r:id="rId173" xr:uid="{FAAA94B4-A09A-4F10-8597-46C50AE7C1A7}"/>
    <hyperlink ref="E185" r:id="rId174" xr:uid="{21308BC0-57C9-469F-B56D-288F7FE8EC94}"/>
    <hyperlink ref="E186" r:id="rId175" xr:uid="{225932AF-1B19-485E-8253-A24CCDFF568D}"/>
    <hyperlink ref="E187" r:id="rId176" xr:uid="{9EF5C66A-8262-45CC-8C0E-4F8D4010A6A0}"/>
    <hyperlink ref="E188" r:id="rId177" xr:uid="{22E689CE-116D-47A4-9EE0-B0393DC2093F}"/>
    <hyperlink ref="E189" r:id="rId178" xr:uid="{9D758C23-9426-4A91-B561-3B277BEFDAF4}"/>
    <hyperlink ref="E190" r:id="rId179" xr:uid="{0592A6FF-0FB7-4348-B731-20C6C4E0F0D0}"/>
    <hyperlink ref="E191" r:id="rId180" xr:uid="{88643756-0E7D-4A3C-9A01-A53CAFC0FDF3}"/>
    <hyperlink ref="E192" r:id="rId181" xr:uid="{11E28B3E-12C1-4A05-AFE1-2EED7BFC3868}"/>
    <hyperlink ref="E193" r:id="rId182" xr:uid="{C9CF5405-430A-4F14-B62B-AE47A0008A6D}"/>
    <hyperlink ref="E194" r:id="rId183" xr:uid="{ADA8CF14-2EFD-4FC4-8885-66E6252F1020}"/>
    <hyperlink ref="E195" r:id="rId184" xr:uid="{BE8700FD-A1F5-4299-A26E-5536F633247B}"/>
    <hyperlink ref="E196" r:id="rId185" xr:uid="{39FE65D6-F8C6-4D09-BB32-FECC5E48581D}"/>
    <hyperlink ref="E197" r:id="rId186" xr:uid="{46C3F291-783D-4097-836D-A36B1F66405B}"/>
    <hyperlink ref="E198" r:id="rId187" xr:uid="{BE6B9617-D004-4271-B0D8-88C9D7422EFE}"/>
    <hyperlink ref="E199" r:id="rId188" xr:uid="{98615810-BEC1-496D-B267-67375C42C431}"/>
    <hyperlink ref="E200" r:id="rId189" xr:uid="{4794DEFF-CE8A-4EB7-8353-146E36BEADC5}"/>
    <hyperlink ref="E201" r:id="rId190" xr:uid="{E1AE9A2D-009E-41E4-8B9E-E59E67B7B510}"/>
    <hyperlink ref="E202" r:id="rId191" xr:uid="{26FFF5DA-C6BC-428E-A7E9-3708A18725B9}"/>
    <hyperlink ref="E203" r:id="rId192" xr:uid="{BD5AB31D-3832-4882-AB96-76F2C25DA356}"/>
    <hyperlink ref="E204" r:id="rId193" xr:uid="{0BB132E2-2B69-454C-BA76-B57F0E119BC7}"/>
    <hyperlink ref="E205" r:id="rId194" xr:uid="{A090A206-ACF4-44FB-B078-F78547B27A26}"/>
    <hyperlink ref="E206" r:id="rId195" xr:uid="{3421B2C7-05C4-4200-A5CE-D14D9B0DC6D5}"/>
    <hyperlink ref="E207" r:id="rId196" xr:uid="{60DBDDDD-3694-46E4-8DA9-184A66503302}"/>
    <hyperlink ref="E208" r:id="rId197" xr:uid="{0685EF83-FAB0-4061-A6AC-E80295E259EB}"/>
    <hyperlink ref="E209" r:id="rId198" xr:uid="{29AA8C19-E285-4153-A83C-B901A88FDCD8}"/>
    <hyperlink ref="E210" r:id="rId199" xr:uid="{16C85DEB-83EE-4940-A012-8AF73842C55D}"/>
    <hyperlink ref="E211" r:id="rId200" xr:uid="{3B5BE2BC-A51F-4D89-80B4-1E6C896BB24B}"/>
    <hyperlink ref="E212" r:id="rId201" xr:uid="{F15BEAFF-2444-42BC-B92D-0EC88C3EDA90}"/>
    <hyperlink ref="E213" r:id="rId202" xr:uid="{9A276D41-6535-4139-8F50-F22A14EF1C22}"/>
    <hyperlink ref="E214" r:id="rId203" xr:uid="{DAF6A3BF-ECD2-402C-A5BF-CEF3370B1CC4}"/>
    <hyperlink ref="E215" r:id="rId204" xr:uid="{5F07B8B2-E804-44DE-82C7-CA3787BBC1D7}"/>
    <hyperlink ref="E216" r:id="rId205" xr:uid="{1A975ED0-4A76-453E-ABC5-C131A64211CA}"/>
    <hyperlink ref="E217" r:id="rId206" xr:uid="{0BA2CEE6-898D-4C75-8B8F-E3082C025D8C}"/>
    <hyperlink ref="E218" r:id="rId207" xr:uid="{97B11C91-781C-49B0-9128-D606B80FCC5B}"/>
    <hyperlink ref="E219" r:id="rId208" xr:uid="{11FAFB19-4C10-4231-A823-D020F6CEDFDF}"/>
    <hyperlink ref="E220" r:id="rId209" xr:uid="{61E5D30F-F69C-49F7-BBD1-C4C6ABEFC1BD}"/>
    <hyperlink ref="E221" r:id="rId210" xr:uid="{9D450408-868D-4D64-B1F4-DBB8CE37AD58}"/>
    <hyperlink ref="E223" r:id="rId211" xr:uid="{18C25227-B9E3-4CD8-898E-BDDA3D51C6F1}"/>
    <hyperlink ref="E224" r:id="rId212" xr:uid="{A00617D5-EFE2-4EF8-8558-830880722568}"/>
    <hyperlink ref="E225" r:id="rId213" xr:uid="{C0E8ABAA-436B-4F32-A17E-89A7DDD2F8B7}"/>
    <hyperlink ref="E226" r:id="rId214" xr:uid="{E9C12736-4857-48EB-8B30-4F3740D2FBEC}"/>
    <hyperlink ref="E227" r:id="rId215" xr:uid="{E35611E9-0A3F-44C5-8791-D62F79A9DFDA}"/>
    <hyperlink ref="E228" r:id="rId216" xr:uid="{E690756E-079E-4156-96DA-766D43B631F7}"/>
    <hyperlink ref="E229" r:id="rId217" xr:uid="{5CFBFB20-15ED-49CD-8CFC-DB48D651A537}"/>
    <hyperlink ref="E230" r:id="rId218" xr:uid="{6CD65D20-C74A-408B-9B38-89A61F6DA181}"/>
    <hyperlink ref="E231" r:id="rId219" xr:uid="{FA89EC13-B354-4DFF-9AAC-4F58D7E171BA}"/>
    <hyperlink ref="E232" r:id="rId220" xr:uid="{FB5B8B2A-DA78-4DA5-ACF3-BDC529E4421C}"/>
    <hyperlink ref="E233" r:id="rId221" xr:uid="{7979F6B6-F888-44A1-A319-44F6FD2093FE}"/>
    <hyperlink ref="E234" r:id="rId222" xr:uid="{CC34C883-3279-4712-B501-830EC37E03DE}"/>
    <hyperlink ref="E235" r:id="rId223" xr:uid="{2C066FDF-B425-4F96-942D-7A79B5316BFD}"/>
    <hyperlink ref="E236" r:id="rId224" xr:uid="{D37FB1D4-AEBF-421E-951D-881D400223FF}"/>
    <hyperlink ref="E237" r:id="rId225" xr:uid="{EAC54DB4-05C4-4F76-B76B-107196037CDC}"/>
    <hyperlink ref="E238" r:id="rId226" xr:uid="{2F5673BE-67BE-46D8-8961-5040C7865CDD}"/>
    <hyperlink ref="E239" r:id="rId227" xr:uid="{A9262E7B-A7AE-47CD-AE1F-CC4A9F2D9CB4}"/>
    <hyperlink ref="E240" r:id="rId228" xr:uid="{D200AD60-2E46-44E2-A5B6-104AB1FF6B6D}"/>
    <hyperlink ref="E241" r:id="rId229" xr:uid="{A7247EF5-DB2C-477A-AF4A-F9FB43E90EE9}"/>
    <hyperlink ref="E242" r:id="rId230" xr:uid="{A23F5B9B-A687-4C26-88CD-E53DA32EAFDF}"/>
    <hyperlink ref="E243" r:id="rId231" xr:uid="{FB3367E8-C048-435D-8E8F-7534DFF5B540}"/>
    <hyperlink ref="E244" r:id="rId232" xr:uid="{9B95A3EF-5521-49D8-BB54-8BABFC4EB659}"/>
    <hyperlink ref="E245" r:id="rId233" xr:uid="{951A71E0-9C95-48D2-92CB-8F58B51ADE8C}"/>
    <hyperlink ref="E246" r:id="rId234" xr:uid="{359687DF-462D-4C7E-BB35-92301FE0720A}"/>
    <hyperlink ref="E247" r:id="rId235" xr:uid="{D8160654-00AC-426A-A95B-83A0B79D37EF}"/>
    <hyperlink ref="E248" r:id="rId236" xr:uid="{180D5E19-2864-4FDC-9C36-1C0CE52EDACF}"/>
    <hyperlink ref="E249" r:id="rId237" xr:uid="{0815FCAA-4ECB-4D63-BB4C-BDC87735E6AE}"/>
    <hyperlink ref="E250" r:id="rId238" xr:uid="{48E07620-263B-44DD-A958-002262C9886B}"/>
    <hyperlink ref="E252" r:id="rId239" xr:uid="{27AB4484-ECDB-4A9F-9573-B35764E8DBCA}"/>
    <hyperlink ref="E253" r:id="rId240" xr:uid="{DEA3DC3D-5EA2-46A3-9563-48AE9A6E8538}"/>
    <hyperlink ref="E254" r:id="rId241" xr:uid="{4E1EE4A0-516F-421C-9762-3688C38DDB88}"/>
    <hyperlink ref="E255" r:id="rId242" xr:uid="{FFF26888-E2F8-406C-99B8-EB62FFD9B1B7}"/>
    <hyperlink ref="E256" r:id="rId243" xr:uid="{AFC4CF6E-BFB3-4724-B54D-FB1E4A2C7BC2}"/>
    <hyperlink ref="E257" r:id="rId244" xr:uid="{5E2AFC48-92FB-494B-B6BB-0C416664C719}"/>
    <hyperlink ref="E258" r:id="rId245" xr:uid="{9F454832-A0F3-433A-85DD-BFEB251BF7FD}"/>
    <hyperlink ref="E259" r:id="rId246" xr:uid="{3CEBA138-DD2D-4152-9A49-B439C31EF5E9}"/>
    <hyperlink ref="E260" r:id="rId247" xr:uid="{8E955CB7-934E-4ADE-A693-084EE78BB6D0}"/>
    <hyperlink ref="E261" r:id="rId248" xr:uid="{0323B9D2-96A9-493C-B2EE-8A77BB97F741}"/>
    <hyperlink ref="E262" r:id="rId249" xr:uid="{C47A43D5-B94F-4C38-806B-7A0A91153DFF}"/>
    <hyperlink ref="E263" r:id="rId250" xr:uid="{5E84C739-D646-45B5-877E-8CDD5026553A}"/>
    <hyperlink ref="E264" r:id="rId251" xr:uid="{91AA0B1C-4732-4C3E-9330-EF01EBDFE0C3}"/>
    <hyperlink ref="E265" r:id="rId252" xr:uid="{50EF1602-D844-493B-9070-8B577B415B2B}"/>
    <hyperlink ref="E266" r:id="rId253" xr:uid="{20F1E070-437B-4006-BAC6-56DE0802F503}"/>
    <hyperlink ref="E267" r:id="rId254" xr:uid="{99F5D778-1FB4-425E-B1AC-1FA52E9E10DD}"/>
    <hyperlink ref="E268" r:id="rId255" xr:uid="{C1178CCE-883B-443D-A88C-F863C5A17C0F}"/>
    <hyperlink ref="E269" r:id="rId256" xr:uid="{97CE42CC-BC8B-446C-9885-2A8982B4E4D2}"/>
    <hyperlink ref="E270" r:id="rId257" xr:uid="{3EF156F4-2623-4353-B745-7689BA44ABD4}"/>
    <hyperlink ref="E271" r:id="rId258" xr:uid="{2152322F-9420-4C7D-AA51-3EC76480612D}"/>
    <hyperlink ref="E272" r:id="rId259" xr:uid="{756AD1E3-B37E-46C7-87DD-2F95C32AFD03}"/>
    <hyperlink ref="E273" r:id="rId260" xr:uid="{3EC53CC7-3773-415C-A85B-2BDAE80D3073}"/>
    <hyperlink ref="E274" r:id="rId261" xr:uid="{2BBACAFC-F5FA-4EF9-8CCF-0C1DC7D64032}"/>
    <hyperlink ref="E275" r:id="rId262" xr:uid="{6A68BF83-52B3-4E52-80E5-1A89271A77F1}"/>
    <hyperlink ref="E276" r:id="rId263" xr:uid="{CC2E8B0D-1DB8-49F5-AB87-D10F3899C15E}"/>
    <hyperlink ref="E278" r:id="rId264" xr:uid="{63DB98B9-56B0-4D37-8538-D91955D1415D}"/>
    <hyperlink ref="E279" r:id="rId265" xr:uid="{FD1065F8-FC9D-4709-B250-F5374BC76F3C}"/>
    <hyperlink ref="E280" r:id="rId266" xr:uid="{467AAB49-B137-4407-AC7C-0D03C27F9DC9}"/>
    <hyperlink ref="E281" r:id="rId267" xr:uid="{AB02FF14-0A9B-484C-A14E-A521821165CE}"/>
    <hyperlink ref="E282" r:id="rId268" xr:uid="{FDF374AD-E5A1-4B21-8FF2-B6239FC317EC}"/>
    <hyperlink ref="E283" r:id="rId269" xr:uid="{4A853451-1D7D-45BC-BAB8-D763335758A8}"/>
    <hyperlink ref="E284" r:id="rId270" xr:uid="{3A181868-950F-4CA3-8574-3E3118C1857F}"/>
    <hyperlink ref="E285" r:id="rId271" xr:uid="{828C6B6E-444F-42FF-89F7-8FF10E35D7A9}"/>
    <hyperlink ref="E286" r:id="rId272" xr:uid="{A95CC740-B4CE-433B-8868-3BA89AFB68BD}"/>
    <hyperlink ref="E287" r:id="rId273" xr:uid="{6214E8D4-F2FE-4459-BAF1-18039D6B83D0}"/>
    <hyperlink ref="E288" r:id="rId274" xr:uid="{17D0D61C-D635-4362-A220-F6865360FD6A}"/>
    <hyperlink ref="E289" r:id="rId275" xr:uid="{9D510C98-57D7-493C-9395-30AC31D9553C}"/>
    <hyperlink ref="E290" r:id="rId276" xr:uid="{622CCB33-E11C-4796-9728-D8AF57EDC251}"/>
    <hyperlink ref="E291" r:id="rId277" xr:uid="{3B7AF65A-3272-499B-A74E-B0F06E142FF9}"/>
    <hyperlink ref="E292" r:id="rId278" xr:uid="{3B6380B7-A4A5-4E70-AB3E-377E33D6A44B}"/>
    <hyperlink ref="E293" r:id="rId279" xr:uid="{1473F818-0324-4FDF-93C4-B8FB2F15CB87}"/>
    <hyperlink ref="E294" r:id="rId280" xr:uid="{71A78C45-9DD8-48D5-814B-EECB0282594F}"/>
    <hyperlink ref="E295" r:id="rId281" xr:uid="{1108975B-FF88-4719-9366-C46ACC08FD7B}"/>
    <hyperlink ref="E296" r:id="rId282" xr:uid="{AFECD43D-FA75-46C8-8901-56B5041598C4}"/>
    <hyperlink ref="E297" r:id="rId283" xr:uid="{962EBA32-1384-41D6-9910-048377A92CEC}"/>
    <hyperlink ref="E298" r:id="rId284" xr:uid="{693DD12A-92AA-4C5B-8E68-7E708ED9D864}"/>
    <hyperlink ref="E299" r:id="rId285" xr:uid="{2C0AB1A1-7404-46DC-B990-B283D8080C3B}"/>
    <hyperlink ref="E300" r:id="rId286" xr:uid="{8D4F4675-AA9E-448F-B7B8-6A88439D41F6}"/>
    <hyperlink ref="E301" r:id="rId287" xr:uid="{DA21E40D-09C8-4F9D-B101-D8EFF91C5218}"/>
    <hyperlink ref="E302" r:id="rId288" xr:uid="{157FC63D-1537-475C-899C-FF0F4444D3E4}"/>
    <hyperlink ref="E303" r:id="rId289" xr:uid="{1257BEF7-CEB6-40C4-B612-7E3B9D616758}"/>
    <hyperlink ref="E304" r:id="rId290" xr:uid="{31BAA5B6-23EB-4D54-BD6F-EF0D57D950C9}"/>
    <hyperlink ref="E305" r:id="rId291" xr:uid="{F1956E7B-E22D-4C0E-9EA2-26F0CF6AE3DD}"/>
    <hyperlink ref="E306" r:id="rId292" xr:uid="{0E45EC60-6DEE-43E1-AD8E-38509E54C82B}"/>
    <hyperlink ref="E307" r:id="rId293" xr:uid="{CEA4F064-B373-495A-95A5-074BC1C9E558}"/>
    <hyperlink ref="E308" r:id="rId294" xr:uid="{82BEA17C-A209-4508-82F9-AB7D71AF11D3}"/>
    <hyperlink ref="E309" r:id="rId295" xr:uid="{53C2FD67-6730-43FD-A409-3065A33339B0}"/>
    <hyperlink ref="E310" r:id="rId296" xr:uid="{63437C3D-42D5-45C1-8D6D-C7ED5CAAADCB}"/>
    <hyperlink ref="E311" r:id="rId297" xr:uid="{3D757F00-18A9-4416-BCB9-4AA6EE79BB9F}"/>
    <hyperlink ref="E312" r:id="rId298" xr:uid="{9CE16203-3FE3-47A2-B5FB-749F3D00F150}"/>
    <hyperlink ref="E313" r:id="rId299" xr:uid="{9F79EFE1-6080-407A-B402-F758AFBD9AE4}"/>
    <hyperlink ref="E314" r:id="rId300" xr:uid="{A933BB62-7D5E-4F52-A72B-93AFCEE04349}"/>
    <hyperlink ref="E315" r:id="rId301" xr:uid="{25466897-2435-4CCD-97B3-4FC4B1940260}"/>
    <hyperlink ref="E316" r:id="rId302" xr:uid="{D84BBDF2-7FA2-4E7B-A346-EA25D27F1AFD}"/>
    <hyperlink ref="E317" r:id="rId303" xr:uid="{42DCD0E4-A991-4590-9C23-DCD80E2AE179}"/>
    <hyperlink ref="E318" r:id="rId304" xr:uid="{B60AAC43-D32A-4CDC-8B45-B0C7D0CA2FE5}"/>
    <hyperlink ref="E320" r:id="rId305" xr:uid="{0318486A-1076-4AE2-AA2A-79381020E948}"/>
    <hyperlink ref="E321" r:id="rId306" xr:uid="{3DE13A08-C0DC-40B2-B9F2-C70C42C52734}"/>
    <hyperlink ref="E322" r:id="rId307" xr:uid="{6CD81D53-FD40-4F68-9A6A-9C12B2150F70}"/>
    <hyperlink ref="E326" r:id="rId308" xr:uid="{D7020084-EB99-4011-AE60-2E49E04ED2FF}"/>
    <hyperlink ref="E327" r:id="rId309" xr:uid="{84560D80-8410-47A9-93B3-4CD1638E846F}"/>
    <hyperlink ref="E328" r:id="rId310" xr:uid="{8D81AF28-7ABA-415B-A79E-20C8CEBD7F33}"/>
    <hyperlink ref="E329" r:id="rId311" xr:uid="{7B10AFFF-2224-4E03-8D14-C9073FA26C10}"/>
    <hyperlink ref="E330" r:id="rId312" xr:uid="{5D891F5F-DD64-4210-8BCB-98806C4C25E5}"/>
    <hyperlink ref="E331" r:id="rId313" xr:uid="{5BDFC328-9CF4-4810-9E74-8D25AAFA152B}"/>
    <hyperlink ref="E332" r:id="rId314" xr:uid="{8139929C-C1F3-4720-8263-0D8993D92446}"/>
    <hyperlink ref="E333" r:id="rId315" xr:uid="{17CF3A6B-C256-4C3B-BC49-74A48A697BB0}"/>
    <hyperlink ref="E334" r:id="rId316" xr:uid="{35A4CB76-12E1-4269-818E-AA85129C908A}"/>
    <hyperlink ref="E335" r:id="rId317" xr:uid="{E52A76CC-9333-4B2B-A654-B664C396C646}"/>
    <hyperlink ref="E337" r:id="rId318" xr:uid="{E64414F0-936D-469F-ABFF-343C4F2A3333}"/>
    <hyperlink ref="E339" r:id="rId319" xr:uid="{3F895E82-DC7C-42E3-B540-55197AD60ED6}"/>
    <hyperlink ref="E340" r:id="rId320" xr:uid="{08689C6F-A490-4F36-8F36-66BC8C8B8EF7}"/>
    <hyperlink ref="E342" r:id="rId321" xr:uid="{6D7E936F-F5ED-4E4B-BDBA-261227CC4106}"/>
    <hyperlink ref="E343" r:id="rId322" xr:uid="{BEA49817-E80B-4D85-A5ED-BE82BE1028CF}"/>
    <hyperlink ref="E344" r:id="rId323" xr:uid="{EF1EC9F5-0C4A-47F0-8942-77830F51875D}"/>
    <hyperlink ref="E345" r:id="rId324" xr:uid="{0DFC13A0-BED7-4947-B8E4-3909D730CB59}"/>
    <hyperlink ref="E346" r:id="rId325" xr:uid="{FABC619E-0E0B-4318-856B-4D4B1A422D29}"/>
    <hyperlink ref="E348" r:id="rId326" xr:uid="{05B068B6-6479-470A-963C-DF7FE475F0F1}"/>
    <hyperlink ref="E349" r:id="rId327" xr:uid="{7A44C178-F851-4C3A-A4FC-C319F90268A4}"/>
    <hyperlink ref="E350" r:id="rId328" xr:uid="{E9442381-1A54-4ADF-A612-1F0B1C6D8C69}"/>
    <hyperlink ref="E351" r:id="rId329" xr:uid="{B16ECFAB-8E14-489D-858F-62DE1B80D791}"/>
    <hyperlink ref="E352" r:id="rId330" xr:uid="{FCB35208-860D-4B64-98D9-7736DE1F8694}"/>
    <hyperlink ref="E353" r:id="rId331" xr:uid="{11CCAE29-7FA9-4394-BCD9-0387063E1180}"/>
    <hyperlink ref="E354" r:id="rId332" xr:uid="{A63793F4-28FE-40CA-B032-F115D12391AE}"/>
    <hyperlink ref="E355" r:id="rId333" xr:uid="{447D8242-3105-4865-B1E5-801F73F3BF7F}"/>
    <hyperlink ref="E356" r:id="rId334" xr:uid="{16914603-4356-45C9-A93D-77C860673AD2}"/>
    <hyperlink ref="E357" r:id="rId335" xr:uid="{ACAE1E48-21B4-4669-AC55-AD94E45319D2}"/>
    <hyperlink ref="E358" r:id="rId336" xr:uid="{7688DE9F-2A7E-48D0-B09D-93983FBFFB9A}"/>
    <hyperlink ref="E359" r:id="rId337" xr:uid="{1442D0B6-5BE3-43DD-8EB4-3950DFDF6861}"/>
    <hyperlink ref="E360" r:id="rId338" xr:uid="{470D1FB7-6965-45FF-9AF8-57695A411880}"/>
    <hyperlink ref="E361" r:id="rId339" xr:uid="{103EEC7C-91F5-4CCC-82DD-6400BAAF43CD}"/>
    <hyperlink ref="E362" r:id="rId340" xr:uid="{8F5EB134-A8CE-4E11-B619-1912E0FD0035}"/>
    <hyperlink ref="E363" r:id="rId341" xr:uid="{36E3D8E1-186F-44A8-9F6B-3E6914D0C2B1}"/>
    <hyperlink ref="E364" r:id="rId342" xr:uid="{0A9666F8-5C6A-44A7-AFBF-F1F635ED47B5}"/>
    <hyperlink ref="E365" r:id="rId343" xr:uid="{222A1133-6D9D-4803-8A93-97F9157DDACB}"/>
    <hyperlink ref="E366" r:id="rId344" xr:uid="{57A99566-2AD5-4DDB-A6E0-C1ED5D88B16A}"/>
    <hyperlink ref="E367" r:id="rId345" xr:uid="{5CBF1671-91A7-498D-834E-C2F13EED2784}"/>
    <hyperlink ref="E368" r:id="rId346" xr:uid="{59CCFAF6-53B7-460D-BED5-BDDA5ECFED74}"/>
    <hyperlink ref="E370" r:id="rId347" xr:uid="{C3794D91-A908-4F2C-A8C6-CBD2FECA9FEB}"/>
    <hyperlink ref="E371" r:id="rId348" xr:uid="{0C43E92C-B2F1-4E96-B088-B87F69C03136}"/>
    <hyperlink ref="E372" r:id="rId349" xr:uid="{FE45A59C-3093-4D93-9095-0A62B6FEA859}"/>
    <hyperlink ref="E373" r:id="rId350" xr:uid="{2B2C6068-BB3A-489F-9024-70EAE34F1003}"/>
    <hyperlink ref="E374" r:id="rId351" xr:uid="{81522D60-E2E4-4103-B1D5-A75258F8E85D}"/>
    <hyperlink ref="E376" r:id="rId352" xr:uid="{40B696B3-6D8C-4F4B-A0E7-BF09FB66FE36}"/>
    <hyperlink ref="E377" r:id="rId353" xr:uid="{E2ABB675-5838-48C8-9E4E-DD895E10A8C3}"/>
    <hyperlink ref="E378" r:id="rId354" xr:uid="{60E09951-8BD1-4F29-92D2-3375C687AC9D}"/>
    <hyperlink ref="E379" r:id="rId355" xr:uid="{4B046AF1-1492-45C8-B015-C0A10B314503}"/>
    <hyperlink ref="E380" r:id="rId356" xr:uid="{B3E9DEE3-626E-4FEF-ACF4-7CB10BB2AB60}"/>
    <hyperlink ref="E381" r:id="rId357" xr:uid="{061D996E-49B1-42C1-A293-726B0D6C31E0}"/>
    <hyperlink ref="E382" r:id="rId358" xr:uid="{CC7483A3-3104-4634-8C42-ACB97107BE9E}"/>
    <hyperlink ref="E383" r:id="rId359" xr:uid="{4E03F5C4-445C-4B46-93C7-D04B46602AC1}"/>
    <hyperlink ref="E384" r:id="rId360" xr:uid="{F2932586-4A18-4CE3-91E1-7D09D2D94720}"/>
    <hyperlink ref="E385" r:id="rId361" xr:uid="{B1E3D542-F730-41F1-A474-EA9B2819C5BF}"/>
    <hyperlink ref="E386" r:id="rId362" xr:uid="{52D9954F-8154-4D44-B736-CD38FD7B8EE0}"/>
    <hyperlink ref="E387" r:id="rId363" xr:uid="{F3990FBD-9357-4912-A4DC-14B77E33A70C}"/>
    <hyperlink ref="E388" r:id="rId364" xr:uid="{FFCE06F5-AC45-4F94-95CB-71D462D0A0D0}"/>
    <hyperlink ref="E389" r:id="rId365" xr:uid="{623EE01C-D073-4FA0-AEA3-4EBEB572D4B9}"/>
    <hyperlink ref="E390" r:id="rId366" xr:uid="{F0C6D693-A93D-489E-8BB6-75D0FF124123}"/>
    <hyperlink ref="E391" r:id="rId367" xr:uid="{A13FEB39-A9EB-4A5F-B5D7-ED49D6A49039}"/>
    <hyperlink ref="E392" r:id="rId368" xr:uid="{AD4F7DD4-A098-4611-8ECD-B6A315478B80}"/>
    <hyperlink ref="E393" r:id="rId369" xr:uid="{B9869FA0-2436-4DCD-A425-7390C118A56A}"/>
    <hyperlink ref="E394" r:id="rId370" xr:uid="{AF70006A-3C89-48D8-8F9C-439FAE0DC5D5}"/>
    <hyperlink ref="E395" r:id="rId371" xr:uid="{1A570DE1-78D3-4A9E-A977-33F551FF9F7E}"/>
    <hyperlink ref="E396" r:id="rId372" xr:uid="{C4137A5A-6F53-4320-A96C-292D04B5F12F}"/>
    <hyperlink ref="E397" r:id="rId373" xr:uid="{A9324516-E3D9-4D46-A56F-73AEFE0EF129}"/>
    <hyperlink ref="E398" r:id="rId374" xr:uid="{1E2AD055-73AA-4662-9339-9ADE70812124}"/>
    <hyperlink ref="E399" r:id="rId375" xr:uid="{39C3AC66-F783-4327-8B1B-C6ABDE7EE03A}"/>
    <hyperlink ref="E400" r:id="rId376" xr:uid="{5EB04A68-8BBD-42C0-A0F0-E900AECE6214}"/>
    <hyperlink ref="E401" r:id="rId377" xr:uid="{97FCC83B-77AF-47CB-95A0-923129734350}"/>
    <hyperlink ref="E402" r:id="rId378" xr:uid="{4DEED609-88CC-498D-8333-233023CFAB8D}"/>
    <hyperlink ref="E403" r:id="rId379" xr:uid="{AE6790A4-D5AB-4A87-BAE1-3AE0C780E2C1}"/>
    <hyperlink ref="E404" r:id="rId380" xr:uid="{08E36A0C-BFD6-41D6-9DBE-41C9EECE0F7E}"/>
    <hyperlink ref="E405" r:id="rId381" xr:uid="{E03D33D5-3B3A-47D8-8E77-01E399F0D3F1}"/>
    <hyperlink ref="E406" r:id="rId382" xr:uid="{7C8B1F00-88A3-4BD7-98E4-09A8DCFDA538}"/>
    <hyperlink ref="E407" r:id="rId383" xr:uid="{221B9E7C-EF2C-495A-B2F4-06ECD9A7387B}"/>
    <hyperlink ref="E408" r:id="rId384" xr:uid="{8A2411C7-FD5D-44AB-B160-8F14E7EA1B7C}"/>
    <hyperlink ref="E409" r:id="rId385" xr:uid="{BD065D69-4641-419A-929D-DE60117D9720}"/>
    <hyperlink ref="E410" r:id="rId386" xr:uid="{4BE945CC-17CD-4895-A6B8-95C2146093DD}"/>
    <hyperlink ref="E411" r:id="rId387" xr:uid="{06B5EAA4-7970-4D46-B7CF-2D398E55C10E}"/>
    <hyperlink ref="E412" r:id="rId388" xr:uid="{DAEE2794-DEBE-4ED9-9FA2-860DF95F723E}"/>
    <hyperlink ref="E413" r:id="rId389" xr:uid="{BD75532A-2095-4546-8766-F305464BFEE3}"/>
    <hyperlink ref="E414" r:id="rId390" xr:uid="{45EDDA2E-ED2C-4554-93B3-18AE9F5EB693}"/>
    <hyperlink ref="E415" r:id="rId391" xr:uid="{D46E0DD1-9E9F-4542-94DD-1EADEB407D75}"/>
    <hyperlink ref="E416" r:id="rId392" xr:uid="{C4FA2CCE-EF1F-430A-922D-483257423B5D}"/>
    <hyperlink ref="E417" r:id="rId393" xr:uid="{C013009A-7467-4D6C-B067-DB8BBBA7F70F}"/>
    <hyperlink ref="E418" r:id="rId394" xr:uid="{A73893AA-CB50-45ED-8F4B-2BADBA217083}"/>
    <hyperlink ref="E419" r:id="rId395" xr:uid="{50F52F86-1DB6-4BF3-90BF-20B9E70A8281}"/>
    <hyperlink ref="E420" r:id="rId396" xr:uid="{83BDADCE-ADFD-407E-86D1-A98E1FA2E379}"/>
    <hyperlink ref="E421" r:id="rId397" xr:uid="{1B12D597-13F8-4B91-A8B5-BD37C0568980}"/>
    <hyperlink ref="E422" r:id="rId398" xr:uid="{90955BD3-8AE3-4110-B390-2209727B410A}"/>
    <hyperlink ref="E423" r:id="rId399" xr:uid="{162FA7DD-A51E-4F25-B488-1C77D8443164}"/>
    <hyperlink ref="E424" r:id="rId400" xr:uid="{C4743932-5B3E-4265-9BEB-3CC0AD8FF392}"/>
    <hyperlink ref="E425" r:id="rId401" xr:uid="{81B77AB9-1302-4AB7-A7A7-D59548C5BF98}"/>
    <hyperlink ref="E426" r:id="rId402" xr:uid="{CD1548F8-B14F-4CA4-82DA-71EC479387E4}"/>
    <hyperlink ref="E427" r:id="rId403" xr:uid="{5D41F7F9-97A3-48CC-8420-2E9D5D589EFD}"/>
    <hyperlink ref="E428" r:id="rId404" xr:uid="{CD8E114A-56FA-4D05-AAA3-EA08DEE2D6F1}"/>
    <hyperlink ref="E429" r:id="rId405" xr:uid="{72A2B692-C1AB-4F6D-9AEF-C3F7DDA4C1D1}"/>
    <hyperlink ref="E430" r:id="rId406" xr:uid="{863BF20F-F743-4FA8-A44C-0B890FCD6D67}"/>
    <hyperlink ref="E431" r:id="rId407" xr:uid="{9CC0872F-202A-4F4B-9743-8E7091225D82}"/>
    <hyperlink ref="E432" r:id="rId408" xr:uid="{8E10D21D-B4D6-435F-BCAD-4F3BC77F846F}"/>
    <hyperlink ref="E433" r:id="rId409" xr:uid="{26006F91-1F74-498E-9719-547362E6D7BC}"/>
    <hyperlink ref="E434" r:id="rId410" xr:uid="{5D876EAE-1BD1-4663-9F71-7EAF8B6B2857}"/>
    <hyperlink ref="E435" r:id="rId411" xr:uid="{EFA8EE6A-99EB-4A72-885B-388E8D6AAEEA}"/>
    <hyperlink ref="E436" r:id="rId412" xr:uid="{50E63EE9-265C-46AF-895C-386714E2D5DE}"/>
    <hyperlink ref="E437" r:id="rId413" xr:uid="{CA44D8F4-943F-46F3-A6ED-320738C25A64}"/>
    <hyperlink ref="E438" r:id="rId414" xr:uid="{FC34BBDF-467F-43B9-B850-3F0D2AC36A19}"/>
    <hyperlink ref="E439" r:id="rId415" xr:uid="{1330AB15-FAB2-43B0-8F76-DC7FFE9F67F4}"/>
    <hyperlink ref="E440" r:id="rId416" xr:uid="{163495C0-0B50-4BB8-A39B-3EF9A4D7E453}"/>
    <hyperlink ref="E441" r:id="rId417" xr:uid="{2F494FEE-EC8A-4B51-A9D1-F38FE23A5DB9}"/>
    <hyperlink ref="E442" r:id="rId418" xr:uid="{D33FE637-B65A-443A-9C1F-03D2A5CDD2F5}"/>
    <hyperlink ref="E443" r:id="rId419" xr:uid="{11247E8B-AF06-4A15-95B1-4FFBEAB5D24D}"/>
    <hyperlink ref="E444" r:id="rId420" xr:uid="{86125191-54D9-4377-B50B-52C24AF259DB}"/>
    <hyperlink ref="E445" r:id="rId421" xr:uid="{FD9F5248-B5B5-4845-853B-A4D6F33BF498}"/>
    <hyperlink ref="E446" r:id="rId422" xr:uid="{81293C88-331C-45B5-98C5-132B5E253951}"/>
    <hyperlink ref="E447" r:id="rId423" xr:uid="{4838D949-CE43-46BD-B0CB-63345233DEF1}"/>
    <hyperlink ref="E448" r:id="rId424" xr:uid="{EF0938F6-7375-486C-A218-87C4F1C6C141}"/>
    <hyperlink ref="E449" r:id="rId425" xr:uid="{22DE7437-9351-47D5-9B87-ED1533146EA2}"/>
    <hyperlink ref="E450" r:id="rId426" xr:uid="{5099D057-F79D-4C56-8D4D-8D2953405A36}"/>
    <hyperlink ref="E451" r:id="rId427" xr:uid="{ECDD44EE-F2D3-47FA-A865-5F6DBC1A5476}"/>
    <hyperlink ref="E452" r:id="rId428" xr:uid="{EEFD9D26-2214-46F1-A270-2AA0240C0174}"/>
    <hyperlink ref="E454" r:id="rId429" xr:uid="{AF398906-B552-4F99-A15A-E8F2E3D0BB28}"/>
    <hyperlink ref="E455" r:id="rId430" xr:uid="{DB033C06-8490-47FC-A904-9E6BE5392BED}"/>
    <hyperlink ref="E456" r:id="rId431" xr:uid="{DB7E471F-574B-4958-AFF7-7637395CD8BC}"/>
    <hyperlink ref="E457" r:id="rId432" xr:uid="{C3144E0B-020A-4E13-9B86-216B4CC308E2}"/>
    <hyperlink ref="E458" r:id="rId433" xr:uid="{A8E2BEF8-5995-48C9-8909-012F8EA2A62D}"/>
    <hyperlink ref="E459" r:id="rId434" xr:uid="{BBA38C41-744B-404F-99D2-DF000548AD9C}"/>
    <hyperlink ref="E460" r:id="rId435" xr:uid="{B4BD2155-A6C9-4DEA-9A3A-918EBBDB5319}"/>
    <hyperlink ref="E461" r:id="rId436" xr:uid="{71744210-0FF2-460A-B15F-1605E92E57BD}"/>
    <hyperlink ref="E462" r:id="rId437" xr:uid="{4D25270E-D6CC-4DA7-BBDB-44DFF8D9D1AC}"/>
    <hyperlink ref="E463" r:id="rId438" xr:uid="{7A5E6DAE-FE25-4736-AF57-2CDC4DE7F7B7}"/>
    <hyperlink ref="E464" r:id="rId439" xr:uid="{E1147377-E6F1-4255-A59F-C1772965DA24}"/>
    <hyperlink ref="E465" r:id="rId440" xr:uid="{5A940F5E-9DD7-4DBF-8014-EBCFCEFC8A10}"/>
    <hyperlink ref="E466" r:id="rId441" xr:uid="{FE3A86F0-9E8D-407C-BA0A-ACE9BE43ECAF}"/>
    <hyperlink ref="E467" r:id="rId442" xr:uid="{0E03E2DB-F7F7-47C1-B686-4BB933E42BFD}"/>
    <hyperlink ref="E468" r:id="rId443" xr:uid="{9FE11D92-2EA4-4D79-A073-841E004F81A3}"/>
    <hyperlink ref="E469" r:id="rId444" xr:uid="{60CAA186-0EF6-4274-9DD4-CCD4FFE131E3}"/>
    <hyperlink ref="E470" r:id="rId445" xr:uid="{71FC3914-13CD-4A5A-B8BE-35458D1E26F6}"/>
    <hyperlink ref="E471" r:id="rId446" xr:uid="{59542725-14F6-40D9-B77A-7134765CB3C7}"/>
    <hyperlink ref="E472" r:id="rId447" xr:uid="{2FA11A02-87AE-4255-8A35-EB6977528DCC}"/>
    <hyperlink ref="E473" r:id="rId448" xr:uid="{94EAF169-C2B1-42A8-943D-3B35D3371AE6}"/>
    <hyperlink ref="E474" r:id="rId449" xr:uid="{F16C36FD-9C30-401C-B82B-C7A14E27DCDA}"/>
    <hyperlink ref="E475" r:id="rId450" xr:uid="{D7390FB9-CCF6-4183-9D74-4C860DF95F1E}"/>
    <hyperlink ref="E476" r:id="rId451" xr:uid="{B0016418-E5C6-4032-BE5E-E20C7D566E4B}"/>
    <hyperlink ref="E477" r:id="rId452" xr:uid="{6D886B25-CB3A-4FD0-A6B5-4B93F68863B7}"/>
    <hyperlink ref="E478" r:id="rId453" xr:uid="{9A5F5A88-B0D8-46C8-94C3-5ED256FB51C8}"/>
    <hyperlink ref="E479" r:id="rId454" xr:uid="{F4B0A49C-1C7E-43AB-BC5B-FBB7AC5C9BA8}"/>
    <hyperlink ref="E480" r:id="rId455" xr:uid="{18B710E8-579F-467B-A86C-15C1DF2D8105}"/>
    <hyperlink ref="E481" r:id="rId456" xr:uid="{A9D55D02-1CA6-4F4C-BDE8-4A6A77EE1E24}"/>
    <hyperlink ref="E482" r:id="rId457" xr:uid="{558967EF-6DC7-47F7-A498-E7F15E150FCA}"/>
    <hyperlink ref="E483" r:id="rId458" xr:uid="{528C43B8-C231-44D0-9055-1C440175C3BC}"/>
    <hyperlink ref="E484" r:id="rId459" xr:uid="{97030022-C344-4430-9E2A-04A795C0976E}"/>
    <hyperlink ref="E485" r:id="rId460" xr:uid="{E4D12489-85BE-4F94-9DB8-3F0A82670FD8}"/>
    <hyperlink ref="E486" r:id="rId461" xr:uid="{110E39DB-CD72-4663-968B-3390E684704F}"/>
    <hyperlink ref="E487" r:id="rId462" xr:uid="{A1BC8532-05E3-4B6F-80B3-94B919806328}"/>
    <hyperlink ref="E488" r:id="rId463" xr:uid="{A7318012-264A-4B82-AC87-EA494E0D973D}"/>
    <hyperlink ref="E489" r:id="rId464" xr:uid="{983976BB-4AA7-4D77-8443-FEA4D277F968}"/>
    <hyperlink ref="E490" r:id="rId465" xr:uid="{D9E98B7E-95C4-496A-B159-FB0CEA1CB8E6}"/>
    <hyperlink ref="E491" r:id="rId466" xr:uid="{DA4096B5-F32F-4EBA-94A0-FFC050C9CBB4}"/>
    <hyperlink ref="E492" r:id="rId467" xr:uid="{E26337F2-A427-4F97-8DB2-DA988407944F}"/>
    <hyperlink ref="E493" r:id="rId468" xr:uid="{8B6AE8E5-49CC-4E61-9547-9B7526299917}"/>
    <hyperlink ref="E494" r:id="rId469" xr:uid="{A847686B-46D0-4460-9978-4564236C8A25}"/>
    <hyperlink ref="E495" r:id="rId470" xr:uid="{1EBC3F92-7521-4F85-82B5-8720C25C8151}"/>
    <hyperlink ref="E496" r:id="rId471" xr:uid="{038D4861-59C2-48F9-9221-E8B79684192A}"/>
    <hyperlink ref="E497" r:id="rId472" xr:uid="{E1FEA4DA-74FE-4E82-869D-4A9C53A7A5B6}"/>
    <hyperlink ref="E498" r:id="rId473" xr:uid="{BCDF0BEA-F933-46E1-BE72-563712F4DD51}"/>
    <hyperlink ref="E499" r:id="rId474" xr:uid="{6525CB28-B2E1-41FB-B738-F5FC4A1ACEAE}"/>
    <hyperlink ref="E500" r:id="rId475" xr:uid="{8F7B02B8-2D65-49BA-B065-DAE2F3D0C39E}"/>
    <hyperlink ref="E501" r:id="rId476" xr:uid="{65C2FE24-E2F7-462A-BC0F-471D46316F46}"/>
    <hyperlink ref="E502" r:id="rId477" xr:uid="{C4FA20CA-B752-4BE8-BB19-75F517EB14C3}"/>
    <hyperlink ref="E503" r:id="rId478" xr:uid="{37346B15-2C2A-4116-99BF-8B6178D234D7}"/>
    <hyperlink ref="E504" r:id="rId479" xr:uid="{5F359ED5-3009-4281-908F-32B5D8D0308B}"/>
    <hyperlink ref="E505" r:id="rId480" xr:uid="{6DCB8082-7876-4AA8-8FC7-C50FB90173D4}"/>
    <hyperlink ref="E506" r:id="rId481" xr:uid="{9EF97DD0-C55A-4349-B3FC-23502F1A166A}"/>
    <hyperlink ref="E507" r:id="rId482" xr:uid="{CC17E3F2-620C-4BB5-848C-D6CC135D1C6D}"/>
    <hyperlink ref="E508" r:id="rId483" xr:uid="{F7C955EB-9820-4B57-99D7-8A340CFAF14E}"/>
    <hyperlink ref="E509" r:id="rId484" xr:uid="{D871F76C-64E1-4F0A-A60C-D65CFAAB7BA0}"/>
    <hyperlink ref="E510" r:id="rId485" xr:uid="{3435D313-2C20-485A-BB45-5E8DD72AA27F}"/>
    <hyperlink ref="E511" r:id="rId486" xr:uid="{D502C45A-B609-4291-A2A5-30F8D52B639B}"/>
    <hyperlink ref="E512" r:id="rId487" xr:uid="{D1CB729F-40B5-4DCA-8FDC-BA517F3AE7B0}"/>
    <hyperlink ref="E513" r:id="rId488" xr:uid="{FFD64EE1-F0F7-4A71-A8D8-C43C29EFB8AB}"/>
    <hyperlink ref="E514" r:id="rId489" xr:uid="{1C97DF6D-9268-4867-910C-E3A501679C82}"/>
    <hyperlink ref="E515" r:id="rId490" xr:uid="{F474D446-E514-4900-9098-E1CD9A532B8D}"/>
    <hyperlink ref="E516" r:id="rId491" xr:uid="{A656CB15-B34D-42E3-9107-DC8D8F12DC3B}"/>
    <hyperlink ref="E517" r:id="rId492" xr:uid="{3A4BD5A8-05A9-4FBC-A5F0-41AF1201F22F}"/>
    <hyperlink ref="E518" r:id="rId493" xr:uid="{50BCE8B9-35DD-4328-A004-EB2C5DE1F880}"/>
    <hyperlink ref="E519" r:id="rId494" xr:uid="{01B74BDB-2104-4F83-B459-D6C81CC2A5FB}"/>
    <hyperlink ref="E520" r:id="rId495" xr:uid="{3A6DF07D-3320-46E2-94FA-90D9CCD9C6C0}"/>
    <hyperlink ref="E522" r:id="rId496" xr:uid="{52EF5F28-79AC-475D-AA54-E016429C7F35}"/>
    <hyperlink ref="E523" r:id="rId497" xr:uid="{A7A267F0-9C53-450C-8DEF-69652934D4FC}"/>
    <hyperlink ref="E524" r:id="rId498" xr:uid="{D0FDA958-5AF8-4E16-9153-B71D6205FEA5}"/>
    <hyperlink ref="E525" r:id="rId499" xr:uid="{D338D4F7-4BC9-4735-A06D-5262C1917935}"/>
    <hyperlink ref="E526" r:id="rId500" xr:uid="{45B51A0B-D95E-4ADA-96DA-A13FEDF15F33}"/>
    <hyperlink ref="E527" r:id="rId501" xr:uid="{0FC36415-B2AA-4D85-BFE5-44D462FDD203}"/>
    <hyperlink ref="E528" r:id="rId502" xr:uid="{C4034508-CF33-49F1-85CB-6B0A380C0E47}"/>
    <hyperlink ref="E529" r:id="rId503" xr:uid="{BCB9CB1F-073F-4C95-AF3E-FB15D5080D41}"/>
    <hyperlink ref="E530" r:id="rId504" xr:uid="{1FC3DA22-E6BE-4FF3-8624-68F11ED954CC}"/>
    <hyperlink ref="E531" r:id="rId505" xr:uid="{2A284FA6-F572-4A0B-AD89-A2C4C805C767}"/>
    <hyperlink ref="E532" r:id="rId506" xr:uid="{2B16FA1B-4651-4669-B15F-AB5E3C3558DE}"/>
    <hyperlink ref="E533" r:id="rId507" xr:uid="{576355D3-583D-41B3-80CC-EA6DDB0350CD}"/>
    <hyperlink ref="E534" r:id="rId508" xr:uid="{654C14F2-56D6-4CDD-BDC6-FE733C7E50A7}"/>
    <hyperlink ref="E535" r:id="rId509" xr:uid="{DAA5A1DB-C14A-4081-B39E-DB56F5911540}"/>
    <hyperlink ref="E536" r:id="rId510" xr:uid="{3BDFEE46-00BF-4A35-AFC9-634933438D30}"/>
    <hyperlink ref="E537" r:id="rId511" xr:uid="{0A4ED173-C681-4226-82E6-3DDC98786EA5}"/>
    <hyperlink ref="E538" r:id="rId512" xr:uid="{5AB18796-0C79-40E6-A5FE-F5777ECFFFAF}"/>
    <hyperlink ref="E539" r:id="rId513" xr:uid="{E359420D-8C2C-47B3-AEF7-68717413D0E3}"/>
    <hyperlink ref="E540" r:id="rId514" xr:uid="{C35D0E34-B858-42E2-A228-B0CD22325D5F}"/>
    <hyperlink ref="E541" r:id="rId515" xr:uid="{E5400C87-0504-419C-ACC1-73E7443085D9}"/>
    <hyperlink ref="E543" r:id="rId516" xr:uid="{3DD0A144-CA98-42DF-B63B-BC23BC82A667}"/>
    <hyperlink ref="E544" r:id="rId517" xr:uid="{24C9E932-12B2-4F51-A874-B752033EC0E2}"/>
    <hyperlink ref="E545" r:id="rId518" xr:uid="{17D15AE8-864A-4BC0-BB4A-4C854A76FFB4}"/>
    <hyperlink ref="E546" r:id="rId519" xr:uid="{EF7D34B1-75F2-4971-885D-282C36D4944B}"/>
    <hyperlink ref="E547" r:id="rId520" xr:uid="{8914D1FF-C68B-43E8-861E-5ADC00E484C1}"/>
    <hyperlink ref="E548" r:id="rId521" xr:uid="{C509C1A7-3DC9-423F-9995-8ED57A12B79D}"/>
    <hyperlink ref="E549" r:id="rId522" xr:uid="{E4DCB0DA-9004-49FA-B4D2-3F40C4B03F47}"/>
    <hyperlink ref="E550" r:id="rId523" xr:uid="{363DB1EB-23F8-4BCB-A430-6FDC19BA5280}"/>
    <hyperlink ref="E551" r:id="rId524" xr:uid="{2204B40F-55C3-46A0-80B1-6E830E4B0C50}"/>
    <hyperlink ref="E552" r:id="rId525" xr:uid="{CF369146-0BC5-4875-8165-7C0523A3ED17}"/>
    <hyperlink ref="E554" r:id="rId526" xr:uid="{8D116F65-29D4-4D63-A95B-EA5E1326681C}"/>
    <hyperlink ref="E555" r:id="rId527" xr:uid="{52E77675-D4B0-4CA0-8CD1-B2049493C85B}"/>
    <hyperlink ref="E556" r:id="rId528" xr:uid="{7D8CF172-C8EE-471F-9905-DCDA6F65DCCB}"/>
    <hyperlink ref="E557" r:id="rId529" xr:uid="{5A543148-81D6-4C51-A9FC-B25F9E48DE74}"/>
    <hyperlink ref="E558" r:id="rId530" xr:uid="{A6457576-D0E4-4571-9D10-A18C5316E191}"/>
    <hyperlink ref="E559" r:id="rId531" xr:uid="{FA59133F-0185-4808-BB34-2F28CEA6B6F4}"/>
    <hyperlink ref="E561" r:id="rId532" xr:uid="{135FA3BD-662A-4945-9ACA-E2AEE3BCD093}"/>
    <hyperlink ref="E563" r:id="rId533" xr:uid="{0B77CA54-DA53-43EA-AB71-262135776208}"/>
    <hyperlink ref="E564" r:id="rId534" xr:uid="{3AB41C08-8F8B-4B3F-BAA7-C86A1F80A9CC}"/>
    <hyperlink ref="E565" r:id="rId535" xr:uid="{D79665FC-0852-4922-A73C-3F2CF470E841}"/>
    <hyperlink ref="E566" r:id="rId536" xr:uid="{981C9C0D-2059-4B7B-9C7D-170FC6F864DE}"/>
    <hyperlink ref="E567" r:id="rId537" xr:uid="{045C59C9-B6E6-408A-9E69-23EC685510DB}"/>
    <hyperlink ref="E568" r:id="rId538" xr:uid="{1DDD2DB8-8BFD-47ED-B65D-B81C374699DF}"/>
    <hyperlink ref="E569" r:id="rId539" xr:uid="{2C029903-324A-4D30-8ED5-349ECB4AF6F3}"/>
    <hyperlink ref="E570" r:id="rId540" xr:uid="{18785E1F-D502-4D58-B16C-B064270568FA}"/>
    <hyperlink ref="E571" r:id="rId541" xr:uid="{B4F1DD08-2B95-4DA7-9496-A3A1A203BE2C}"/>
    <hyperlink ref="E572" r:id="rId542" xr:uid="{383E0E30-68DD-4E6B-AB15-54D6D44D99C9}"/>
    <hyperlink ref="E573" r:id="rId543" xr:uid="{9D7866BD-AEEB-42BC-9520-6488F4CC9D52}"/>
    <hyperlink ref="E574" r:id="rId544" xr:uid="{57B556F1-4C3E-45F1-927A-8062C4562492}"/>
    <hyperlink ref="E575" r:id="rId545" xr:uid="{7F90FB46-93FF-4F90-8CFF-8F3A2B22855E}"/>
    <hyperlink ref="E576" r:id="rId546" xr:uid="{D0C41348-46AF-4B71-91CD-D0BCAD3266AB}"/>
    <hyperlink ref="E577" r:id="rId547" xr:uid="{925B1C05-3C05-404C-8224-5B72A962531F}"/>
    <hyperlink ref="E578" r:id="rId548" xr:uid="{2E0FC693-CDF1-4822-A53D-B52FB23ADDAA}"/>
    <hyperlink ref="E579" r:id="rId549" xr:uid="{C09BFAA0-E009-41A0-981B-5B18F09B559F}"/>
    <hyperlink ref="E580" r:id="rId550" xr:uid="{9C464583-53E0-4A94-8C21-A391A6F51017}"/>
    <hyperlink ref="E581" r:id="rId551" xr:uid="{7EAE5A30-5FC5-4913-B226-22782BD53171}"/>
    <hyperlink ref="E582" r:id="rId552" xr:uid="{3358C9AE-E7E3-4DBF-963E-C97CFFAF1224}"/>
    <hyperlink ref="E583" r:id="rId553" xr:uid="{CA965B24-12FD-4B48-AC6B-B223B178E681}"/>
    <hyperlink ref="E584" r:id="rId554" xr:uid="{B74CB34F-40D9-436F-A138-633FD87B47D5}"/>
    <hyperlink ref="E585" r:id="rId555" xr:uid="{33217D2E-30F1-486D-9EF9-F5BE7749EB32}"/>
    <hyperlink ref="E586" r:id="rId556" xr:uid="{ABC1BC0F-0633-4EFA-B1F5-B8254FA2ED4B}"/>
    <hyperlink ref="E587" r:id="rId557" xr:uid="{8BE83EA8-AB54-466A-90EE-DE353A1B0C33}"/>
    <hyperlink ref="E588" r:id="rId558" xr:uid="{C8E102CD-FE1F-460F-B2F3-569D87E09CC4}"/>
    <hyperlink ref="E590" r:id="rId559" xr:uid="{7D1AA89F-71F1-4EE8-BE74-EB54A0C4C10B}"/>
    <hyperlink ref="E591" r:id="rId560" xr:uid="{837EF37F-5DA7-45ED-83C8-E6069F1407F0}"/>
    <hyperlink ref="E592" r:id="rId561" xr:uid="{5D999A23-F74F-462E-AA23-B6C27BD1420D}"/>
    <hyperlink ref="E593" r:id="rId562" xr:uid="{4DC23EB3-BA2F-49B8-B6CB-12DBFA55B8B8}"/>
    <hyperlink ref="E594" r:id="rId563" xr:uid="{09E4BFA6-0B84-44B4-899C-985B99C15B05}"/>
    <hyperlink ref="E596" r:id="rId564" xr:uid="{5CC94F85-8842-49F4-BD60-3CB06DF439B6}"/>
    <hyperlink ref="E597" r:id="rId565" xr:uid="{5821164D-AB1F-4802-9302-3D0DB341E1E5}"/>
    <hyperlink ref="E598" r:id="rId566" xr:uid="{64955B0A-3FD2-4A60-9425-99888A195A56}"/>
    <hyperlink ref="E599" r:id="rId567" xr:uid="{3375FF72-2A22-473B-AE7E-589732711179}"/>
    <hyperlink ref="E600" r:id="rId568" xr:uid="{D8ED6007-FDDC-4F4D-860B-C09D13523724}"/>
    <hyperlink ref="E601" r:id="rId569" xr:uid="{DA3CF6F6-8F5B-45E2-8651-A40DCE0F1645}"/>
    <hyperlink ref="E602" r:id="rId570" xr:uid="{CEEC17F5-4C1C-460B-A75B-A0680A9DE005}"/>
    <hyperlink ref="E606" r:id="rId571" xr:uid="{3C827F7B-9C6F-4846-ABC0-8DF4A91EE575}"/>
    <hyperlink ref="E610" r:id="rId572" xr:uid="{C78F12AB-D6C0-4FD1-A5FA-0E5B263DA775}"/>
    <hyperlink ref="E611" r:id="rId573" xr:uid="{62CF91CC-64ED-4CB9-8E09-C965FE408465}"/>
    <hyperlink ref="E612" r:id="rId574" xr:uid="{E5CFBA7E-0565-4261-B5AD-E3A01853FE27}"/>
    <hyperlink ref="E614" r:id="rId575" xr:uid="{B0B4FD04-DCDC-4721-8326-07A9DA612BF5}"/>
    <hyperlink ref="E615" r:id="rId576" xr:uid="{B9F1B6F5-35CE-40A8-AF80-6F3005D55965}"/>
    <hyperlink ref="E616" r:id="rId577" xr:uid="{147D0074-8AD5-4992-A2D7-AF16BCC7BEA0}"/>
    <hyperlink ref="E621" r:id="rId578" xr:uid="{6E2C40F8-9971-4958-84A8-D6B9975E3BE4}"/>
    <hyperlink ref="E623" r:id="rId579" xr:uid="{B18BF165-3448-4B1D-A330-09B1D3733AF0}"/>
    <hyperlink ref="E624" r:id="rId580" xr:uid="{F531F626-4700-4BFE-AB82-26FA7D99DC40}"/>
    <hyperlink ref="E625" r:id="rId581" xr:uid="{74CA6891-75F0-4804-85A6-DCE022A88FF5}"/>
    <hyperlink ref="E626" r:id="rId582" xr:uid="{2DBBA356-2C26-429E-9EA8-5A03AF3DD078}"/>
    <hyperlink ref="E627" r:id="rId583" xr:uid="{3713E479-F0C8-4E2B-89BE-539A74DC1D16}"/>
    <hyperlink ref="E629" r:id="rId584" xr:uid="{4A281CDD-483E-4585-8BBE-8FE76500552D}"/>
    <hyperlink ref="E630" r:id="rId585" xr:uid="{A4D07B21-4D06-4A00-BAB9-1A63FAE6F884}"/>
    <hyperlink ref="E631" r:id="rId586" xr:uid="{72492174-B7EF-4822-8C2F-DF879EA7331D}"/>
    <hyperlink ref="E632" r:id="rId587" xr:uid="{DDF9FD23-3C7C-4992-8D00-18EEB13F8CC1}"/>
    <hyperlink ref="E633" r:id="rId588" xr:uid="{456C0AA8-3502-4DE8-99A1-611F8CE9E59C}"/>
    <hyperlink ref="E634" r:id="rId589" xr:uid="{D9CB4C84-DB6C-4114-A185-7AFFF54F5D49}"/>
    <hyperlink ref="E637" r:id="rId590" xr:uid="{B445EF17-3A79-4FA2-B1BF-5BF47A4E09A6}"/>
    <hyperlink ref="E638" r:id="rId591" xr:uid="{CF0A9058-53EB-4B0F-A017-4D81115F8923}"/>
    <hyperlink ref="E641" r:id="rId592" xr:uid="{A8B57038-F418-415E-8A96-59812E2413F0}"/>
    <hyperlink ref="E642" r:id="rId593" xr:uid="{14D1C60D-19C5-4211-8754-9684715B5BC7}"/>
    <hyperlink ref="E644" r:id="rId594" xr:uid="{F7DA3771-70A1-4114-A225-640270DA9078}"/>
    <hyperlink ref="E645" r:id="rId595" xr:uid="{26A0FFF8-9929-4D2A-B54E-5CAB0BCDEEF1}"/>
    <hyperlink ref="E648" r:id="rId596" xr:uid="{7163D2AA-2050-449A-A8C2-31BBEC2C1FC2}"/>
    <hyperlink ref="E649" r:id="rId597" xr:uid="{8D0076B0-DC81-4BD8-B5B7-A324523CF9C7}"/>
    <hyperlink ref="E650" r:id="rId598" xr:uid="{C0A6346D-3326-46ED-9ECE-E5911CEAF7E4}"/>
    <hyperlink ref="E651" r:id="rId599" xr:uid="{C4E307C7-8312-40C2-89CF-CAA862B8F625}"/>
    <hyperlink ref="E653" r:id="rId600" xr:uid="{0C07CC20-919F-44F0-900B-12116EED9EE9}"/>
    <hyperlink ref="E654" r:id="rId601" xr:uid="{3F65F2AD-4895-4A74-9B4A-E2ED2AE88D38}"/>
    <hyperlink ref="E655" r:id="rId602" xr:uid="{711278C1-B973-47BC-A34A-58EBF74A2504}"/>
    <hyperlink ref="E656" r:id="rId603" xr:uid="{C2164524-59BB-41B4-82CE-74261C13F6EA}"/>
    <hyperlink ref="E657" r:id="rId604" xr:uid="{0A9C3D01-3E37-4A0A-A90A-DCA5507ECC36}"/>
    <hyperlink ref="E661" r:id="rId605" xr:uid="{F443D58F-F394-406D-86A7-7D9D3A548744}"/>
    <hyperlink ref="E664" r:id="rId606" xr:uid="{35EBF66B-3926-47C6-AC67-F9A85944AD6A}"/>
    <hyperlink ref="E667" r:id="rId607" xr:uid="{6C357464-A7D9-4E04-BED4-C1D009A6A9BA}"/>
    <hyperlink ref="E668" r:id="rId608" xr:uid="{E8A47541-BDC4-46E1-936A-11E7ED2FFDFA}"/>
    <hyperlink ref="E670" r:id="rId609" xr:uid="{F0B4ED82-029F-43F0-8457-CFB2811C467B}"/>
    <hyperlink ref="E673" r:id="rId610" xr:uid="{90914AD3-FB4D-409B-9B20-653C2DA898F0}"/>
    <hyperlink ref="E674" r:id="rId611" xr:uid="{ABDB06FB-5B27-460E-ABE1-71ABDEF1D105}"/>
    <hyperlink ref="E675" r:id="rId612" xr:uid="{1F72B907-B8F1-42D3-9312-35C23B17578A}"/>
    <hyperlink ref="E676" r:id="rId613" xr:uid="{9278B84F-BD38-4AD6-8918-8CF97152C0C3}"/>
    <hyperlink ref="E677" r:id="rId614" xr:uid="{ECC5ECD6-DC7F-408D-9B6D-B65CB1F6DAC8}"/>
    <hyperlink ref="E678" r:id="rId615" xr:uid="{41D6EF2A-ED69-4C2F-9408-DDAC5FEC0AA5}"/>
    <hyperlink ref="E680" r:id="rId616" xr:uid="{92588B4C-974D-4449-981F-CF04154BC193}"/>
    <hyperlink ref="E681" r:id="rId617" xr:uid="{0F556FCC-73EF-488E-B423-812C1A0B2B16}"/>
    <hyperlink ref="E682" r:id="rId618" xr:uid="{4A195B97-B359-497E-A5EC-3182EFC391F1}"/>
    <hyperlink ref="E683" r:id="rId619" xr:uid="{7028E9AA-4B16-46F5-98B3-55299243B7C2}"/>
    <hyperlink ref="E684" r:id="rId620" xr:uid="{0B8BEC0F-E814-49BF-96E0-2446491392D8}"/>
    <hyperlink ref="E686" r:id="rId621" xr:uid="{B15E1435-E464-456C-874A-89BCACDC09E5}"/>
    <hyperlink ref="E689" r:id="rId622" xr:uid="{17B46E10-457E-44BF-A802-FD92426E7A6F}"/>
    <hyperlink ref="E690" r:id="rId623" xr:uid="{8D82891D-86D8-418C-A991-FF8777B13BCF}"/>
    <hyperlink ref="E691" r:id="rId624" xr:uid="{B18F7784-9C1A-4A3E-B2D3-E61EB9CB7331}"/>
    <hyperlink ref="E692" r:id="rId625" xr:uid="{B414C7BF-4401-482E-9D97-7A79CEE57399}"/>
    <hyperlink ref="E693" r:id="rId626" xr:uid="{3E546DC8-BFD9-4642-8B04-96BD3E08B501}"/>
    <hyperlink ref="E694" r:id="rId627" xr:uid="{76A63E8A-D3D9-49C1-91C7-F192E15C5483}"/>
    <hyperlink ref="E695" r:id="rId628" xr:uid="{6B5EFC70-B9A5-4830-AAE9-16D6CA29BC0E}"/>
    <hyperlink ref="E696" r:id="rId629" xr:uid="{3EBDB05F-532F-4C44-964E-BC2234C88BBA}"/>
    <hyperlink ref="E698" r:id="rId630" xr:uid="{37B0C750-AFA1-4647-9C60-78E18CDB1885}"/>
    <hyperlink ref="E699" r:id="rId631" xr:uid="{D51DB49C-BBF3-4564-823D-13DEEB50AE6E}"/>
    <hyperlink ref="E700" r:id="rId632" xr:uid="{9D9C2D0B-4184-4F8B-B826-F4B462970606}"/>
    <hyperlink ref="E701" r:id="rId633" xr:uid="{6993FCC0-9F31-4E4C-BD60-CDA2A723E999}"/>
    <hyperlink ref="E702" r:id="rId634" xr:uid="{818E0737-B1CB-4358-B2B2-897E4D199C21}"/>
    <hyperlink ref="E703" r:id="rId635" xr:uid="{50713792-18C9-410C-8A49-217CFA4DBA22}"/>
    <hyperlink ref="E704" r:id="rId636" xr:uid="{B19F6CC4-C63D-4DFB-96E4-30BF6A124E86}"/>
    <hyperlink ref="E705" r:id="rId637" xr:uid="{767CB858-2F59-492F-8F0E-A0040910785C}"/>
    <hyperlink ref="E706" r:id="rId638" xr:uid="{0D81DA20-ED7A-47D6-93FC-319C89525C79}"/>
    <hyperlink ref="E707" r:id="rId639" xr:uid="{B08A2D89-7405-4FAF-8AC9-79B8392EC8DA}"/>
    <hyperlink ref="E708" r:id="rId640" xr:uid="{36F934A3-BB02-4757-B148-CA0D69A722DB}"/>
    <hyperlink ref="E709" r:id="rId641" xr:uid="{D337A4E1-EF3F-42D9-AA24-BF52E7FFA4F9}"/>
    <hyperlink ref="E710" r:id="rId642" xr:uid="{EA544EA3-BC84-4B58-9EA7-F98AFB9DCF0B}"/>
    <hyperlink ref="E711" r:id="rId643" xr:uid="{AF6BD77C-1C56-4DB4-8D6B-03F9943FAB87}"/>
    <hyperlink ref="E712" r:id="rId644" xr:uid="{627821E9-C4CC-4FE5-8C1B-7708995F4379}"/>
    <hyperlink ref="E713" r:id="rId645" xr:uid="{15A3D962-D83F-4844-9638-D534510472CA}"/>
    <hyperlink ref="E714" r:id="rId646" xr:uid="{A61324E1-75C9-43B8-A015-B05E741C8793}"/>
    <hyperlink ref="E716" r:id="rId647" xr:uid="{DDB9F119-A5E7-48DD-B157-673CC20CA1CD}"/>
    <hyperlink ref="E717" r:id="rId648" xr:uid="{A69B64A1-4588-4865-AFBC-627FDD756ED6}"/>
    <hyperlink ref="E718" r:id="rId649" xr:uid="{1ACEB6AA-5E46-4058-B77E-211CBDA1BEFF}"/>
    <hyperlink ref="E719" r:id="rId650" xr:uid="{89FDD451-D331-4E5E-83B4-527492CFE39A}"/>
    <hyperlink ref="E720" r:id="rId651" xr:uid="{DC3AE02E-01B7-457E-ADDC-2F2E17772598}"/>
    <hyperlink ref="E721" r:id="rId652" xr:uid="{9062488C-A2BA-4142-99FB-BF321235D531}"/>
    <hyperlink ref="E723" r:id="rId653" xr:uid="{39EBBA78-AA0F-4F0C-913B-B030EFD781AF}"/>
    <hyperlink ref="E724" r:id="rId654" xr:uid="{0A784A5A-F63A-4876-9197-C33F548B1544}"/>
    <hyperlink ref="E725" r:id="rId655" xr:uid="{78AF0B57-7BE4-4767-82BA-A4D782AE9618}"/>
    <hyperlink ref="E726" r:id="rId656" xr:uid="{79B3373E-7D8F-4AA6-9B1F-E8FE9A139479}"/>
    <hyperlink ref="E728" r:id="rId657" xr:uid="{D8D43D15-293F-439E-9CBD-A8C307DCF3B6}"/>
    <hyperlink ref="E729" r:id="rId658" xr:uid="{EFBE4B72-52F3-493A-AD9C-3C94328683B3}"/>
    <hyperlink ref="E730" r:id="rId659" xr:uid="{B0F64C00-C9F7-4138-998C-8D884F586B60}"/>
    <hyperlink ref="E731" r:id="rId660" xr:uid="{C7D5027B-2F2B-4B10-8704-AFB12E955474}"/>
    <hyperlink ref="E733" r:id="rId661" xr:uid="{7B79E686-04CE-4486-9FEF-CA29D717AA7F}"/>
    <hyperlink ref="E734" r:id="rId662" xr:uid="{E4997550-F06E-490A-B524-21E8F1DA22E7}"/>
    <hyperlink ref="E735" r:id="rId663" xr:uid="{96FFA10E-3BA0-4815-90ED-E12EDCB4DDB2}"/>
    <hyperlink ref="E736" r:id="rId664" xr:uid="{1DA41767-61F3-4224-911B-E54CDB78914C}"/>
    <hyperlink ref="E737" r:id="rId665" xr:uid="{85E88A0E-8614-4DD4-A68C-65170C19007C}"/>
    <hyperlink ref="E738" r:id="rId666" xr:uid="{12AEABE6-DC7B-44BA-8F65-540CBA9A676C}"/>
    <hyperlink ref="E739" r:id="rId667" xr:uid="{AAEB14C3-DB62-4C37-A492-C77A86389EC3}"/>
    <hyperlink ref="E740" r:id="rId668" xr:uid="{F68A3549-8DBC-4999-977E-A8EDC930DF46}"/>
    <hyperlink ref="E741" r:id="rId669" xr:uid="{C1B72D1F-AACF-45E1-B9FB-F308FF847E9D}"/>
    <hyperlink ref="E742" r:id="rId670" xr:uid="{3E52C4C0-00ED-4CA1-B356-6CB13F18527C}"/>
    <hyperlink ref="E743" r:id="rId671" xr:uid="{AF087F23-EA1A-4317-BF95-369E32AA76D8}"/>
    <hyperlink ref="E744" r:id="rId672" xr:uid="{55297EB6-1850-46BC-8D4C-13EE8623F399}"/>
    <hyperlink ref="E745" r:id="rId673" xr:uid="{8381A07D-B221-4959-AAD1-338BC42557D2}"/>
    <hyperlink ref="E746" r:id="rId674" xr:uid="{F23551B4-D9B1-4371-B84D-2721CD718EDE}"/>
    <hyperlink ref="E747" r:id="rId675" xr:uid="{EB1ABC95-858E-482E-8A8C-AE90203CD0E9}"/>
    <hyperlink ref="E748" r:id="rId676" xr:uid="{8E5FD1D6-62D4-4E30-8093-8F009005034A}"/>
    <hyperlink ref="E749" r:id="rId677" xr:uid="{102B38F1-E2E8-4672-B457-F6CF341C20EC}"/>
    <hyperlink ref="E750" r:id="rId678" xr:uid="{164BF7F2-07CE-4BF8-8D68-5CF601A876A9}"/>
    <hyperlink ref="E751" r:id="rId679" xr:uid="{349D6D5D-00D6-4B74-B5A2-10B3779D52E6}"/>
    <hyperlink ref="E752" r:id="rId680" xr:uid="{3D02BAAA-1202-40F4-BF3F-502CFCBEE754}"/>
    <hyperlink ref="E753" r:id="rId681" xr:uid="{02C1F4CC-F613-4DE6-82B9-334A7629280E}"/>
    <hyperlink ref="E755" r:id="rId682" xr:uid="{85C84492-D9D3-4A36-8091-BBE4732C70AE}"/>
    <hyperlink ref="E757" r:id="rId683" xr:uid="{C39AFFA1-9BB6-4508-8B45-4064875E084A}"/>
    <hyperlink ref="E759" r:id="rId684" xr:uid="{D9B13AE3-2A90-4C4C-881B-3019861C05F5}"/>
    <hyperlink ref="E760" r:id="rId685" xr:uid="{068B1D6F-4501-45AD-8C2B-0403CB1AE016}"/>
    <hyperlink ref="E761" r:id="rId686" xr:uid="{9D74E7A8-6068-4DBC-BFE5-6C62F272DDFE}"/>
    <hyperlink ref="E762" r:id="rId687" xr:uid="{D44F7605-1268-47F9-A9A4-51A0E1DFC7DD}"/>
    <hyperlink ref="E763" r:id="rId688" xr:uid="{D76938EA-5236-478A-A17E-4FC52FC0A96A}"/>
    <hyperlink ref="E765" r:id="rId689" xr:uid="{23E828ED-0734-4DCD-819A-8267DE005932}"/>
    <hyperlink ref="E767" r:id="rId690" xr:uid="{D1975D87-8A86-428B-9311-07518FED526D}"/>
    <hyperlink ref="E768" r:id="rId691" xr:uid="{35FC1D4A-17FD-45E3-A2E8-7911FF89F965}"/>
    <hyperlink ref="E769" r:id="rId692" xr:uid="{6353390A-2F34-4D09-A539-456148BF4DBB}"/>
    <hyperlink ref="E770" r:id="rId693" xr:uid="{46FA38CB-BB8C-4157-8FE2-1B2750AB9D0E}"/>
    <hyperlink ref="E771" r:id="rId694" xr:uid="{F1A4BD21-8A83-4B1F-B7FB-ACE792706701}"/>
    <hyperlink ref="E772" r:id="rId695" xr:uid="{D1F6DC16-7952-42B3-A5F6-46DD3E855FE5}"/>
    <hyperlink ref="E773" r:id="rId696" xr:uid="{8A27ADDC-0F46-4130-A911-EA19EA7547B6}"/>
    <hyperlink ref="E774" r:id="rId697" xr:uid="{CC37B4B2-4F8B-4F27-9E0F-B6A746EC11D9}"/>
    <hyperlink ref="E775" r:id="rId698" xr:uid="{F2B1CC59-334E-483E-B748-7A6D2686BC83}"/>
    <hyperlink ref="E776" r:id="rId699" xr:uid="{AE41E6BA-AC2A-4DDD-A946-951E806A0931}"/>
    <hyperlink ref="E777" r:id="rId700" xr:uid="{584EEB2A-B411-4200-AA8D-B8736783E24A}"/>
    <hyperlink ref="E778" r:id="rId701" xr:uid="{51272590-952E-4F94-A463-787BC9DE7AE1}"/>
    <hyperlink ref="E779" r:id="rId702" xr:uid="{5BAFDA9A-FD30-4591-9779-EB4A6665C790}"/>
    <hyperlink ref="E780" r:id="rId703" xr:uid="{CB6EC25D-9C73-4199-874A-14CF5E07BE70}"/>
    <hyperlink ref="E781" r:id="rId704" xr:uid="{825C1215-DBBF-4EC9-B2E0-C247E2B186D9}"/>
    <hyperlink ref="E782" r:id="rId705" xr:uid="{77A33624-CADB-4C4E-ACF7-C09579C986BD}"/>
    <hyperlink ref="E783" r:id="rId706" xr:uid="{26D4A23E-A67A-4C2B-8459-4CCB6C079CE3}"/>
    <hyperlink ref="E784" r:id="rId707" xr:uid="{B2E6A1DF-12F8-4AAE-A712-C81D5050AC5B}"/>
    <hyperlink ref="E785" r:id="rId708" xr:uid="{C7F9FC46-03AF-4AC0-9B70-45E02A998747}"/>
    <hyperlink ref="E786" r:id="rId709" xr:uid="{2C25D11A-0980-4593-9B95-32376453084E}"/>
    <hyperlink ref="E787" r:id="rId710" xr:uid="{1B0EBF71-1ED3-4AF0-A01F-47AE38B9CFAE}"/>
    <hyperlink ref="E788" r:id="rId711" xr:uid="{EB0B03C2-E803-48C6-A0C8-BCD70D73E8C1}"/>
    <hyperlink ref="E789" r:id="rId712" xr:uid="{2109ABFB-3217-4693-B025-BBA65EE173E5}"/>
    <hyperlink ref="E791" r:id="rId713" xr:uid="{457BE009-8714-4D0F-A0A1-784D0C1FE479}"/>
    <hyperlink ref="E793" r:id="rId714" xr:uid="{35428AB8-FF6F-4383-B110-E069305D02F4}"/>
    <hyperlink ref="E794" r:id="rId715" xr:uid="{18A1E041-C8C1-4C89-908F-5D60442CF0AC}"/>
    <hyperlink ref="E795" r:id="rId716" xr:uid="{27243274-8681-48E0-88F6-2AB3BB5879D8}"/>
    <hyperlink ref="E796" r:id="rId717" xr:uid="{7FA91B22-9B30-4784-A9E3-D9C85788A7E4}"/>
    <hyperlink ref="E797" r:id="rId718" xr:uid="{9C18E2B1-08CF-4E21-9031-C8C25B80530F}"/>
    <hyperlink ref="E798" r:id="rId719" xr:uid="{66A21DCC-108A-4AB9-A9D7-355E78D0D24C}"/>
    <hyperlink ref="E799" r:id="rId720" xr:uid="{3D1AB5C4-4EDF-45D7-950E-C1D077AB4C8E}"/>
    <hyperlink ref="E800" r:id="rId721" xr:uid="{219400B0-7CFC-450A-BA93-33922DCBDDE2}"/>
    <hyperlink ref="E801" r:id="rId722" xr:uid="{E82785EC-9251-47D0-81C7-44F103AB87A9}"/>
    <hyperlink ref="E802" r:id="rId723" xr:uid="{A30DE79E-4C0E-452A-BFF0-BE7C4C80DA8D}"/>
    <hyperlink ref="E803" r:id="rId724" xr:uid="{1B69E3A2-9225-4A85-8BCB-1CE03C4B3040}"/>
    <hyperlink ref="E804" r:id="rId725" xr:uid="{8B4B800C-8F4F-4D5B-B5CF-76D34CA64D38}"/>
    <hyperlink ref="E805" r:id="rId726" xr:uid="{8402EF76-AC46-431F-BBCE-EB9A11E44877}"/>
    <hyperlink ref="E806" r:id="rId727" xr:uid="{C8C3D686-1B7E-4518-B8F7-D099FBCE50F5}"/>
    <hyperlink ref="E807" r:id="rId728" xr:uid="{A3F795FF-8565-45A2-82D9-5D32D4FC1762}"/>
    <hyperlink ref="E808" r:id="rId729" xr:uid="{9CF1E5FB-BCBD-4C7D-B05D-CDB09DEE5399}"/>
    <hyperlink ref="E809" r:id="rId730" xr:uid="{555538BB-6261-4B03-B8E4-032BA89BBC00}"/>
    <hyperlink ref="E811" r:id="rId731" xr:uid="{D15C5912-8C55-41A8-8834-C1DBF950DC14}"/>
    <hyperlink ref="E812" r:id="rId732" xr:uid="{1E748E08-38F1-4417-8EE2-45344F0AACA6}"/>
    <hyperlink ref="E813" r:id="rId733" xr:uid="{21CD7C58-4DC5-4AF9-9681-625FA97FF5D9}"/>
    <hyperlink ref="E814" r:id="rId734" xr:uid="{7ED5465E-65E0-48D3-9F1A-32B392057E9C}"/>
    <hyperlink ref="E815" r:id="rId735" xr:uid="{EC6E7197-E12D-42F3-B7C6-ACD52634A408}"/>
    <hyperlink ref="E816" r:id="rId736" xr:uid="{BD7564AA-F5EA-4550-8077-9B45B8754D4D}"/>
    <hyperlink ref="E817" r:id="rId737" xr:uid="{FCF97E8A-F958-4B6D-ADC9-B087991B36AD}"/>
    <hyperlink ref="E818" r:id="rId738" xr:uid="{A200CCFD-0A13-4DE3-B921-FECC9FC7AC00}"/>
    <hyperlink ref="E819" r:id="rId739" xr:uid="{EA6B9B50-C0BD-4B22-890F-944E370AD2CA}"/>
    <hyperlink ref="E821" r:id="rId740" xr:uid="{5E0A1763-EEEC-4E45-BD64-D78514A66837}"/>
    <hyperlink ref="E822" r:id="rId741" xr:uid="{3EA3A2A2-157E-437D-B331-34EF161E2E5D}"/>
    <hyperlink ref="E823" r:id="rId742" xr:uid="{3284BBC8-43B8-43BA-9730-BFE1BDEC05F2}"/>
    <hyperlink ref="E824" r:id="rId743" xr:uid="{980B0B23-E841-44DC-86BA-6BD7442A5D6F}"/>
    <hyperlink ref="E825" r:id="rId744" xr:uid="{8CC4EEC9-EB41-4D70-9819-7340D0109F13}"/>
    <hyperlink ref="E826" r:id="rId745" xr:uid="{1D7C7F90-205E-45EB-8758-66B1BB714334}"/>
    <hyperlink ref="E827" r:id="rId746" xr:uid="{AAE6511A-572D-4115-8E08-D82D1A267028}"/>
    <hyperlink ref="E828" r:id="rId747" xr:uid="{CCA2782B-0FAF-43A9-BE79-12BDA3311BF2}"/>
    <hyperlink ref="E829" r:id="rId748" xr:uid="{61B7FA1B-F6C5-4D6A-B101-9EB05B01F64F}"/>
    <hyperlink ref="E830" r:id="rId749" xr:uid="{BCCD3F6B-1ADC-4D90-B098-2612087DDF14}"/>
    <hyperlink ref="E832" r:id="rId750" xr:uid="{DAF9808B-6B69-4AE8-8AB6-310C28ADF8E4}"/>
    <hyperlink ref="E833" r:id="rId751" xr:uid="{70804B5D-AD8D-4EB1-87EC-F5D608B92F06}"/>
    <hyperlink ref="E834" r:id="rId752" xr:uid="{E65168DF-A473-4913-AA82-594B454C7E3F}"/>
    <hyperlink ref="E835" r:id="rId753" xr:uid="{099D6DCA-8648-4107-BB11-21754733C72A}"/>
    <hyperlink ref="E836" r:id="rId754" xr:uid="{86431780-65D4-4A9B-A82D-CB6BAEAFBF18}"/>
    <hyperlink ref="E837" r:id="rId755" xr:uid="{B10BBECA-088B-47CB-BD93-4941CEFD4436}"/>
    <hyperlink ref="E838" r:id="rId756" xr:uid="{19B33CC0-1183-4B40-A5B1-CCAAE0BF4A6D}"/>
    <hyperlink ref="E839" r:id="rId757" xr:uid="{B0FB4085-8B04-4344-9C27-3981D8751C65}"/>
    <hyperlink ref="E840" r:id="rId758" xr:uid="{B043C278-C4CB-419C-83B2-29C57B33F745}"/>
    <hyperlink ref="E841" r:id="rId759" xr:uid="{1FB908FB-F6E7-4CB4-88D7-DFC5280FA6CC}"/>
    <hyperlink ref="E842" r:id="rId760" xr:uid="{EC3F1807-10DF-4481-8271-84D022B496E3}"/>
    <hyperlink ref="E843" r:id="rId761" xr:uid="{D6E75AD4-4D7C-431C-8D9A-DC6D5B163FF0}"/>
    <hyperlink ref="E844" r:id="rId762" xr:uid="{42886846-FCF2-4627-AA29-C70563F1084D}"/>
    <hyperlink ref="E845" r:id="rId763" xr:uid="{F2BDA2ED-798F-41E1-B319-100688E3AD58}"/>
    <hyperlink ref="E846" r:id="rId764" xr:uid="{03D69964-443B-4475-839C-1F12807BF627}"/>
    <hyperlink ref="E847" r:id="rId765" xr:uid="{1825E3ED-FFDF-461A-8B10-D8E3CD4828C4}"/>
    <hyperlink ref="E848" r:id="rId766" xr:uid="{9AE57372-386E-460F-B44B-90F0FBD9134E}"/>
    <hyperlink ref="E849" r:id="rId767" xr:uid="{FA625322-C6E4-4D83-980C-1E7C55BE1336}"/>
    <hyperlink ref="E850" r:id="rId768" xr:uid="{51E04171-5646-4EC3-AF9C-33DF300C24E4}"/>
    <hyperlink ref="E851" r:id="rId769" xr:uid="{383A0203-A68E-4707-AC6A-023CFADF8758}"/>
    <hyperlink ref="E852" r:id="rId770" xr:uid="{757FFC41-42B0-4F7A-9E64-51052A81219F}"/>
    <hyperlink ref="E853" r:id="rId771" xr:uid="{E9E6AD75-6CF4-495D-AD8E-FEE9A54BE566}"/>
    <hyperlink ref="E854" r:id="rId772" xr:uid="{C65CC2BD-C224-4964-A37F-81501B3110A7}"/>
    <hyperlink ref="E855" r:id="rId773" xr:uid="{1774B9B9-CE02-4DE9-A4F8-7449B38D7572}"/>
    <hyperlink ref="E857" r:id="rId774" xr:uid="{295ADA32-1F74-4E71-8E2B-95B6735F721F}"/>
    <hyperlink ref="E858" r:id="rId775" xr:uid="{BE277380-7AB6-40A3-9B8A-7551038FEED7}"/>
    <hyperlink ref="E859" r:id="rId776" xr:uid="{63F94804-8CF7-4730-B6CF-1843ACC4FE0D}"/>
    <hyperlink ref="E860" r:id="rId777" xr:uid="{F97ACFC5-AAFD-43DC-8E60-1470484F5EB3}"/>
    <hyperlink ref="E861" r:id="rId778" xr:uid="{A52B1082-ABD5-48FF-8722-8BC4E37511EC}"/>
    <hyperlink ref="E862" r:id="rId779" xr:uid="{DA14C6FD-22C4-4AE8-B35E-A0E1111BE8C1}"/>
    <hyperlink ref="E863" r:id="rId780" xr:uid="{A06F434D-26CF-4D0A-BB99-52B062D6CC78}"/>
    <hyperlink ref="E864" r:id="rId781" xr:uid="{ED2466D3-455A-442B-8152-88CA3B1B3B7E}"/>
    <hyperlink ref="E865" r:id="rId782" xr:uid="{AB720AAE-D554-4AA2-9DA2-C3BE6A11AF3A}"/>
    <hyperlink ref="E866" r:id="rId783" xr:uid="{41AEC092-46B2-489B-918E-0D4890374BC6}"/>
    <hyperlink ref="E867" r:id="rId784" xr:uid="{D3D84937-D1E7-4A79-8395-AE582CFBF8E2}"/>
    <hyperlink ref="E868" r:id="rId785" xr:uid="{EE795B63-5407-4ABA-9EE9-C3C06C3E73FD}"/>
    <hyperlink ref="E869" r:id="rId786" xr:uid="{A9CF70B6-2B3E-4182-9B23-01EDB4E257E2}"/>
    <hyperlink ref="E870" r:id="rId787" xr:uid="{467942DC-77FE-4B68-BF94-C9A1CD91729B}"/>
    <hyperlink ref="E871" r:id="rId788" xr:uid="{AEDCB355-C32A-48FA-A20D-A9D9266A18B6}"/>
    <hyperlink ref="E872" r:id="rId789" xr:uid="{10E2F222-02E3-4B1E-B18B-FC5DCD257900}"/>
    <hyperlink ref="E873" r:id="rId790" xr:uid="{A1D50F03-2F31-43AE-A242-A63B1CB3A39C}"/>
    <hyperlink ref="E874" r:id="rId791" xr:uid="{E3658398-E3D8-4D2E-B3B4-4B16226BAC16}"/>
    <hyperlink ref="E875" r:id="rId792" xr:uid="{694D1A47-5B0E-42B0-9DF8-C2F9594AA79E}"/>
    <hyperlink ref="E876" r:id="rId793" xr:uid="{FD2DBD2B-DA91-4469-931F-67A9B2A6D9BE}"/>
    <hyperlink ref="E877" r:id="rId794" xr:uid="{BC9CB4E9-3D83-4E52-88F2-68A0FD7F6C68}"/>
    <hyperlink ref="E878" r:id="rId795" xr:uid="{D4D114BF-CDF6-4BDE-8AC3-3087A7B709A2}"/>
    <hyperlink ref="E879" r:id="rId796" xr:uid="{06AC3DD2-7F3F-452A-AB44-C012C6DCB180}"/>
    <hyperlink ref="E880" r:id="rId797" xr:uid="{A1DA2F28-08E1-42DA-BF88-6CAC98ABD66B}"/>
    <hyperlink ref="E881" r:id="rId798" xr:uid="{54772F7C-BFAD-4B6C-832A-5E630DB973C5}"/>
    <hyperlink ref="E882" r:id="rId799" xr:uid="{8189F6C2-F014-4194-A58E-817049E4AC57}"/>
    <hyperlink ref="E883" r:id="rId800" xr:uid="{1F359254-B1F5-49E2-8BFD-7BA2726080F2}"/>
    <hyperlink ref="E884" r:id="rId801" xr:uid="{04C72325-133F-4D99-85FC-E803900BB7B1}"/>
    <hyperlink ref="E885" r:id="rId802" xr:uid="{2D059EFE-9D81-4343-ABC4-A306DA6347FA}"/>
    <hyperlink ref="E886" r:id="rId803" xr:uid="{8FBF4C9D-DFD7-486D-B388-3587AF6F5616}"/>
    <hyperlink ref="E887" r:id="rId804" xr:uid="{40E985AA-4ADD-45F6-BFF7-323609F6E126}"/>
    <hyperlink ref="E888" r:id="rId805" xr:uid="{AF0F4DD3-1014-48AE-8D6A-CD5A3066887E}"/>
    <hyperlink ref="E889" r:id="rId806" xr:uid="{F368A54F-C1C1-43BA-9776-7587554F57DE}"/>
    <hyperlink ref="E890" r:id="rId807" xr:uid="{2F2E739F-03A4-4CA3-806B-1599D533662B}"/>
    <hyperlink ref="E891" r:id="rId808" xr:uid="{CD6FC036-9F39-4AC9-9C0B-113C128FF29A}"/>
    <hyperlink ref="E892" r:id="rId809" xr:uid="{229D1368-D61E-4C86-931D-C0B3926925C3}"/>
    <hyperlink ref="E893" r:id="rId810" xr:uid="{4F30E212-BE9D-45F0-BCEA-845602E44267}"/>
    <hyperlink ref="E894" r:id="rId811" xr:uid="{69CA131B-76BB-48A2-8B17-5CD958B695D3}"/>
    <hyperlink ref="E895" r:id="rId812" xr:uid="{EDBE4B7F-311B-483D-A29E-0B06E9855E4F}"/>
    <hyperlink ref="E896" r:id="rId813" xr:uid="{DAC54CAC-8C5D-4366-9F77-0AC1EDCA0907}"/>
    <hyperlink ref="E897" r:id="rId814" xr:uid="{56145E9D-9804-4EAE-A3FB-0E025D2F7E3A}"/>
    <hyperlink ref="E898" r:id="rId815" xr:uid="{9C9D0C8A-0C03-4E83-85E3-2F734BDB2232}"/>
    <hyperlink ref="E899" r:id="rId816" xr:uid="{129FCA58-5A0C-46A3-AE42-156271DC2434}"/>
    <hyperlink ref="E900" r:id="rId817" xr:uid="{61FFACC4-B5A8-4DFA-894D-24A362347F61}"/>
    <hyperlink ref="E902" r:id="rId818" xr:uid="{2BFE142B-0C29-4847-B5F4-84C324C3FBDE}"/>
    <hyperlink ref="E903" r:id="rId819" xr:uid="{E30CF9DD-9C58-4881-B3AB-6475E05724A6}"/>
    <hyperlink ref="E905" r:id="rId820" xr:uid="{46B605AF-8243-4CE5-91E8-76442660B545}"/>
    <hyperlink ref="E906" r:id="rId821" xr:uid="{4FA94FB1-213B-4A0E-8FE9-B5B81002D0F8}"/>
    <hyperlink ref="E907" r:id="rId822" xr:uid="{67795095-786D-4DBB-913A-4D2AD32F2A4D}"/>
    <hyperlink ref="E908" r:id="rId823" xr:uid="{F972A581-8275-4DF4-A56C-F19952406692}"/>
    <hyperlink ref="E909" r:id="rId824" xr:uid="{CDF5792D-067F-435C-B251-ED09DC256EFC}"/>
    <hyperlink ref="E910" r:id="rId825" xr:uid="{63627FC8-8413-4CB5-9BC7-88C90366FC11}"/>
    <hyperlink ref="E911" r:id="rId826" xr:uid="{EFCDC99F-72D6-4A77-8F52-FBB531866FF4}"/>
    <hyperlink ref="E913" r:id="rId827" xr:uid="{019DD7F7-3310-4D9C-9FDF-254453565362}"/>
    <hyperlink ref="E914" r:id="rId828" xr:uid="{E4348D3C-C489-4764-B367-570F27344053}"/>
    <hyperlink ref="E915" r:id="rId829" xr:uid="{0E806F2C-305C-4A68-A2EF-D9ACEFB6ECF1}"/>
    <hyperlink ref="E916" r:id="rId830" xr:uid="{4B1958EC-3F63-4A0B-BDA3-CE38B1B5D589}"/>
    <hyperlink ref="E918" r:id="rId831" xr:uid="{BA699E3B-8FE5-4D53-AA0D-9396A5339DB9}"/>
    <hyperlink ref="E919" r:id="rId832" xr:uid="{EAC3A914-4BDB-4FCB-A8A5-16D794A84823}"/>
    <hyperlink ref="E920" r:id="rId833" xr:uid="{76E7920E-9490-440F-BF8A-6A2089CF7EDC}"/>
    <hyperlink ref="E921" r:id="rId834" xr:uid="{79B5F7D2-0D6D-403F-AA11-FB34BB0DB0C3}"/>
    <hyperlink ref="E924" r:id="rId835" xr:uid="{E4A9E33C-3E4E-41B5-9122-CD386C59F894}"/>
    <hyperlink ref="E926" r:id="rId836" xr:uid="{6E1FB649-CA8C-4793-AD5E-B1C2CAF1D9D9}"/>
    <hyperlink ref="E927" r:id="rId837" xr:uid="{BA509EA8-8B7F-4E96-931B-96F14490F1F2}"/>
    <hyperlink ref="E928" r:id="rId838" xr:uid="{C1726163-0A43-4149-A605-4BA1D7FF3924}"/>
    <hyperlink ref="E929" r:id="rId839" xr:uid="{0BFD9CAA-FFE0-4870-8076-DD11CFA63661}"/>
    <hyperlink ref="E930" r:id="rId840" xr:uid="{E12C60FD-15A5-49AE-942E-F19364D64691}"/>
    <hyperlink ref="E931" r:id="rId841" xr:uid="{61153490-914C-4B21-9522-8346452D8D12}"/>
    <hyperlink ref="E932" r:id="rId842" xr:uid="{458C0F84-A7E3-4775-A3BD-ED78FD862C43}"/>
    <hyperlink ref="E933" r:id="rId843" xr:uid="{134097A1-896C-416D-9A84-77C7EFBE5C37}"/>
    <hyperlink ref="E934" r:id="rId844" xr:uid="{1FD88288-CB82-41C5-B256-863FBBD5310D}"/>
    <hyperlink ref="E935" r:id="rId845" xr:uid="{ADBD5624-5644-4780-97BB-BC9267774011}"/>
    <hyperlink ref="E936" r:id="rId846" xr:uid="{F82D597A-7C71-424A-96D3-EC6B9B90EA9A}"/>
    <hyperlink ref="E937" r:id="rId847" xr:uid="{FEC13897-0750-4FAD-B560-0DD54E556B3D}"/>
    <hyperlink ref="E939" r:id="rId848" xr:uid="{315CFD74-5555-47EB-9BA3-9D273BC22429}"/>
    <hyperlink ref="E940" r:id="rId849" xr:uid="{8F9BEE73-8478-4190-84C9-D2C05FF68EE1}"/>
    <hyperlink ref="E941" r:id="rId850" xr:uid="{FA0328B8-D71D-4867-8349-86F4D4A11595}"/>
    <hyperlink ref="E942" r:id="rId851" xr:uid="{BE550389-7C30-4FE4-96E5-B1A2DC19C902}"/>
    <hyperlink ref="E943" r:id="rId852" xr:uid="{072CD240-62ED-4F5B-959A-5891E88E3F4E}"/>
    <hyperlink ref="E944" r:id="rId853" xr:uid="{2CEA5699-2E49-4950-8C96-6401C2D90594}"/>
    <hyperlink ref="E945" r:id="rId854" xr:uid="{EE1DF6FB-9C57-404D-B970-94A4D478FFA3}"/>
    <hyperlink ref="E946" r:id="rId855" xr:uid="{98B9B89B-6419-4FBD-81D0-CBDFA10BADD7}"/>
    <hyperlink ref="E947" r:id="rId856" xr:uid="{8687E88D-5B8B-44CC-A179-044E1FF5B201}"/>
    <hyperlink ref="E948" r:id="rId857" xr:uid="{35068F36-CCE4-4FAE-BC50-5B1F8F7F5399}"/>
    <hyperlink ref="E949" r:id="rId858" xr:uid="{B1E47783-F54A-442C-ADF0-597085B7F858}"/>
    <hyperlink ref="E950" r:id="rId859" xr:uid="{88725528-776A-4192-80E6-4967E5F85651}"/>
    <hyperlink ref="E951" r:id="rId860" xr:uid="{63DCAFCF-3242-4B4E-ADFD-BC6951559156}"/>
    <hyperlink ref="E952" r:id="rId861" xr:uid="{0FC0AF68-AD61-4461-8D90-49E6361781F4}"/>
    <hyperlink ref="E953" r:id="rId862" xr:uid="{47376461-A868-4EC4-8461-DF3902FC9FE3}"/>
    <hyperlink ref="E954" r:id="rId863" xr:uid="{5093AC1A-7AD8-4EC9-B24A-790C6DD1D669}"/>
    <hyperlink ref="E955" r:id="rId864" xr:uid="{DBC0A36C-B532-4811-96D6-EBA9A6B14C4A}"/>
    <hyperlink ref="E956" r:id="rId865" xr:uid="{53EC03B2-FA65-43E2-A972-5A5D14C89675}"/>
    <hyperlink ref="E958" r:id="rId866" xr:uid="{C7C035A1-13AE-4589-841D-920F5797D094}"/>
    <hyperlink ref="E959" r:id="rId867" xr:uid="{563C002F-85FB-4AA4-BAD4-FFAF87FA7339}"/>
    <hyperlink ref="E960" r:id="rId868" xr:uid="{3D4FCFEC-5F2F-41E6-A566-04DDB23DB999}"/>
    <hyperlink ref="E961" r:id="rId869" xr:uid="{4F2E4402-DEC0-4827-9672-B9BE545F776D}"/>
    <hyperlink ref="E962" r:id="rId870" xr:uid="{8DB01F26-FBF1-4100-8616-BB55E4C069E1}"/>
    <hyperlink ref="E963" r:id="rId871" xr:uid="{90FD270C-EE21-4300-906F-1EB9DD12336E}"/>
    <hyperlink ref="E964" r:id="rId872" xr:uid="{D486ACF1-B48F-4C7E-8234-527CE5E00B46}"/>
    <hyperlink ref="E965" r:id="rId873" xr:uid="{D2F98F13-1F27-48E4-BE24-5380CCA6A39B}"/>
    <hyperlink ref="E966" r:id="rId874" xr:uid="{0C6B448B-D09D-4987-9EA4-53D3DC572B53}"/>
    <hyperlink ref="E967" r:id="rId875" xr:uid="{C5FBCDBB-0056-4F16-9796-5259E8A62E94}"/>
    <hyperlink ref="E968" r:id="rId876" xr:uid="{E49DB2F4-7CA1-437A-86D7-D6BDE00780F5}"/>
    <hyperlink ref="E969" r:id="rId877" xr:uid="{57343BCD-5C4C-4BEC-9AD2-FC4E3264DBB0}"/>
    <hyperlink ref="E970" r:id="rId878" xr:uid="{C6433E03-3531-41E4-AA2B-0013D90C15AB}"/>
    <hyperlink ref="E971" r:id="rId879" xr:uid="{493F08B2-3626-4E44-BCFF-2BA6251A87C8}"/>
    <hyperlink ref="E972" r:id="rId880" xr:uid="{FAD4DD53-E610-4EBB-9E99-149A08BE24D7}"/>
    <hyperlink ref="E973" r:id="rId881" xr:uid="{1CCDCE68-D392-4298-A6A7-BA0AE9E30D7A}"/>
    <hyperlink ref="E974" r:id="rId882" xr:uid="{E6A3A586-07AA-4F8F-B5EF-8C4B11D09F59}"/>
    <hyperlink ref="E975" r:id="rId883" xr:uid="{6CF114AE-1E23-4782-B16D-38BD01836E21}"/>
    <hyperlink ref="E976" r:id="rId884" xr:uid="{C69EB0F5-2695-412D-A62E-387D059C7C2A}"/>
    <hyperlink ref="E977" r:id="rId885" xr:uid="{F298C330-C07D-44E7-9A44-19E2F4BBD643}"/>
    <hyperlink ref="E978" r:id="rId886" xr:uid="{EEAE5947-E7DD-417F-AA42-C62A85F66243}"/>
    <hyperlink ref="E979" r:id="rId887" xr:uid="{D5542639-BCED-41F9-8914-A07E98CE02D3}"/>
    <hyperlink ref="E980" r:id="rId888" xr:uid="{8125097F-F106-405A-B959-1C6958AB9EB1}"/>
    <hyperlink ref="E981" r:id="rId889" xr:uid="{EA0DB01A-F5BC-4C76-8772-697AE91A911B}"/>
    <hyperlink ref="E982" r:id="rId890" xr:uid="{F219C4CA-8CB3-41FF-8CC4-C98B4D1465C9}"/>
    <hyperlink ref="E983" r:id="rId891" xr:uid="{2EB8F78A-5894-489B-9DA0-9FD03883A18E}"/>
    <hyperlink ref="E984" r:id="rId892" xr:uid="{5220C0A7-399F-40D7-86C1-AFD47DF567B2}"/>
    <hyperlink ref="E985" r:id="rId893" xr:uid="{1DEAF40F-D7DE-492C-BD37-A1E75D117270}"/>
    <hyperlink ref="E986" r:id="rId894" xr:uid="{3784BC6E-EC22-4B73-B39D-BCD55696D820}"/>
    <hyperlink ref="E987" r:id="rId895" xr:uid="{7BD1699C-4922-4004-9873-0BACD90909DB}"/>
    <hyperlink ref="E988" r:id="rId896" xr:uid="{463BA4FC-4F63-4E89-8B9E-2BA90F52905D}"/>
    <hyperlink ref="E989" r:id="rId897" xr:uid="{9021B67C-DC9C-42AE-BA25-7B474448F09D}"/>
    <hyperlink ref="E990" r:id="rId898" xr:uid="{687B0BC2-F2F1-47FC-BE18-34A2FB00A9BC}"/>
    <hyperlink ref="E991" r:id="rId899" xr:uid="{6315A28F-FC0C-43E1-ADDF-9927C1E6C765}"/>
    <hyperlink ref="E992" r:id="rId900" xr:uid="{920E7A5B-621F-45D4-B429-0D8909CDD4CF}"/>
    <hyperlink ref="E993" r:id="rId901" xr:uid="{02A351C5-0FCA-4A8E-8A40-227720791BB8}"/>
    <hyperlink ref="E994" r:id="rId902" xr:uid="{50C9BEF9-4F1D-405F-A196-3E9246B51D5A}"/>
    <hyperlink ref="E996" r:id="rId903" xr:uid="{99A62ACD-3918-4031-9178-C21615858178}"/>
    <hyperlink ref="E997" r:id="rId904" xr:uid="{022862D3-DC11-463F-9944-0EA81630358A}"/>
    <hyperlink ref="E998" r:id="rId905" xr:uid="{25F94D86-F234-4866-87B6-BECE4EC5F049}"/>
    <hyperlink ref="E999" r:id="rId906" xr:uid="{3CB04F3D-1B81-4448-9089-A811F9E8F7E6}"/>
    <hyperlink ref="E1000" r:id="rId907" xr:uid="{9CB566DB-3789-4B8C-9064-F66FA45CB215}"/>
    <hyperlink ref="E1001" r:id="rId908" xr:uid="{F12E94AF-0786-49FF-BEFC-96D7F8C99C4A}"/>
    <hyperlink ref="E1002" r:id="rId909" xr:uid="{F8B4984A-D6D8-4EAF-899B-25A18C0EA94C}"/>
    <hyperlink ref="E1003" r:id="rId910" xr:uid="{60732FC6-CDEC-4AE7-AFD3-4154542E32DA}"/>
    <hyperlink ref="E1004" r:id="rId911" xr:uid="{01023129-65A2-4D8F-AD27-B4AD27AA97CB}"/>
    <hyperlink ref="E1005" r:id="rId912" xr:uid="{EBBC10CC-8F29-4A42-8555-505F17C12454}"/>
    <hyperlink ref="E1006" r:id="rId913" xr:uid="{636254F0-7C87-4559-9E1A-1C504664A5A0}"/>
    <hyperlink ref="E1007" r:id="rId914" xr:uid="{CBEE882D-ACB5-415D-B925-BBEA8752D489}"/>
    <hyperlink ref="E1008" r:id="rId915" xr:uid="{5830D4E8-0CFE-430F-915E-422B56E6D369}"/>
    <hyperlink ref="E1009" r:id="rId916" xr:uid="{F84BD233-3773-4D5A-BAB7-EDA5D7908F27}"/>
    <hyperlink ref="E1010" r:id="rId917" xr:uid="{B5720A69-CF5A-4797-89DF-BBA1B1FB69C7}"/>
    <hyperlink ref="E1011" r:id="rId918" xr:uid="{DEAB2ED9-5F95-4BB6-B2F9-C57522385590}"/>
    <hyperlink ref="E1012" r:id="rId919" xr:uid="{1AF3BCFB-2507-4B9F-AE07-2CAF3F82AE3B}"/>
    <hyperlink ref="E1014" r:id="rId920" xr:uid="{1356649C-D83C-45EB-B434-08068914B563}"/>
    <hyperlink ref="E1015" r:id="rId921" xr:uid="{F15FA51F-29BC-44B2-8E19-5A8F3655230C}"/>
    <hyperlink ref="E1016" r:id="rId922" xr:uid="{39A53C00-7A9F-4EF4-9AA1-6B5495FAD4F5}"/>
    <hyperlink ref="E1017" r:id="rId923" xr:uid="{ADB45B10-650A-4DC5-AA98-EA827C122B75}"/>
    <hyperlink ref="E1018" r:id="rId924" xr:uid="{DE11E461-0B2B-4A0B-ABAE-EBEEED1D37C3}"/>
    <hyperlink ref="E1019" r:id="rId925" xr:uid="{C28A8F7F-8F29-4DEA-9B8E-825BF48B4CEC}"/>
    <hyperlink ref="E1020" r:id="rId926" xr:uid="{FF22AAF1-E866-4E96-9DEA-1F5942ED4FC9}"/>
    <hyperlink ref="E1021" r:id="rId927" xr:uid="{F759CB1C-101C-4E26-834F-1FCFD901852D}"/>
    <hyperlink ref="E1022" r:id="rId928" xr:uid="{D3F074D8-5851-4BD2-BE44-757FEE1DBB55}"/>
    <hyperlink ref="E1023" r:id="rId929" xr:uid="{A754A94E-4822-44E5-9616-94CDDD47084B}"/>
    <hyperlink ref="E1024" r:id="rId930" xr:uid="{F42AB403-6D8B-4EE7-BFA8-D7EE0CB58C91}"/>
    <hyperlink ref="E1025" r:id="rId931" xr:uid="{47CDF628-F06D-4A32-96F0-02B1F78D9027}"/>
    <hyperlink ref="E1026" r:id="rId932" xr:uid="{46843356-3985-4229-B752-D6255EB091DE}"/>
    <hyperlink ref="E1027" r:id="rId933" xr:uid="{A3F73A1B-BD43-4DE8-9380-16DD0E21259C}"/>
    <hyperlink ref="E1028" r:id="rId934" xr:uid="{7E84E44D-140A-4CAB-8413-D00A620AC572}"/>
    <hyperlink ref="E1029" r:id="rId935" xr:uid="{AF16345E-8D2D-42AB-8180-2A09838CCE4D}"/>
    <hyperlink ref="E1030" r:id="rId936" xr:uid="{BC26BE30-C2D8-4940-9684-82DD3EEEE4BB}"/>
    <hyperlink ref="E1031" r:id="rId937" xr:uid="{1D77D0D1-AC48-4FDE-AE70-21693F99ED4E}"/>
    <hyperlink ref="E1032" r:id="rId938" xr:uid="{8A5AAEBD-8A2E-433B-9550-59F0F73DB431}"/>
    <hyperlink ref="E1033" r:id="rId939" xr:uid="{63054641-4CE3-42D8-B712-08503688492F}"/>
    <hyperlink ref="E1034" r:id="rId940" xr:uid="{90E74FAB-672A-44FF-91E7-DD8674FF0785}"/>
    <hyperlink ref="E1035" r:id="rId941" xr:uid="{F3438912-EB70-436B-94C8-349C4AC75324}"/>
    <hyperlink ref="E1036" r:id="rId942" xr:uid="{9E3A7748-257C-4880-B435-94591518AB21}"/>
    <hyperlink ref="E1037" r:id="rId943" xr:uid="{121A3795-0BC9-420C-AE37-0D2EEC19E4F8}"/>
    <hyperlink ref="E1038" r:id="rId944" xr:uid="{DAEC4D74-7A53-4F4A-B00F-FF29E4AE366B}"/>
    <hyperlink ref="E1039" r:id="rId945" xr:uid="{8BD69DC0-91AD-47E2-8FB0-5BBFBAC6B26D}"/>
    <hyperlink ref="E1040" r:id="rId946" xr:uid="{5DA9F27E-58AA-4832-B64B-CE0545DA9747}"/>
    <hyperlink ref="E1041" r:id="rId947" xr:uid="{672A97F8-1118-4DB7-97FA-75E36752E3E2}"/>
    <hyperlink ref="E1042" r:id="rId948" xr:uid="{A9C3DE8E-A73E-47F1-B1C3-6EF7E4BE1C1A}"/>
    <hyperlink ref="E1043" r:id="rId949" xr:uid="{EB6C6CA1-9BA2-47E0-A830-C32916E245CD}"/>
    <hyperlink ref="E1044" r:id="rId950" xr:uid="{D5439A68-5299-4028-BC18-C09D2D0D53CD}"/>
    <hyperlink ref="E1045" r:id="rId951" xr:uid="{D4B6ADAB-BB61-442A-9B42-5B5BA9F47AAA}"/>
    <hyperlink ref="E1046" r:id="rId952" xr:uid="{57CFA434-2DA2-4EFA-B779-E69537F00330}"/>
    <hyperlink ref="E1048" r:id="rId953" xr:uid="{A5A63AAF-4228-4BBA-B882-5315770D7B57}"/>
    <hyperlink ref="E1049" r:id="rId954" xr:uid="{B7A64FC4-C398-4963-B6E6-1189192FDEE2}"/>
    <hyperlink ref="E1050" r:id="rId955" xr:uid="{B356E52F-BA53-4DE5-A518-6E751C30A4F7}"/>
    <hyperlink ref="E1051" r:id="rId956" xr:uid="{28EC7617-BE65-4386-B810-4010365B277F}"/>
    <hyperlink ref="E1052" r:id="rId957" xr:uid="{A06BE28A-B204-4C2E-B8DF-99E89A126576}"/>
    <hyperlink ref="E1053" r:id="rId958" xr:uid="{E92E157E-C2FB-419D-A564-2061518F4916}"/>
    <hyperlink ref="E1054" r:id="rId959" xr:uid="{A2C6183E-C80A-4DD0-8156-E4636EF5D82D}"/>
    <hyperlink ref="E1055" r:id="rId960" xr:uid="{5469701D-674E-4221-8F35-63002E15D044}"/>
    <hyperlink ref="E1057" r:id="rId961" xr:uid="{8908036D-B3A0-4861-88F6-21744A2AD154}"/>
    <hyperlink ref="E1058" r:id="rId962" xr:uid="{52AC4584-1B51-4C04-8314-4E903A02FDF9}"/>
    <hyperlink ref="E1059" r:id="rId963" xr:uid="{81C267E6-4E7A-4103-8A20-C52BC683F1F3}"/>
    <hyperlink ref="E1060" r:id="rId964" xr:uid="{B3415194-3226-48F0-AB67-79DB72DF92F4}"/>
    <hyperlink ref="E1061" r:id="rId965" xr:uid="{53F1A650-B106-4FB4-B6D2-582192EC1EEE}"/>
    <hyperlink ref="E1063" r:id="rId966" xr:uid="{9EF6C5DD-987C-4E8D-8B98-A9532F2A5B14}"/>
    <hyperlink ref="E1064" r:id="rId967" xr:uid="{70773E3C-64FE-40FF-915F-2827C3C0D5A5}"/>
    <hyperlink ref="E1065" r:id="rId968" xr:uid="{1B19CD3C-5740-4F34-A01E-60EB75DFB884}"/>
    <hyperlink ref="E1066" r:id="rId969" xr:uid="{26158635-9EED-4419-86CC-B3E19745AF30}"/>
    <hyperlink ref="E1067" r:id="rId970" xr:uid="{CA985125-FF3E-41CC-A9D4-DE86FAA3EA03}"/>
    <hyperlink ref="E1068" r:id="rId971" xr:uid="{AB2FABBA-9303-4041-828C-E9848E7E97B9}"/>
    <hyperlink ref="E1069" r:id="rId972" xr:uid="{05315796-B812-46B1-A931-9FA1437D9B49}"/>
    <hyperlink ref="E1071" r:id="rId973" xr:uid="{4F611196-BC66-4832-B35A-18E471D32A40}"/>
    <hyperlink ref="E1072" r:id="rId974" xr:uid="{6F6398A0-9951-483E-AFEC-3AF6F4407ACB}"/>
    <hyperlink ref="E1073" r:id="rId975" xr:uid="{FE6884D1-A7EE-40CC-9A3D-9E80FCE8D362}"/>
    <hyperlink ref="E1074" r:id="rId976" xr:uid="{FFF5D891-C0BC-4B8D-AC73-0E62F16AFA04}"/>
    <hyperlink ref="E1075" r:id="rId977" xr:uid="{E656BBE0-59D2-4D7D-939F-5634CE43578A}"/>
    <hyperlink ref="E1076" r:id="rId978" xr:uid="{AC802725-A5F0-40F4-8FA6-282017FF3D31}"/>
    <hyperlink ref="E1077" r:id="rId979" xr:uid="{F7DE0BA9-03BC-4030-B886-D8F001B67EB4}"/>
    <hyperlink ref="E1078" r:id="rId980" xr:uid="{36213F8F-DE9E-451E-B4E8-B658C7E00C7E}"/>
    <hyperlink ref="E1079" r:id="rId981" xr:uid="{0ACC1BF9-B4D9-43D8-A75B-2428424654B0}"/>
    <hyperlink ref="E1080" r:id="rId982" xr:uid="{FC97FF1F-D693-4D6A-B808-33C04F966238}"/>
    <hyperlink ref="E1081" r:id="rId983" xr:uid="{F0395F55-83B1-4745-A5B4-447C974FEAC0}"/>
    <hyperlink ref="E1082" r:id="rId984" xr:uid="{87DF1D64-E7BC-4628-A342-9DEA8E031EEF}"/>
    <hyperlink ref="E1083" r:id="rId985" xr:uid="{44F87AC5-E27B-422D-AAD3-526781905889}"/>
    <hyperlink ref="E1084" r:id="rId986" xr:uid="{14FA8EBA-2562-4464-9961-C764FACC0FE7}"/>
    <hyperlink ref="E1085" r:id="rId987" xr:uid="{67D0B728-8009-4415-9CE2-6CCE57531544}"/>
    <hyperlink ref="E1086" r:id="rId988" xr:uid="{414350CB-1E5C-40CB-8637-97196F90A211}"/>
    <hyperlink ref="E1087" r:id="rId989" xr:uid="{DDAFA582-FFB9-4B2E-8273-B04A17AAC974}"/>
    <hyperlink ref="E1088" r:id="rId990" xr:uid="{885901FB-21B7-4CA7-900E-8E54ED362D51}"/>
    <hyperlink ref="E1089" r:id="rId991" xr:uid="{C6194813-F4F2-4AFC-BA18-58D93AE810B6}"/>
    <hyperlink ref="E1090" r:id="rId992" xr:uid="{5AA0000A-92FA-4FDC-ABCE-62B4D80897E9}"/>
    <hyperlink ref="E1091" r:id="rId993" xr:uid="{559BF1A3-410B-42B3-838E-F0B8DA4F60E9}"/>
    <hyperlink ref="E1092" r:id="rId994" xr:uid="{DCD1AF15-D437-4BFE-9B9E-16FF4A94EE3D}"/>
    <hyperlink ref="E1093" r:id="rId995" xr:uid="{7B9FCD24-3B00-4743-945C-2092781D635F}"/>
    <hyperlink ref="E1094" r:id="rId996" xr:uid="{B9AAC912-5FF9-4477-9C3E-6D76478EC609}"/>
    <hyperlink ref="E1095" r:id="rId997" xr:uid="{C5BABC90-D131-481E-A73F-58F696A4AE58}"/>
    <hyperlink ref="E1096" r:id="rId998" xr:uid="{6C7C758C-C333-4746-AC5C-28B1F6831E88}"/>
    <hyperlink ref="E1097" r:id="rId999" xr:uid="{9A66011A-82BA-4854-967D-651BCE98ECA6}"/>
    <hyperlink ref="E1098" r:id="rId1000" xr:uid="{6BE743A3-17F8-4C0B-8690-41A5126EDB23}"/>
    <hyperlink ref="E1099" r:id="rId1001" xr:uid="{BD94EDDF-690D-4243-8232-8752D906E1C9}"/>
    <hyperlink ref="E1100" r:id="rId1002" xr:uid="{18778885-1ACD-41F7-BC07-165EA9F72491}"/>
    <hyperlink ref="E1101" r:id="rId1003" xr:uid="{A2374741-2CD0-45B0-911D-C79BE90F2520}"/>
    <hyperlink ref="E1102" r:id="rId1004" xr:uid="{82A8D8E0-52FA-4076-8954-F681DF6C4C47}"/>
    <hyperlink ref="E1103" r:id="rId1005" xr:uid="{6F1C89A8-FDBA-49D6-A49F-421D6CA49ECA}"/>
    <hyperlink ref="E1104" r:id="rId1006" xr:uid="{DE5EE4C0-AC79-4091-957E-AD6A606C5A9C}"/>
    <hyperlink ref="E1105" r:id="rId1007" xr:uid="{658E572F-2DF6-4D18-ADAA-3FE4623432ED}"/>
    <hyperlink ref="E1106" r:id="rId1008" xr:uid="{BEB8903E-AC7A-4989-A2F7-1DEFEF840DCC}"/>
    <hyperlink ref="E1107" r:id="rId1009" xr:uid="{4D47FE30-76E2-456C-A964-6045EE41ACED}"/>
    <hyperlink ref="E1108" r:id="rId1010" xr:uid="{3DD80299-3347-4D2D-A219-62F801E7C10E}"/>
    <hyperlink ref="E1109" r:id="rId1011" xr:uid="{497347D7-7E5C-4A53-9447-40E722EFD2B2}"/>
    <hyperlink ref="E1110" r:id="rId1012" xr:uid="{BCFAE858-0033-4FBF-96E5-6D8D4B6C6583}"/>
    <hyperlink ref="E1111" r:id="rId1013" xr:uid="{D5390C67-4A2F-45DF-B003-52EADB1C1D68}"/>
    <hyperlink ref="E1112" r:id="rId1014" xr:uid="{17C522AC-9667-4BE0-BDE2-2E911FE27A8C}"/>
    <hyperlink ref="E1113" r:id="rId1015" xr:uid="{9E3A3AF4-CBF0-4B67-95AA-B2B0EB47A85A}"/>
    <hyperlink ref="E1114" r:id="rId1016" xr:uid="{80109D0D-6EBF-4969-B6F8-4D0CB5D98DB9}"/>
    <hyperlink ref="E1115" r:id="rId1017" xr:uid="{7EAE1869-5E0D-4110-8AEF-E266E7970193}"/>
    <hyperlink ref="E1116" r:id="rId1018" xr:uid="{34A2F2A2-6F41-4A89-9668-AE939A415DD5}"/>
    <hyperlink ref="E1117" r:id="rId1019" xr:uid="{2D6E7064-6C2D-47D5-84BD-A0463C282FEB}"/>
    <hyperlink ref="E1118" r:id="rId1020" xr:uid="{4A6CD64D-57D1-41F9-893A-39FB1228186D}"/>
    <hyperlink ref="E1119" r:id="rId1021" xr:uid="{F970EE59-773A-4375-9E34-2DC9063B695F}"/>
    <hyperlink ref="E1120" r:id="rId1022" xr:uid="{2786231A-4F1C-47F1-BBF3-255C42108E2E}"/>
    <hyperlink ref="E1121" r:id="rId1023" xr:uid="{5B7619D2-C971-4FEC-8BC6-2D1229069ACD}"/>
    <hyperlink ref="E1122" r:id="rId1024" xr:uid="{9D420E6B-E814-45DC-8BF0-B624AAA0C2F8}"/>
    <hyperlink ref="E1123" r:id="rId1025" xr:uid="{2A15FDE6-A941-43D3-8612-14D36053DD0B}"/>
    <hyperlink ref="E1124" r:id="rId1026" xr:uid="{A6B49B94-C4BF-47F6-99BD-1052B9BD8721}"/>
    <hyperlink ref="E1125" r:id="rId1027" xr:uid="{D111EAD3-D68A-4B1C-8A8B-E086FAD52146}"/>
    <hyperlink ref="E1126" r:id="rId1028" xr:uid="{FC427ED4-04E6-47B3-BC41-B5B34555217A}"/>
    <hyperlink ref="E1127" r:id="rId1029" xr:uid="{21F20E9E-EFDD-4FEC-B8F8-85392174C6EC}"/>
    <hyperlink ref="E1128" r:id="rId1030" xr:uid="{65BCFA55-6D61-4023-8EF9-CC47BD776AB3}"/>
    <hyperlink ref="E1129" r:id="rId1031" xr:uid="{E985DD42-2B06-432C-B9A6-7A21A80F51D0}"/>
    <hyperlink ref="E1130" r:id="rId1032" xr:uid="{44B652B8-57DB-49DC-AE25-DA4F6559F0A3}"/>
    <hyperlink ref="E1131" r:id="rId1033" xr:uid="{9A5A51DA-3FB0-422D-BD9C-2644EC0D49F6}"/>
    <hyperlink ref="E1132" r:id="rId1034" xr:uid="{B84D00C4-B0AA-4CFE-973B-F157BB5BA53B}"/>
    <hyperlink ref="E1133" r:id="rId1035" xr:uid="{22C0DD52-48FD-4D9E-BCB8-4E27C65BB68B}"/>
    <hyperlink ref="E1134" r:id="rId1036" xr:uid="{C5B41980-5282-4C1F-AE07-A90CC531670E}"/>
    <hyperlink ref="E1135" r:id="rId1037" xr:uid="{46F66FD6-79E4-4CA0-8624-3F311690A080}"/>
    <hyperlink ref="E1136" r:id="rId1038" xr:uid="{5090501F-23D7-4C62-BBFE-0570EBB52750}"/>
    <hyperlink ref="E1137" r:id="rId1039" xr:uid="{C3CE061B-05C5-4967-9B9A-9DB1AF73E2F3}"/>
    <hyperlink ref="E1138" r:id="rId1040" xr:uid="{100191B7-C5E1-4F6D-8F96-35A227D6B912}"/>
    <hyperlink ref="E1139" r:id="rId1041" xr:uid="{248A3D62-B2A0-49B5-990B-86A0AFA7E917}"/>
    <hyperlink ref="E1140" r:id="rId1042" xr:uid="{D14B4054-FF98-41E8-A09F-D4664BABAD4C}"/>
    <hyperlink ref="E1141" r:id="rId1043" xr:uid="{8074D5E8-B6E7-47B0-BE3D-ECF78AADFEFF}"/>
    <hyperlink ref="E1142" r:id="rId1044" xr:uid="{14C12287-1677-4606-80C0-B589C59E5A6A}"/>
    <hyperlink ref="E1143" r:id="rId1045" xr:uid="{4D51746F-1F95-4E9D-912E-34976D527B7C}"/>
    <hyperlink ref="E1144" r:id="rId1046" xr:uid="{FE525740-8783-4B9A-A883-958FD23F8766}"/>
    <hyperlink ref="E1145" r:id="rId1047" xr:uid="{C38A8BB7-870A-4F02-97BA-8CAF4C171D86}"/>
    <hyperlink ref="E1146" r:id="rId1048" xr:uid="{2252CCAC-62FF-45FB-A5D4-DFAF64210190}"/>
    <hyperlink ref="E1147" r:id="rId1049" xr:uid="{9874D7A8-1D29-451D-BB7D-0E4A62C93A98}"/>
    <hyperlink ref="E1148" r:id="rId1050" xr:uid="{860FA3ED-BA5A-4EE9-B01D-FD850DABD303}"/>
    <hyperlink ref="E1149" r:id="rId1051" xr:uid="{BF8C68FF-DD0D-4870-966C-51E3B358C38F}"/>
    <hyperlink ref="E1150" r:id="rId1052" xr:uid="{5DC66010-D93A-4BE5-8F92-AA712BFF2106}"/>
    <hyperlink ref="E1151" r:id="rId1053" xr:uid="{10210A65-5D4D-4103-9661-D1D7B99DEB16}"/>
    <hyperlink ref="E1152" r:id="rId1054" xr:uid="{E343CBC1-E364-4709-B029-8BE0E2A143F0}"/>
    <hyperlink ref="E1153" r:id="rId1055" xr:uid="{57730D25-16F2-4340-9E3E-BD9984FEE678}"/>
    <hyperlink ref="E1154" r:id="rId1056" xr:uid="{D12D06B9-9F3F-40BD-9849-84E468D95D40}"/>
    <hyperlink ref="E1155" r:id="rId1057" xr:uid="{11CD5049-A658-4F7C-99F6-F0862A8AFCA1}"/>
    <hyperlink ref="E1156" r:id="rId1058" xr:uid="{4505950A-DAF1-4113-BCB0-D2A105E2ABF8}"/>
    <hyperlink ref="E1157" r:id="rId1059" xr:uid="{E8FDDB62-50CA-4D0F-9A7E-D3D3DE0C97C4}"/>
    <hyperlink ref="E1158" r:id="rId1060" xr:uid="{BF0D1EB7-68D9-45AD-A030-991125052334}"/>
    <hyperlink ref="E1159" r:id="rId1061" xr:uid="{77B9BB97-72C5-4F54-8561-2BE5AC8BDE2C}"/>
    <hyperlink ref="E1161" r:id="rId1062" xr:uid="{D54E95CE-FA9A-4665-8B18-DE6810637BFC}"/>
    <hyperlink ref="E1162" r:id="rId1063" xr:uid="{FE32A939-2B68-4F09-9CC3-CEA062FA4599}"/>
    <hyperlink ref="E1163" r:id="rId1064" xr:uid="{E54AD3A6-6C00-486B-AE62-0FB54128C042}"/>
    <hyperlink ref="E1164" r:id="rId1065" xr:uid="{EAAAC77F-A738-4EA6-8306-CD501545615C}"/>
    <hyperlink ref="E1165" r:id="rId1066" xr:uid="{4D569CA3-C6DB-4E33-A01A-959C5671ED0C}"/>
    <hyperlink ref="E1166" r:id="rId1067" xr:uid="{128AEB68-CC39-4173-B713-A6E33EF02EC4}"/>
    <hyperlink ref="E1167" r:id="rId1068" xr:uid="{9CAAA94F-1D43-4EEA-ABD8-E12AF812AA8D}"/>
    <hyperlink ref="E1168" r:id="rId1069" xr:uid="{6142F7EC-A779-4059-88D4-901EDC5A7278}"/>
    <hyperlink ref="E1169" r:id="rId1070" xr:uid="{DA6934F9-71F2-4B25-A3C3-B235F861B9CA}"/>
    <hyperlink ref="E1170" r:id="rId1071" xr:uid="{8A25FBD9-CE30-442E-96A8-1658607CEDDA}"/>
    <hyperlink ref="E1171" r:id="rId1072" xr:uid="{E79643B7-F0E4-4DDF-A892-78E1CB43FB6D}"/>
    <hyperlink ref="E1172" r:id="rId1073" xr:uid="{06393712-F1C2-41C4-9CD3-BCC2337897AA}"/>
    <hyperlink ref="E1173" r:id="rId1074" xr:uid="{9EF9D9C9-6637-4B87-855F-5E706D64FA65}"/>
    <hyperlink ref="E1174" r:id="rId1075" xr:uid="{094BD484-76ED-4DFD-927D-CA0A3DB002FD}"/>
    <hyperlink ref="E1175" r:id="rId1076" xr:uid="{C8A3E96B-5169-410D-8F3B-6428E1C10359}"/>
    <hyperlink ref="E1176" r:id="rId1077" xr:uid="{6CA42D4A-7C83-4909-8959-A3ECC8D35705}"/>
    <hyperlink ref="E1177" r:id="rId1078" xr:uid="{E95A711C-FC1F-41B0-81BE-3FFEA4C7A4F9}"/>
    <hyperlink ref="E1178" r:id="rId1079" xr:uid="{2527DFD5-DA8A-489D-8C7E-BB275ABD5F6D}"/>
    <hyperlink ref="E1179" r:id="rId1080" xr:uid="{F84D2A0A-DECC-494D-849F-F0174340CBA8}"/>
    <hyperlink ref="E1180" r:id="rId1081" xr:uid="{99469797-1529-40B5-A466-83DFF7B131EB}"/>
    <hyperlink ref="E1181" r:id="rId1082" xr:uid="{2C5C308B-17A8-4870-99D6-A530D832B870}"/>
    <hyperlink ref="E1182" r:id="rId1083" xr:uid="{4890446A-29A0-4CC7-9FF1-9E3DCFBA8B07}"/>
    <hyperlink ref="E1183" r:id="rId1084" xr:uid="{FED40DDE-0835-49A0-A4A8-8E523A0CFEE3}"/>
    <hyperlink ref="E1185" r:id="rId1085" xr:uid="{3A51A629-A690-4D7B-8E27-8BF57635C665}"/>
    <hyperlink ref="E1186" r:id="rId1086" xr:uid="{A05B1904-7256-49C7-8728-EFF0C93FB388}"/>
    <hyperlink ref="E1187" r:id="rId1087" xr:uid="{7C99B6DE-1DC9-4DAE-9F31-30C2C6E957E8}"/>
    <hyperlink ref="E1188" r:id="rId1088" xr:uid="{C5D6FF7B-A9A0-4F41-8200-FCAD7A337881}"/>
    <hyperlink ref="E1189" r:id="rId1089" xr:uid="{8B1B01D4-DDC7-4652-B4A7-563F115C0489}"/>
    <hyperlink ref="E1190" r:id="rId1090" xr:uid="{9C05F598-426E-4E7B-AE9D-4501A2E81702}"/>
    <hyperlink ref="E1191" r:id="rId1091" xr:uid="{68B4DAA5-3C4F-4E4D-A459-CD77AC939F03}"/>
    <hyperlink ref="E1192" r:id="rId1092" xr:uid="{086776E4-10E9-4E27-82C8-6EC87F896799}"/>
    <hyperlink ref="E1193" r:id="rId1093" xr:uid="{0161B709-0D38-4921-9528-BF0043271CD1}"/>
    <hyperlink ref="E1195" r:id="rId1094" xr:uid="{2D8F1BB1-4719-42D3-922C-165748E6173A}"/>
    <hyperlink ref="E1196" r:id="rId1095" xr:uid="{E3DD604F-D02D-4D52-9BCE-9B67F5397FD4}"/>
    <hyperlink ref="E1197" r:id="rId1096" xr:uid="{7F0A68B7-58E3-45F1-993A-AA1FB0A0F6CA}"/>
    <hyperlink ref="E1198" r:id="rId1097" xr:uid="{6AFB79FE-6CBC-4EA5-A01E-DA5C53E6C98A}"/>
    <hyperlink ref="E1199" r:id="rId1098" xr:uid="{236A4FDD-1A5F-4632-838B-2B3206AD37D2}"/>
    <hyperlink ref="E1200" r:id="rId1099" xr:uid="{E85CDF8E-80A0-45FA-908F-F9B4F11E64C2}"/>
    <hyperlink ref="E1201" r:id="rId1100" xr:uid="{975AB930-A284-4861-9814-8E4D8DE75015}"/>
    <hyperlink ref="E1202" r:id="rId1101" xr:uid="{3ECF0950-01D4-408A-BAAF-7F13BE94BC54}"/>
    <hyperlink ref="E1203" r:id="rId1102" xr:uid="{802F5480-3BF9-4371-9D0E-9C4752E94FA7}"/>
    <hyperlink ref="E1204" r:id="rId1103" xr:uid="{0A39EECC-5384-426A-B0D0-0BD220CAE7C9}"/>
    <hyperlink ref="E1205" r:id="rId1104" xr:uid="{F70F65DB-FFEE-464E-B5BE-F8E14B0CF1DB}"/>
    <hyperlink ref="E1206" r:id="rId1105" xr:uid="{17D9566C-B3BD-4294-9C2D-7E8DFF1DCC66}"/>
    <hyperlink ref="E1207" r:id="rId1106" xr:uid="{02F6E2EA-2336-4C46-954C-6C4306E17944}"/>
    <hyperlink ref="E1208" r:id="rId1107" xr:uid="{01290947-BA48-4399-9CB2-8895AA740F88}"/>
    <hyperlink ref="E1209" r:id="rId1108" xr:uid="{B57A5B9E-0BBA-4B31-B017-D14085677198}"/>
    <hyperlink ref="E1210" r:id="rId1109" xr:uid="{B754C07F-9DC5-4029-996C-39673D752F99}"/>
    <hyperlink ref="E1211" r:id="rId1110" xr:uid="{72B6499F-7B4B-4CA0-8042-0795D083F80C}"/>
    <hyperlink ref="E1212" r:id="rId1111" xr:uid="{B024D56D-898E-4F97-A548-4321B2E50BCF}"/>
    <hyperlink ref="E1213" r:id="rId1112" xr:uid="{F700B81E-DE9C-47B5-AB14-0B1575706E17}"/>
    <hyperlink ref="E1214" r:id="rId1113" xr:uid="{A9EE2B68-3B7B-4680-9EA5-2D8FA53511D3}"/>
    <hyperlink ref="E1215" r:id="rId1114" xr:uid="{D3373BC3-C59E-471F-B5F8-03807E15A9BA}"/>
    <hyperlink ref="E1216" r:id="rId1115" xr:uid="{B5C0A1BF-874C-4EBF-9C64-8D98BAD48DB4}"/>
    <hyperlink ref="E1217" r:id="rId1116" xr:uid="{2C467566-4CC3-42E2-9463-BDEFBDE211A9}"/>
    <hyperlink ref="E1218" r:id="rId1117" xr:uid="{B67C0C63-EB41-4CDD-9BFE-9ABF9C92BACE}"/>
    <hyperlink ref="E1219" r:id="rId1118" xr:uid="{BC01EF8F-2372-4C08-AA26-BBECC0F08C17}"/>
    <hyperlink ref="E1220" r:id="rId1119" xr:uid="{E1E7530B-31C9-4018-9D53-54EC3C3F2E06}"/>
    <hyperlink ref="E1221" r:id="rId1120" xr:uid="{1C5B57DC-0BCA-4992-83E2-5C37E66102B4}"/>
    <hyperlink ref="E1222" r:id="rId1121" xr:uid="{657B4D38-7B11-44C8-B791-C703D2129214}"/>
    <hyperlink ref="E1223" r:id="rId1122" xr:uid="{ACFE8CB4-0CCB-4183-B876-10E3BFF8BCEC}"/>
    <hyperlink ref="E1224" r:id="rId1123" xr:uid="{FC862196-E3AC-4498-84E0-39038AA95380}"/>
    <hyperlink ref="E1225" r:id="rId1124" xr:uid="{9BB57592-8C48-44FE-A74B-5086F8D01FBE}"/>
    <hyperlink ref="E1226" r:id="rId1125" xr:uid="{43C4AE49-5C4F-4943-96E1-D410F965A7A9}"/>
    <hyperlink ref="E1227" r:id="rId1126" xr:uid="{A88BBF6F-543A-4BA3-BC82-93AC7BFC53A1}"/>
    <hyperlink ref="E1228" r:id="rId1127" xr:uid="{AEB4B9BD-EE04-4861-82AB-323B13D32323}"/>
    <hyperlink ref="E1229" r:id="rId1128" xr:uid="{4B4E095D-AF1E-4618-B98F-F0603C6A59EB}"/>
    <hyperlink ref="E1231" r:id="rId1129" xr:uid="{525B7705-004D-4FF5-ADE5-941C2D88330A}"/>
    <hyperlink ref="E1232" r:id="rId1130" xr:uid="{5609C1AE-82DE-4119-AAFD-E99E4A2CE5F0}"/>
    <hyperlink ref="E1233" r:id="rId1131" xr:uid="{211DC0BF-AE9F-4127-AA3F-78AD2A65EF55}"/>
    <hyperlink ref="E1234" r:id="rId1132" xr:uid="{9025822F-1DA6-4F53-A4D6-7C067A733267}"/>
    <hyperlink ref="E1235" r:id="rId1133" xr:uid="{CF87DA8F-9C0E-4A2F-9AA7-F33F22B0F2E3}"/>
    <hyperlink ref="E1236" r:id="rId1134" xr:uid="{538CF88D-BA47-4A32-B8C0-7042E26C3289}"/>
    <hyperlink ref="E1237" r:id="rId1135" xr:uid="{824CC4F4-66C0-468D-AF20-9AAA26446342}"/>
    <hyperlink ref="E1238" r:id="rId1136" xr:uid="{22C61C74-95D2-496C-8C39-D009143B91C5}"/>
    <hyperlink ref="E1239" r:id="rId1137" xr:uid="{179BAB6E-9A9D-4881-AE30-3A364BAECB84}"/>
    <hyperlink ref="E1241" r:id="rId1138" xr:uid="{18E9D825-B2A7-40A3-95A0-61E94DC711FC}"/>
    <hyperlink ref="E1242" r:id="rId1139" xr:uid="{2C28A743-DC4C-488D-88C3-FD4BB6AF956D}"/>
    <hyperlink ref="E1243" r:id="rId1140" xr:uid="{0691B171-635A-496E-A2DE-7C575B9BD257}"/>
    <hyperlink ref="E1244" r:id="rId1141" xr:uid="{98E357EB-D7A8-4D2A-B78D-FDB38BCDF327}"/>
    <hyperlink ref="E1245" r:id="rId1142" xr:uid="{DE6BF22C-790B-4238-907C-E377D38481F7}"/>
    <hyperlink ref="E1246" r:id="rId1143" xr:uid="{62474190-3C0A-4CBA-B8C4-4CB70BA47025}"/>
    <hyperlink ref="E1247" r:id="rId1144" xr:uid="{BC2394FF-186D-443F-BDF1-3C3BCC431DA1}"/>
    <hyperlink ref="E1248" r:id="rId1145" xr:uid="{BCFE0E56-C955-4698-9F22-3AFA58796784}"/>
    <hyperlink ref="E1249" r:id="rId1146" xr:uid="{4137DC37-5EDA-4A0D-8171-57368433ED0A}"/>
    <hyperlink ref="E1250" r:id="rId1147" xr:uid="{8BC89D68-5D85-4679-8EFD-0CB03F359946}"/>
    <hyperlink ref="E1251" r:id="rId1148" xr:uid="{55F95D0B-7386-456C-8616-27CDE2CC85E2}"/>
    <hyperlink ref="E1252" r:id="rId1149" xr:uid="{3618FD70-371E-4253-A953-58905F0BED3F}"/>
    <hyperlink ref="E1253" r:id="rId1150" xr:uid="{F8C52191-887B-4E3E-AEA0-704500B55195}"/>
    <hyperlink ref="E1254" r:id="rId1151" xr:uid="{B3B62DAE-FF2E-4CD8-84C8-4234B0DD8EA8}"/>
    <hyperlink ref="E1255" r:id="rId1152" xr:uid="{56D5D931-7324-4493-A174-7AA613CA8B85}"/>
    <hyperlink ref="E1256" r:id="rId1153" xr:uid="{E0F9560D-1C9B-495B-A0C2-C3C5129B3738}"/>
    <hyperlink ref="E1257" r:id="rId1154" xr:uid="{00A22760-06B9-470D-A51B-1A370C28886B}"/>
    <hyperlink ref="E1258" r:id="rId1155" xr:uid="{0D9C8B81-B650-4BAB-A2E9-11C8F2F73084}"/>
    <hyperlink ref="E1259" r:id="rId1156" xr:uid="{523BE5F6-36DB-4144-8924-F8A8F6E3C62D}"/>
    <hyperlink ref="E1262" r:id="rId1157" xr:uid="{2D4E0E92-A9A5-4C62-87DE-22AF1EF6C493}"/>
    <hyperlink ref="E1263" r:id="rId1158" xr:uid="{04DFCEB7-F367-4EF8-BAD3-9D6045A256FC}"/>
    <hyperlink ref="E1264" r:id="rId1159" xr:uid="{58D04CA7-DD2C-49A8-B459-4A45B8702F7D}"/>
    <hyperlink ref="E1265" r:id="rId1160" xr:uid="{DE95D81F-0892-4132-8B01-F0EB72D9CAF4}"/>
    <hyperlink ref="E1266" r:id="rId1161" xr:uid="{58A20428-F780-49C6-8FB8-233CAC13DB51}"/>
    <hyperlink ref="E1267" r:id="rId1162" xr:uid="{F85DDFF1-6ECF-42DB-8158-6DB7114DF981}"/>
    <hyperlink ref="E1268" r:id="rId1163" xr:uid="{A64A74E9-345E-4BEF-8877-0F37C470AF35}"/>
    <hyperlink ref="E1269" r:id="rId1164" xr:uid="{4B60A128-B6E1-42A3-A992-48919ED779F6}"/>
    <hyperlink ref="E1270" r:id="rId1165" xr:uid="{5BB790A8-B434-445D-A4FC-B63A81BAE9B1}"/>
    <hyperlink ref="E1271" r:id="rId1166" xr:uid="{05FA3BA2-F8B4-470D-A30C-BD73E2399FA8}"/>
    <hyperlink ref="E1272" r:id="rId1167" xr:uid="{63D3ABEF-49EC-4223-B1B6-1735AF244822}"/>
    <hyperlink ref="E1274" r:id="rId1168" xr:uid="{A63780FE-383C-48AA-82FC-6DABF544D910}"/>
    <hyperlink ref="E1275" r:id="rId1169" xr:uid="{1DC338B9-4019-439B-AE55-6FDE8B276FAB}"/>
    <hyperlink ref="E1276" r:id="rId1170" xr:uid="{D5371C45-AFF0-4959-885C-A75E8FA2BE5B}"/>
    <hyperlink ref="E1277" r:id="rId1171" xr:uid="{8BCD10FB-03D8-4393-9A14-458FB52353E3}"/>
    <hyperlink ref="E1278" r:id="rId1172" xr:uid="{CD934178-F84E-4AEE-853E-1875032C75F2}"/>
    <hyperlink ref="E1279" r:id="rId1173" xr:uid="{58DFDC0C-9A51-4400-8340-E35184390226}"/>
    <hyperlink ref="E1280" r:id="rId1174" xr:uid="{F9BD290E-184E-413F-9161-EA9CB30C7F87}"/>
    <hyperlink ref="E1281" r:id="rId1175" xr:uid="{9C84198F-1125-4BBC-B7C5-7E71851589EE}"/>
    <hyperlink ref="E1282" r:id="rId1176" xr:uid="{9842233E-EE16-4DBF-B29A-B02E99EF94EA}"/>
    <hyperlink ref="E1283" r:id="rId1177" xr:uid="{390D119C-1EAE-4D74-82C6-A611249CC77F}"/>
    <hyperlink ref="E1284" r:id="rId1178" xr:uid="{9415558D-11AD-4907-9860-971DBBC6627E}"/>
    <hyperlink ref="E1286" r:id="rId1179" xr:uid="{1977D378-25DB-4D6F-99F1-DACEABDCE727}"/>
    <hyperlink ref="E1287" r:id="rId1180" xr:uid="{93972286-CB90-4832-9F09-375DD421A3FB}"/>
    <hyperlink ref="E1288" r:id="rId1181" xr:uid="{D6D2CB00-1910-47F7-A763-1CD83D2E4DF7}"/>
    <hyperlink ref="E1289" r:id="rId1182" xr:uid="{9DAA9D4A-7017-4625-A59B-284BF7AE5754}"/>
    <hyperlink ref="E1290" r:id="rId1183" xr:uid="{72672D82-C232-4A80-9769-1C269EFBEF85}"/>
    <hyperlink ref="E1291" r:id="rId1184" xr:uid="{57864E95-F0A7-4AAE-BAE4-EF3081E4CC0F}"/>
    <hyperlink ref="E1292" r:id="rId1185" xr:uid="{8E87254B-0C84-4E39-943D-CE9F972A151B}"/>
    <hyperlink ref="E1293" r:id="rId1186" xr:uid="{2C2FC521-795A-4C2D-A997-DE68EA682EDE}"/>
    <hyperlink ref="E1294" r:id="rId1187" xr:uid="{42D5FA83-8992-4458-9EC4-7BE3829DB308}"/>
    <hyperlink ref="E1295" r:id="rId1188" xr:uid="{BE873D14-1696-4040-9C1B-6A5F1D9F911C}"/>
    <hyperlink ref="E1296" r:id="rId1189" xr:uid="{C4A00BC8-1F11-4F7F-A955-11CA54DE415C}"/>
    <hyperlink ref="E1297" r:id="rId1190" xr:uid="{1487F0BD-EA80-41AB-AD02-14CE6B66141B}"/>
    <hyperlink ref="E1298" r:id="rId1191" xr:uid="{0DAD3DC1-4F08-466A-9C0C-FA15EBA7C816}"/>
    <hyperlink ref="E1299" r:id="rId1192" xr:uid="{702E5638-B099-457E-97FB-DC62CFFF14FF}"/>
    <hyperlink ref="E1300" r:id="rId1193" xr:uid="{B3FCDF29-8344-4812-AAF8-4A4C049A7CF3}"/>
    <hyperlink ref="E1301" r:id="rId1194" xr:uid="{8B5B019B-75B2-488A-B5AD-3A07B88A80B6}"/>
    <hyperlink ref="E1302" r:id="rId1195" xr:uid="{A5ED2C8E-D1D9-4A50-8F7F-47CF00D8BFB7}"/>
    <hyperlink ref="E1303" r:id="rId1196" xr:uid="{7E34C103-725B-4FA4-AB7A-D3F843A858FF}"/>
    <hyperlink ref="E1304" r:id="rId1197" xr:uid="{82116F04-8C1F-4335-9A4D-117CC8478C3C}"/>
    <hyperlink ref="E1305" r:id="rId1198" xr:uid="{F4364B7C-4CBA-4AF6-BAFE-D38558B6D151}"/>
    <hyperlink ref="E1306" r:id="rId1199" xr:uid="{63AF39F6-1DBE-440E-84C6-57233FF3BA59}"/>
    <hyperlink ref="E1307" r:id="rId1200" xr:uid="{45DD44D0-F93C-4539-A74B-E6D860E952A0}"/>
    <hyperlink ref="E1308" r:id="rId1201" xr:uid="{AA81950E-C92D-4949-BD2B-135091BC2722}"/>
    <hyperlink ref="E1310" r:id="rId1202" xr:uid="{05C7FA74-88B2-4797-B44B-9E5C15602AC4}"/>
    <hyperlink ref="E1311" r:id="rId1203" xr:uid="{35B85567-6813-4F47-9A14-BA48883630C9}"/>
    <hyperlink ref="E1312" r:id="rId1204" xr:uid="{343CD230-5D52-4E28-BFBB-B9CD4A551E49}"/>
    <hyperlink ref="E1313" r:id="rId1205" xr:uid="{5862FC25-C48F-4F6B-819C-3ADB951C8B92}"/>
    <hyperlink ref="E1314" r:id="rId1206" xr:uid="{BD1724A7-DA97-4D18-BB1D-29801C6EB988}"/>
    <hyperlink ref="E1315" r:id="rId1207" xr:uid="{43FEA4C4-1CA4-4E37-83DC-BFA5F1EA07E4}"/>
    <hyperlink ref="E1316" r:id="rId1208" xr:uid="{0565DD28-38DF-4181-9CF2-7AF7D501E3A0}"/>
    <hyperlink ref="E1317" r:id="rId1209" xr:uid="{705C1CC4-183D-4AC3-9C14-A2720D4F0DB8}"/>
    <hyperlink ref="E1318" r:id="rId1210" xr:uid="{86ED5BB3-FBD8-4E15-BFC0-8F41B33E053E}"/>
    <hyperlink ref="E1319" r:id="rId1211" xr:uid="{58DF7983-E302-4B30-A461-6BAFFC05FDB8}"/>
    <hyperlink ref="E1320" r:id="rId1212" xr:uid="{924EFAD3-89B6-4BA5-90EA-6E5A8A1033BB}"/>
    <hyperlink ref="E1321" r:id="rId1213" xr:uid="{8BECE220-5C22-4C7B-B98F-906F288FF45B}"/>
    <hyperlink ref="E1322" r:id="rId1214" xr:uid="{89229052-8101-4187-B5FD-77BA7C6EE961}"/>
    <hyperlink ref="E1323" r:id="rId1215" xr:uid="{9717A240-677A-4A57-AF0B-F5A679E31B43}"/>
    <hyperlink ref="E1324" r:id="rId1216" xr:uid="{F9237C65-F833-4648-B374-A068E11DFA53}"/>
    <hyperlink ref="E1325" r:id="rId1217" xr:uid="{4E9FD420-8EC6-41CA-946C-A9A1EBDE37EA}"/>
    <hyperlink ref="E1326" r:id="rId1218" xr:uid="{CF1B8190-646E-43DD-8806-85F9C79CF793}"/>
    <hyperlink ref="E1327" r:id="rId1219" xr:uid="{5995BBDB-328B-4915-A4D6-3C7DBFE718A9}"/>
    <hyperlink ref="E1328" r:id="rId1220" xr:uid="{29D694D8-5DDD-40D3-9715-F13C0EE033EA}"/>
    <hyperlink ref="E1329" r:id="rId1221" xr:uid="{06BC31D0-F9DD-4B35-9C34-EB30B7AFA2AA}"/>
    <hyperlink ref="E1330" r:id="rId1222" xr:uid="{2577D175-D26D-471A-AF90-C78E266551F9}"/>
    <hyperlink ref="E1331" r:id="rId1223" xr:uid="{CE2AF3DA-E209-43E0-8B8E-B17A319156AA}"/>
    <hyperlink ref="E1332" r:id="rId1224" xr:uid="{E750BB37-40AE-4A7A-BEF1-DCB7323F2009}"/>
    <hyperlink ref="E1333" r:id="rId1225" xr:uid="{ADD999C0-D1C2-4E1C-B781-1C2ECD1A3C82}"/>
    <hyperlink ref="E1334" r:id="rId1226" xr:uid="{39A47642-0C12-40B4-89CD-2488A57BB3DE}"/>
    <hyperlink ref="E1335" r:id="rId1227" xr:uid="{04CF2945-E22D-42AE-9378-03A3E25D177E}"/>
    <hyperlink ref="E1336" r:id="rId1228" xr:uid="{9B3AE481-EE6A-4341-8CD1-C6EAC1CF7090}"/>
    <hyperlink ref="E1337" r:id="rId1229" xr:uid="{C9ADF6A9-D9A3-4844-A9DB-00FD5B32FAEF}"/>
    <hyperlink ref="E1338" r:id="rId1230" xr:uid="{9CDDC0FD-5DD0-4F81-8C09-89D839B2A160}"/>
    <hyperlink ref="E1339" r:id="rId1231" xr:uid="{44643AC4-9F1F-4137-80A9-CA4592EDE6C1}"/>
    <hyperlink ref="E1340" r:id="rId1232" xr:uid="{CE6CF233-D37A-461A-82B6-C8B70E93F575}"/>
    <hyperlink ref="E1341" r:id="rId1233" xr:uid="{1C4F2E71-6864-4BE8-90C1-8DA3CD214A1B}"/>
    <hyperlink ref="E1342" r:id="rId1234" xr:uid="{B2ECAD1B-DC02-49E6-8654-EED028B5E922}"/>
    <hyperlink ref="E1343" r:id="rId1235" xr:uid="{D3022E48-A6FC-4593-9D41-038DD82CBF0E}"/>
    <hyperlink ref="E1344" r:id="rId1236" xr:uid="{119EF603-ACB4-4521-8982-934EB1C6821B}"/>
    <hyperlink ref="E1345" r:id="rId1237" xr:uid="{8BFCF2C5-1C3C-488A-AD4B-E03290F3ABAD}"/>
    <hyperlink ref="E1346" r:id="rId1238" xr:uid="{2F4653AC-9217-4777-8FBA-06B50D2912CD}"/>
    <hyperlink ref="E1347" r:id="rId1239" xr:uid="{B5184EF8-939D-4920-91A8-0B9C92B91C74}"/>
    <hyperlink ref="E1348" r:id="rId1240" xr:uid="{647C0938-C35F-4576-A316-8980799B77C3}"/>
    <hyperlink ref="E1349" r:id="rId1241" xr:uid="{387BB663-E5C5-43B0-A55D-389BD64743F1}"/>
    <hyperlink ref="E1350" r:id="rId1242" xr:uid="{6B8B1295-63DC-4F4B-8408-77F8AC5E2782}"/>
    <hyperlink ref="E1351" r:id="rId1243" xr:uid="{17C791E8-11E5-4014-B2B3-B6B76A1965CE}"/>
    <hyperlink ref="E1352" r:id="rId1244" xr:uid="{3A495841-D50C-48DF-9621-65DF17835E79}"/>
    <hyperlink ref="E1353" r:id="rId1245" xr:uid="{5900CA6C-C744-4175-AD53-8E64FA0B4A9D}"/>
    <hyperlink ref="E1354" r:id="rId1246" xr:uid="{0EB53620-E625-4567-B473-ACB8EFA45BDC}"/>
    <hyperlink ref="E1355" r:id="rId1247" xr:uid="{67FD32A2-5AF6-4B35-8B54-E89771EB7DB3}"/>
    <hyperlink ref="E1356" r:id="rId1248" xr:uid="{1A4FF46B-7E79-4DC9-B101-1E364B00C26C}"/>
    <hyperlink ref="E1357" r:id="rId1249" xr:uid="{479935E5-DA2B-4249-92E2-5EE97E3C5631}"/>
    <hyperlink ref="E1358" r:id="rId1250" xr:uid="{E9D45E62-6054-4E5F-A69A-4BB3120CBE27}"/>
    <hyperlink ref="E1359" r:id="rId1251" xr:uid="{1EE8F281-C1DB-45DA-8385-D2CBD666A25A}"/>
    <hyperlink ref="E1360" r:id="rId1252" xr:uid="{6DD04F02-7CE3-47A4-BDFE-FCC72117445B}"/>
    <hyperlink ref="E1361" r:id="rId1253" xr:uid="{D6FC78CA-CFE6-4F9A-88BF-96A9EC923643}"/>
    <hyperlink ref="E1362" r:id="rId1254" xr:uid="{BDC96026-782F-4C4C-AE94-98DCFCD0A3E9}"/>
    <hyperlink ref="E1363" r:id="rId1255" xr:uid="{136171D7-4BC6-4408-8BB5-585DCE8066D0}"/>
    <hyperlink ref="E1364" r:id="rId1256" xr:uid="{4A384748-C94F-42D6-8BCC-3AB09D8C78D7}"/>
    <hyperlink ref="E1365" r:id="rId1257" xr:uid="{0EC4C233-A0BA-49F2-8C0D-DA0488D94355}"/>
    <hyperlink ref="E1366" r:id="rId1258" xr:uid="{D6CB9F3D-87A5-44D4-A43B-95BDC0809A7C}"/>
    <hyperlink ref="E1367" r:id="rId1259" xr:uid="{F2A0C81B-554F-41AF-A53E-0DED6D305EB4}"/>
    <hyperlink ref="E1368" r:id="rId1260" xr:uid="{8417A1DA-48FE-4695-9FC4-3CBB68965C18}"/>
    <hyperlink ref="E1369" r:id="rId1261" xr:uid="{ACC61619-1723-4EA5-AFB0-E46632236828}"/>
    <hyperlink ref="E1370" r:id="rId1262" xr:uid="{AEB8F6C8-F503-4F6C-9408-E1C886116FA2}"/>
    <hyperlink ref="E1371" r:id="rId1263" xr:uid="{F4EDA6A0-6E57-447D-8544-689044547B89}"/>
    <hyperlink ref="E1372" r:id="rId1264" xr:uid="{7014302D-7E02-401C-818C-CCD643FC5DAF}"/>
    <hyperlink ref="E1374" r:id="rId1265" xr:uid="{38E78A0F-F830-4A8B-9A9E-ECAD4D845DA4}"/>
    <hyperlink ref="E1375" r:id="rId1266" xr:uid="{3601A412-223A-4D1B-B4A8-F59B8DF60415}"/>
    <hyperlink ref="E1376" r:id="rId1267" xr:uid="{88D2AAB2-A7CB-423E-81EC-FF060164D29D}"/>
    <hyperlink ref="E1377" r:id="rId1268" xr:uid="{116AEDFB-540C-4BDF-ACCA-4A370926D2E4}"/>
    <hyperlink ref="E1378" r:id="rId1269" xr:uid="{73EEDD05-481C-4A7E-A55C-279A977448B9}"/>
    <hyperlink ref="E1379" r:id="rId1270" xr:uid="{93462688-C97E-44FE-981C-81F6F55C4649}"/>
    <hyperlink ref="E1380" r:id="rId1271" xr:uid="{895F51D1-5277-4870-8E1F-ECD9CD56EEC3}"/>
    <hyperlink ref="E1381" r:id="rId1272" xr:uid="{CE12F196-B0CC-454F-BACB-4556B34457B4}"/>
    <hyperlink ref="E1382" r:id="rId1273" xr:uid="{F0710620-26BA-4AA8-8622-6A9AA996B356}"/>
    <hyperlink ref="E1383" r:id="rId1274" xr:uid="{3A45F2EE-68A9-4801-8B3E-A76B5685DCE8}"/>
    <hyperlink ref="E1384" r:id="rId1275" xr:uid="{FE8B9844-1231-4784-AAE5-72C1C53B31BE}"/>
    <hyperlink ref="E1385" r:id="rId1276" xr:uid="{C19DE902-306A-4150-B17E-19B070EEF7EC}"/>
    <hyperlink ref="E1386" r:id="rId1277" xr:uid="{9B6ECA71-ED22-4C79-BF0B-954F553455A3}"/>
    <hyperlink ref="E1387" r:id="rId1278" xr:uid="{BC15C063-68F9-4B6B-84AE-AECE49F1BA86}"/>
    <hyperlink ref="E1388" r:id="rId1279" xr:uid="{0428DD3F-F49E-40A9-8CBE-8DB07ADDFE59}"/>
    <hyperlink ref="E1389" r:id="rId1280" xr:uid="{EDABDE29-4341-482B-B327-BF3235E19033}"/>
    <hyperlink ref="E1390" r:id="rId1281" xr:uid="{DECA083B-BEB6-48BD-AC92-859A1D5AB225}"/>
    <hyperlink ref="E1391" r:id="rId1282" xr:uid="{22C6D1AC-5ACD-486B-945D-BA73FC66D479}"/>
    <hyperlink ref="E1392" r:id="rId1283" xr:uid="{5F903C93-BEC6-4433-8BDD-1574B1A0EB92}"/>
    <hyperlink ref="E1393" r:id="rId1284" xr:uid="{18DFDABB-6171-4280-8B0A-E8A6C7FAEFAB}"/>
    <hyperlink ref="E1394" r:id="rId1285" xr:uid="{5DBE1B87-1807-4972-ADE3-BA9D4306D763}"/>
    <hyperlink ref="E1395" r:id="rId1286" xr:uid="{FBD3BEFF-C137-4796-9848-C410A9AD7DE7}"/>
    <hyperlink ref="E1396" r:id="rId1287" xr:uid="{47390EBD-CD6F-415F-9CD7-81FBF791707C}"/>
    <hyperlink ref="E1397" r:id="rId1288" xr:uid="{7E57286B-8E1D-4324-B163-72E0F969DB53}"/>
    <hyperlink ref="E1398" r:id="rId1289" xr:uid="{120EB5F9-F558-4163-98A4-F8F891176CFC}"/>
    <hyperlink ref="E1399" r:id="rId1290" xr:uid="{4A11C855-5455-4C6E-A4E5-E4D848B213C1}"/>
    <hyperlink ref="E1400" r:id="rId1291" xr:uid="{948478C8-7345-48ED-8E30-0861D9007902}"/>
    <hyperlink ref="E1401" r:id="rId1292" xr:uid="{F668D566-E62E-4AEF-9AA6-7552C0B96224}"/>
    <hyperlink ref="E1402" r:id="rId1293" xr:uid="{656C4FF3-8539-402F-834F-6B9999CECEE5}"/>
    <hyperlink ref="E1403" r:id="rId1294" xr:uid="{C4FA4F90-2672-488E-9D0E-F97148B5C665}"/>
    <hyperlink ref="E1405" r:id="rId1295" xr:uid="{F560EEBC-127D-4EFD-97F5-7EC999ADA06E}"/>
    <hyperlink ref="E1406" r:id="rId1296" xr:uid="{9F5BC6E3-7C19-4C20-9DE2-46A3DDCBA55D}"/>
    <hyperlink ref="E1410" r:id="rId1297" xr:uid="{57B7F376-96D1-4225-A17D-DA7E3F08EAD1}"/>
    <hyperlink ref="E1411" r:id="rId1298" xr:uid="{80A58879-926A-448E-B5E3-B485C0327442}"/>
    <hyperlink ref="E1412" r:id="rId1299" xr:uid="{C646B01F-C8AA-41DD-AD00-97302E491632}"/>
    <hyperlink ref="E1413" r:id="rId1300" xr:uid="{1201F512-3174-4537-B716-EE917F7C2D61}"/>
    <hyperlink ref="E1414" r:id="rId1301" xr:uid="{45DE0C8B-FB41-4EF8-ABF3-F321C926B0A0}"/>
    <hyperlink ref="E1415" r:id="rId1302" xr:uid="{BE9C251D-1066-4CCC-89C4-18DD976FAC45}"/>
    <hyperlink ref="E1416" r:id="rId1303" xr:uid="{DD4341EB-A335-488F-B7D3-8C271202B293}"/>
    <hyperlink ref="E1417" r:id="rId1304" xr:uid="{A0E9F6E6-5256-4DB5-B7BA-93799083E055}"/>
    <hyperlink ref="E1418" r:id="rId1305" xr:uid="{179A6296-B2EE-406B-9B4A-B106FB82464B}"/>
    <hyperlink ref="E1419" r:id="rId1306" xr:uid="{42286BAC-67DD-4516-91B5-C30459D6951E}"/>
    <hyperlink ref="E1420" r:id="rId1307" xr:uid="{A0546735-85A1-4C6D-A9A6-7993C87AA274}"/>
    <hyperlink ref="E1421" r:id="rId1308" xr:uid="{5DF5C3FD-44E2-4EE3-AB6A-789D83D85A2F}"/>
    <hyperlink ref="E1422" r:id="rId1309" xr:uid="{1E79F0FC-807A-4AE3-8D2E-CBD3E3741A5E}"/>
    <hyperlink ref="E1423" r:id="rId1310" xr:uid="{AB11ABCB-0813-4070-A8BE-120C915DA66D}"/>
    <hyperlink ref="E1424" r:id="rId1311" xr:uid="{455CD1CB-1BA7-41E5-97FC-0E7E5FBF8AE5}"/>
    <hyperlink ref="E1425" r:id="rId1312" xr:uid="{34B41C62-405C-493F-8B08-0519A3581F35}"/>
    <hyperlink ref="E1426" r:id="rId1313" xr:uid="{0FD1566A-A956-42D0-8FAD-7AFBBEB6FCC4}"/>
    <hyperlink ref="E1427" r:id="rId1314" xr:uid="{F67C350B-C15C-4FF1-9F53-B62071B022EC}"/>
    <hyperlink ref="E1428" r:id="rId1315" xr:uid="{E4D9B421-2F3F-410E-BF71-A0015F06E98B}"/>
    <hyperlink ref="E1429" r:id="rId1316" xr:uid="{1858D53C-8967-44E5-BAAE-B5390FDEA08C}"/>
    <hyperlink ref="E1430" r:id="rId1317" xr:uid="{62912891-D43E-4D03-A598-42EE0B742DAB}"/>
    <hyperlink ref="E1431" r:id="rId1318" xr:uid="{2AB0BA7E-0353-4586-9360-B3D29ADF5538}"/>
    <hyperlink ref="E1432" r:id="rId1319" xr:uid="{12ED66EC-5883-4A0D-B472-592B7F7D7CE1}"/>
    <hyperlink ref="E1433" r:id="rId1320" xr:uid="{FDF50C7E-9619-44E1-826E-12EC92E47030}"/>
    <hyperlink ref="E1435" r:id="rId1321" xr:uid="{77A13E5F-45DE-49A7-B0E5-48D9823C59E9}"/>
    <hyperlink ref="E1436" r:id="rId1322" xr:uid="{DD645A1B-C7EF-4440-9102-22C8D7E88490}"/>
    <hyperlink ref="E1437" r:id="rId1323" xr:uid="{8EA9108A-2645-4D6E-9436-665C2ED164CE}"/>
    <hyperlink ref="E1438" r:id="rId1324" xr:uid="{5A44AE58-3CDC-4A80-BC18-555C2C717A54}"/>
    <hyperlink ref="E1439" r:id="rId1325" xr:uid="{741F2551-8506-4948-8C30-5BEB1386DFC5}"/>
    <hyperlink ref="E1440" r:id="rId1326" xr:uid="{D8514587-2810-437A-A302-A391D96BF523}"/>
    <hyperlink ref="E1441" r:id="rId1327" xr:uid="{DA050962-C960-45C6-AAF9-559C87F2CD17}"/>
    <hyperlink ref="E1442" r:id="rId1328" xr:uid="{32EC0038-A3DF-49A3-9B39-61CD5242221A}"/>
    <hyperlink ref="E1443" r:id="rId1329" xr:uid="{14BB9FF3-25B0-44E5-9C85-AE054467D51E}"/>
    <hyperlink ref="E1444" r:id="rId1330" xr:uid="{C52D3BF6-836D-4672-BEFB-514CBAA8D658}"/>
    <hyperlink ref="E1445" r:id="rId1331" xr:uid="{90D942D8-558C-40FD-9B84-E21A01E6B0D8}"/>
    <hyperlink ref="E1446" r:id="rId1332" xr:uid="{422F45A0-A5B6-438D-8492-BB4906F3096E}"/>
    <hyperlink ref="E1447" r:id="rId1333" xr:uid="{144E7E39-A793-4C25-89B2-214B6D0AA096}"/>
    <hyperlink ref="E1448" r:id="rId1334" xr:uid="{6CC58AB8-7017-45D4-967A-A0AFA2C83E42}"/>
    <hyperlink ref="E1450" r:id="rId1335" xr:uid="{1DF8BABB-BD5B-4AA6-B30A-612FABA69B15}"/>
    <hyperlink ref="E1451" r:id="rId1336" xr:uid="{50AFDAA3-67CC-485B-863B-D3123278EE4B}"/>
    <hyperlink ref="E1452" r:id="rId1337" xr:uid="{6627621D-6C4E-4DE6-84B5-14531A53F20A}"/>
    <hyperlink ref="E1453" r:id="rId1338" xr:uid="{8B06C2D5-3059-4EFB-B1A3-FD12C1AEF277}"/>
    <hyperlink ref="E1454" r:id="rId1339" xr:uid="{9CC4B738-689D-4845-9E6B-3A4EC1B8A43A}"/>
    <hyperlink ref="E1455" r:id="rId1340" xr:uid="{CA9B58F9-6731-46F0-B1DE-4E2402432E24}"/>
    <hyperlink ref="E1456" r:id="rId1341" xr:uid="{0C425310-027D-4DD0-AFD3-B9DCE6518EFC}"/>
    <hyperlink ref="E1457" r:id="rId1342" xr:uid="{17081569-F149-41C5-B645-6EB1CD2B5C82}"/>
    <hyperlink ref="E1458" r:id="rId1343" xr:uid="{77C27187-401B-4A12-87B6-06AA2751822E}"/>
    <hyperlink ref="E1459" r:id="rId1344" xr:uid="{1FA2C17D-B9D0-48EA-9DF0-BB34FE2182D8}"/>
    <hyperlink ref="E1460" r:id="rId1345" xr:uid="{7B1B101B-614E-495B-A806-9DDEFD7AB78D}"/>
    <hyperlink ref="E1461" r:id="rId1346" xr:uid="{5BD297EC-4623-4578-A572-A507A3B76668}"/>
    <hyperlink ref="E1462" r:id="rId1347" xr:uid="{726498F9-1ACC-45F3-BB07-C4979474D266}"/>
    <hyperlink ref="E1463" r:id="rId1348" xr:uid="{619FD3D6-1BE8-4598-8447-E7866B7C1D8E}"/>
    <hyperlink ref="E1464" r:id="rId1349" xr:uid="{AEE1F6A8-8253-49E7-8B8D-A15CCCD37FE2}"/>
    <hyperlink ref="E1465" r:id="rId1350" xr:uid="{31CAFD70-E121-4E71-A51A-901B2984A07F}"/>
    <hyperlink ref="E1466" r:id="rId1351" xr:uid="{C98B4CFF-E4FE-4207-A3CC-5DC876A711CE}"/>
    <hyperlink ref="E1467" r:id="rId1352" xr:uid="{4F7E2E8B-237D-4F77-8BCE-A4E45C6DFBE7}"/>
    <hyperlink ref="E1468" r:id="rId1353" xr:uid="{3351E48E-382E-4739-920F-C1A102051E8C}"/>
    <hyperlink ref="E1469" r:id="rId1354" xr:uid="{6E66B7AC-1728-458F-9AAA-0083E43F68D6}"/>
    <hyperlink ref="E1470" r:id="rId1355" xr:uid="{BC6C90BD-998C-440A-B82C-3D5DC75ABF58}"/>
    <hyperlink ref="E1472" r:id="rId1356" xr:uid="{7E4E884B-B299-4D2F-8E1B-7E46F3790B30}"/>
    <hyperlink ref="E1473" r:id="rId1357" xr:uid="{A96A5BA5-CC27-43BD-9E7B-31C55FF8D3C8}"/>
    <hyperlink ref="E1474" r:id="rId1358" xr:uid="{4E254FC7-733B-44B0-9481-64356BC96774}"/>
    <hyperlink ref="E1475" r:id="rId1359" xr:uid="{E1F3D653-9E81-476D-979B-F095D51C45D3}"/>
    <hyperlink ref="E1476" r:id="rId1360" xr:uid="{5D2F75CA-94CB-4B1E-A434-2C6AA1056F46}"/>
    <hyperlink ref="E1477" r:id="rId1361" xr:uid="{5322F589-8F2D-4571-BCE6-1B7BE924203E}"/>
    <hyperlink ref="E1478" r:id="rId1362" xr:uid="{7B3D155E-46E6-4B94-88F5-4CCC1E7B471E}"/>
    <hyperlink ref="E1479" r:id="rId1363" xr:uid="{9F50FCA4-E0BC-4D71-BBD9-7080E3DFE447}"/>
    <hyperlink ref="E1480" r:id="rId1364" xr:uid="{49EEED1A-727E-4E39-B5C5-D6BC6A1177BC}"/>
    <hyperlink ref="E1481" r:id="rId1365" xr:uid="{B10F96C4-2EF1-4272-ACE4-AF625E47B24A}"/>
    <hyperlink ref="E1482" r:id="rId1366" xr:uid="{8C40FBDC-2721-49A7-B846-BCC8CA49BA10}"/>
    <hyperlink ref="E1483" r:id="rId1367" xr:uid="{0661B50F-EDD8-4ED4-9F4D-F087646E1EDD}"/>
    <hyperlink ref="E1484" r:id="rId1368" xr:uid="{19A1A654-74F8-4468-8DE1-74D14C5D47CA}"/>
    <hyperlink ref="E1485" r:id="rId1369" xr:uid="{841CBD28-F26C-494A-9CE8-1F00461D7FB5}"/>
    <hyperlink ref="E1486" r:id="rId1370" xr:uid="{0068FBDF-9F32-44DB-B296-A072860EB8B9}"/>
    <hyperlink ref="E1487" r:id="rId1371" xr:uid="{917A24F7-ECBB-434E-92D4-6E1E9EA08FF4}"/>
    <hyperlink ref="E1488" r:id="rId1372" xr:uid="{A37E90EE-4CF3-4E0C-BF80-BFDAE8806BC7}"/>
    <hyperlink ref="E1489" r:id="rId1373" xr:uid="{E6AF0727-AA5E-4043-AF7D-A5E03C3592D9}"/>
    <hyperlink ref="E1490" r:id="rId1374" xr:uid="{9AE2D16F-0BDF-43C2-925A-F2025D29F2A2}"/>
    <hyperlink ref="E1491" r:id="rId1375" xr:uid="{E259B22C-7C84-4215-B246-1D17DCAC5542}"/>
    <hyperlink ref="E1492" r:id="rId1376" xr:uid="{90578170-16DA-4429-83FE-D07EB618E285}"/>
    <hyperlink ref="E1493" r:id="rId1377" xr:uid="{BC401969-64FE-4EA2-9C5B-8DF668DE0FD3}"/>
    <hyperlink ref="E1494" r:id="rId1378" xr:uid="{0B23377E-3207-4858-A233-1226087319D7}"/>
    <hyperlink ref="E1495" r:id="rId1379" xr:uid="{F1393D20-5D1E-489B-B04B-7152DCA6D7AD}"/>
    <hyperlink ref="E1496" r:id="rId1380" xr:uid="{E7A2AD23-E4E3-4113-A54E-D6F47D96705B}"/>
    <hyperlink ref="E1497" r:id="rId1381" xr:uid="{762FBD8F-F8C2-4BF1-93D9-B849A79111A6}"/>
    <hyperlink ref="E1498" r:id="rId1382" xr:uid="{E8C7EDE5-3F3F-4D2E-9408-1E0D9A7FE6EA}"/>
    <hyperlink ref="E1499" r:id="rId1383" xr:uid="{595D532B-C27E-4E8E-AB45-F3C9F11A4781}"/>
    <hyperlink ref="E1500" r:id="rId1384" xr:uid="{B2B9BEB0-A5C3-4266-ADB3-BA262B8B1817}"/>
    <hyperlink ref="E1501" r:id="rId1385" xr:uid="{8A450D12-1E0C-4D24-A5F6-95DE8119C248}"/>
    <hyperlink ref="E1502" r:id="rId1386" xr:uid="{7ECC3DA8-EF65-4E90-8D02-0F776D747096}"/>
    <hyperlink ref="E1503" r:id="rId1387" xr:uid="{3FE56CBC-BB65-4CAF-B897-5D57AF235231}"/>
    <hyperlink ref="E1504" r:id="rId1388" xr:uid="{B02CE2F6-9D4E-4300-AECA-9815FA9646E3}"/>
    <hyperlink ref="E1505" r:id="rId1389" xr:uid="{0651EF36-72AD-4BC4-8F16-032504D6ADF7}"/>
    <hyperlink ref="E1506" r:id="rId1390" xr:uid="{8417FFA6-C46A-44A2-84FE-77A3630776B0}"/>
    <hyperlink ref="E1507" r:id="rId1391" xr:uid="{0795EAD9-A919-48EF-AE6B-F42A8106CAA1}"/>
    <hyperlink ref="E1508" r:id="rId1392" xr:uid="{B071EA09-0066-4DE5-898D-63405A101947}"/>
    <hyperlink ref="E1509" r:id="rId1393" location="@yahoo.com" xr:uid="{BF5DB230-3415-44ED-8689-15021B08E275}"/>
    <hyperlink ref="E1510" r:id="rId1394" xr:uid="{3B1DFA13-BCD4-4E16-BF55-D359BA56BCDB}"/>
    <hyperlink ref="E1511" r:id="rId1395" xr:uid="{362DF979-49FA-43F4-8F67-9FED933FA41F}"/>
    <hyperlink ref="E1512" r:id="rId1396" xr:uid="{C1BCB8C0-1719-486B-AF90-90C4C02817BD}"/>
    <hyperlink ref="E1513" r:id="rId1397" xr:uid="{27801C5D-C7BE-4522-A523-A4780271B075}"/>
    <hyperlink ref="E1514" r:id="rId1398" xr:uid="{9D7AEB67-4098-4B56-ADD0-D5536598CED1}"/>
    <hyperlink ref="E1515" r:id="rId1399" xr:uid="{127A48DF-00C1-47BB-9873-BF74548409E5}"/>
    <hyperlink ref="E1516" r:id="rId1400" xr:uid="{B57B46E0-6286-4DEB-8E18-F43E0A449331}"/>
    <hyperlink ref="E1517" r:id="rId1401" xr:uid="{2E473709-767C-49C5-A58C-37FE08A387E1}"/>
    <hyperlink ref="E1518" r:id="rId1402" xr:uid="{8FFDC7B8-F4AB-4D5A-82AC-035EA3710135}"/>
    <hyperlink ref="E1519" r:id="rId1403" xr:uid="{FE96AEB9-A075-4234-A731-FE1B2E9513E7}"/>
    <hyperlink ref="E1520" r:id="rId1404" xr:uid="{E1EBBF79-6EAF-4212-9A6F-0E1B55914C80}"/>
    <hyperlink ref="E1521" r:id="rId1405" xr:uid="{82E86F5A-8B85-4C6C-BAE9-D1B276E8778D}"/>
    <hyperlink ref="E1524" r:id="rId1406" xr:uid="{43A215F2-5652-4F79-AF4E-9215ADC43E1E}"/>
    <hyperlink ref="E1525" r:id="rId1407" xr:uid="{00FB4D17-2354-403F-B670-690DE499C1B4}"/>
    <hyperlink ref="E1526" r:id="rId1408" xr:uid="{595825BF-3B64-418D-8574-8C7CC6CA42D6}"/>
    <hyperlink ref="E1527" r:id="rId1409" xr:uid="{3DF99AB8-C259-4A7F-BBB6-EF641067DBB5}"/>
    <hyperlink ref="E1528" r:id="rId1410" xr:uid="{A6063A09-CFE7-4B1C-BC91-734A02F4ACE3}"/>
    <hyperlink ref="E1529" r:id="rId1411" xr:uid="{4208F29A-548C-40ED-9A37-7910CF93487A}"/>
    <hyperlink ref="E1530" r:id="rId1412" xr:uid="{72C42238-B947-4BA6-BC04-B18C6978CD6D}"/>
    <hyperlink ref="E1531" r:id="rId1413" xr:uid="{AEDE624E-0C0F-43A4-8E9D-6F513CAB4CBD}"/>
    <hyperlink ref="E1533" r:id="rId1414" xr:uid="{C12BFA32-C728-4356-A284-198693BB9ECA}"/>
    <hyperlink ref="E1534" r:id="rId1415" xr:uid="{BA5E105C-297E-4ECA-851D-7B9ACE285377}"/>
    <hyperlink ref="E1535" r:id="rId1416" xr:uid="{BB44C557-322A-4307-9BEB-575A68738398}"/>
    <hyperlink ref="E1536" r:id="rId1417" xr:uid="{86174771-ED3F-457C-888A-BE8C0F29F85D}"/>
    <hyperlink ref="E1537" r:id="rId1418" xr:uid="{DD49E390-6E81-4BC7-9B38-AE83C05DA1BC}"/>
    <hyperlink ref="E1538" r:id="rId1419" xr:uid="{48046238-2EF0-4796-83DA-30BFEDA412A9}"/>
    <hyperlink ref="E1539" r:id="rId1420" xr:uid="{E2F1DB90-1E04-48FE-A655-D134FA972D80}"/>
    <hyperlink ref="E1540" r:id="rId1421" xr:uid="{F877AB20-5478-4079-9CAC-060264DEEDB7}"/>
    <hyperlink ref="E1541" r:id="rId1422" xr:uid="{A50A402E-7394-4D8A-804B-B3C4858ACDC7}"/>
    <hyperlink ref="E1542" r:id="rId1423" xr:uid="{994C769E-54A4-4D48-8782-EBF4BBC7E804}"/>
    <hyperlink ref="E1543" r:id="rId1424" xr:uid="{2FFC483B-7596-4BC7-87A7-B7CEC8E3A32F}"/>
    <hyperlink ref="E1544" r:id="rId1425" xr:uid="{C68A1B6D-19E4-40C8-8E8A-61083B258B37}"/>
    <hyperlink ref="E1545" r:id="rId1426" xr:uid="{3A049C7F-3A7B-45B1-8FF8-5CFA113BD4A4}"/>
    <hyperlink ref="E1546" r:id="rId1427" xr:uid="{ECF16B9C-070B-4BE3-8E4E-E8A5AFBD0CA8}"/>
    <hyperlink ref="E1547" r:id="rId1428" xr:uid="{D95430A6-24A4-4774-BF6C-95B3A2D4682B}"/>
    <hyperlink ref="E1548" r:id="rId1429" xr:uid="{3FAA3727-E468-43E7-9476-2E1213D9BC40}"/>
    <hyperlink ref="E1549" r:id="rId1430" xr:uid="{F26B7CDC-FD7D-4B23-A7CC-2015AAB00526}"/>
    <hyperlink ref="E1550" r:id="rId1431" xr:uid="{DEC0E27E-828E-448F-9674-D2CA860CBAB7}"/>
    <hyperlink ref="E1551" r:id="rId1432" xr:uid="{8720DB07-6913-4800-B14C-65F3A0E07DC9}"/>
    <hyperlink ref="E1552" r:id="rId1433" xr:uid="{EF48622F-E26A-4688-8270-9068EC98DB47}"/>
    <hyperlink ref="E1553" r:id="rId1434" xr:uid="{79418BFB-7DB3-4616-9A24-B8D3714EEFA9}"/>
    <hyperlink ref="E1555" r:id="rId1435" xr:uid="{86910F9B-69DC-43ED-B65A-F81FE454F221}"/>
    <hyperlink ref="E1556" r:id="rId1436" xr:uid="{1E479840-DCB7-4A92-821B-92AD7C512DF9}"/>
    <hyperlink ref="E1557" r:id="rId1437" xr:uid="{8038C65A-0D74-4B64-958F-262108C565A5}"/>
    <hyperlink ref="E1559" r:id="rId1438" xr:uid="{0CC0BE1D-CFA5-4F0D-BFAF-9D9604885941}"/>
    <hyperlink ref="E1560" r:id="rId1439" xr:uid="{DCA06925-43D2-4ED6-81AF-CCCBE9314FE2}"/>
    <hyperlink ref="E1532" r:id="rId1440" xr:uid="{7D6E4954-C56F-49FD-9B88-A08A97CEE13D}"/>
    <hyperlink ref="E1561" r:id="rId1441" xr:uid="{791A98B6-A489-4445-B183-7EF1674761D0}"/>
    <hyperlink ref="E1562" r:id="rId1442" xr:uid="{3DBDB736-6696-4616-9B00-8C73E0F57F6F}"/>
    <hyperlink ref="E1563" r:id="rId1443" xr:uid="{2474AA0B-BBA6-4999-9112-D2C5D6132862}"/>
    <hyperlink ref="E1564" r:id="rId1444" xr:uid="{8B82B2A0-EED1-46D4-A038-545DE7098A04}"/>
    <hyperlink ref="E1565" r:id="rId1445" xr:uid="{F7161B64-BF5D-4527-B45A-2BA9C5C52D83}"/>
    <hyperlink ref="E1571" r:id="rId1446" xr:uid="{E326368E-F58E-4E50-BE12-283603C9EB36}"/>
    <hyperlink ref="E1577" r:id="rId1447" xr:uid="{8D9F61C8-027A-4036-B7C5-859534688D89}"/>
    <hyperlink ref="E1578" r:id="rId1448" xr:uid="{E483F595-EE99-4D40-90B7-5C8D94338C4A}"/>
    <hyperlink ref="E1576" r:id="rId1449" xr:uid="{0A5DB176-BF66-4BD7-A53D-52B90C07F77C}"/>
    <hyperlink ref="E1575" r:id="rId1450" xr:uid="{DCE44287-6B17-448B-9399-11B7639C12EB}"/>
    <hyperlink ref="E1567" r:id="rId1451" xr:uid="{D5B84F1A-FD7B-44BD-A038-92E28ED57AB4}"/>
    <hyperlink ref="E1566" r:id="rId1452" xr:uid="{FD947170-A542-489E-A2B2-8F84D6A90E3E}"/>
    <hyperlink ref="E1572" r:id="rId1453" xr:uid="{62F1EAD1-A24F-471C-88F5-EC955B94978B}"/>
    <hyperlink ref="E1583" r:id="rId1454" xr:uid="{FB8264D8-196B-41EA-A806-646118569825}"/>
    <hyperlink ref="E1584" r:id="rId1455" xr:uid="{9763B859-8450-413D-AF34-AACECE0A2BDB}"/>
    <hyperlink ref="E1587" r:id="rId1456" xr:uid="{9C70B78D-05A3-435B-9EA8-D49BDC53569B}"/>
    <hyperlink ref="E1588" r:id="rId1457" xr:uid="{46967906-E94E-4DA4-93E9-C8FE13708218}"/>
    <hyperlink ref="E1589" r:id="rId1458" xr:uid="{F4AA98A5-DF1C-4CBF-A579-225FDFB7E9D7}"/>
    <hyperlink ref="E1590" r:id="rId1459" xr:uid="{1632AAA4-DF7F-4BA9-ADCC-B413FF2F4C4B}"/>
    <hyperlink ref="E1591" r:id="rId1460" xr:uid="{D15B4C48-5C80-4344-A21C-2C812AB143D2}"/>
    <hyperlink ref="E1592" r:id="rId1461" xr:uid="{EE672C01-AD6B-4B98-891C-1D9E5E639199}"/>
    <hyperlink ref="E1593" r:id="rId1462" xr:uid="{549FF8B9-20C8-476A-AF9D-4ADB94BCA01C}"/>
    <hyperlink ref="E1594" r:id="rId1463" xr:uid="{1F7B080B-44B2-474A-AD2B-236C3705F9B7}"/>
    <hyperlink ref="E1595" r:id="rId1464" display="mailto:randyv24@gmail.com" xr:uid="{B453145D-FB44-4D6D-BF90-EBD732169444}"/>
    <hyperlink ref="E1596" r:id="rId1465" display="mailto:tadajaallenx3@gmail.com" xr:uid="{C5EF1C01-14EF-4A19-BA95-CFB68F5EACD5}"/>
    <hyperlink ref="E1597" r:id="rId1466" display="mailto:kayvonburks67@gmail.com" xr:uid="{E88A666C-3DDF-460B-A9D3-3A089605748F}"/>
    <hyperlink ref="E1598" r:id="rId1467" display="mailto:javierc.rtt@gmail.com" xr:uid="{C77E8B5A-E0C5-4418-9B7A-4DDBC8A3F433}"/>
    <hyperlink ref="E1599" r:id="rId1468" display="mailto:tammy.lawrence9@icloud.com" xr:uid="{228C7CCC-DFB1-49C0-80E2-C5EC72E4458A}"/>
    <hyperlink ref="E1600" r:id="rId1469" display="mailto:Kayleelebron000@gmail.com" xr:uid="{737BC1B8-719B-40A0-A4CD-C98707794DF3}"/>
    <hyperlink ref="E1602" r:id="rId1470" xr:uid="{A504FCA1-3440-4A2B-9A50-B10394878F5A}"/>
    <hyperlink ref="E1603" r:id="rId1471" xr:uid="{1C3D20F6-591E-457F-9813-1565776DB95C}"/>
    <hyperlink ref="E1604" r:id="rId1472" xr:uid="{EEC6CBCC-3531-437E-A200-080192B7862E}"/>
    <hyperlink ref="E1605" r:id="rId1473" xr:uid="{2E9C369C-256F-47CF-8DC6-0571506042DE}"/>
    <hyperlink ref="E1606" r:id="rId1474" xr:uid="{CF531F31-9039-4722-A8C2-495D06B78B47}"/>
    <hyperlink ref="E1607" r:id="rId1475" xr:uid="{1276851B-3504-42B0-8560-5C5F7FF9527C}"/>
    <hyperlink ref="E1608" r:id="rId1476" xr:uid="{E9FC961C-A590-43DD-94DE-CB97BD62D1BA}"/>
    <hyperlink ref="E1609" r:id="rId1477" xr:uid="{B8CC0EB3-0AEA-4CF8-8CEF-376D41223B16}"/>
    <hyperlink ref="E1610" r:id="rId1478" xr:uid="{232D8FDC-6660-4C45-A46D-A7A2A887B00C}"/>
    <hyperlink ref="E1611" r:id="rId1479" xr:uid="{A408AC38-496D-439D-B629-4B0C1F5840CC}"/>
    <hyperlink ref="E1612" r:id="rId1480" xr:uid="{230C41B8-B53E-4DFF-9F37-D1ED16337181}"/>
    <hyperlink ref="E1613" r:id="rId1481" xr:uid="{DD53F00C-E778-4024-B09F-14A0A183D955}"/>
    <hyperlink ref="E1614" r:id="rId1482" xr:uid="{CE7003AA-7E56-4B1B-90CC-079F1CA51579}"/>
    <hyperlink ref="E1615" r:id="rId1483" display="mailto:cole.pirelli@outlook.com" xr:uid="{2332D248-018A-44BF-81DB-A4B77C313E81}"/>
    <hyperlink ref="E1616" r:id="rId1484" xr:uid="{DD65A754-54F2-4779-8340-5A33BEBEE8A8}"/>
    <hyperlink ref="E1617" r:id="rId1485" xr:uid="{DE78A1A0-00B4-4E12-9FF7-B0B0BED4C0B3}"/>
    <hyperlink ref="E1618" r:id="rId1486" xr:uid="{42FE9376-A20C-48F4-9C89-4E044C7FCDFF}"/>
    <hyperlink ref="E1619" r:id="rId1487" xr:uid="{BB82754B-A86A-46E7-BF5D-71A6147E3249}"/>
    <hyperlink ref="E1620" r:id="rId1488" xr:uid="{09464F78-C129-4AAD-9A78-26A705CEB3A7}"/>
    <hyperlink ref="E1621" r:id="rId1489" xr:uid="{86476C1E-0A2D-4A68-AD62-5455E16F6C67}"/>
    <hyperlink ref="E1622" r:id="rId1490" xr:uid="{ABC7FBA5-E6DC-4F6C-8A36-372FEAD12593}"/>
    <hyperlink ref="E1623" r:id="rId1491" xr:uid="{1BC9EE40-AFCB-43B2-A1F7-B4631FC77381}"/>
    <hyperlink ref="E1624" r:id="rId1492" xr:uid="{0F919730-45C0-4DF3-BAB0-0F0BFFC2DC0C}"/>
    <hyperlink ref="E1625" r:id="rId1493" xr:uid="{B206BD87-56E5-4A6C-9752-A99FA8CCC0AA}"/>
    <hyperlink ref="E1626" r:id="rId1494" xr:uid="{E956B4CD-EAD2-42FF-8932-56712A75CD18}"/>
    <hyperlink ref="E1627" r:id="rId1495" xr:uid="{DAF9A8EC-7682-4F42-9EA6-F6006575D106}"/>
    <hyperlink ref="E1628" r:id="rId1496" xr:uid="{C894D792-7FCD-4A92-9136-FDC3F0CC38A2}"/>
    <hyperlink ref="E1630" r:id="rId1497" xr:uid="{B0D09BF1-D092-4092-B5EB-AECA17E03526}"/>
    <hyperlink ref="E1631" r:id="rId1498" xr:uid="{2AA89AA7-E3DD-40E9-9D8B-519CEBAD2B32}"/>
    <hyperlink ref="E1633" r:id="rId1499" xr:uid="{00B692F5-7364-4BD4-BE0D-35BF5F8CBF6D}"/>
    <hyperlink ref="E1634" r:id="rId1500" xr:uid="{AF5C1CBD-6D22-4602-8ED9-5DDD3D251A51}"/>
    <hyperlink ref="E1635" r:id="rId1501" xr:uid="{C72A1247-C901-4747-99A6-B4AF95E7D9E7}"/>
    <hyperlink ref="E1636" r:id="rId1502" xr:uid="{F36B1CFA-C5CE-4522-B29A-291C52E316C8}"/>
    <hyperlink ref="E1637" r:id="rId1503" xr:uid="{015E5AFA-03D5-4B3C-A2DA-A11C061C8D8A}"/>
    <hyperlink ref="E1638" r:id="rId1504" xr:uid="{DC91E371-7286-481E-AAAE-10A9558FEF9D}"/>
    <hyperlink ref="E1639" r:id="rId1505" xr:uid="{C2F0C01F-1E86-4932-B54B-AE895E618B5B}"/>
    <hyperlink ref="E1640" r:id="rId1506" xr:uid="{26E93CCE-04BA-4E72-A6B7-229045DD6E29}"/>
    <hyperlink ref="E1641" r:id="rId1507" xr:uid="{1C51C8E4-BE1D-407C-B8C9-784B9FDFBFFF}"/>
    <hyperlink ref="E1642" r:id="rId1508" xr:uid="{9B503635-8B16-44F6-9935-75C1805E9D59}"/>
    <hyperlink ref="E1645" r:id="rId1509" xr:uid="{87F94478-1F4A-4455-BCE5-522A9E85E7D1}"/>
    <hyperlink ref="E1643" r:id="rId1510" xr:uid="{1B085E0D-3921-4C4B-A738-942769B5E608}"/>
    <hyperlink ref="E1644" r:id="rId1511" xr:uid="{BD7A9B60-3885-40DF-AEA7-3D0816C76FA6}"/>
    <hyperlink ref="E1646" r:id="rId1512" xr:uid="{0EC5D5BB-3CF0-4256-B82D-8A601AB8419C}"/>
    <hyperlink ref="E1648" r:id="rId1513" xr:uid="{3B49D86D-DFD9-4EF2-A784-BA4BF344202D}"/>
    <hyperlink ref="E1647" r:id="rId1514" xr:uid="{EA078889-0F46-40CE-B4F0-7984A79E3D84}"/>
    <hyperlink ref="E1649" r:id="rId1515" xr:uid="{F712FF91-CDDF-440D-B96B-E56550313090}"/>
    <hyperlink ref="E1650" r:id="rId1516" xr:uid="{D0ED0E66-98D5-4EFF-9A7B-9E325B3F1E8C}"/>
    <hyperlink ref="E1651" r:id="rId1517" xr:uid="{9B284D28-695B-4E27-8E63-80567B37E502}"/>
    <hyperlink ref="E1652" r:id="rId1518" xr:uid="{EA1CC334-1270-40D6-8CC6-B94C480F5CBC}"/>
    <hyperlink ref="E1653" r:id="rId1519" xr:uid="{FF71F5D8-998E-4AA4-9BB6-3598D8FD08B9}"/>
    <hyperlink ref="E1654" r:id="rId1520" xr:uid="{1417DB0E-B24A-4BEF-BFD1-1631D4EDD1FA}"/>
    <hyperlink ref="E1655" r:id="rId1521" xr:uid="{A03B01A9-6392-4B97-B18C-C7E8D7326465}"/>
    <hyperlink ref="E1656" r:id="rId1522" xr:uid="{74E2BC06-33C8-4CCC-958E-EC2A259C57DE}"/>
    <hyperlink ref="E1657" r:id="rId1523" xr:uid="{0FB08C0E-A843-4C3A-A5DC-E8500FAE73DB}"/>
    <hyperlink ref="E1658" r:id="rId1524" xr:uid="{7ED70512-E794-49FC-BC76-C0E0471408F4}"/>
    <hyperlink ref="E1659" r:id="rId1525" xr:uid="{FD803435-A5F2-44AA-A9C6-B5767B2D9CBF}"/>
    <hyperlink ref="E1660" r:id="rId1526" xr:uid="{AF8683E3-A846-48F9-A267-5521582C9196}"/>
    <hyperlink ref="E1661" r:id="rId1527" xr:uid="{1AE86721-6D90-44D4-AD0E-CFB01A442DAC}"/>
    <hyperlink ref="E1663" r:id="rId1528" xr:uid="{58BCC5C8-A5A5-4242-BEA9-E004DA9F92F5}"/>
    <hyperlink ref="E1664" r:id="rId1529" xr:uid="{9509959C-034A-4119-B453-949D6E01E3CC}"/>
    <hyperlink ref="E1665" r:id="rId1530" xr:uid="{BA5ED5FF-DFC5-4868-94B6-BCC4542763A0}"/>
    <hyperlink ref="E1666" r:id="rId1531" xr:uid="{967CA96A-9BAD-4A90-87FC-823C310DB11A}"/>
    <hyperlink ref="E1667" r:id="rId1532" xr:uid="{9C4299FE-0669-4A0F-BF66-45CA57A9ABF7}"/>
    <hyperlink ref="E1668" r:id="rId1533" xr:uid="{F4D8DA13-92AD-4240-A247-BDED20B0E2B5}"/>
    <hyperlink ref="E1669" r:id="rId1534" xr:uid="{87E3D20A-CD54-4281-B6EF-65E1344CE82F}"/>
    <hyperlink ref="E1670" r:id="rId1535" xr:uid="{62BE3CFF-6715-499F-948B-DCCC6F4FE140}"/>
    <hyperlink ref="E1671" r:id="rId1536" xr:uid="{A9FCC894-A733-4564-A5D0-A6D513A3BE56}"/>
    <hyperlink ref="E1672" r:id="rId1537" xr:uid="{E195CE71-E82E-4677-AD10-4408DCBF7865}"/>
    <hyperlink ref="E1674" r:id="rId1538" xr:uid="{C4F788B9-E60D-4935-9BDA-2807C9D09B96}"/>
    <hyperlink ref="E1675" r:id="rId1539" xr:uid="{C02EDB5E-959F-4633-8377-A6501A2A0AC5}"/>
    <hyperlink ref="E1676" r:id="rId1540" xr:uid="{608851A5-5C98-4AC9-81DC-AFB85710ACBC}"/>
    <hyperlink ref="E1677" r:id="rId1541" xr:uid="{1063D4BF-0208-4CE4-8C0D-954C25E7016C}"/>
    <hyperlink ref="E1678" r:id="rId1542" xr:uid="{A4AFCC6E-642A-44CF-8151-3D9ED3EC9C8C}"/>
    <hyperlink ref="E1679" r:id="rId1543" xr:uid="{3DBFC1B4-1F44-4633-BDC0-2837A1CD3F91}"/>
    <hyperlink ref="E1680" r:id="rId1544" xr:uid="{B118B986-800A-487C-8559-EA6CC170EAFF}"/>
    <hyperlink ref="E1681" r:id="rId1545" xr:uid="{4EAF9932-0799-40BE-8705-EC43DD08B167}"/>
    <hyperlink ref="E1682" r:id="rId1546" xr:uid="{66DDA248-73D1-4097-9707-F929ECAB7FCE}"/>
    <hyperlink ref="E1683" r:id="rId1547" xr:uid="{343C5939-79AE-4E0D-AA7E-67F04975DDF6}"/>
    <hyperlink ref="E1684" r:id="rId1548" display="mailto:catherinelopes94@gmail.com" xr:uid="{E6345A44-0070-4405-8F49-B9BF076C305E}"/>
    <hyperlink ref="E1685" r:id="rId1549" xr:uid="{C77C3335-8BF8-45DB-AC01-52327A3CBA7E}"/>
    <hyperlink ref="E1686" r:id="rId1550" xr:uid="{08FC1938-639C-40F9-9A42-10AB79EBE818}"/>
    <hyperlink ref="E1687" r:id="rId1551" xr:uid="{21A15572-015C-4A83-AE85-530196AB330C}"/>
    <hyperlink ref="E1688" r:id="rId1552" xr:uid="{1CD23E5E-76D4-4004-88C4-14A4F8F6F54B}"/>
    <hyperlink ref="E1689" r:id="rId1553" xr:uid="{C7580566-FB04-41F7-9AE4-24185B1DD431}"/>
    <hyperlink ref="E1690" r:id="rId1554" xr:uid="{AFAE1C3A-8E2B-4CAD-9EE9-43AEAC71717C}"/>
    <hyperlink ref="E1691" r:id="rId1555" xr:uid="{4C164290-A461-4E4B-B071-61C522E730EC}"/>
    <hyperlink ref="E1692" r:id="rId1556" xr:uid="{5BB70048-1E56-4FA8-8783-5C999D5F9C42}"/>
    <hyperlink ref="E1693" r:id="rId1557" xr:uid="{9D0A4D28-7652-4B85-A03F-49F50C14617D}"/>
    <hyperlink ref="E1694" r:id="rId1558" xr:uid="{245CA477-C3BC-497A-BBC1-7FE4121CB9A1}"/>
    <hyperlink ref="E1695" r:id="rId1559" xr:uid="{B5E9254C-67C3-40AD-8146-72D482377E57}"/>
    <hyperlink ref="E1696" r:id="rId1560" xr:uid="{2F6A16AC-3834-426B-8F4A-DDB3F8C34CD7}"/>
    <hyperlink ref="E1697" r:id="rId1561" xr:uid="{B01ED25D-F703-4278-90E1-3AE1CCDD517B}"/>
    <hyperlink ref="E1699" r:id="rId1562" xr:uid="{6F80F70E-A079-4388-91A0-BFEB4EB9C51F}"/>
    <hyperlink ref="E1700" r:id="rId1563" xr:uid="{FD74CB05-04D4-46B4-9CDF-864147E29548}"/>
    <hyperlink ref="E1701" r:id="rId1564" xr:uid="{A62C052A-B449-4850-B80E-FC0B6D33FF76}"/>
    <hyperlink ref="E1702" r:id="rId1565" xr:uid="{3EEB4E44-ABF8-4591-A30A-998490E9F542}"/>
    <hyperlink ref="E1703" r:id="rId1566" xr:uid="{DD7E7646-D42D-49D2-9D33-5EB82B9ED582}"/>
    <hyperlink ref="E1704" r:id="rId1567" xr:uid="{06558AB1-5B93-4EF7-8853-66FAB320C332}"/>
    <hyperlink ref="E1705" r:id="rId1568" xr:uid="{116E9E68-F4D9-400E-911F-BB182E354FAE}"/>
    <hyperlink ref="E1706" r:id="rId1569" xr:uid="{E20D1115-F7FC-431F-A407-1694BA41BC3B}"/>
    <hyperlink ref="E1708" r:id="rId1570" xr:uid="{4F1C74AA-25CA-4F2F-8F44-937DB1063CD0}"/>
    <hyperlink ref="E1709" r:id="rId1571" xr:uid="{F7D2BEE9-4C30-4470-80DE-977EB42CBAFF}"/>
    <hyperlink ref="E1710" r:id="rId1572" xr:uid="{E739E5C4-527C-4C26-97D0-A641C528C402}"/>
    <hyperlink ref="E1711" r:id="rId1573" xr:uid="{B9D41208-8887-4187-8FEC-9E0E2DF0893D}"/>
    <hyperlink ref="E1712" r:id="rId1574" xr:uid="{F7032B50-16EF-4436-BC29-D4E9D6F652E6}"/>
    <hyperlink ref="E1713" r:id="rId1575" xr:uid="{3F4247E2-EA3B-407F-B966-49D05064540E}"/>
    <hyperlink ref="E1714" r:id="rId1576" xr:uid="{4E6A4953-D11E-40D1-B9C6-2C1C365E3D9E}"/>
    <hyperlink ref="E1715" r:id="rId1577" xr:uid="{6B77AF9E-53D1-4FEA-8F3C-65F9D9EF8F59}"/>
    <hyperlink ref="E1716" r:id="rId1578" xr:uid="{E6C27001-FE93-4965-8779-BB0BCBDBE6B4}"/>
    <hyperlink ref="E1717" r:id="rId1579" xr:uid="{883AE077-E378-4D4C-ABF0-0E3D5CFAA864}"/>
    <hyperlink ref="E1718" r:id="rId1580" xr:uid="{0FD64508-85F8-40A4-8DBE-AD0AE0CA34C3}"/>
    <hyperlink ref="E1719" r:id="rId1581" xr:uid="{96236768-DF3F-4C86-B286-9EEEA1D60C68}"/>
    <hyperlink ref="E1720" r:id="rId1582" xr:uid="{853744DA-50FF-4C3A-B355-7AD79009E775}"/>
    <hyperlink ref="E1721" r:id="rId1583" xr:uid="{C8B8066B-4AE2-43C3-9AF4-8BB9E85E7D9B}"/>
    <hyperlink ref="E1722" r:id="rId1584" xr:uid="{944A87BB-4EE2-40E5-BC64-B651C74A06BE}"/>
    <hyperlink ref="E1723" r:id="rId1585" display="mailto:abdihassan28@gmail.com" xr:uid="{27BE9C98-EE14-4E4B-8276-B109392AB6F8}"/>
    <hyperlink ref="E1724" r:id="rId1586" xr:uid="{2948F07D-9A1C-4CF5-B2BE-EEB852896016}"/>
    <hyperlink ref="E1725" r:id="rId1587" xr:uid="{EEB9137D-6007-4AA1-A635-3EADF3066EF8}"/>
    <hyperlink ref="E1726" r:id="rId1588" xr:uid="{3496C4FE-F4F8-4ED9-8531-CD7A1F03BF9A}"/>
    <hyperlink ref="E1727" r:id="rId1589" xr:uid="{7CBCEFC7-7455-4876-A9B9-F6DF41A05A7B}"/>
    <hyperlink ref="E1728" r:id="rId1590" xr:uid="{0CDA971E-7172-49AC-BF4C-13FADCBE1025}"/>
    <hyperlink ref="E1729" r:id="rId1591" xr:uid="{BD4D4A31-3B9D-46B3-8EAD-748147C38BAF}"/>
    <hyperlink ref="E1730" r:id="rId1592" xr:uid="{336D67D7-5EAC-4071-8F3C-E85482ED54F5}"/>
    <hyperlink ref="E1731" r:id="rId1593" xr:uid="{02046EDF-361B-41C3-9EF8-61992DDBDEC4}"/>
    <hyperlink ref="E1732" r:id="rId1594" xr:uid="{C8816617-6562-42C3-9BBF-0A04324A1D9C}"/>
    <hyperlink ref="E1733" r:id="rId1595" xr:uid="{CF0D1870-EA06-427E-81FF-D742C62E478E}"/>
    <hyperlink ref="E1734" r:id="rId1596" xr:uid="{13054D55-D290-45A6-BFC3-9CFA1B6AB5C0}"/>
    <hyperlink ref="E1735" r:id="rId1597" xr:uid="{9E4F1D9E-6ED2-4B26-9D13-3E7BB8D5186A}"/>
    <hyperlink ref="E1736" r:id="rId1598" xr:uid="{E8C05411-CE45-4EC2-88E6-F32690CA0A0C}"/>
    <hyperlink ref="E1737" r:id="rId1599" display="mailto:gutolopes95@gmail.com" xr:uid="{DCA60607-9481-4FEB-8FB7-F88289EB2FDD}"/>
    <hyperlink ref="E1738" r:id="rId1600" xr:uid="{2753D639-D8AA-4BC1-93E5-16B362EA841B}"/>
    <hyperlink ref="E1739" r:id="rId1601" xr:uid="{7C20C9B6-E791-4CD9-B63C-3C260B5BB02E}"/>
    <hyperlink ref="E1740" r:id="rId1602" xr:uid="{D81D782E-9473-45E6-8ADC-6FBA86BDD8C1}"/>
    <hyperlink ref="E1741" r:id="rId1603" xr:uid="{91572FDF-BD3C-4E84-9C45-FAA7F09761E5}"/>
    <hyperlink ref="E1742" r:id="rId1604" xr:uid="{E171A567-8F04-4F36-BAAA-EFBD17B99E20}"/>
    <hyperlink ref="E1743" r:id="rId1605" xr:uid="{65879667-160C-4259-A9C4-7DB18408FD37}"/>
    <hyperlink ref="E1744" r:id="rId1606" xr:uid="{ADD78CE7-0A20-40E9-9351-F6EF5DB3FD59}"/>
    <hyperlink ref="E1745" r:id="rId1607" xr:uid="{2BD46CB4-EC8A-468C-9138-A64EEE65C5E3}"/>
    <hyperlink ref="E1746" r:id="rId1608" xr:uid="{EEEC9F20-CA9C-4FCD-8B46-D005BFBC7E41}"/>
    <hyperlink ref="E1747" r:id="rId1609" xr:uid="{A4E026FD-51CB-46F7-B01E-BACACC82E1F2}"/>
    <hyperlink ref="E1748" r:id="rId1610" xr:uid="{4B693785-A1C8-41CB-92E5-6FF1085715B2}"/>
    <hyperlink ref="E1749" r:id="rId1611" xr:uid="{7111E5D2-2FDF-4FB7-B282-D9836C9DF6B3}"/>
    <hyperlink ref="E1750" r:id="rId1612" display="mailto:exantus.alcimbert@gmail.com" xr:uid="{85FABB4D-CEB1-4EE5-9499-108EFE7D3C88}"/>
    <hyperlink ref="E1751" r:id="rId1613" xr:uid="{BF711B3D-F5AF-455B-902B-6295A1A2F1C3}"/>
    <hyperlink ref="E1753" r:id="rId1614" xr:uid="{CF7C34A9-3DBA-4AF6-B7B4-AD7689A15E3F}"/>
    <hyperlink ref="E1754" r:id="rId1615" xr:uid="{B619D29E-A1F2-4265-BEF0-ECB866FEAB10}"/>
    <hyperlink ref="E1755" r:id="rId1616" xr:uid="{31B3B1BD-2F55-4A3E-B59D-FBFEA4DED219}"/>
    <hyperlink ref="E1756" r:id="rId1617" xr:uid="{DFB7AA93-DE88-4F0F-83CB-9192FE3B6D12}"/>
    <hyperlink ref="E1757" r:id="rId1618" xr:uid="{2629F3D1-DBB9-4786-81BC-A953AC59D60C}"/>
    <hyperlink ref="E1758" r:id="rId1619" xr:uid="{9B04BEAE-AC6B-417F-B581-62477E4E2D55}"/>
    <hyperlink ref="E1759" r:id="rId1620" xr:uid="{F24F0916-09EA-4E65-B49E-C1A8105D7C32}"/>
    <hyperlink ref="E1760" r:id="rId1621" xr:uid="{ED625D15-2E8B-4FD3-AB33-221B37A3349A}"/>
    <hyperlink ref="E1761" r:id="rId1622" xr:uid="{DFC43375-7996-4935-9122-D13DCC7248BE}"/>
    <hyperlink ref="E1762" r:id="rId1623" xr:uid="{15119CC0-5317-449B-8BFE-346815CBB284}"/>
    <hyperlink ref="E1763" r:id="rId1624" xr:uid="{966917B3-3AE5-47E0-A0CA-D926544405B8}"/>
    <hyperlink ref="E1764" r:id="rId1625" xr:uid="{13B0D415-723A-4E7F-9FF0-D3176F33486A}"/>
    <hyperlink ref="E1765" r:id="rId1626" xr:uid="{ABBE2E09-A194-48C1-87F9-545655089714}"/>
    <hyperlink ref="E1766" r:id="rId1627" xr:uid="{EFC0045E-8418-450B-8AC5-4FB48CB9632F}"/>
    <hyperlink ref="E1767" r:id="rId1628" xr:uid="{D16B993E-7C01-47D7-BE0A-FA4617EF0A87}"/>
    <hyperlink ref="E1768" r:id="rId1629" xr:uid="{A6382503-D04B-445E-9FC9-0E34B4468F6B}"/>
    <hyperlink ref="E1769" r:id="rId1630" xr:uid="{F92ABB31-BEFD-44C6-9CE0-980AA39116F9}"/>
    <hyperlink ref="E1770" r:id="rId1631" xr:uid="{E2C78196-B987-4150-90EA-AE1D5207BFD8}"/>
    <hyperlink ref="E1771" r:id="rId1632" xr:uid="{E2CCB2DD-54D9-430C-ABE1-6ECF512ECFB0}"/>
    <hyperlink ref="E1772" r:id="rId1633" xr:uid="{DF3B7476-DD76-4DE6-A171-532ADC20735D}"/>
    <hyperlink ref="E1773" r:id="rId1634" xr:uid="{E235121B-C978-4A38-9ADB-7A500FAA0BE7}"/>
    <hyperlink ref="E1774" r:id="rId1635" xr:uid="{257104DE-2E95-4263-99D2-4B1047484AAE}"/>
    <hyperlink ref="E1775" r:id="rId1636" xr:uid="{7E3C42BF-56B4-44C8-9215-4A9D3C0410BD}"/>
    <hyperlink ref="E1776" r:id="rId1637" xr:uid="{CDBED95C-E51C-4515-B22B-336F2F91E166}"/>
    <hyperlink ref="E1777" r:id="rId1638" xr:uid="{18485681-B0E4-44EC-B0E7-943723117F0C}"/>
    <hyperlink ref="E1778" r:id="rId1639" xr:uid="{24857018-4178-4DEE-8306-434110039355}"/>
    <hyperlink ref="E1780" r:id="rId1640" xr:uid="{051C19FE-65CB-4666-898D-2B970D302B1E}"/>
    <hyperlink ref="E1781" r:id="rId1641" xr:uid="{59185814-499A-4CA5-9048-0D2D27BD1BBB}"/>
    <hyperlink ref="E1782" r:id="rId1642" xr:uid="{6FBEDBDE-61C4-4B5F-8C6A-FA0B6B4E156E}"/>
    <hyperlink ref="E1783" r:id="rId1643" xr:uid="{332C635F-2597-4EC0-AFD1-E345BA62BB73}"/>
    <hyperlink ref="E1784" r:id="rId1644" xr:uid="{42E07592-C835-4380-8D2C-FC5A4A24D7A7}"/>
    <hyperlink ref="E1785" r:id="rId1645" xr:uid="{27D4D281-DABE-462C-8046-382927104BEE}"/>
    <hyperlink ref="E1786" r:id="rId1646" xr:uid="{F5EF0EB0-D38A-428A-B626-55D9F9721B6F}"/>
    <hyperlink ref="E1787" r:id="rId1647" xr:uid="{E952C295-51CA-4FDE-9535-8C1B0B4A8304}"/>
    <hyperlink ref="E1789" r:id="rId1648" xr:uid="{C67F232B-AFAB-4D8A-9028-44210209F021}"/>
    <hyperlink ref="E1790" r:id="rId1649" xr:uid="{982E0F30-8EB2-4BCD-B7F6-D39B06AC5AC0}"/>
    <hyperlink ref="E1791" r:id="rId1650" xr:uid="{EB3A52D9-988E-4A8B-9D73-55EFC87BBD73}"/>
    <hyperlink ref="E1792" r:id="rId1651" xr:uid="{A68C9A10-2683-4E92-B2E2-9FF3003361A0}"/>
    <hyperlink ref="E1793" r:id="rId1652" xr:uid="{8CFF39B2-7E65-46B0-9566-BB6F9D8EAAF8}"/>
    <hyperlink ref="E1794" r:id="rId1653" xr:uid="{4F8F8666-12DF-4A62-B7A5-D360676EE2C0}"/>
    <hyperlink ref="E1795" r:id="rId1654" xr:uid="{10EA35D4-9559-47F7-BDF4-518BD150839A}"/>
    <hyperlink ref="E1796" r:id="rId1655" xr:uid="{95A0B3CE-F2CB-4CF0-8D5F-911CE1BEF297}"/>
    <hyperlink ref="E1797" r:id="rId1656" xr:uid="{FF38F79E-9EED-4E1A-8A67-138B35E85919}"/>
    <hyperlink ref="E1798" r:id="rId1657" xr:uid="{99FB6238-7835-41EA-B85F-BFB9B5DB3791}"/>
    <hyperlink ref="E1799" r:id="rId1658" xr:uid="{A050D81C-0119-4B00-B89D-047BE76BCAAE}"/>
    <hyperlink ref="E1800" r:id="rId1659" xr:uid="{8FB142A1-55D8-49A9-AFBA-D54CB545A325}"/>
    <hyperlink ref="E1802" r:id="rId1660" xr:uid="{F19BBF58-9BEC-4915-909E-75B271305217}"/>
    <hyperlink ref="E1803" r:id="rId1661" xr:uid="{2D11117F-0DD5-4FE6-8D31-B2B6D1B8B6D7}"/>
    <hyperlink ref="E1804" r:id="rId1662" xr:uid="{A3DED294-285F-449F-A71C-636D69B9F226}"/>
    <hyperlink ref="E1805" r:id="rId1663" xr:uid="{7981D907-04B0-4C02-8E50-D1CBE92523DA}"/>
    <hyperlink ref="E1698" r:id="rId1664" xr:uid="{C796A336-AFA4-44A4-9D37-D4454DEC0DD0}"/>
    <hyperlink ref="E1806" r:id="rId1665" xr:uid="{3CE99BEC-15B4-46D5-99E4-F7A39602959A}"/>
    <hyperlink ref="E1807" r:id="rId1666" xr:uid="{AE61441A-66F2-4931-B4E9-E113FD497F72}"/>
    <hyperlink ref="E1808" r:id="rId1667" xr:uid="{7EC759C6-261E-4D97-A13E-AA3C74B0B883}"/>
    <hyperlink ref="E1809" r:id="rId1668" xr:uid="{69346DF5-E121-4342-BD66-743026058CE8}"/>
    <hyperlink ref="E1810" r:id="rId1669" xr:uid="{12CD0698-1A2F-42CA-BC14-17D061CBCA58}"/>
    <hyperlink ref="E1811" r:id="rId1670" xr:uid="{4C712A33-2522-4118-BF6E-0B6AB29F6B97}"/>
    <hyperlink ref="E1812" r:id="rId1671" xr:uid="{A8072DA6-3185-4573-A559-E2B2495B04E0}"/>
    <hyperlink ref="E1813" r:id="rId1672" xr:uid="{0499AE09-C727-4645-9B12-D6C87B7EDA0D}"/>
    <hyperlink ref="E1814" r:id="rId1673" xr:uid="{FBE2EF96-F13C-4383-8468-EA9FC54CA352}"/>
    <hyperlink ref="E319" r:id="rId1674" xr:uid="{CFE18E01-1301-4764-87E3-47D9E69C3137}"/>
    <hyperlink ref="E1815" r:id="rId1675" xr:uid="{1D9723A7-45E3-47FD-9598-9B0E41E579E7}"/>
    <hyperlink ref="E1816" r:id="rId1676" xr:uid="{4F852A9B-9363-408D-B563-20B17D49C581}"/>
    <hyperlink ref="E1817" r:id="rId1677" xr:uid="{B2CC98F8-8445-4C4E-B041-0A92B5CD4165}"/>
    <hyperlink ref="E1818" r:id="rId1678" xr:uid="{6B0E235E-00B8-4BF7-9215-BF4BE9CCB9CB}"/>
    <hyperlink ref="E1819" r:id="rId1679" xr:uid="{51C7AA16-1CA5-4E9E-803C-2191C5F63D9A}"/>
    <hyperlink ref="E1820" r:id="rId1680" xr:uid="{81E40F4B-B3DE-4C15-99B6-90B5BECCF4D8}"/>
    <hyperlink ref="E1821" r:id="rId1681" xr:uid="{28D189A5-DA50-415E-A54E-B26B1E54E923}"/>
    <hyperlink ref="E1822" r:id="rId1682" xr:uid="{95539116-060F-42D5-9B12-E493CE983B40}"/>
    <hyperlink ref="E1823" r:id="rId1683" xr:uid="{8683CFA7-4E6A-484E-9708-E988E83A4619}"/>
    <hyperlink ref="E1824" r:id="rId1684" xr:uid="{6218DF8E-A155-453E-AD6D-0DF522B18CEB}"/>
    <hyperlink ref="E1825" r:id="rId1685" xr:uid="{0BA21D54-C9B7-450D-BC0B-6B6EFFC2B751}"/>
    <hyperlink ref="E1826" r:id="rId1686" xr:uid="{B4859D52-DAEA-41BF-A3D2-8235C3660CEC}"/>
    <hyperlink ref="E1827" r:id="rId1687" xr:uid="{3F5AB60F-05CE-45F7-AAD3-63B8A3464B9C}"/>
    <hyperlink ref="E1828" r:id="rId1688" xr:uid="{286460AD-2CA8-433B-AF14-6609767BCD9A}"/>
    <hyperlink ref="E1829" r:id="rId1689" xr:uid="{B7790E30-003B-401E-96DA-20BF8445CE24}"/>
    <hyperlink ref="E1830" r:id="rId1690" xr:uid="{F48C1451-F6CC-4E4F-977B-99845AE2D9B0}"/>
    <hyperlink ref="E1831" r:id="rId1691" xr:uid="{F03F103E-78D8-4764-9F4E-79AB76EB06BC}"/>
    <hyperlink ref="E1832" r:id="rId1692" xr:uid="{AE2E38C4-426C-4870-9D94-ECA8578AF1B5}"/>
    <hyperlink ref="E1833" r:id="rId1693" xr:uid="{4B66756E-DEAD-45DA-9D8B-6CCFD2DBF1AF}"/>
    <hyperlink ref="E1834" r:id="rId1694" xr:uid="{2346822C-BB5B-4DC0-8018-BA9E45187458}"/>
    <hyperlink ref="E1835" r:id="rId1695" xr:uid="{DE62F4ED-EF46-456D-AED3-F6B83D76542C}"/>
    <hyperlink ref="E1836" r:id="rId1696" xr:uid="{F2F331A4-9FEA-4C0F-8CB0-410F148D78E7}"/>
    <hyperlink ref="E1837" r:id="rId1697" xr:uid="{F4679F2A-69A1-4BDF-8172-FC21BAFF69EC}"/>
    <hyperlink ref="E1838" r:id="rId1698" xr:uid="{6FE5C733-EE48-4BA3-A805-B5985D377E4F}"/>
    <hyperlink ref="E1840" r:id="rId1699" xr:uid="{8A88B4E4-30A4-4F4B-B2A8-AEF045C04B93}"/>
    <hyperlink ref="E1841" r:id="rId1700" xr:uid="{D7BF043F-99D6-476A-BAD6-983C68AFB094}"/>
    <hyperlink ref="E1842" r:id="rId1701" xr:uid="{D3C292FE-D0C6-4B4C-85FF-494E018A91C3}"/>
    <hyperlink ref="E1843" r:id="rId1702" xr:uid="{66B86A8D-E845-403C-B581-9BBC5BBCDAAE}"/>
    <hyperlink ref="E1844" r:id="rId1703" xr:uid="{2BDB6C48-3DD3-4881-9D02-EBF4A803B9C0}"/>
    <hyperlink ref="E1845" r:id="rId1704" xr:uid="{09DB76D1-CB0E-4BC6-99D0-698BFCE1B196}"/>
    <hyperlink ref="E1846" r:id="rId1705" xr:uid="{C86197DE-AA5E-4E41-9C60-C04780EF701A}"/>
    <hyperlink ref="E1847" r:id="rId1706" xr:uid="{156D7E07-7B26-4A28-8DD1-22BBEE475D94}"/>
    <hyperlink ref="E1848" r:id="rId1707" xr:uid="{FE77662E-95A0-43FF-96A0-F25F1F03AC1C}"/>
    <hyperlink ref="E1849" r:id="rId1708" xr:uid="{15B0A87E-B254-4AC0-A65B-B66BB0B61469}"/>
    <hyperlink ref="E1850" r:id="rId1709" xr:uid="{6C6C1D01-42BB-4721-93F5-B9A05B605BC2}"/>
    <hyperlink ref="E1851" r:id="rId1710" xr:uid="{8ACE61F9-5210-42FE-9E8E-4FF0F5E060C3}"/>
    <hyperlink ref="E1852" r:id="rId1711" xr:uid="{0582E1F7-D7F0-4047-B803-14862A2E93AF}"/>
    <hyperlink ref="E1853" r:id="rId1712" xr:uid="{92C611D7-3431-4212-B262-C039BF071D60}"/>
    <hyperlink ref="E1854" r:id="rId1713" tooltip="mailto:timdufresne73@gmail.com" display="mailto:timdufresne73@gmail.com" xr:uid="{DD38DCD8-0D1D-48E7-9089-81C1D32458B3}"/>
    <hyperlink ref="E1856" r:id="rId1714" tooltip="mailto:jrios2002@icloud.com" xr:uid="{C6E4E84E-3E89-48EE-828C-67DB153EED3B}"/>
    <hyperlink ref="E1857" r:id="rId1715" xr:uid="{861B55CD-1A34-4299-9C2E-DEB5AC6ED3B7}"/>
    <hyperlink ref="E1858" r:id="rId1716" xr:uid="{42E161A5-1FA2-40B5-9475-554B4162AA0D}"/>
    <hyperlink ref="E1859" r:id="rId1717" xr:uid="{D440654C-7136-418C-B8A5-DD9CFCC0EC4D}"/>
    <hyperlink ref="E1860" r:id="rId1718" xr:uid="{5DC81DDB-D155-42C6-9213-9430246CF56E}"/>
    <hyperlink ref="E1861" r:id="rId1719" xr:uid="{07D964F3-4DE9-4F53-BB7F-ACCD4D1F5CC4}"/>
    <hyperlink ref="E1862" r:id="rId1720" xr:uid="{6C51EE32-D490-433E-9938-EB721969209A}"/>
    <hyperlink ref="E1863" r:id="rId1721" xr:uid="{DC6F3410-D9FD-427F-9AA7-EEB7BEA8B98C}"/>
    <hyperlink ref="E1864" r:id="rId1722" xr:uid="{D626A4A7-6A53-4F24-ABCF-89B67C37716C}"/>
    <hyperlink ref="E1865" r:id="rId1723" xr:uid="{AFB730F8-F1E0-4673-915F-78A8AD2DEA96}"/>
    <hyperlink ref="E1866" r:id="rId1724" xr:uid="{C0F8925F-A0E5-4394-B0BD-0EBA81E484B2}"/>
    <hyperlink ref="E1867" r:id="rId1725" xr:uid="{E4C2A563-663A-458C-A505-614208B9FC47}"/>
    <hyperlink ref="E1868" r:id="rId1726" xr:uid="{1819364F-8164-41DC-8E14-AB4373B90F97}"/>
    <hyperlink ref="E1869" r:id="rId1727" xr:uid="{FE21481B-709B-4EF6-B857-57280B8FF9B9}"/>
    <hyperlink ref="E1558" r:id="rId1728" display="mailto:chel.leigh98@icloud.com" xr:uid="{08FAEF6E-3AFB-4AC4-AB52-DAFD992817F0}"/>
    <hyperlink ref="E1870" r:id="rId1729" xr:uid="{0B730602-9EAA-46E9-AD18-7AFEB4B839C5}"/>
    <hyperlink ref="E1872" r:id="rId1730" xr:uid="{0DDFFEA5-5895-41B4-B750-290022830A81}"/>
    <hyperlink ref="E1873" r:id="rId1731" xr:uid="{362252FB-18DC-4E1C-83A1-383896473BC0}"/>
    <hyperlink ref="E1875" r:id="rId1732" tooltip="mailto:oisaiah56@gmail.com" display="mailto:oisaiah56@gmail.com" xr:uid="{2C52E10B-CEB8-425C-B85C-3F29FFEABC23}"/>
    <hyperlink ref="E1874" r:id="rId1733" xr:uid="{59097F76-2AB1-489E-A13D-57F6979608A6}"/>
    <hyperlink ref="E1876" r:id="rId1734" xr:uid="{F003B50F-E544-4E7B-9054-C4F4A4201BD9}"/>
    <hyperlink ref="E1839" r:id="rId1735" xr:uid="{39B3B95D-9211-4A23-B8E2-A847D0EA5EBF}"/>
    <hyperlink ref="E1877" r:id="rId1736" xr:uid="{7DF4B830-48A0-485C-A341-84CC1611C82C}"/>
    <hyperlink ref="E1878" r:id="rId1737" xr:uid="{00FB6F7B-7961-4C3A-A825-9111D3BB4835}"/>
    <hyperlink ref="E1879" r:id="rId1738" xr:uid="{355BE61C-4608-4A47-A069-4B87B364DA14}"/>
    <hyperlink ref="E1871" r:id="rId1739" xr:uid="{AA9F8E4E-EC18-4E69-A261-835D94F83AC4}"/>
    <hyperlink ref="E1880" r:id="rId1740" xr:uid="{D1221D1E-D69F-4C0D-AC8E-F686FEF0AF64}"/>
    <hyperlink ref="E595" r:id="rId1741" xr:uid="{A3FA012A-EFBE-4721-B4AD-DFA7B18BA54F}"/>
    <hyperlink ref="E1881" r:id="rId1742" xr:uid="{572ACA19-040C-42F5-91F8-076D5A634671}"/>
    <hyperlink ref="E1882" r:id="rId1743" xr:uid="{E5F1DC75-737D-4F9A-9593-459A44FF4C4A}"/>
    <hyperlink ref="E1883" r:id="rId1744" xr:uid="{7FDAA6D6-33BD-4764-8F21-D84479A2326F}"/>
    <hyperlink ref="E1884" r:id="rId1745" xr:uid="{6B4812C8-AC68-4235-A996-70380430E0A6}"/>
    <hyperlink ref="E1885" r:id="rId1746" xr:uid="{BA3A1E25-7DF5-4534-8E49-EA5E4F2B7481}"/>
    <hyperlink ref="E1886" r:id="rId1747" xr:uid="{286C6505-4730-4F8F-BE17-935A5077AD08}"/>
    <hyperlink ref="E1887" r:id="rId1748" xr:uid="{7E4F8203-6263-4BE6-94DC-19E9B37D2983}"/>
    <hyperlink ref="E1888" r:id="rId1749" xr:uid="{E2D153A4-9C08-4822-8F9B-68B712D737AE}"/>
    <hyperlink ref="E1889" r:id="rId1750" xr:uid="{36641AC4-12A7-4854-8AE5-0A33B5C18130}"/>
    <hyperlink ref="E1890" r:id="rId1751" xr:uid="{418BC789-A9DA-4A76-B071-F0B97CB0E261}"/>
    <hyperlink ref="E1891" r:id="rId1752" xr:uid="{DFE3316A-A572-4122-B87B-B599323E3BA0}"/>
    <hyperlink ref="E1892" r:id="rId1753" xr:uid="{0C2CF74F-1449-482E-AB66-F5F56086DA94}"/>
    <hyperlink ref="E1893" r:id="rId1754" xr:uid="{B11FE7D3-A63D-4FF6-AC85-7B193B8F9B02}"/>
    <hyperlink ref="E1894" r:id="rId1755" xr:uid="{2E7A415F-FE36-48A6-B550-2456314A7BDF}"/>
    <hyperlink ref="E1895" r:id="rId1756" xr:uid="{AEDF14FE-A9A6-478C-B15B-8741EBACCE60}"/>
    <hyperlink ref="E1896" r:id="rId1757" xr:uid="{9CA8118D-0A3B-46AC-89C0-7EA13F353995}"/>
    <hyperlink ref="E1897" r:id="rId1758" xr:uid="{C8106B63-2998-4BF9-A6D7-05906A08BDED}"/>
    <hyperlink ref="E1898" r:id="rId1759" xr:uid="{867C7E9E-57D4-4AEB-A2E7-6245E81CBA87}"/>
    <hyperlink ref="E1899" r:id="rId1760" xr:uid="{C505750A-43B5-4121-BE45-C7D95E072EBC}"/>
    <hyperlink ref="E1900" r:id="rId1761" xr:uid="{D63CDCED-7E34-4C79-B9E0-65AEC314720A}"/>
    <hyperlink ref="E1901" r:id="rId1762" xr:uid="{4B030844-134D-4C5D-BAEC-42747746C622}"/>
    <hyperlink ref="E1902" r:id="rId1763" xr:uid="{6C7B9265-54BD-4FC9-B0D0-03526383C5B9}"/>
    <hyperlink ref="E1903" r:id="rId1764" xr:uid="{1358ABEB-6928-4DEB-B96A-DB74BBEA9B82}"/>
    <hyperlink ref="E1904" r:id="rId1765" xr:uid="{F9253FE7-4378-4F36-80EF-01693A6C78C7}"/>
    <hyperlink ref="E1905" r:id="rId1766" xr:uid="{AEBDB93B-F1F7-411B-AF60-E16F3F278220}"/>
    <hyperlink ref="E1906" r:id="rId1767" xr:uid="{4CD92A17-52D7-43C5-B615-847ACC3234AD}"/>
    <hyperlink ref="E1907" r:id="rId1768" xr:uid="{5EE9005D-1704-4CFC-9ED5-9A0114B839FC}"/>
    <hyperlink ref="E1908" r:id="rId1769" xr:uid="{F71F5DA8-ADCC-4C50-8C5C-9E8F359690E9}"/>
    <hyperlink ref="E1909" r:id="rId1770" xr:uid="{D454C3B3-EAB6-4439-8B1F-97908000F72A}"/>
    <hyperlink ref="E1910" r:id="rId1771" xr:uid="{0620606F-BBC1-4961-B2EB-E86DBC857D1A}"/>
    <hyperlink ref="E1911" r:id="rId1772" xr:uid="{A12DE8A1-F2A2-4314-BEF4-C7C86A7E9457}"/>
    <hyperlink ref="E1912" r:id="rId1773" xr:uid="{02AD5989-75B9-4EFB-B512-01FF8EC9AC97}"/>
    <hyperlink ref="E1913" r:id="rId1774" xr:uid="{967CE7F6-D291-419E-BCA9-11BFD4BE4599}"/>
    <hyperlink ref="E1914" r:id="rId1775" xr:uid="{009BF5F8-C000-44B2-B300-DA15CA10EEED}"/>
    <hyperlink ref="E1915" r:id="rId1776" xr:uid="{8ACCC911-5D85-451E-AAD3-7717BB2D510B}"/>
    <hyperlink ref="E1916" r:id="rId1777" xr:uid="{543677D9-81CC-4046-B3F7-0F248C9A1314}"/>
    <hyperlink ref="E1917" r:id="rId1778" xr:uid="{0AA00B40-CDD7-4E9B-98A6-D04DCF9D80C3}"/>
    <hyperlink ref="E1919" r:id="rId1779" xr:uid="{BD077C3C-ADAF-4C23-A5A7-3BD800EE1420}"/>
    <hyperlink ref="E1920" r:id="rId1780" xr:uid="{82F3ECB7-B13D-4A03-AA02-E491DA33F1BF}"/>
    <hyperlink ref="E1918" r:id="rId1781" xr:uid="{68BEF095-3DEF-4C86-8931-692706E054D1}"/>
    <hyperlink ref="E1922" r:id="rId1782" xr:uid="{456B36BF-9B76-44DA-88D7-82AA87CDC2FE}"/>
    <hyperlink ref="E1923" r:id="rId1783" xr:uid="{1AD5AE8A-5057-4581-AE93-3039D70868F9}"/>
    <hyperlink ref="E1924" r:id="rId1784" xr:uid="{4F0A6B3A-879C-45CC-8FFB-AB690893D760}"/>
    <hyperlink ref="E1925" r:id="rId1785" xr:uid="{1C2D8AD2-C110-4C2C-9C57-76FABD1B8F3B}"/>
    <hyperlink ref="E1926" r:id="rId1786" xr:uid="{193E6198-D9EB-4CCC-BE14-825C489B9DC0}"/>
    <hyperlink ref="E1927" r:id="rId1787" xr:uid="{E1D6867C-44D8-4DFB-ACE4-BB82CEE03D41}"/>
    <hyperlink ref="E1928" r:id="rId1788" xr:uid="{EEF0B384-9686-4F09-97DD-39803955574A}"/>
    <hyperlink ref="E1921" r:id="rId1789" xr:uid="{2A691600-74F2-447B-8845-A8E0D57CCC51}"/>
    <hyperlink ref="E1929" r:id="rId1790" xr:uid="{73A0D08F-6298-437A-BD68-79F46C5EE194}"/>
    <hyperlink ref="E1855" r:id="rId1791" xr:uid="{D5F497B7-820F-4021-897B-8425EFA6FC47}"/>
    <hyperlink ref="E1930" r:id="rId1792" xr:uid="{3CB85B42-09D1-4E91-8192-C1A34C4B7C1E}"/>
    <hyperlink ref="E1931" r:id="rId1793" xr:uid="{911538AB-26EA-445A-B8EF-27EF648ADD11}"/>
    <hyperlink ref="E1932" r:id="rId1794" xr:uid="{71851BE3-B3A8-41C8-AC8C-2652A7C9868F}"/>
    <hyperlink ref="E1933" r:id="rId1795" xr:uid="{C170F400-946B-4E0C-919B-62A783569421}"/>
    <hyperlink ref="E1934" r:id="rId1796" xr:uid="{9D18D02A-E1A8-4193-A63F-AD120948F8D9}"/>
    <hyperlink ref="E1935" r:id="rId1797" xr:uid="{F43238B1-7180-4997-91D6-6C3718188E97}"/>
    <hyperlink ref="E1936" r:id="rId1798" xr:uid="{EBC37950-D95B-4414-8D44-69151C9004F9}"/>
    <hyperlink ref="E1937" r:id="rId1799" xr:uid="{F635A885-EF66-43CF-BDCF-8DCD939F4DC4}"/>
    <hyperlink ref="E1938" r:id="rId1800" xr:uid="{1B45190E-FFCF-4D8E-B77F-37C4E339C927}"/>
    <hyperlink ref="E1939" r:id="rId1801" xr:uid="{E266087D-DFD9-4818-8EA3-9A7AABB55E07}"/>
    <hyperlink ref="E1940" r:id="rId1802" xr:uid="{8E36B115-0311-4F3E-AEE0-C1D979DC08D1}"/>
    <hyperlink ref="E1941" r:id="rId1803" xr:uid="{9C18B8BD-9B66-4EF2-9811-0268EE3A54BC}"/>
    <hyperlink ref="E1942" r:id="rId1804" xr:uid="{9B8EF1E5-968D-442E-8033-46EC1FE69860}"/>
    <hyperlink ref="E1943" r:id="rId1805" xr:uid="{40A04B12-7D5B-41A2-B406-B74881D59BE3}"/>
    <hyperlink ref="E1944" r:id="rId1806" xr:uid="{40147508-80AF-48E8-8261-D9904849333E}"/>
    <hyperlink ref="E1160" r:id="rId1807" xr:uid="{2E3507A6-F162-4380-B372-27ABD00382A0}"/>
    <hyperlink ref="E1945" r:id="rId1808" xr:uid="{0A10EB55-3091-452D-8A36-CF5EA846BFB7}"/>
    <hyperlink ref="E662" r:id="rId1809" xr:uid="{47FCB53B-919C-4442-9AA6-568FCADDDB2D}"/>
    <hyperlink ref="E1946" r:id="rId1810" xr:uid="{16E5681D-3EED-46EF-9EFB-F59A0C40B3CB}"/>
    <hyperlink ref="E1947" r:id="rId1811" xr:uid="{45A85373-05A0-4A76-B1B1-ED6460084538}"/>
    <hyperlink ref="E1948" r:id="rId1812" xr:uid="{C834EA77-8FD0-40EB-B91F-07CA8C6B71E6}"/>
    <hyperlink ref="E1949" r:id="rId1813" xr:uid="{8A9A933F-945E-4E35-B73C-A5F784A797CF}"/>
    <hyperlink ref="E1950" r:id="rId1814" xr:uid="{CD24D0D6-F370-46F5-8B4A-34229C1E0BDF}"/>
    <hyperlink ref="E1951" r:id="rId1815" xr:uid="{728063B0-B033-4970-ACA0-97415010AD02}"/>
    <hyperlink ref="E1952" r:id="rId1816" xr:uid="{B6744FF4-3703-453E-ABF4-533110934D6B}"/>
    <hyperlink ref="E1434" r:id="rId1817" xr:uid="{55EA55C5-F162-4DB9-B78E-45C37ED9CFE0}"/>
    <hyperlink ref="E1953" r:id="rId1818" xr:uid="{A5880304-509D-45A8-8BED-84D46238A749}"/>
    <hyperlink ref="E1954" r:id="rId1819" xr:uid="{598D32C4-5601-4E8B-8460-34760569DB8A}"/>
    <hyperlink ref="E560" r:id="rId1820" xr:uid="{29C6660B-5425-4A10-8D22-5498B289A792}"/>
    <hyperlink ref="E1955" r:id="rId1821" xr:uid="{2E33C94D-87D4-4581-8C5A-F1E78083F8F7}"/>
    <hyperlink ref="E1801" r:id="rId1822" xr:uid="{E60BE6BF-131D-40DC-9A98-A8EBFFD4D160}"/>
    <hyperlink ref="E1956" r:id="rId1823" xr:uid="{E5CAA9FB-9E59-498E-8DEC-6F17C0B247AA}"/>
    <hyperlink ref="E1957" r:id="rId1824" xr:uid="{C743F94C-10ED-4FEC-A7DF-EE45A80AB5A2}"/>
  </hyperlinks>
  <pageMargins left="0.25" right="0.25" top="0.75" bottom="0.75" header="0.3" footer="0.3"/>
  <pageSetup fitToHeight="0" orientation="landscape"/>
  <tableParts count="1">
    <tablePart r:id="rId1825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CDB745-FEF6-452D-A0EA-2BA0DE3971B0}">
          <x14:formula1>
            <xm:f>Lists!$B$2:$B$4</xm:f>
          </x14:formula1>
          <xm:sqref>K2:K1957</xm:sqref>
        </x14:dataValidation>
        <x14:dataValidation type="list" allowBlank="1" showInputMessage="1" showErrorMessage="1" xr:uid="{B4334A9C-ABE9-4024-BBB5-D71A49856B43}">
          <x14:formula1>
            <xm:f>Lists!$A$2:$A$7</xm:f>
          </x14:formula1>
          <xm:sqref>J2:J1957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2E7C-AD37-4727-B73D-159286DC69A1}">
  <dimension ref="A1:R515"/>
  <sheetViews>
    <sheetView topLeftCell="E1" zoomScale="70" zoomScaleNormal="70" workbookViewId="0">
      <selection activeCell="O23" sqref="O23"/>
    </sheetView>
  </sheetViews>
  <sheetFormatPr defaultRowHeight="15" customHeight="1"/>
  <cols>
    <col min="1" max="1" width="13.5703125" bestFit="1" customWidth="1"/>
    <col min="2" max="2" width="14.42578125" bestFit="1" customWidth="1"/>
    <col min="3" max="3" width="20.42578125" customWidth="1"/>
    <col min="4" max="4" width="29.85546875" bestFit="1" customWidth="1"/>
    <col min="5" max="5" width="16.28515625" customWidth="1"/>
    <col min="6" max="6" width="19.5703125" bestFit="1" customWidth="1"/>
    <col min="7" max="7" width="35" bestFit="1" customWidth="1"/>
    <col min="8" max="8" width="39.28515625" bestFit="1" customWidth="1"/>
    <col min="9" max="9" width="10.7109375" bestFit="1" customWidth="1"/>
    <col min="10" max="10" width="14.85546875" bestFit="1" customWidth="1"/>
    <col min="11" max="11" width="15.140625" bestFit="1" customWidth="1"/>
    <col min="12" max="12" width="12.42578125" bestFit="1" customWidth="1"/>
    <col min="13" max="13" width="40.7109375" bestFit="1" customWidth="1"/>
    <col min="14" max="14" width="42.42578125" bestFit="1" customWidth="1"/>
    <col min="15" max="15" width="109.140625" bestFit="1" customWidth="1"/>
    <col min="16" max="16" width="18.7109375" hidden="1" customWidth="1"/>
    <col min="17" max="17" width="23.5703125" hidden="1" customWidth="1"/>
    <col min="18" max="18" width="19.7109375" customWidth="1"/>
  </cols>
  <sheetData>
    <row r="1" spans="1:18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9</v>
      </c>
      <c r="G1" s="6" t="s">
        <v>10</v>
      </c>
      <c r="H1" s="6" t="s">
        <v>7421</v>
      </c>
      <c r="I1" s="6" t="s">
        <v>7422</v>
      </c>
      <c r="J1" s="6" t="s">
        <v>7423</v>
      </c>
      <c r="K1" s="6" t="s">
        <v>7424</v>
      </c>
      <c r="L1" s="6" t="s">
        <v>7425</v>
      </c>
      <c r="M1" s="6" t="s">
        <v>7426</v>
      </c>
      <c r="N1" s="6" t="s">
        <v>7427</v>
      </c>
      <c r="O1" s="6" t="s">
        <v>7428</v>
      </c>
      <c r="P1" s="6" t="s">
        <v>7429</v>
      </c>
      <c r="Q1" s="6" t="s">
        <v>7430</v>
      </c>
      <c r="R1" s="6" t="s">
        <v>7431</v>
      </c>
    </row>
    <row r="2" spans="1:18">
      <c r="A2" t="s">
        <v>7432</v>
      </c>
      <c r="B2" t="str">
        <f>IFERROR(_xlfn.XLOOKUP(tblLog[[#This Row],[Unique ID]], tblMaster[Unique ID], tblMaster[First Name], ""), "")</f>
        <v>Eric</v>
      </c>
      <c r="C2" t="str">
        <f>IFERROR(_xlfn.XLOOKUP(tblLog[[#This Row],[Unique ID]], tblMaster[Unique ID], tblMaster[Last Name], ""), "")</f>
        <v>Kiley</v>
      </c>
      <c r="D2" t="str">
        <f>IFERROR(_xlfn.XLOOKUP(tblLog[[#This Row],[Unique ID]], tblMaster[Unique ID], tblMaster[Email_Clean], ""), "")</f>
        <v>erickileykicks@gmail.com</v>
      </c>
      <c r="E2" t="str">
        <f>IFERROR(_xlfn.XLOOKUP(tblLog[[#This Row],[Unique ID]], tblMaster[Unique ID], tblMaster[Phone], ""), "")</f>
        <v>(978) 760-0552</v>
      </c>
      <c r="F2" t="str">
        <f>IFERROR(_xlfn.XLOOKUP(tblLog[[#This Row],[Unique ID]], tblMaster[Unique ID], tblMaster[Recruiter], ""), "")</f>
        <v>Zenon Moses</v>
      </c>
      <c r="G2" t="str">
        <f>IFERROR(_xlfn.XLOOKUP(tblLog[[#This Row],[Unique ID]], tblMaster[Unique ID], tblMaster[Recruitment Cycle], ""), "")</f>
        <v xml:space="preserve">New Submission/ Lead </v>
      </c>
      <c r="H2" t="s">
        <v>7433</v>
      </c>
      <c r="I2" t="s">
        <v>7434</v>
      </c>
      <c r="J2" s="3">
        <v>2</v>
      </c>
      <c r="K2" t="s">
        <v>7435</v>
      </c>
      <c r="L2" s="2">
        <v>46050</v>
      </c>
      <c r="M2" t="s">
        <v>7436</v>
      </c>
      <c r="N2" t="s">
        <v>7448</v>
      </c>
      <c r="O2" t="s">
        <v>7437</v>
      </c>
      <c r="P2">
        <f ca="1">IF(tblLog[[#This Row],[Log Date]]="","",TODAY()-tblLog[[#This Row],[Log Date]])</f>
        <v>29</v>
      </c>
      <c r="Q2" t="str">
        <f>IF(tblLog[[#This Row],[Log Date]]="","",IF(TRIM(tblLog[[#This Row],[Cycle Stage]])="Asked to be removed from database","NO","YES"))</f>
        <v>YES</v>
      </c>
      <c r="R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" spans="1:18">
      <c r="A3" t="s">
        <v>7438</v>
      </c>
      <c r="B3" t="str">
        <f>IFERROR(_xlfn.XLOOKUP(tblLog[[#This Row],[Unique ID]], tblMaster[Unique ID], tblMaster[First Name], ""), "")</f>
        <v xml:space="preserve">Michael </v>
      </c>
      <c r="C3" t="str">
        <f>IFERROR(_xlfn.XLOOKUP(tblLog[[#This Row],[Unique ID]], tblMaster[Unique ID], tblMaster[Last Name], ""), "")</f>
        <v>Agyemang</v>
      </c>
      <c r="D3" t="str">
        <f>IFERROR(_xlfn.XLOOKUP(tblLog[[#This Row],[Unique ID]], tblMaster[Unique ID], tblMaster[Email_Clean], ""), "")</f>
        <v>fathermike2005@gmail.com</v>
      </c>
      <c r="E3" t="str">
        <f>IFERROR(_xlfn.XLOOKUP(tblLog[[#This Row],[Unique ID]], tblMaster[Unique ID], tblMaster[Phone], ""), "")</f>
        <v>682-372-7535</v>
      </c>
      <c r="F3" t="str">
        <f>IFERROR(_xlfn.XLOOKUP(tblLog[[#This Row],[Unique ID]], tblMaster[Unique ID], tblMaster[Recruiter], ""), "")</f>
        <v>Zenon Moses</v>
      </c>
      <c r="G3" t="str">
        <f>IFERROR(_xlfn.XLOOKUP(tblLog[[#This Row],[Unique ID]], tblMaster[Unique ID], tblMaster[Recruitment Cycle], ""), "")</f>
        <v xml:space="preserve">New Submission/ Lead </v>
      </c>
      <c r="H3" t="s">
        <v>7439</v>
      </c>
      <c r="I3" t="s">
        <v>7434</v>
      </c>
      <c r="J3" s="3">
        <v>2</v>
      </c>
      <c r="K3" t="s">
        <v>7440</v>
      </c>
      <c r="L3" s="2">
        <v>46050</v>
      </c>
      <c r="M3" t="s">
        <v>7441</v>
      </c>
      <c r="N3" t="s">
        <v>7442</v>
      </c>
      <c r="O3" t="s">
        <v>7443</v>
      </c>
      <c r="P3">
        <f ca="1">IF(tblLog[[#This Row],[Log Date]]="","",TODAY()-tblLog[[#This Row],[Log Date]])</f>
        <v>29</v>
      </c>
      <c r="Q3" t="str">
        <f>IF(tblLog[[#This Row],[Log Date]]="","",IF(TRIM(tblLog[[#This Row],[Cycle Stage]])="Asked to be removed from database","NO","YES"))</f>
        <v>YES</v>
      </c>
      <c r="R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" spans="1:18">
      <c r="A4" t="s">
        <v>7444</v>
      </c>
      <c r="B4" t="str">
        <f>IFERROR(_xlfn.XLOOKUP(tblLog[[#This Row],[Unique ID]], tblMaster[Unique ID], tblMaster[First Name], ""), "")</f>
        <v>Rex</v>
      </c>
      <c r="C4" t="str">
        <f>IFERROR(_xlfn.XLOOKUP(tblLog[[#This Row],[Unique ID]], tblMaster[Unique ID], tblMaster[Last Name], ""), "")</f>
        <v>Tanue</v>
      </c>
      <c r="D4" t="str">
        <f>IFERROR(_xlfn.XLOOKUP(tblLog[[#This Row],[Unique ID]], tblMaster[Unique ID], tblMaster[Email_Clean], ""), "")</f>
        <v>tamabang95@yahoo.com</v>
      </c>
      <c r="E4" t="str">
        <f>IFERROR(_xlfn.XLOOKUP(tblLog[[#This Row],[Unique ID]], tblMaster[Unique ID], tblMaster[Phone], ""), "")</f>
        <v>(469) 394-4341</v>
      </c>
      <c r="F4" t="str">
        <f>IFERROR(_xlfn.XLOOKUP(tblLog[[#This Row],[Unique ID]], tblMaster[Unique ID], tblMaster[Recruiter], ""), "")</f>
        <v xml:space="preserve">Jevon Brown Simpson </v>
      </c>
      <c r="G4" t="str">
        <f>IFERROR(_xlfn.XLOOKUP(tblLog[[#This Row],[Unique ID]], tblMaster[Unique ID], tblMaster[Recruitment Cycle], ""), "")</f>
        <v xml:space="preserve">New Submission/ Lead </v>
      </c>
      <c r="H4" t="s">
        <v>7445</v>
      </c>
      <c r="I4" t="s">
        <v>7434</v>
      </c>
      <c r="J4" s="3">
        <v>2</v>
      </c>
      <c r="K4" t="s">
        <v>7446</v>
      </c>
      <c r="L4" s="2">
        <v>46058</v>
      </c>
      <c r="M4" t="s">
        <v>7447</v>
      </c>
      <c r="N4" t="s">
        <v>7448</v>
      </c>
      <c r="O4" t="s">
        <v>7449</v>
      </c>
      <c r="P4">
        <f ca="1">IF(tblLog[[#This Row],[Log Date]]="","",TODAY()-tblLog[[#This Row],[Log Date]])</f>
        <v>21</v>
      </c>
      <c r="Q4" t="str">
        <f>IF(tblLog[[#This Row],[Log Date]]="","",IF(TRIM(tblLog[[#This Row],[Cycle Stage]])="Asked to be removed from database","NO","YES"))</f>
        <v>YES</v>
      </c>
      <c r="R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" spans="1:18">
      <c r="A5" t="s">
        <v>7450</v>
      </c>
      <c r="B5" t="str">
        <f>IFERROR(_xlfn.XLOOKUP(tblLog[[#This Row],[Unique ID]], tblMaster[Unique ID], tblMaster[First Name], ""), "")</f>
        <v>Kassandra</v>
      </c>
      <c r="C5" t="str">
        <f>IFERROR(_xlfn.XLOOKUP(tblLog[[#This Row],[Unique ID]], tblMaster[Unique ID], tblMaster[Last Name], ""), "")</f>
        <v xml:space="preserve"> Fragoso </v>
      </c>
      <c r="D5" t="str">
        <f>IFERROR(_xlfn.XLOOKUP(tblLog[[#This Row],[Unique ID]], tblMaster[Unique ID], tblMaster[Email_Clean], ""), "")</f>
        <v>fragosok@outlook.com</v>
      </c>
      <c r="E5" t="str">
        <f>IFERROR(_xlfn.XLOOKUP(tblLog[[#This Row],[Unique ID]], tblMaster[Unique ID], tblMaster[Phone], ""), "")</f>
        <v>774-223-8406</v>
      </c>
      <c r="F5" t="str">
        <f>IFERROR(_xlfn.XLOOKUP(tblLog[[#This Row],[Unique ID]], tblMaster[Unique ID], tblMaster[Recruiter], ""), "")</f>
        <v>Zenon Moses</v>
      </c>
      <c r="G5" t="str">
        <f>IFERROR(_xlfn.XLOOKUP(tblLog[[#This Row],[Unique ID]], tblMaster[Unique ID], tblMaster[Recruitment Cycle], ""), "")</f>
        <v xml:space="preserve">New Submission/ Lead </v>
      </c>
      <c r="H5" t="s">
        <v>7445</v>
      </c>
      <c r="I5" t="s">
        <v>7434</v>
      </c>
      <c r="J5" s="3">
        <v>1</v>
      </c>
      <c r="K5" t="s">
        <v>7451</v>
      </c>
      <c r="L5" s="2">
        <v>46071</v>
      </c>
      <c r="M5" t="s">
        <v>7452</v>
      </c>
      <c r="N5" t="s">
        <v>7487</v>
      </c>
      <c r="O5" t="s">
        <v>7453</v>
      </c>
      <c r="P5">
        <f ca="1">IF(tblLog[[#This Row],[Log Date]]="","",TODAY()-tblLog[[#This Row],[Log Date]])</f>
        <v>8</v>
      </c>
      <c r="Q5" t="str">
        <f>IF(tblLog[[#This Row],[Log Date]]="","",IF(TRIM(tblLog[[#This Row],[Cycle Stage]])="Asked to be removed from database","NO","YES"))</f>
        <v>YES</v>
      </c>
      <c r="R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" spans="1:18">
      <c r="A6" t="s">
        <v>7454</v>
      </c>
      <c r="B6" t="str">
        <f>IFERROR(_xlfn.XLOOKUP(tblLog[[#This Row],[Unique ID]], tblMaster[Unique ID], tblMaster[First Name], ""), "")</f>
        <v>Owen</v>
      </c>
      <c r="C6" t="str">
        <f>IFERROR(_xlfn.XLOOKUP(tblLog[[#This Row],[Unique ID]], tblMaster[Unique ID], tblMaster[Last Name], ""), "")</f>
        <v>Harrington</v>
      </c>
      <c r="D6" t="str">
        <f>IFERROR(_xlfn.XLOOKUP(tblLog[[#This Row],[Unique ID]], tblMaster[Unique ID], tblMaster[Email_Clean], ""), "")</f>
        <v>chopsoxwal@gmail.com</v>
      </c>
      <c r="E6" t="str">
        <f>IFERROR(_xlfn.XLOOKUP(tblLog[[#This Row],[Unique ID]], tblMaster[Unique ID], tblMaster[Phone], ""), "")</f>
        <v>508-525-1884</v>
      </c>
      <c r="F6" t="str">
        <f>IFERROR(_xlfn.XLOOKUP(tblLog[[#This Row],[Unique ID]], tblMaster[Unique ID], tblMaster[Recruiter], ""), "")</f>
        <v>Zenon Moses</v>
      </c>
      <c r="G6" t="str">
        <f>IFERROR(_xlfn.XLOOKUP(tblLog[[#This Row],[Unique ID]], tblMaster[Unique ID], tblMaster[Recruitment Cycle], ""), "")</f>
        <v xml:space="preserve">Re-Engagment/Post Civil Service Exam </v>
      </c>
      <c r="H6" t="s">
        <v>7455</v>
      </c>
      <c r="I6" t="s">
        <v>7434</v>
      </c>
      <c r="J6" s="3">
        <v>4</v>
      </c>
      <c r="K6" t="s">
        <v>7435</v>
      </c>
      <c r="L6" s="2">
        <v>46049</v>
      </c>
      <c r="M6" t="s">
        <v>7456</v>
      </c>
      <c r="N6" t="s">
        <v>7487</v>
      </c>
      <c r="O6" t="s">
        <v>7457</v>
      </c>
      <c r="P6">
        <f ca="1">IF(tblLog[[#This Row],[Log Date]]="","",TODAY()-tblLog[[#This Row],[Log Date]])</f>
        <v>30</v>
      </c>
      <c r="Q6" t="str">
        <f>IF(tblLog[[#This Row],[Log Date]]="","",IF(TRIM(tblLog[[#This Row],[Cycle Stage]])="Asked to be removed from database","NO","YES"))</f>
        <v>YES</v>
      </c>
      <c r="R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7" spans="1:18">
      <c r="A7" t="s">
        <v>7458</v>
      </c>
      <c r="B7" t="str">
        <f>IFERROR(_xlfn.XLOOKUP(tblLog[[#This Row],[Unique ID]], tblMaster[Unique ID], tblMaster[First Name], ""), "")</f>
        <v>Fresnel</v>
      </c>
      <c r="C7" t="str">
        <f>IFERROR(_xlfn.XLOOKUP(tblLog[[#This Row],[Unique ID]], tblMaster[Unique ID], tblMaster[Last Name], ""), "")</f>
        <v xml:space="preserve"> Louis </v>
      </c>
      <c r="D7" t="str">
        <f>IFERROR(_xlfn.XLOOKUP(tblLog[[#This Row],[Unique ID]], tblMaster[Unique ID], tblMaster[Email_Clean], ""), "")</f>
        <v>fresnylouis@gmail.com</v>
      </c>
      <c r="E7" t="str">
        <f>IFERROR(_xlfn.XLOOKUP(tblLog[[#This Row],[Unique ID]], tblMaster[Unique ID], tblMaster[Phone], ""), "")</f>
        <v xml:space="preserve">781) 390-0035 </v>
      </c>
      <c r="F7" t="str">
        <f>IFERROR(_xlfn.XLOOKUP(tblLog[[#This Row],[Unique ID]], tblMaster[Unique ID], tblMaster[Recruiter], ""), "")</f>
        <v>Zenon Moses</v>
      </c>
      <c r="G7" t="str">
        <f>IFERROR(_xlfn.XLOOKUP(tblLog[[#This Row],[Unique ID]], tblMaster[Unique ID], tblMaster[Recruitment Cycle], ""), "")</f>
        <v xml:space="preserve">New Submission/ Lead </v>
      </c>
      <c r="H7" t="s">
        <v>7439</v>
      </c>
      <c r="I7" t="s">
        <v>7434</v>
      </c>
      <c r="J7" s="3">
        <v>5</v>
      </c>
      <c r="K7" t="s">
        <v>7440</v>
      </c>
      <c r="L7" s="2">
        <v>46055</v>
      </c>
      <c r="M7" t="s">
        <v>7452</v>
      </c>
      <c r="N7" t="s">
        <v>7487</v>
      </c>
      <c r="P7">
        <f ca="1">IF(tblLog[[#This Row],[Log Date]]="","",TODAY()-tblLog[[#This Row],[Log Date]])</f>
        <v>24</v>
      </c>
      <c r="Q7" t="str">
        <f>IF(tblLog[[#This Row],[Log Date]]="","",IF(TRIM(tblLog[[#This Row],[Cycle Stage]])="Asked to be removed from database","NO","YES"))</f>
        <v>YES</v>
      </c>
      <c r="R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" spans="1:18">
      <c r="A8" t="s">
        <v>7459</v>
      </c>
      <c r="B8" t="str">
        <f>IFERROR(_xlfn.XLOOKUP(tblLog[[#This Row],[Unique ID]], tblMaster[Unique ID], tblMaster[First Name], ""), "")</f>
        <v>Paul</v>
      </c>
      <c r="C8" t="str">
        <f>IFERROR(_xlfn.XLOOKUP(tblLog[[#This Row],[Unique ID]], tblMaster[Unique ID], tblMaster[Last Name], ""), "")</f>
        <v>Kewing</v>
      </c>
      <c r="D8" t="str">
        <f>IFERROR(_xlfn.XLOOKUP(tblLog[[#This Row],[Unique ID]], tblMaster[Unique ID], tblMaster[Email_Clean], ""), "")</f>
        <v>kewingpaul@gmail.com</v>
      </c>
      <c r="E8" t="str">
        <f>IFERROR(_xlfn.XLOOKUP(tblLog[[#This Row],[Unique ID]], tblMaster[Unique ID], tblMaster[Phone], ""), "")</f>
        <v>857-330-1163</v>
      </c>
      <c r="F8" t="str">
        <f>IFERROR(_xlfn.XLOOKUP(tblLog[[#This Row],[Unique ID]], tblMaster[Unique ID], tblMaster[Recruiter], ""), "")</f>
        <v>Zenon Moses</v>
      </c>
      <c r="G8" t="str">
        <f>IFERROR(_xlfn.XLOOKUP(tblLog[[#This Row],[Unique ID]], tblMaster[Unique ID], tblMaster[Recruitment Cycle], ""), "")</f>
        <v xml:space="preserve">Re-Engagment/Post Civil Service Exam </v>
      </c>
      <c r="H8" t="s">
        <v>7455</v>
      </c>
      <c r="I8" t="s">
        <v>7434</v>
      </c>
      <c r="J8" s="3">
        <v>2</v>
      </c>
      <c r="K8" t="s">
        <v>7460</v>
      </c>
      <c r="L8" s="2">
        <v>46048</v>
      </c>
      <c r="M8" t="s">
        <v>7544</v>
      </c>
      <c r="N8" t="s">
        <v>7487</v>
      </c>
      <c r="P8">
        <f ca="1">IF(tblLog[[#This Row],[Log Date]]="","",TODAY()-tblLog[[#This Row],[Log Date]])</f>
        <v>31</v>
      </c>
      <c r="Q8" t="str">
        <f>IF(tblLog[[#This Row],[Log Date]]="","",IF(TRIM(tblLog[[#This Row],[Cycle Stage]])="Asked to be removed from database","NO","YES"))</f>
        <v>YES</v>
      </c>
      <c r="R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9" spans="1:18">
      <c r="A9" t="s">
        <v>7461</v>
      </c>
      <c r="B9" t="str">
        <f>IFERROR(_xlfn.XLOOKUP(tblLog[[#This Row],[Unique ID]], tblMaster[Unique ID], tblMaster[First Name], ""), "")</f>
        <v xml:space="preserve">Desmond </v>
      </c>
      <c r="C9" t="str">
        <f>IFERROR(_xlfn.XLOOKUP(tblLog[[#This Row],[Unique ID]], tblMaster[Unique ID], tblMaster[Last Name], ""), "")</f>
        <v xml:space="preserve">Mcpherson </v>
      </c>
      <c r="D9" t="str">
        <f>IFERROR(_xlfn.XLOOKUP(tblLog[[#This Row],[Unique ID]], tblMaster[Unique ID], tblMaster[Email_Clean], ""), "")</f>
        <v>desmondmcpherson88@gmail.com</v>
      </c>
      <c r="E9" t="str">
        <f>IFERROR(_xlfn.XLOOKUP(tblLog[[#This Row],[Unique ID]], tblMaster[Unique ID], tblMaster[Phone], ""), "")</f>
        <v xml:space="preserve">(857) 246-5373 </v>
      </c>
      <c r="F9" t="str">
        <f>IFERROR(_xlfn.XLOOKUP(tblLog[[#This Row],[Unique ID]], tblMaster[Unique ID], tblMaster[Recruiter], ""), "")</f>
        <v>Zenon Moses</v>
      </c>
      <c r="G9" t="str">
        <f>IFERROR(_xlfn.XLOOKUP(tblLog[[#This Row],[Unique ID]], tblMaster[Unique ID], tblMaster[Recruitment Cycle], ""), "")</f>
        <v xml:space="preserve">Re-Engagment </v>
      </c>
      <c r="H9" t="s">
        <v>7439</v>
      </c>
      <c r="I9" t="s">
        <v>7434</v>
      </c>
      <c r="J9" s="3">
        <v>2</v>
      </c>
      <c r="K9" t="s">
        <v>7440</v>
      </c>
      <c r="L9" s="2">
        <v>46048</v>
      </c>
      <c r="M9" t="s">
        <v>7447</v>
      </c>
      <c r="N9" t="s">
        <v>7487</v>
      </c>
      <c r="P9">
        <f ca="1">IF(tblLog[[#This Row],[Log Date]]="","",TODAY()-tblLog[[#This Row],[Log Date]])</f>
        <v>31</v>
      </c>
      <c r="Q9" t="str">
        <f>IF(tblLog[[#This Row],[Log Date]]="","",IF(TRIM(tblLog[[#This Row],[Cycle Stage]])="Asked to be removed from database","NO","YES"))</f>
        <v>YES</v>
      </c>
      <c r="R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>30-59</v>
      </c>
    </row>
    <row r="10" spans="1:18">
      <c r="A10" t="s">
        <v>7462</v>
      </c>
      <c r="B10" t="str">
        <f>IFERROR(_xlfn.XLOOKUP(tblLog[[#This Row],[Unique ID]], tblMaster[Unique ID], tblMaster[First Name], ""), "")</f>
        <v xml:space="preserve">Kyra </v>
      </c>
      <c r="C10" t="str">
        <f>IFERROR(_xlfn.XLOOKUP(tblLog[[#This Row],[Unique ID]], tblMaster[Unique ID], tblMaster[Last Name], ""), "")</f>
        <v xml:space="preserve">Pickard </v>
      </c>
      <c r="D10" t="str">
        <f>IFERROR(_xlfn.XLOOKUP(tblLog[[#This Row],[Unique ID]], tblMaster[Unique ID], tblMaster[Email_Clean], ""), "")</f>
        <v>pickardkyra08@gmail.com</v>
      </c>
      <c r="E10">
        <f>IFERROR(_xlfn.XLOOKUP(tblLog[[#This Row],[Unique ID]], tblMaster[Unique ID], tblMaster[Phone], ""), "")</f>
        <v>0</v>
      </c>
      <c r="F10" t="str">
        <f>IFERROR(_xlfn.XLOOKUP(tblLog[[#This Row],[Unique ID]], tblMaster[Unique ID], tblMaster[Recruiter], ""), "")</f>
        <v>Zenon Moses</v>
      </c>
      <c r="G10" t="str">
        <f>IFERROR(_xlfn.XLOOKUP(tblLog[[#This Row],[Unique ID]], tblMaster[Unique ID], tblMaster[Recruitment Cycle], ""), "")</f>
        <v xml:space="preserve">New Submission/ Lead </v>
      </c>
      <c r="H10" t="s">
        <v>7463</v>
      </c>
      <c r="I10" t="s">
        <v>7464</v>
      </c>
      <c r="J10" s="3">
        <v>3</v>
      </c>
      <c r="K10" t="s">
        <v>7465</v>
      </c>
      <c r="L10" s="2">
        <v>46052</v>
      </c>
      <c r="M10" t="s">
        <v>7456</v>
      </c>
      <c r="N10" t="s">
        <v>7475</v>
      </c>
      <c r="O10" t="s">
        <v>7466</v>
      </c>
      <c r="P10">
        <f ca="1">IF(tblLog[[#This Row],[Log Date]]="","",TODAY()-tblLog[[#This Row],[Log Date]])</f>
        <v>27</v>
      </c>
      <c r="Q10" t="str">
        <f>IF(tblLog[[#This Row],[Log Date]]="","",IF(TRIM(tblLog[[#This Row],[Cycle Stage]])="Asked to be removed from database","NO","YES"))</f>
        <v>YES</v>
      </c>
      <c r="R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" spans="1:18">
      <c r="A11" t="s">
        <v>7467</v>
      </c>
      <c r="B11" t="str">
        <f>IFERROR(_xlfn.XLOOKUP(tblLog[[#This Row],[Unique ID]], tblMaster[Unique ID], tblMaster[First Name], ""), "")</f>
        <v>Enaira</v>
      </c>
      <c r="C11" t="str">
        <f>IFERROR(_xlfn.XLOOKUP(tblLog[[#This Row],[Unique ID]], tblMaster[Unique ID], tblMaster[Last Name], ""), "")</f>
        <v>Washington</v>
      </c>
      <c r="D11" t="str">
        <f>IFERROR(_xlfn.XLOOKUP(tblLog[[#This Row],[Unique ID]], tblMaster[Unique ID], tblMaster[Email_Clean], ""), "")</f>
        <v>enairaw@gmail.com</v>
      </c>
      <c r="E11" t="str">
        <f>IFERROR(_xlfn.XLOOKUP(tblLog[[#This Row],[Unique ID]], tblMaster[Unique ID], tblMaster[Phone], ""), "")</f>
        <v>(225) 476-2608</v>
      </c>
      <c r="F11" t="str">
        <f>IFERROR(_xlfn.XLOOKUP(tblLog[[#This Row],[Unique ID]], tblMaster[Unique ID], tblMaster[Recruiter], ""), "")</f>
        <v xml:space="preserve">Tom Clark </v>
      </c>
      <c r="G11" t="str">
        <f>IFERROR(_xlfn.XLOOKUP(tblLog[[#This Row],[Unique ID]], tblMaster[Unique ID], tblMaster[Recruitment Cycle], ""), "")</f>
        <v xml:space="preserve">New Submission/ Lead </v>
      </c>
      <c r="H11" t="s">
        <v>7463</v>
      </c>
      <c r="I11" t="s">
        <v>7464</v>
      </c>
      <c r="J11" s="3">
        <v>2</v>
      </c>
      <c r="K11" t="s">
        <v>7468</v>
      </c>
      <c r="L11" s="2">
        <v>46051</v>
      </c>
      <c r="M11" t="s">
        <v>7436</v>
      </c>
      <c r="N11" t="s">
        <v>7517</v>
      </c>
      <c r="O11" t="s">
        <v>7469</v>
      </c>
      <c r="P11">
        <f ca="1">IF(tblLog[[#This Row],[Log Date]]="","",TODAY()-tblLog[[#This Row],[Log Date]])</f>
        <v>28</v>
      </c>
      <c r="Q11" t="str">
        <f>IF(tblLog[[#This Row],[Log Date]]="","",IF(TRIM(tblLog[[#This Row],[Cycle Stage]])="Asked to be removed from database","NO","YES"))</f>
        <v>YES</v>
      </c>
      <c r="R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" spans="1:18">
      <c r="A12" t="s">
        <v>7470</v>
      </c>
      <c r="B12" t="str">
        <f>IFERROR(_xlfn.XLOOKUP(tblLog[[#This Row],[Unique ID]], tblMaster[Unique ID], tblMaster[First Name], ""), "")</f>
        <v xml:space="preserve">Arthur </v>
      </c>
      <c r="C12" t="str">
        <f>IFERROR(_xlfn.XLOOKUP(tblLog[[#This Row],[Unique ID]], tblMaster[Unique ID], tblMaster[Last Name], ""), "")</f>
        <v xml:space="preserve"> Needham </v>
      </c>
      <c r="D12" t="str">
        <f>IFERROR(_xlfn.XLOOKUP(tblLog[[#This Row],[Unique ID]], tblMaster[Unique ID], tblMaster[Email_Clean], ""), "")</f>
        <v>arthurneedham13@gmail.com</v>
      </c>
      <c r="E12" t="str">
        <f>IFERROR(_xlfn.XLOOKUP(tblLog[[#This Row],[Unique ID]], tblMaster[Unique ID], tblMaster[Phone], ""), "")</f>
        <v xml:space="preserve">(413) 563-1833 </v>
      </c>
      <c r="F12" t="str">
        <f>IFERROR(_xlfn.XLOOKUP(tblLog[[#This Row],[Unique ID]], tblMaster[Unique ID], tblMaster[Recruiter], ""), "")</f>
        <v xml:space="preserve">Tom Clark </v>
      </c>
      <c r="G12" t="str">
        <f>IFERROR(_xlfn.XLOOKUP(tblLog[[#This Row],[Unique ID]], tblMaster[Unique ID], tblMaster[Recruitment Cycle], ""), "")</f>
        <v xml:space="preserve">New Submission/ Lead </v>
      </c>
      <c r="H12" t="s">
        <v>7463</v>
      </c>
      <c r="I12" t="s">
        <v>7464</v>
      </c>
      <c r="J12" s="3">
        <v>1</v>
      </c>
      <c r="K12" t="s">
        <v>7468</v>
      </c>
      <c r="L12" s="2">
        <v>46051</v>
      </c>
      <c r="M12" t="s">
        <v>7436</v>
      </c>
      <c r="N12" t="s">
        <v>7475</v>
      </c>
      <c r="P12">
        <f ca="1">IF(tblLog[[#This Row],[Log Date]]="","",TODAY()-tblLog[[#This Row],[Log Date]])</f>
        <v>28</v>
      </c>
      <c r="Q12" t="str">
        <f>IF(tblLog[[#This Row],[Log Date]]="","",IF(TRIM(tblLog[[#This Row],[Cycle Stage]])="Asked to be removed from database","NO","YES"))</f>
        <v>YES</v>
      </c>
      <c r="R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" spans="1:18">
      <c r="A13" t="s">
        <v>7471</v>
      </c>
      <c r="B13" t="str">
        <f>IFERROR(_xlfn.XLOOKUP(tblLog[[#This Row],[Unique ID]], tblMaster[Unique ID], tblMaster[First Name], ""), "")</f>
        <v xml:space="preserve">Babatunde </v>
      </c>
      <c r="C13" t="str">
        <f>IFERROR(_xlfn.XLOOKUP(tblLog[[#This Row],[Unique ID]], tblMaster[Unique ID], tblMaster[Last Name], ""), "")</f>
        <v xml:space="preserve"> Amao </v>
      </c>
      <c r="D13" t="str">
        <f>IFERROR(_xlfn.XLOOKUP(tblLog[[#This Row],[Unique ID]], tblMaster[Unique ID], tblMaster[Email_Clean], ""), "")</f>
        <v>bopeter44@yahoo.com</v>
      </c>
      <c r="E13" t="str">
        <f>IFERROR(_xlfn.XLOOKUP(tblLog[[#This Row],[Unique ID]], tblMaster[Unique ID], tblMaster[Phone], ""), "")</f>
        <v xml:space="preserve">(601) 500-0117 </v>
      </c>
      <c r="F13" t="str">
        <f>IFERROR(_xlfn.XLOOKUP(tblLog[[#This Row],[Unique ID]], tblMaster[Unique ID], tblMaster[Recruiter], ""), "")</f>
        <v>Zenon Moses</v>
      </c>
      <c r="G13" t="str">
        <f>IFERROR(_xlfn.XLOOKUP(tblLog[[#This Row],[Unique ID]], tblMaster[Unique ID], tblMaster[Recruitment Cycle], ""), "")</f>
        <v xml:space="preserve">New Submission/ Lead </v>
      </c>
      <c r="H13" t="s">
        <v>7455</v>
      </c>
      <c r="I13" t="s">
        <v>7464</v>
      </c>
      <c r="J13" s="3">
        <v>2</v>
      </c>
      <c r="K13" t="s">
        <v>7472</v>
      </c>
      <c r="L13" s="2">
        <v>46051</v>
      </c>
      <c r="M13" t="s">
        <v>7447</v>
      </c>
      <c r="N13" t="s">
        <v>7473</v>
      </c>
      <c r="P13">
        <f ca="1">IF(tblLog[[#This Row],[Log Date]]="","",TODAY()-tblLog[[#This Row],[Log Date]])</f>
        <v>28</v>
      </c>
      <c r="Q13" t="str">
        <f>IF(tblLog[[#This Row],[Log Date]]="","",IF(TRIM(tblLog[[#This Row],[Cycle Stage]])="Asked to be removed from database","NO","YES"))</f>
        <v>YES</v>
      </c>
      <c r="R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" spans="1:18">
      <c r="A14" t="s">
        <v>7474</v>
      </c>
      <c r="B14" t="str">
        <f>IFERROR(_xlfn.XLOOKUP(tblLog[[#This Row],[Unique ID]], tblMaster[Unique ID], tblMaster[First Name], ""), "")</f>
        <v xml:space="preserve">Max </v>
      </c>
      <c r="C14" t="str">
        <f>IFERROR(_xlfn.XLOOKUP(tblLog[[#This Row],[Unique ID]], tblMaster[Unique ID], tblMaster[Last Name], ""), "")</f>
        <v xml:space="preserve">Tyler </v>
      </c>
      <c r="D14" t="str">
        <f>IFERROR(_xlfn.XLOOKUP(tblLog[[#This Row],[Unique ID]], tblMaster[Unique ID], tblMaster[Email_Clean], ""), "")</f>
        <v>maxytyler10@yahoo.com</v>
      </c>
      <c r="E14" t="str">
        <f>IFERROR(_xlfn.XLOOKUP(tblLog[[#This Row],[Unique ID]], tblMaster[Unique ID], tblMaster[Phone], ""), "")</f>
        <v xml:space="preserve">978) 888-1903 </v>
      </c>
      <c r="F14" t="str">
        <f>IFERROR(_xlfn.XLOOKUP(tblLog[[#This Row],[Unique ID]], tblMaster[Unique ID], tblMaster[Recruiter], ""), "")</f>
        <v>Zenon Moses</v>
      </c>
      <c r="G14" t="str">
        <f>IFERROR(_xlfn.XLOOKUP(tblLog[[#This Row],[Unique ID]], tblMaster[Unique ID], tblMaster[Recruitment Cycle], ""), "")</f>
        <v xml:space="preserve">New Submission/ Lead </v>
      </c>
      <c r="H14" t="s">
        <v>7463</v>
      </c>
      <c r="I14" t="s">
        <v>7434</v>
      </c>
      <c r="J14" s="3">
        <v>1</v>
      </c>
      <c r="K14" t="s">
        <v>7446</v>
      </c>
      <c r="L14" s="2">
        <v>46058</v>
      </c>
      <c r="M14" t="s">
        <v>7452</v>
      </c>
      <c r="N14" t="s">
        <v>7475</v>
      </c>
      <c r="O14" t="s">
        <v>7476</v>
      </c>
      <c r="P14">
        <f ca="1">IF(tblLog[[#This Row],[Log Date]]="","",TODAY()-tblLog[[#This Row],[Log Date]])</f>
        <v>21</v>
      </c>
      <c r="Q14" t="str">
        <f>IF(tblLog[[#This Row],[Log Date]]="","",IF(TRIM(tblLog[[#This Row],[Cycle Stage]])="Asked to be removed from database","NO","YES"))</f>
        <v>YES</v>
      </c>
      <c r="R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" spans="1:18">
      <c r="A15" t="s">
        <v>7477</v>
      </c>
      <c r="B15" t="str">
        <f>IFERROR(_xlfn.XLOOKUP(tblLog[[#This Row],[Unique ID]], tblMaster[Unique ID], tblMaster[First Name], ""), "")</f>
        <v>Alicia</v>
      </c>
      <c r="C15" t="str">
        <f>IFERROR(_xlfn.XLOOKUP(tblLog[[#This Row],[Unique ID]], tblMaster[Unique ID], tblMaster[Last Name], ""), "")</f>
        <v>Whalen</v>
      </c>
      <c r="D15" t="str">
        <f>IFERROR(_xlfn.XLOOKUP(tblLog[[#This Row],[Unique ID]], tblMaster[Unique ID], tblMaster[Email_Clean], ""), "")</f>
        <v>mariie.jackson@icloud.com</v>
      </c>
      <c r="E15" t="str">
        <f>IFERROR(_xlfn.XLOOKUP(tblLog[[#This Row],[Unique ID]], tblMaster[Unique ID], tblMaster[Phone], ""), "")</f>
        <v>413-356-7338</v>
      </c>
      <c r="F15" t="str">
        <f>IFERROR(_xlfn.XLOOKUP(tblLog[[#This Row],[Unique ID]], tblMaster[Unique ID], tblMaster[Recruiter], ""), "")</f>
        <v xml:space="preserve">Enrique Ortiz </v>
      </c>
      <c r="G15" t="str">
        <f>IFERROR(_xlfn.XLOOKUP(tblLog[[#This Row],[Unique ID]], tblMaster[Unique ID], tblMaster[Recruitment Cycle], ""), "")</f>
        <v xml:space="preserve">New Submission/ Lead </v>
      </c>
      <c r="H15" t="s">
        <v>7463</v>
      </c>
      <c r="I15" t="s">
        <v>4</v>
      </c>
      <c r="J15" s="3">
        <v>2</v>
      </c>
      <c r="K15" t="s">
        <v>7478</v>
      </c>
      <c r="L15" s="2">
        <v>46056</v>
      </c>
      <c r="M15" t="s">
        <v>7479</v>
      </c>
      <c r="N15" t="s">
        <v>7475</v>
      </c>
      <c r="P15">
        <f ca="1">IF(tblLog[[#This Row],[Log Date]]="","",TODAY()-tblLog[[#This Row],[Log Date]])</f>
        <v>23</v>
      </c>
      <c r="Q15" t="str">
        <f>IF(tblLog[[#This Row],[Log Date]]="","",IF(TRIM(tblLog[[#This Row],[Cycle Stage]])="Asked to be removed from database","NO","YES"))</f>
        <v>YES</v>
      </c>
      <c r="R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" spans="1:18">
      <c r="A16" t="s">
        <v>7480</v>
      </c>
      <c r="B16" t="str">
        <f>IFERROR(_xlfn.XLOOKUP(tblLog[[#This Row],[Unique ID]], tblMaster[Unique ID], tblMaster[First Name], ""), "")</f>
        <v xml:space="preserve">Ruth </v>
      </c>
      <c r="C16" t="str">
        <f>IFERROR(_xlfn.XLOOKUP(tblLog[[#This Row],[Unique ID]], tblMaster[Unique ID], tblMaster[Last Name], ""), "")</f>
        <v xml:space="preserve">Marfo </v>
      </c>
      <c r="D16" t="str">
        <f>IFERROR(_xlfn.XLOOKUP(tblLog[[#This Row],[Unique ID]], tblMaster[Unique ID], tblMaster[Email_Clean], ""), "")</f>
        <v>ruthmarfo517334@gmail.com</v>
      </c>
      <c r="E16" t="str">
        <f>IFERROR(_xlfn.XLOOKUP(tblLog[[#This Row],[Unique ID]], tblMaster[Unique ID], tblMaster[Phone], ""), "")</f>
        <v>508-463-7261</v>
      </c>
      <c r="F16" t="str">
        <f>IFERROR(_xlfn.XLOOKUP(tblLog[[#This Row],[Unique ID]], tblMaster[Unique ID], tblMaster[Recruiter], ""), "")</f>
        <v>Zenon Moses</v>
      </c>
      <c r="G16" t="str">
        <f>IFERROR(_xlfn.XLOOKUP(tblLog[[#This Row],[Unique ID]], tblMaster[Unique ID], tblMaster[Recruitment Cycle], ""), "")</f>
        <v xml:space="preserve">Re-Engagment </v>
      </c>
      <c r="H16" t="s">
        <v>7439</v>
      </c>
      <c r="I16" t="s">
        <v>7434</v>
      </c>
      <c r="J16" s="3">
        <v>2</v>
      </c>
      <c r="K16" t="s">
        <v>7440</v>
      </c>
      <c r="L16" s="2">
        <v>46055</v>
      </c>
      <c r="M16" t="s">
        <v>7452</v>
      </c>
      <c r="N16" t="s">
        <v>7481</v>
      </c>
      <c r="O16" t="s">
        <v>7482</v>
      </c>
      <c r="P16">
        <f ca="1">IF(tblLog[[#This Row],[Log Date]]="","",TODAY()-tblLog[[#This Row],[Log Date]])</f>
        <v>24</v>
      </c>
      <c r="Q16" t="str">
        <f>IF(tblLog[[#This Row],[Log Date]]="","",IF(TRIM(tblLog[[#This Row],[Cycle Stage]])="Asked to be removed from database","NO","YES"))</f>
        <v>YES</v>
      </c>
      <c r="R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" spans="1:18">
      <c r="A17" t="s">
        <v>7483</v>
      </c>
      <c r="B17" t="str">
        <f>IFERROR(_xlfn.XLOOKUP(tblLog[[#This Row],[Unique ID]], tblMaster[Unique ID], tblMaster[First Name], ""), "")</f>
        <v/>
      </c>
      <c r="C17" t="str">
        <f>IFERROR(_xlfn.XLOOKUP(tblLog[[#This Row],[Unique ID]], tblMaster[Unique ID], tblMaster[Last Name], ""), "")</f>
        <v/>
      </c>
      <c r="D17" t="str">
        <f>IFERROR(_xlfn.XLOOKUP(tblLog[[#This Row],[Unique ID]], tblMaster[Unique ID], tblMaster[Email_Clean], ""), "")</f>
        <v/>
      </c>
      <c r="E17" t="str">
        <f>IFERROR(_xlfn.XLOOKUP(tblLog[[#This Row],[Unique ID]], tblMaster[Unique ID], tblMaster[Phone], ""), "")</f>
        <v/>
      </c>
      <c r="F17" t="str">
        <f>IFERROR(_xlfn.XLOOKUP(tblLog[[#This Row],[Unique ID]], tblMaster[Unique ID], tblMaster[Recruiter], ""), "")</f>
        <v/>
      </c>
      <c r="G17" t="str">
        <f>IFERROR(_xlfn.XLOOKUP(tblLog[[#This Row],[Unique ID]], tblMaster[Unique ID], tblMaster[Recruitment Cycle], ""), "")</f>
        <v/>
      </c>
      <c r="H17" t="s">
        <v>7484</v>
      </c>
      <c r="I17" t="s">
        <v>7434</v>
      </c>
      <c r="J17" s="3">
        <v>1</v>
      </c>
      <c r="K17" t="s">
        <v>7472</v>
      </c>
      <c r="L17" s="2">
        <v>46056</v>
      </c>
      <c r="M17" t="s">
        <v>7485</v>
      </c>
      <c r="N17" t="s">
        <v>7475</v>
      </c>
      <c r="P17">
        <f ca="1">IF(tblLog[[#This Row],[Log Date]]="","",TODAY()-tblLog[[#This Row],[Log Date]])</f>
        <v>23</v>
      </c>
      <c r="Q17" t="str">
        <f>IF(tblLog[[#This Row],[Log Date]]="","",IF(TRIM(tblLog[[#This Row],[Cycle Stage]])="Asked to be removed from database","NO","YES"))</f>
        <v>NO</v>
      </c>
      <c r="R1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" spans="1:18">
      <c r="A18" t="s">
        <v>7486</v>
      </c>
      <c r="B18" t="str">
        <f>IFERROR(_xlfn.XLOOKUP(tblLog[[#This Row],[Unique ID]], tblMaster[Unique ID], tblMaster[First Name], ""), "")</f>
        <v>Carol</v>
      </c>
      <c r="C18" t="str">
        <f>IFERROR(_xlfn.XLOOKUP(tblLog[[#This Row],[Unique ID]], tblMaster[Unique ID], tblMaster[Last Name], ""), "")</f>
        <v>Pratt</v>
      </c>
      <c r="D18" t="str">
        <f>IFERROR(_xlfn.XLOOKUP(tblLog[[#This Row],[Unique ID]], tblMaster[Unique ID], tblMaster[Email_Clean], ""), "")</f>
        <v>cpratt86@yahoo.com</v>
      </c>
      <c r="E18" t="str">
        <f>IFERROR(_xlfn.XLOOKUP(tblLog[[#This Row],[Unique ID]], tblMaster[Unique ID], tblMaster[Phone], ""), "")</f>
        <v>774-999-9035</v>
      </c>
      <c r="F18" t="str">
        <f>IFERROR(_xlfn.XLOOKUP(tblLog[[#This Row],[Unique ID]], tblMaster[Unique ID], tblMaster[Recruiter], ""), "")</f>
        <v>Zenon Moses</v>
      </c>
      <c r="G18" t="str">
        <f>IFERROR(_xlfn.XLOOKUP(tblLog[[#This Row],[Unique ID]], tblMaster[Unique ID], tblMaster[Recruitment Cycle], ""), "")</f>
        <v xml:space="preserve">Re-Engagment </v>
      </c>
      <c r="H18" t="s">
        <v>7445</v>
      </c>
      <c r="I18" t="s">
        <v>7434</v>
      </c>
      <c r="J18" s="3">
        <v>1</v>
      </c>
      <c r="K18" t="s">
        <v>7451</v>
      </c>
      <c r="L18" s="2">
        <v>46055</v>
      </c>
      <c r="M18" t="s">
        <v>7452</v>
      </c>
      <c r="N18" t="s">
        <v>7487</v>
      </c>
      <c r="O18" t="s">
        <v>7488</v>
      </c>
      <c r="P18">
        <f ca="1">IF(tblLog[[#This Row],[Log Date]]="","",TODAY()-tblLog[[#This Row],[Log Date]])</f>
        <v>24</v>
      </c>
      <c r="Q18" t="str">
        <f>IF(tblLog[[#This Row],[Log Date]]="","",IF(TRIM(tblLog[[#This Row],[Cycle Stage]])="Asked to be removed from database","NO","YES"))</f>
        <v>YES</v>
      </c>
      <c r="R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" spans="1:18">
      <c r="A19" t="s">
        <v>7489</v>
      </c>
      <c r="B19" t="str">
        <f>IFERROR(_xlfn.XLOOKUP(tblLog[[#This Row],[Unique ID]], tblMaster[Unique ID], tblMaster[First Name], ""), "")</f>
        <v>Jereem</v>
      </c>
      <c r="C19" t="str">
        <f>IFERROR(_xlfn.XLOOKUP(tblLog[[#This Row],[Unique ID]], tblMaster[Unique ID], tblMaster[Last Name], ""), "")</f>
        <v>Langlais</v>
      </c>
      <c r="D19" t="str">
        <f>IFERROR(_xlfn.XLOOKUP(tblLog[[#This Row],[Unique ID]], tblMaster[Unique ID], tblMaster[Email_Clean], ""), "")</f>
        <v>jereem.langlais@gmail.com</v>
      </c>
      <c r="E19" t="str">
        <f>IFERROR(_xlfn.XLOOKUP(tblLog[[#This Row],[Unique ID]], tblMaster[Unique ID], tblMaster[Phone], ""), "")</f>
        <v>(781) 929-3583</v>
      </c>
      <c r="F19" t="str">
        <f>IFERROR(_xlfn.XLOOKUP(tblLog[[#This Row],[Unique ID]], tblMaster[Unique ID], tblMaster[Recruiter], ""), "")</f>
        <v xml:space="preserve">Tom Clark </v>
      </c>
      <c r="G19" t="str">
        <f>IFERROR(_xlfn.XLOOKUP(tblLog[[#This Row],[Unique ID]], tblMaster[Unique ID], tblMaster[Recruitment Cycle], ""), "")</f>
        <v xml:space="preserve">New Submission/ Lead </v>
      </c>
      <c r="H19" t="s">
        <v>7490</v>
      </c>
      <c r="I19" t="s">
        <v>7434</v>
      </c>
      <c r="J19" s="3">
        <v>2</v>
      </c>
      <c r="K19" t="s">
        <v>7491</v>
      </c>
      <c r="L19" s="2">
        <v>46056</v>
      </c>
      <c r="N19" t="s">
        <v>7475</v>
      </c>
      <c r="P19">
        <f ca="1">IF(tblLog[[#This Row],[Log Date]]="","",TODAY()-tblLog[[#This Row],[Log Date]])</f>
        <v>23</v>
      </c>
      <c r="Q19" t="str">
        <f>IF(tblLog[[#This Row],[Log Date]]="","",IF(TRIM(tblLog[[#This Row],[Cycle Stage]])="Asked to be removed from database","NO","YES"))</f>
        <v>YES</v>
      </c>
      <c r="R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" spans="1:18">
      <c r="A20" t="s">
        <v>7492</v>
      </c>
      <c r="B20" t="str">
        <f>IFERROR(_xlfn.XLOOKUP(tblLog[[#This Row],[Unique ID]], tblMaster[Unique ID], tblMaster[First Name], ""), "")</f>
        <v xml:space="preserve">Shaniqua </v>
      </c>
      <c r="C20" t="str">
        <f>IFERROR(_xlfn.XLOOKUP(tblLog[[#This Row],[Unique ID]], tblMaster[Unique ID], tblMaster[Last Name], ""), "")</f>
        <v xml:space="preserve"> Hunt </v>
      </c>
      <c r="D20" t="str">
        <f>IFERROR(_xlfn.XLOOKUP(tblLog[[#This Row],[Unique ID]], tblMaster[Unique ID], tblMaster[Email_Clean], ""), "")</f>
        <v>shaniqua.hunt0@gmail.com</v>
      </c>
      <c r="E20" t="str">
        <f>IFERROR(_xlfn.XLOOKUP(tblLog[[#This Row],[Unique ID]], tblMaster[Unique ID], tblMaster[Phone], ""), "")</f>
        <v xml:space="preserve">978) 876-3628 </v>
      </c>
      <c r="F20" t="str">
        <f>IFERROR(_xlfn.XLOOKUP(tblLog[[#This Row],[Unique ID]], tblMaster[Unique ID], tblMaster[Recruiter], ""), "")</f>
        <v xml:space="preserve">Enrique Ortiz </v>
      </c>
      <c r="G20" t="str">
        <f>IFERROR(_xlfn.XLOOKUP(tblLog[[#This Row],[Unique ID]], tblMaster[Unique ID], tblMaster[Recruitment Cycle], ""), "")</f>
        <v xml:space="preserve">New Submission/ Lead </v>
      </c>
      <c r="H20" t="s">
        <v>7455</v>
      </c>
      <c r="I20" t="s">
        <v>7434</v>
      </c>
      <c r="J20" s="3">
        <v>2</v>
      </c>
      <c r="K20" t="s">
        <v>7446</v>
      </c>
      <c r="L20" s="2">
        <v>46056</v>
      </c>
      <c r="M20" t="s">
        <v>7452</v>
      </c>
      <c r="N20" t="s">
        <v>7475</v>
      </c>
      <c r="P20">
        <f ca="1">IF(tblLog[[#This Row],[Log Date]]="","",TODAY()-tblLog[[#This Row],[Log Date]])</f>
        <v>23</v>
      </c>
      <c r="Q20" t="str">
        <f>IF(tblLog[[#This Row],[Log Date]]="","",IF(TRIM(tblLog[[#This Row],[Cycle Stage]])="Asked to be removed from database","NO","YES"))</f>
        <v>YES</v>
      </c>
      <c r="R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" spans="1:18">
      <c r="A21" t="s">
        <v>7493</v>
      </c>
      <c r="B21" t="str">
        <f>IFERROR(_xlfn.XLOOKUP(tblLog[[#This Row],[Unique ID]], tblMaster[Unique ID], tblMaster[First Name], ""), "")</f>
        <v xml:space="preserve">Zachary </v>
      </c>
      <c r="C21" t="str">
        <f>IFERROR(_xlfn.XLOOKUP(tblLog[[#This Row],[Unique ID]], tblMaster[Unique ID], tblMaster[Last Name], ""), "")</f>
        <v>Norcross</v>
      </c>
      <c r="D21" t="str">
        <f>IFERROR(_xlfn.XLOOKUP(tblLog[[#This Row],[Unique ID]], tblMaster[Unique ID], tblMaster[Email_Clean], ""), "")</f>
        <v>znorcross@msn.com</v>
      </c>
      <c r="E21" s="36" t="str">
        <f>IFERROR(_xlfn.XLOOKUP(tblLog[[#This Row],[Unique ID]], tblMaster[Unique ID], tblMaster[Phone], ""), "")</f>
        <v>978 962 1330</v>
      </c>
      <c r="F21" t="str">
        <f>IFERROR(_xlfn.XLOOKUP(tblLog[[#This Row],[Unique ID]], tblMaster[Unique ID], tblMaster[Recruiter], ""), "")</f>
        <v xml:space="preserve">Christopher Servello </v>
      </c>
      <c r="G21" t="str">
        <f>IFERROR(_xlfn.XLOOKUP(tblLog[[#This Row],[Unique ID]], tblMaster[Unique ID], tblMaster[Recruitment Cycle], ""), "")</f>
        <v xml:space="preserve">New Submission/ Lead </v>
      </c>
      <c r="H21" t="s">
        <v>7455</v>
      </c>
      <c r="I21" t="s">
        <v>7494</v>
      </c>
      <c r="J21" s="3">
        <v>1</v>
      </c>
      <c r="K21" t="s">
        <v>7491</v>
      </c>
      <c r="L21" s="2">
        <v>46063</v>
      </c>
      <c r="M21" t="s">
        <v>7452</v>
      </c>
      <c r="N21" t="s">
        <v>7475</v>
      </c>
      <c r="P21">
        <f ca="1">IF(tblLog[[#This Row],[Log Date]]="","",TODAY()-tblLog[[#This Row],[Log Date]])</f>
        <v>16</v>
      </c>
      <c r="Q21" t="str">
        <f>IF(tblLog[[#This Row],[Log Date]]="","",IF(TRIM(tblLog[[#This Row],[Cycle Stage]])="Asked to be removed from database","NO","YES"))</f>
        <v>YES</v>
      </c>
      <c r="R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" spans="1:18">
      <c r="A22" t="s">
        <v>7495</v>
      </c>
      <c r="B22" t="str">
        <f>IFERROR(_xlfn.XLOOKUP(tblLog[[#This Row],[Unique ID]], tblMaster[Unique ID], tblMaster[First Name], ""), "")</f>
        <v>Chetna</v>
      </c>
      <c r="C22" t="str">
        <f>IFERROR(_xlfn.XLOOKUP(tblLog[[#This Row],[Unique ID]], tblMaster[Unique ID], tblMaster[Last Name], ""), "")</f>
        <v>Putta</v>
      </c>
      <c r="D22" t="str">
        <f>IFERROR(_xlfn.XLOOKUP(tblLog[[#This Row],[Unique ID]], tblMaster[Unique ID], tblMaster[Email_Clean], ""), "")</f>
        <v>chetnaputta@gmail.com</v>
      </c>
      <c r="E22" s="36" t="str">
        <f>IFERROR(_xlfn.XLOOKUP(tblLog[[#This Row],[Unique ID]], tblMaster[Unique ID], tblMaster[Phone], ""), "")</f>
        <v xml:space="preserve">	(617) 480-6456</v>
      </c>
      <c r="F22" t="str">
        <f>IFERROR(_xlfn.XLOOKUP(tblLog[[#This Row],[Unique ID]], tblMaster[Unique ID], tblMaster[Recruiter], ""), "")</f>
        <v xml:space="preserve">Christopher Servello </v>
      </c>
      <c r="G22" t="str">
        <f>IFERROR(_xlfn.XLOOKUP(tblLog[[#This Row],[Unique ID]], tblMaster[Unique ID], tblMaster[Recruitment Cycle], ""), "")</f>
        <v xml:space="preserve">New Submission/ Lead </v>
      </c>
      <c r="H22" t="s">
        <v>7496</v>
      </c>
      <c r="I22" t="s">
        <v>4</v>
      </c>
      <c r="J22" s="3">
        <v>1</v>
      </c>
      <c r="K22" t="s">
        <v>4</v>
      </c>
      <c r="L22" s="2">
        <v>46056</v>
      </c>
      <c r="M22" t="s">
        <v>7452</v>
      </c>
      <c r="N22" t="s">
        <v>7497</v>
      </c>
      <c r="P22">
        <f ca="1">IF(tblLog[[#This Row],[Log Date]]="","",TODAY()-tblLog[[#This Row],[Log Date]])</f>
        <v>23</v>
      </c>
      <c r="Q22" t="str">
        <f>IF(tblLog[[#This Row],[Log Date]]="","",IF(TRIM(tblLog[[#This Row],[Cycle Stage]])="Asked to be removed from database","NO","YES"))</f>
        <v>YES</v>
      </c>
      <c r="R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" spans="1:18">
      <c r="A23" t="s">
        <v>7498</v>
      </c>
      <c r="B23" t="str">
        <f>IFERROR(_xlfn.XLOOKUP(tblLog[[#This Row],[Unique ID]], tblMaster[Unique ID], tblMaster[First Name], ""), "")</f>
        <v xml:space="preserve">Tsvetelina </v>
      </c>
      <c r="C23" t="str">
        <f>IFERROR(_xlfn.XLOOKUP(tblLog[[#This Row],[Unique ID]], tblMaster[Unique ID], tblMaster[Last Name], ""), "")</f>
        <v xml:space="preserve"> Dimitrova </v>
      </c>
      <c r="D23" t="str">
        <f>IFERROR(_xlfn.XLOOKUP(tblLog[[#This Row],[Unique ID]], tblMaster[Unique ID], tblMaster[Email_Clean], ""), "")</f>
        <v>ennad2022@gmail.com</v>
      </c>
      <c r="E23" t="str">
        <f>IFERROR(_xlfn.XLOOKUP(tblLog[[#This Row],[Unique ID]], tblMaster[Unique ID], tblMaster[Phone], ""), "")</f>
        <v xml:space="preserve">(508) 685-7892 </v>
      </c>
      <c r="F23" t="str">
        <f>IFERROR(_xlfn.XLOOKUP(tblLog[[#This Row],[Unique ID]], tblMaster[Unique ID], tblMaster[Recruiter], ""), "")</f>
        <v>Zenon Moses</v>
      </c>
      <c r="G23" t="str">
        <f>IFERROR(_xlfn.XLOOKUP(tblLog[[#This Row],[Unique ID]], tblMaster[Unique ID], tblMaster[Recruitment Cycle], ""), "")</f>
        <v xml:space="preserve">New Submission/ Lead </v>
      </c>
      <c r="H23" t="s">
        <v>7499</v>
      </c>
      <c r="I23" t="s">
        <v>7434</v>
      </c>
      <c r="J23" s="3">
        <v>1</v>
      </c>
      <c r="K23" t="s">
        <v>7435</v>
      </c>
      <c r="L23" s="2">
        <v>46059</v>
      </c>
      <c r="M23" t="s">
        <v>7452</v>
      </c>
      <c r="N23" t="s">
        <v>7500</v>
      </c>
      <c r="O23" t="s">
        <v>7501</v>
      </c>
      <c r="P23">
        <f ca="1">IF(tblLog[[#This Row],[Log Date]]="","",TODAY()-tblLog[[#This Row],[Log Date]])</f>
        <v>20</v>
      </c>
      <c r="Q23" t="str">
        <f>IF(tblLog[[#This Row],[Log Date]]="","",IF(TRIM(tblLog[[#This Row],[Cycle Stage]])="Asked to be removed from database","NO","YES"))</f>
        <v>YES</v>
      </c>
      <c r="R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" spans="1:18">
      <c r="A24" t="s">
        <v>7502</v>
      </c>
      <c r="B24" t="str">
        <f>IFERROR(_xlfn.XLOOKUP(tblLog[[#This Row],[Unique ID]], tblMaster[Unique ID], tblMaster[First Name], ""), "")</f>
        <v xml:space="preserve">Bharath </v>
      </c>
      <c r="C24" t="str">
        <f>IFERROR(_xlfn.XLOOKUP(tblLog[[#This Row],[Unique ID]], tblMaster[Unique ID], tblMaster[Last Name], ""), "")</f>
        <v xml:space="preserve"> Raj Pragada </v>
      </c>
      <c r="D24" t="str">
        <f>IFERROR(_xlfn.XLOOKUP(tblLog[[#This Row],[Unique ID]], tblMaster[Unique ID], tblMaster[Email_Clean], ""), "")</f>
        <v>bharathrajpragada@gmail.com</v>
      </c>
      <c r="E24" s="36" t="str">
        <f>IFERROR(_xlfn.XLOOKUP(tblLog[[#This Row],[Unique ID]], tblMaster[Unique ID], tblMaster[Phone], ""), "")</f>
        <v xml:space="preserve">(857) 397-2462 </v>
      </c>
      <c r="F24" t="str">
        <f>IFERROR(_xlfn.XLOOKUP(tblLog[[#This Row],[Unique ID]], tblMaster[Unique ID], tblMaster[Recruiter], ""), "")</f>
        <v xml:space="preserve">Christopher Servello </v>
      </c>
      <c r="G24" t="str">
        <f>IFERROR(_xlfn.XLOOKUP(tblLog[[#This Row],[Unique ID]], tblMaster[Unique ID], tblMaster[Recruitment Cycle], ""), "")</f>
        <v xml:space="preserve">New Submission/ Lead </v>
      </c>
      <c r="H24" t="s">
        <v>7496</v>
      </c>
      <c r="I24" t="s">
        <v>4</v>
      </c>
      <c r="J24" s="3">
        <v>1</v>
      </c>
      <c r="K24" t="s">
        <v>4</v>
      </c>
      <c r="L24" s="2">
        <v>46056</v>
      </c>
      <c r="M24" t="s">
        <v>7452</v>
      </c>
      <c r="N24" t="s">
        <v>7497</v>
      </c>
      <c r="P24">
        <f ca="1">IF(tblLog[[#This Row],[Log Date]]="","",TODAY()-tblLog[[#This Row],[Log Date]])</f>
        <v>23</v>
      </c>
      <c r="Q24" t="str">
        <f>IF(tblLog[[#This Row],[Log Date]]="","",IF(TRIM(tblLog[[#This Row],[Cycle Stage]])="Asked to be removed from database","NO","YES"))</f>
        <v>YES</v>
      </c>
      <c r="R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" spans="1:18">
      <c r="A25" t="s">
        <v>7503</v>
      </c>
      <c r="B25" t="str">
        <f>IFERROR(_xlfn.XLOOKUP(tblLog[[#This Row],[Unique ID]], tblMaster[Unique ID], tblMaster[First Name], ""), "")</f>
        <v xml:space="preserve">Dilshan </v>
      </c>
      <c r="C25" t="str">
        <f>IFERROR(_xlfn.XLOOKUP(tblLog[[#This Row],[Unique ID]], tblMaster[Unique ID], tblMaster[Last Name], ""), "")</f>
        <v xml:space="preserve"> Saparbek </v>
      </c>
      <c r="D25" t="str">
        <f>IFERROR(_xlfn.XLOOKUP(tblLog[[#This Row],[Unique ID]], tblMaster[Unique ID], tblMaster[Email_Clean], ""), "")</f>
        <v>dilshan1boston@gmail.com</v>
      </c>
      <c r="E25" s="36" t="str">
        <f>IFERROR(_xlfn.XLOOKUP(tblLog[[#This Row],[Unique ID]], tblMaster[Unique ID], tblMaster[Phone], ""), "")</f>
        <v xml:space="preserve">(774) 999-9273 </v>
      </c>
      <c r="F25" t="str">
        <f>IFERROR(_xlfn.XLOOKUP(tblLog[[#This Row],[Unique ID]], tblMaster[Unique ID], tblMaster[Recruiter], ""), "")</f>
        <v xml:space="preserve">Christopher Servello </v>
      </c>
      <c r="G25" t="str">
        <f>IFERROR(_xlfn.XLOOKUP(tblLog[[#This Row],[Unique ID]], tblMaster[Unique ID], tblMaster[Recruitment Cycle], ""), "")</f>
        <v xml:space="preserve">New Submission/ Lead </v>
      </c>
      <c r="H25" t="s">
        <v>7496</v>
      </c>
      <c r="I25" t="s">
        <v>4</v>
      </c>
      <c r="J25" s="3">
        <v>1</v>
      </c>
      <c r="K25" t="s">
        <v>4</v>
      </c>
      <c r="L25" s="2">
        <v>46056</v>
      </c>
      <c r="M25" t="s">
        <v>7452</v>
      </c>
      <c r="N25" t="s">
        <v>7497</v>
      </c>
      <c r="P25">
        <f ca="1">IF(tblLog[[#This Row],[Log Date]]="","",TODAY()-tblLog[[#This Row],[Log Date]])</f>
        <v>23</v>
      </c>
      <c r="Q25" t="str">
        <f>IF(tblLog[[#This Row],[Log Date]]="","",IF(TRIM(tblLog[[#This Row],[Cycle Stage]])="Asked to be removed from database","NO","YES"))</f>
        <v>YES</v>
      </c>
      <c r="R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" spans="1:18">
      <c r="A26" t="s">
        <v>7504</v>
      </c>
      <c r="B26" t="str">
        <f>IFERROR(_xlfn.XLOOKUP(tblLog[[#This Row],[Unique ID]], tblMaster[Unique ID], tblMaster[First Name], ""), "")</f>
        <v xml:space="preserve">Beatrice  </v>
      </c>
      <c r="C26" t="str">
        <f>IFERROR(_xlfn.XLOOKUP(tblLog[[#This Row],[Unique ID]], tblMaster[Unique ID], tblMaster[Last Name], ""), "")</f>
        <v xml:space="preserve">Julien Francois </v>
      </c>
      <c r="D26" t="str">
        <f>IFERROR(_xlfn.XLOOKUP(tblLog[[#This Row],[Unique ID]], tblMaster[Unique ID], tblMaster[Email_Clean], ""), "")</f>
        <v>bsanon512@gmail.com</v>
      </c>
      <c r="E26" s="36" t="str">
        <f>IFERROR(_xlfn.XLOOKUP(tblLog[[#This Row],[Unique ID]], tblMaster[Unique ID], tblMaster[Phone], ""), "")</f>
        <v xml:space="preserve">978) 754-5577 </v>
      </c>
      <c r="F26" t="str">
        <f>IFERROR(_xlfn.XLOOKUP(tblLog[[#This Row],[Unique ID]], tblMaster[Unique ID], tblMaster[Recruiter], ""), "")</f>
        <v xml:space="preserve">Christopher Servello </v>
      </c>
      <c r="G26" t="str">
        <f>IFERROR(_xlfn.XLOOKUP(tblLog[[#This Row],[Unique ID]], tblMaster[Unique ID], tblMaster[Recruitment Cycle], ""), "")</f>
        <v xml:space="preserve">New Submission/ Lead </v>
      </c>
      <c r="H26" t="s">
        <v>7505</v>
      </c>
      <c r="I26" t="s">
        <v>7434</v>
      </c>
      <c r="J26" s="3">
        <v>3</v>
      </c>
      <c r="K26" t="s">
        <v>7435</v>
      </c>
      <c r="L26" s="2">
        <v>46056</v>
      </c>
      <c r="M26" t="s">
        <v>7452</v>
      </c>
      <c r="N26" t="s">
        <v>7481</v>
      </c>
      <c r="O26" t="s">
        <v>7506</v>
      </c>
      <c r="P26">
        <f ca="1">IF(tblLog[[#This Row],[Log Date]]="","",TODAY()-tblLog[[#This Row],[Log Date]])</f>
        <v>23</v>
      </c>
      <c r="Q26" t="str">
        <f>IF(tblLog[[#This Row],[Log Date]]="","",IF(TRIM(tblLog[[#This Row],[Cycle Stage]])="Asked to be removed from database","NO","YES"))</f>
        <v>YES</v>
      </c>
      <c r="R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" spans="1:18">
      <c r="A27" t="s">
        <v>7507</v>
      </c>
      <c r="B27" t="str">
        <f>IFERROR(_xlfn.XLOOKUP(tblLog[[#This Row],[Unique ID]], tblMaster[Unique ID], tblMaster[First Name], ""), "")</f>
        <v xml:space="preserve">Tanisha </v>
      </c>
      <c r="C27" t="str">
        <f>IFERROR(_xlfn.XLOOKUP(tblLog[[#This Row],[Unique ID]], tblMaster[Unique ID], tblMaster[Last Name], ""), "")</f>
        <v xml:space="preserve"> Page </v>
      </c>
      <c r="D27" t="str">
        <f>IFERROR(_xlfn.XLOOKUP(tblLog[[#This Row],[Unique ID]], tblMaster[Unique ID], tblMaster[Email_Clean], ""), "")</f>
        <v>tanishapage03@gmail.com</v>
      </c>
      <c r="E27" s="36" t="str">
        <f>IFERROR(_xlfn.XLOOKUP(tblLog[[#This Row],[Unique ID]], tblMaster[Unique ID], tblMaster[Phone], ""), "")</f>
        <v xml:space="preserve">617) 905-1908 </v>
      </c>
      <c r="F27" t="str">
        <f>IFERROR(_xlfn.XLOOKUP(tblLog[[#This Row],[Unique ID]], tblMaster[Unique ID], tblMaster[Recruiter], ""), "")</f>
        <v xml:space="preserve">Christopher Servello </v>
      </c>
      <c r="G27" t="str">
        <f>IFERROR(_xlfn.XLOOKUP(tblLog[[#This Row],[Unique ID]], tblMaster[Unique ID], tblMaster[Recruitment Cycle], ""), "")</f>
        <v xml:space="preserve">New Submission/ Lead </v>
      </c>
      <c r="H27" t="s">
        <v>7455</v>
      </c>
      <c r="I27" t="s">
        <v>7434</v>
      </c>
      <c r="J27" s="3">
        <v>3</v>
      </c>
      <c r="K27" t="s">
        <v>7435</v>
      </c>
      <c r="L27" s="2">
        <v>46056</v>
      </c>
      <c r="M27" t="s">
        <v>7508</v>
      </c>
      <c r="N27" t="s">
        <v>7509</v>
      </c>
      <c r="O27" t="s">
        <v>7510</v>
      </c>
      <c r="P27">
        <f ca="1">IF(tblLog[[#This Row],[Log Date]]="","",TODAY()-tblLog[[#This Row],[Log Date]])</f>
        <v>23</v>
      </c>
      <c r="Q27" t="str">
        <f>IF(tblLog[[#This Row],[Log Date]]="","",IF(TRIM(tblLog[[#This Row],[Cycle Stage]])="Asked to be removed from database","NO","YES"))</f>
        <v>YES</v>
      </c>
      <c r="R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" spans="1:18">
      <c r="A28" t="s">
        <v>7511</v>
      </c>
      <c r="B28" t="str">
        <f>IFERROR(_xlfn.XLOOKUP(tblLog[[#This Row],[Unique ID]], tblMaster[Unique ID], tblMaster[First Name], ""), "")</f>
        <v xml:space="preserve">Cece </v>
      </c>
      <c r="C28" t="str">
        <f>IFERROR(_xlfn.XLOOKUP(tblLog[[#This Row],[Unique ID]], tblMaster[Unique ID], tblMaster[Last Name], ""), "")</f>
        <v xml:space="preserve">Bob </v>
      </c>
      <c r="D28" t="str">
        <f>IFERROR(_xlfn.XLOOKUP(tblLog[[#This Row],[Unique ID]], tblMaster[Unique ID], tblMaster[Email_Clean], ""), "")</f>
        <v>ceceangry347@icloud.com</v>
      </c>
      <c r="E28" s="36">
        <f>IFERROR(_xlfn.XLOOKUP(tblLog[[#This Row],[Unique ID]], tblMaster[Unique ID], tblMaster[Phone], ""), "")</f>
        <v>0</v>
      </c>
      <c r="F28" t="str">
        <f>IFERROR(_xlfn.XLOOKUP(tblLog[[#This Row],[Unique ID]], tblMaster[Unique ID], tblMaster[Recruiter], ""), "")</f>
        <v xml:space="preserve">Christopher Servello </v>
      </c>
      <c r="G28" t="str">
        <f>IFERROR(_xlfn.XLOOKUP(tblLog[[#This Row],[Unique ID]], tblMaster[Unique ID], tblMaster[Recruitment Cycle], ""), "")</f>
        <v xml:space="preserve">New Submission/ Lead </v>
      </c>
      <c r="H28" t="s">
        <v>7496</v>
      </c>
      <c r="I28" t="s">
        <v>4</v>
      </c>
      <c r="J28" s="3">
        <v>1</v>
      </c>
      <c r="K28" t="s">
        <v>4</v>
      </c>
      <c r="L28" s="2">
        <v>46056</v>
      </c>
      <c r="M28" t="s">
        <v>7452</v>
      </c>
      <c r="N28" t="s">
        <v>7497</v>
      </c>
      <c r="P28">
        <f ca="1">IF(tblLog[[#This Row],[Log Date]]="","",TODAY()-tblLog[[#This Row],[Log Date]])</f>
        <v>23</v>
      </c>
      <c r="Q28" t="str">
        <f>IF(tblLog[[#This Row],[Log Date]]="","",IF(TRIM(tblLog[[#This Row],[Cycle Stage]])="Asked to be removed from database","NO","YES"))</f>
        <v>YES</v>
      </c>
      <c r="R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" spans="1:18">
      <c r="A29" t="s">
        <v>7512</v>
      </c>
      <c r="B29" t="str">
        <f>IFERROR(_xlfn.XLOOKUP(tblLog[[#This Row],[Unique ID]], tblMaster[Unique ID], tblMaster[First Name], ""), "")</f>
        <v>Jacawan</v>
      </c>
      <c r="C29" t="str">
        <f>IFERROR(_xlfn.XLOOKUP(tblLog[[#This Row],[Unique ID]], tblMaster[Unique ID], tblMaster[Last Name], ""), "")</f>
        <v xml:space="preserve"> Daniel </v>
      </c>
      <c r="D29" t="str">
        <f>IFERROR(_xlfn.XLOOKUP(tblLog[[#This Row],[Unique ID]], tblMaster[Unique ID], tblMaster[Email_Clean], ""), "")</f>
        <v>jacawandaniels123@gmail.com</v>
      </c>
      <c r="E29" t="str">
        <f>IFERROR(_xlfn.XLOOKUP(tblLog[[#This Row],[Unique ID]], tblMaster[Unique ID], tblMaster[Phone], ""), "")</f>
        <v xml:space="preserve">(716) 461-9701 </v>
      </c>
      <c r="F29" t="str">
        <f>IFERROR(_xlfn.XLOOKUP(tblLog[[#This Row],[Unique ID]], tblMaster[Unique ID], tblMaster[Recruiter], ""), "")</f>
        <v>Zenon Moses</v>
      </c>
      <c r="G29" t="str">
        <f>IFERROR(_xlfn.XLOOKUP(tblLog[[#This Row],[Unique ID]], tblMaster[Unique ID], tblMaster[Recruitment Cycle], ""), "")</f>
        <v xml:space="preserve">New Submission/ Lead </v>
      </c>
      <c r="H29" t="s">
        <v>7455</v>
      </c>
      <c r="I29" t="s">
        <v>4</v>
      </c>
      <c r="J29" s="3">
        <v>1</v>
      </c>
      <c r="K29" t="s">
        <v>7478</v>
      </c>
      <c r="L29" s="2">
        <v>46056</v>
      </c>
      <c r="M29" t="s">
        <v>7452</v>
      </c>
      <c r="N29" t="s">
        <v>7500</v>
      </c>
      <c r="P29">
        <f ca="1">IF(tblLog[[#This Row],[Log Date]]="","",TODAY()-tblLog[[#This Row],[Log Date]])</f>
        <v>23</v>
      </c>
      <c r="Q29" t="str">
        <f>IF(tblLog[[#This Row],[Log Date]]="","",IF(TRIM(tblLog[[#This Row],[Cycle Stage]])="Asked to be removed from database","NO","YES"))</f>
        <v>YES</v>
      </c>
      <c r="R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" spans="1:18">
      <c r="A30" t="s">
        <v>7513</v>
      </c>
      <c r="B30" t="str">
        <f>IFERROR(_xlfn.XLOOKUP(tblLog[[#This Row],[Unique ID]], tblMaster[Unique ID], tblMaster[First Name], ""), "")</f>
        <v>Ryan</v>
      </c>
      <c r="C30" t="str">
        <f>IFERROR(_xlfn.XLOOKUP(tblLog[[#This Row],[Unique ID]], tblMaster[Unique ID], tblMaster[Last Name], ""), "")</f>
        <v xml:space="preserve">Maloney </v>
      </c>
      <c r="D30" t="str">
        <f>IFERROR(_xlfn.XLOOKUP(tblLog[[#This Row],[Unique ID]], tblMaster[Unique ID], tblMaster[Email_Clean], ""), "")</f>
        <v>ryan11maloney@gmail.com</v>
      </c>
      <c r="E30" t="str">
        <f>IFERROR(_xlfn.XLOOKUP(tblLog[[#This Row],[Unique ID]], tblMaster[Unique ID], tblMaster[Phone], ""), "")</f>
        <v xml:space="preserve">413) 231-7804 </v>
      </c>
      <c r="F30" t="str">
        <f>IFERROR(_xlfn.XLOOKUP(tblLog[[#This Row],[Unique ID]], tblMaster[Unique ID], tblMaster[Recruiter], ""), "")</f>
        <v>Zenon Moses</v>
      </c>
      <c r="G30" t="str">
        <f>IFERROR(_xlfn.XLOOKUP(tblLog[[#This Row],[Unique ID]], tblMaster[Unique ID], tblMaster[Recruitment Cycle], ""), "")</f>
        <v xml:space="preserve">New Submission/ Lead </v>
      </c>
      <c r="H30" t="s">
        <v>7455</v>
      </c>
      <c r="I30" t="s">
        <v>7494</v>
      </c>
      <c r="J30" s="3">
        <v>3</v>
      </c>
      <c r="K30" t="s">
        <v>7491</v>
      </c>
      <c r="L30" s="2">
        <v>46057</v>
      </c>
      <c r="M30" t="s">
        <v>7508</v>
      </c>
      <c r="N30" t="s">
        <v>7517</v>
      </c>
      <c r="P30">
        <f ca="1">IF(tblLog[[#This Row],[Log Date]]="","",TODAY()-tblLog[[#This Row],[Log Date]])</f>
        <v>22</v>
      </c>
      <c r="Q30" t="str">
        <f>IF(tblLog[[#This Row],[Log Date]]="","",IF(TRIM(tblLog[[#This Row],[Cycle Stage]])="Asked to be removed from database","NO","YES"))</f>
        <v>YES</v>
      </c>
      <c r="R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" spans="1:18">
      <c r="A31" t="s">
        <v>7514</v>
      </c>
      <c r="B31" t="str">
        <f>IFERROR(_xlfn.XLOOKUP(tblLog[[#This Row],[Unique ID]], tblMaster[Unique ID], tblMaster[First Name], ""), "")</f>
        <v>Joshua</v>
      </c>
      <c r="C31" t="str">
        <f>IFERROR(_xlfn.XLOOKUP(tblLog[[#This Row],[Unique ID]], tblMaster[Unique ID], tblMaster[Last Name], ""), "")</f>
        <v xml:space="preserve">Clancy </v>
      </c>
      <c r="D31" t="str">
        <f>IFERROR(_xlfn.XLOOKUP(tblLog[[#This Row],[Unique ID]], tblMaster[Unique ID], tblMaster[Email_Clean], ""), "")</f>
        <v>joshua.clancy@gmail.com</v>
      </c>
      <c r="E31" t="str">
        <f>IFERROR(_xlfn.XLOOKUP(tblLog[[#This Row],[Unique ID]], tblMaster[Unique ID], tblMaster[Phone], ""), "")</f>
        <v>508-507-0140</v>
      </c>
      <c r="F31" t="str">
        <f>IFERROR(_xlfn.XLOOKUP(tblLog[[#This Row],[Unique ID]], tblMaster[Unique ID], tblMaster[Recruiter], ""), "")</f>
        <v>Zenon Moses</v>
      </c>
      <c r="G31" t="str">
        <f>IFERROR(_xlfn.XLOOKUP(tblLog[[#This Row],[Unique ID]], tblMaster[Unique ID], tblMaster[Recruitment Cycle], ""), "")</f>
        <v xml:space="preserve">Re-Engagment/Post Civil Service Exam </v>
      </c>
      <c r="H31" t="s">
        <v>7515</v>
      </c>
      <c r="I31" t="s">
        <v>7516</v>
      </c>
      <c r="J31" s="3">
        <v>2</v>
      </c>
      <c r="L31" s="2">
        <v>46056</v>
      </c>
      <c r="N31" t="s">
        <v>7517</v>
      </c>
      <c r="O31" t="s">
        <v>7518</v>
      </c>
      <c r="P31">
        <f ca="1">IF(tblLog[[#This Row],[Log Date]]="","",TODAY()-tblLog[[#This Row],[Log Date]])</f>
        <v>23</v>
      </c>
      <c r="Q31" t="str">
        <f>IF(tblLog[[#This Row],[Log Date]]="","",IF(TRIM(tblLog[[#This Row],[Cycle Stage]])="Asked to be removed from database","NO","YES"))</f>
        <v>YES</v>
      </c>
      <c r="R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" spans="1:18">
      <c r="A32" t="s">
        <v>7519</v>
      </c>
      <c r="B32" t="str">
        <f>IFERROR(_xlfn.XLOOKUP(tblLog[[#This Row],[Unique ID]], tblMaster[Unique ID], tblMaster[First Name], ""), "")</f>
        <v xml:space="preserve">Michael </v>
      </c>
      <c r="C32" t="str">
        <f>IFERROR(_xlfn.XLOOKUP(tblLog[[#This Row],[Unique ID]], tblMaster[Unique ID], tblMaster[Last Name], ""), "")</f>
        <v xml:space="preserve">Smith </v>
      </c>
      <c r="D32" t="str">
        <f>IFERROR(_xlfn.XLOOKUP(tblLog[[#This Row],[Unique ID]], tblMaster[Unique ID], tblMaster[Email_Clean], ""), "")</f>
        <v>mik3_smith88@yahoo.com</v>
      </c>
      <c r="E32" t="str">
        <f>IFERROR(_xlfn.XLOOKUP(tblLog[[#This Row],[Unique ID]], tblMaster[Unique ID], tblMaster[Phone], ""), "")</f>
        <v xml:space="preserve">	(410) 202-4975</v>
      </c>
      <c r="F32" t="str">
        <f>IFERROR(_xlfn.XLOOKUP(tblLog[[#This Row],[Unique ID]], tblMaster[Unique ID], tblMaster[Recruiter], ""), "")</f>
        <v xml:space="preserve">Tom Clark </v>
      </c>
      <c r="G32" t="str">
        <f>IFERROR(_xlfn.XLOOKUP(tblLog[[#This Row],[Unique ID]], tblMaster[Unique ID], tblMaster[Recruitment Cycle], ""), "")</f>
        <v xml:space="preserve">New Submission/ Lead </v>
      </c>
      <c r="H32" t="s">
        <v>7490</v>
      </c>
      <c r="I32" t="s">
        <v>7494</v>
      </c>
      <c r="J32" s="3">
        <v>2</v>
      </c>
      <c r="L32" s="2">
        <v>46056</v>
      </c>
      <c r="P32">
        <f ca="1">IF(tblLog[[#This Row],[Log Date]]="","",TODAY()-tblLog[[#This Row],[Log Date]])</f>
        <v>23</v>
      </c>
      <c r="Q32" t="str">
        <f>IF(tblLog[[#This Row],[Log Date]]="","",IF(TRIM(tblLog[[#This Row],[Cycle Stage]])="Asked to be removed from database","NO","YES"))</f>
        <v>YES</v>
      </c>
      <c r="R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" spans="1:18">
      <c r="A33" t="s">
        <v>7520</v>
      </c>
      <c r="B33" s="36" t="s">
        <v>6925</v>
      </c>
      <c r="C33" s="36" t="s">
        <v>6926</v>
      </c>
      <c r="D33" s="71" t="s">
        <v>6927</v>
      </c>
      <c r="E33" s="4" t="s">
        <v>6928</v>
      </c>
      <c r="F33" s="4" t="s">
        <v>7521</v>
      </c>
      <c r="G33" t="str">
        <f>IFERROR(_xlfn.XLOOKUP(tblLog[[#This Row],[Unique ID]], tblMaster[Unique ID], tblMaster[Recruitment Cycle], ""), "")</f>
        <v xml:space="preserve">New Submission/ Lead </v>
      </c>
      <c r="H33" t="s">
        <v>7499</v>
      </c>
      <c r="I33" t="s">
        <v>7434</v>
      </c>
      <c r="J33" s="3">
        <v>2</v>
      </c>
      <c r="L33" s="2">
        <v>46056</v>
      </c>
      <c r="M33" t="s">
        <v>7452</v>
      </c>
      <c r="O33" t="s">
        <v>7522</v>
      </c>
      <c r="P33">
        <f ca="1">IF(tblLog[[#This Row],[Log Date]]="","",TODAY()-tblLog[[#This Row],[Log Date]])</f>
        <v>23</v>
      </c>
      <c r="Q33" t="str">
        <f>IF(tblLog[[#This Row],[Log Date]]="","",IF(TRIM(tblLog[[#This Row],[Cycle Stage]])="Asked to be removed from database","NO","YES"))</f>
        <v>YES</v>
      </c>
      <c r="R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" spans="1:18">
      <c r="A34" t="s">
        <v>7523</v>
      </c>
      <c r="B34" t="str">
        <f>IFERROR(_xlfn.XLOOKUP(tblLog[[#This Row],[Unique ID]], tblMaster[Unique ID], tblMaster[First Name], ""), "")</f>
        <v xml:space="preserve">Yaron </v>
      </c>
      <c r="C34" t="str">
        <f>IFERROR(_xlfn.XLOOKUP(tblLog[[#This Row],[Unique ID]], tblMaster[Unique ID], tblMaster[Last Name], ""), "")</f>
        <v xml:space="preserve"> Mahavi </v>
      </c>
      <c r="D34" t="str">
        <f>IFERROR(_xlfn.XLOOKUP(tblLog[[#This Row],[Unique ID]], tblMaster[Unique ID], tblMaster[Email_Clean], ""), "")</f>
        <v>a49yrmc@gmail.com</v>
      </c>
      <c r="E34" t="str">
        <f>IFERROR(_xlfn.XLOOKUP(tblLog[[#This Row],[Unique ID]], tblMaster[Unique ID], tblMaster[Phone], ""), "")</f>
        <v xml:space="preserve">(857) 565-6495 </v>
      </c>
      <c r="F34" t="str">
        <f>IFERROR(_xlfn.XLOOKUP(tblLog[[#This Row],[Unique ID]], tblMaster[Unique ID], tblMaster[Recruiter], ""), "")</f>
        <v xml:space="preserve">Tom Clark </v>
      </c>
      <c r="G34" t="str">
        <f>IFERROR(_xlfn.XLOOKUP(tblLog[[#This Row],[Unique ID]], tblMaster[Unique ID], tblMaster[Recruitment Cycle], ""), "")</f>
        <v xml:space="preserve">New Submission/ Lead </v>
      </c>
      <c r="H34" t="s">
        <v>7524</v>
      </c>
      <c r="I34" t="s">
        <v>7434</v>
      </c>
      <c r="J34" s="3">
        <v>3</v>
      </c>
      <c r="L34" s="2">
        <v>46056</v>
      </c>
      <c r="P34">
        <f ca="1">IF(tblLog[[#This Row],[Log Date]]="","",TODAY()-tblLog[[#This Row],[Log Date]])</f>
        <v>23</v>
      </c>
      <c r="Q34" t="str">
        <f>IF(tblLog[[#This Row],[Log Date]]="","",IF(TRIM(tblLog[[#This Row],[Cycle Stage]])="Asked to be removed from database","NO","YES"))</f>
        <v>YES</v>
      </c>
      <c r="R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" spans="1:18">
      <c r="A35" t="s">
        <v>7525</v>
      </c>
      <c r="B35" t="str">
        <f>IFERROR(_xlfn.XLOOKUP(tblLog[[#This Row],[Unique ID]], tblMaster[Unique ID], tblMaster[First Name], ""), "")</f>
        <v xml:space="preserve">Matthew </v>
      </c>
      <c r="C35" t="str">
        <f>IFERROR(_xlfn.XLOOKUP(tblLog[[#This Row],[Unique ID]], tblMaster[Unique ID], tblMaster[Last Name], ""), "")</f>
        <v xml:space="preserve">Ryan </v>
      </c>
      <c r="D35" t="str">
        <f>IFERROR(_xlfn.XLOOKUP(tblLog[[#This Row],[Unique ID]], tblMaster[Unique ID], tblMaster[Email_Clean], ""), "")</f>
        <v>mryan1811@gmail.com</v>
      </c>
      <c r="E35" t="str">
        <f>IFERROR(_xlfn.XLOOKUP(tblLog[[#This Row],[Unique ID]], tblMaster[Unique ID], tblMaster[Phone], ""), "")</f>
        <v xml:space="preserve">(774) 272-5377 </v>
      </c>
      <c r="F35" t="str">
        <f>IFERROR(_xlfn.XLOOKUP(tblLog[[#This Row],[Unique ID]], tblMaster[Unique ID], tblMaster[Recruiter], ""), "")</f>
        <v xml:space="preserve">Tom Clark </v>
      </c>
      <c r="G35" t="str">
        <f>IFERROR(_xlfn.XLOOKUP(tblLog[[#This Row],[Unique ID]], tblMaster[Unique ID], tblMaster[Recruitment Cycle], ""), "")</f>
        <v xml:space="preserve">New Submission/ Lead </v>
      </c>
      <c r="H35" t="s">
        <v>7524</v>
      </c>
      <c r="I35" t="s">
        <v>4</v>
      </c>
      <c r="J35" s="3">
        <v>3</v>
      </c>
      <c r="L35" s="2">
        <v>46056</v>
      </c>
      <c r="P35">
        <f ca="1">IF(tblLog[[#This Row],[Log Date]]="","",TODAY()-tblLog[[#This Row],[Log Date]])</f>
        <v>23</v>
      </c>
      <c r="Q35" t="str">
        <f>IF(tblLog[[#This Row],[Log Date]]="","",IF(TRIM(tblLog[[#This Row],[Cycle Stage]])="Asked to be removed from database","NO","YES"))</f>
        <v>YES</v>
      </c>
      <c r="R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" spans="1:18">
      <c r="A36" t="s">
        <v>7526</v>
      </c>
      <c r="B36" t="str">
        <f>IFERROR(_xlfn.XLOOKUP(tblLog[[#This Row],[Unique ID]], tblMaster[Unique ID], tblMaster[First Name], ""), "")</f>
        <v>Jennifer</v>
      </c>
      <c r="C36" t="str">
        <f>IFERROR(_xlfn.XLOOKUP(tblLog[[#This Row],[Unique ID]], tblMaster[Unique ID], tblMaster[Last Name], ""), "")</f>
        <v xml:space="preserve"> Carter </v>
      </c>
      <c r="D36" t="str">
        <f>IFERROR(_xlfn.XLOOKUP(tblLog[[#This Row],[Unique ID]], tblMaster[Unique ID], tblMaster[Email_Clean], ""), "")</f>
        <v>jlcarter0325@gmail.com</v>
      </c>
      <c r="E36" t="str">
        <f>IFERROR(_xlfn.XLOOKUP(tblLog[[#This Row],[Unique ID]], tblMaster[Unique ID], tblMaster[Phone], ""), "")</f>
        <v xml:space="preserve">774) 287-8457 </v>
      </c>
      <c r="F36" t="str">
        <f>IFERROR(_xlfn.XLOOKUP(tblLog[[#This Row],[Unique ID]], tblMaster[Unique ID], tblMaster[Recruiter], ""), "")</f>
        <v xml:space="preserve">Tom Clark </v>
      </c>
      <c r="G36" t="str">
        <f>IFERROR(_xlfn.XLOOKUP(tblLog[[#This Row],[Unique ID]], tblMaster[Unique ID], tblMaster[Recruitment Cycle], ""), "")</f>
        <v xml:space="preserve">New Submission/ Lead </v>
      </c>
      <c r="H36" t="s">
        <v>7490</v>
      </c>
      <c r="I36" t="s">
        <v>7494</v>
      </c>
      <c r="J36" s="3">
        <v>2</v>
      </c>
      <c r="L36" s="2">
        <v>46056</v>
      </c>
      <c r="P36">
        <f ca="1">IF(tblLog[[#This Row],[Log Date]]="","",TODAY()-tblLog[[#This Row],[Log Date]])</f>
        <v>23</v>
      </c>
      <c r="Q36" t="str">
        <f>IF(tblLog[[#This Row],[Log Date]]="","",IF(TRIM(tblLog[[#This Row],[Cycle Stage]])="Asked to be removed from database","NO","YES"))</f>
        <v>YES</v>
      </c>
      <c r="R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" spans="1:18">
      <c r="A37" t="s">
        <v>7527</v>
      </c>
      <c r="B37" t="str">
        <f>IFERROR(_xlfn.XLOOKUP(tblLog[[#This Row],[Unique ID]], tblMaster[Unique ID], tblMaster[First Name], ""), "")</f>
        <v xml:space="preserve">Kosta </v>
      </c>
      <c r="C37" t="str">
        <f>IFERROR(_xlfn.XLOOKUP(tblLog[[#This Row],[Unique ID]], tblMaster[Unique ID], tblMaster[Last Name], ""), "")</f>
        <v xml:space="preserve"> Arabaxhi </v>
      </c>
      <c r="D37" t="str">
        <f>IFERROR(_xlfn.XLOOKUP(tblLog[[#This Row],[Unique ID]], tblMaster[Unique ID], tblMaster[Email_Clean], ""), "")</f>
        <v>kostarabaxhi@gmail.com</v>
      </c>
      <c r="E37" t="str">
        <f>IFERROR(_xlfn.XLOOKUP(tblLog[[#This Row],[Unique ID]], tblMaster[Unique ID], tblMaster[Phone], ""), "")</f>
        <v xml:space="preserve">(603) 296-5519 </v>
      </c>
      <c r="F37" t="str">
        <f>IFERROR(_xlfn.XLOOKUP(tblLog[[#This Row],[Unique ID]], tblMaster[Unique ID], tblMaster[Recruiter], ""), "")</f>
        <v xml:space="preserve">Tom Clark </v>
      </c>
      <c r="G37" t="str">
        <f>IFERROR(_xlfn.XLOOKUP(tblLog[[#This Row],[Unique ID]], tblMaster[Unique ID], tblMaster[Recruitment Cycle], ""), "")</f>
        <v xml:space="preserve">New Submission/ Lead </v>
      </c>
      <c r="H37" t="s">
        <v>7490</v>
      </c>
      <c r="I37" t="s">
        <v>7494</v>
      </c>
      <c r="J37" s="3">
        <v>2</v>
      </c>
      <c r="L37" s="2">
        <v>46056</v>
      </c>
      <c r="P37">
        <f ca="1">IF(tblLog[[#This Row],[Log Date]]="","",TODAY()-tblLog[[#This Row],[Log Date]])</f>
        <v>23</v>
      </c>
      <c r="Q37" t="str">
        <f>IF(tblLog[[#This Row],[Log Date]]="","",IF(TRIM(tblLog[[#This Row],[Cycle Stage]])="Asked to be removed from database","NO","YES"))</f>
        <v>YES</v>
      </c>
      <c r="R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" spans="1:18">
      <c r="A38" t="s">
        <v>7528</v>
      </c>
      <c r="B38" t="str">
        <f>IFERROR(_xlfn.XLOOKUP(tblLog[[#This Row],[Unique ID]], tblMaster[Unique ID], tblMaster[First Name], ""), "")</f>
        <v>Timothy</v>
      </c>
      <c r="C38" t="str">
        <f>IFERROR(_xlfn.XLOOKUP(tblLog[[#This Row],[Unique ID]], tblMaster[Unique ID], tblMaster[Last Name], ""), "")</f>
        <v>Dufresne</v>
      </c>
      <c r="D38" t="str">
        <f>IFERROR(_xlfn.XLOOKUP(tblLog[[#This Row],[Unique ID]], tblMaster[Unique ID], tblMaster[Email_Clean], ""), "")</f>
        <v>timdufresne73@gmail.com</v>
      </c>
      <c r="E38" t="str">
        <f>IFERROR(_xlfn.XLOOKUP(tblLog[[#This Row],[Unique ID]], tblMaster[Unique ID], tblMaster[Phone], ""), "")</f>
        <v xml:space="preserve">	(774) 452-1042</v>
      </c>
      <c r="F38" t="str">
        <f>IFERROR(_xlfn.XLOOKUP(tblLog[[#This Row],[Unique ID]], tblMaster[Unique ID], tblMaster[Recruiter], ""), "")</f>
        <v xml:space="preserve">Tom Clark </v>
      </c>
      <c r="G38" t="str">
        <f>IFERROR(_xlfn.XLOOKUP(tblLog[[#This Row],[Unique ID]], tblMaster[Unique ID], tblMaster[Recruitment Cycle], ""), "")</f>
        <v xml:space="preserve">New Submission/ Lead </v>
      </c>
      <c r="H38" t="s">
        <v>7529</v>
      </c>
      <c r="I38" t="s">
        <v>7530</v>
      </c>
      <c r="J38" s="3">
        <v>3</v>
      </c>
      <c r="L38" s="2">
        <v>46056</v>
      </c>
      <c r="M38" t="s">
        <v>7452</v>
      </c>
      <c r="P38">
        <f ca="1">IF(tblLog[[#This Row],[Log Date]]="","",TODAY()-tblLog[[#This Row],[Log Date]])</f>
        <v>23</v>
      </c>
      <c r="Q38" t="str">
        <f>IF(tblLog[[#This Row],[Log Date]]="","",IF(TRIM(tblLog[[#This Row],[Cycle Stage]])="Asked to be removed from database","NO","YES"))</f>
        <v>YES</v>
      </c>
      <c r="R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" spans="1:18">
      <c r="A39" t="s">
        <v>7531</v>
      </c>
      <c r="B39" t="str">
        <f>IFERROR(_xlfn.XLOOKUP(tblLog[[#This Row],[Unique ID]], tblMaster[Unique ID], tblMaster[First Name], ""), "")</f>
        <v xml:space="preserve">Paris </v>
      </c>
      <c r="C39" t="str">
        <f>IFERROR(_xlfn.XLOOKUP(tblLog[[#This Row],[Unique ID]], tblMaster[Unique ID], tblMaster[Last Name], ""), "")</f>
        <v xml:space="preserve"> Robinson</v>
      </c>
      <c r="D39" t="str">
        <f>IFERROR(_xlfn.XLOOKUP(tblLog[[#This Row],[Unique ID]], tblMaster[Unique ID], tblMaster[Email_Clean], ""), "")</f>
        <v>probinson013@gmail.com</v>
      </c>
      <c r="E39" t="str">
        <f>IFERROR(_xlfn.XLOOKUP(tblLog[[#This Row],[Unique ID]], tblMaster[Unique ID], tblMaster[Phone], ""), "")</f>
        <v>(203) 690-9660</v>
      </c>
      <c r="F39" t="str">
        <f>IFERROR(_xlfn.XLOOKUP(tblLog[[#This Row],[Unique ID]], tblMaster[Unique ID], tblMaster[Recruiter], ""), "")</f>
        <v xml:space="preserve">Jevon Brown Simpson </v>
      </c>
      <c r="G39" t="str">
        <f>IFERROR(_xlfn.XLOOKUP(tblLog[[#This Row],[Unique ID]], tblMaster[Unique ID], tblMaster[Recruitment Cycle], ""), "")</f>
        <v xml:space="preserve">Re-Engagment </v>
      </c>
      <c r="H39" t="s">
        <v>7496</v>
      </c>
      <c r="I39" t="s">
        <v>4</v>
      </c>
      <c r="J39" s="3">
        <v>4</v>
      </c>
      <c r="K39" t="s">
        <v>4</v>
      </c>
      <c r="L39" s="2">
        <v>46066</v>
      </c>
      <c r="M39" t="s">
        <v>7508</v>
      </c>
      <c r="N39" t="s">
        <v>7500</v>
      </c>
      <c r="P39">
        <f ca="1">IF(tblLog[[#This Row],[Log Date]]="","",TODAY()-tblLog[[#This Row],[Log Date]])</f>
        <v>13</v>
      </c>
      <c r="Q39" t="str">
        <f>IF(tblLog[[#This Row],[Log Date]]="","",IF(TRIM(tblLog[[#This Row],[Cycle Stage]])="Asked to be removed from database","NO","YES"))</f>
        <v>YES</v>
      </c>
      <c r="R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" spans="1:18">
      <c r="A40" t="s">
        <v>7532</v>
      </c>
      <c r="B40" t="str">
        <f>IFERROR(_xlfn.XLOOKUP(tblLog[[#This Row],[Unique ID]], tblMaster[Unique ID], tblMaster[First Name], ""), "")</f>
        <v>Jose</v>
      </c>
      <c r="C40" t="str">
        <f>IFERROR(_xlfn.XLOOKUP(tblLog[[#This Row],[Unique ID]], tblMaster[Unique ID], tblMaster[Last Name], ""), "")</f>
        <v>Rios</v>
      </c>
      <c r="D40" t="str">
        <f>IFERROR(_xlfn.XLOOKUP(tblLog[[#This Row],[Unique ID]], tblMaster[Unique ID], tblMaster[Email_Clean], ""), "")</f>
        <v>jrios2002@icloud.com</v>
      </c>
      <c r="E40" t="str">
        <f>IFERROR(_xlfn.XLOOKUP(tblLog[[#This Row],[Unique ID]], tblMaster[Unique ID], tblMaster[Phone], ""), "")</f>
        <v>(978) 846-6590</v>
      </c>
      <c r="F40" t="str">
        <f>IFERROR(_xlfn.XLOOKUP(tblLog[[#This Row],[Unique ID]], tblMaster[Unique ID], tblMaster[Recruiter], ""), "")</f>
        <v>Zenon Moses</v>
      </c>
      <c r="G40" t="str">
        <f>IFERROR(_xlfn.XLOOKUP(tblLog[[#This Row],[Unique ID]], tblMaster[Unique ID], tblMaster[Recruitment Cycle], ""), "")</f>
        <v xml:space="preserve">New Submission/ Lead </v>
      </c>
      <c r="H40" t="s">
        <v>7455</v>
      </c>
      <c r="I40" t="s">
        <v>4</v>
      </c>
      <c r="J40" s="3">
        <v>2</v>
      </c>
      <c r="K40" t="s">
        <v>7491</v>
      </c>
      <c r="L40" s="2">
        <v>46057</v>
      </c>
      <c r="M40" t="s">
        <v>7452</v>
      </c>
      <c r="N40" t="s">
        <v>7497</v>
      </c>
      <c r="P40">
        <f ca="1">IF(tblLog[[#This Row],[Log Date]]="","",TODAY()-tblLog[[#This Row],[Log Date]])</f>
        <v>22</v>
      </c>
      <c r="Q40" t="str">
        <f>IF(tblLog[[#This Row],[Log Date]]="","",IF(TRIM(tblLog[[#This Row],[Cycle Stage]])="Asked to be removed from database","NO","YES"))</f>
        <v>YES</v>
      </c>
      <c r="R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" spans="1:18">
      <c r="A41" t="s">
        <v>7533</v>
      </c>
      <c r="B41" t="str">
        <f>IFERROR(_xlfn.XLOOKUP(tblLog[[#This Row],[Unique ID]], tblMaster[Unique ID], tblMaster[First Name], ""), "")</f>
        <v xml:space="preserve">Tabitha </v>
      </c>
      <c r="C41" t="str">
        <f>IFERROR(_xlfn.XLOOKUP(tblLog[[#This Row],[Unique ID]], tblMaster[Unique ID], tblMaster[Last Name], ""), "")</f>
        <v xml:space="preserve"> Gable </v>
      </c>
      <c r="D41" t="str">
        <f>IFERROR(_xlfn.XLOOKUP(tblLog[[#This Row],[Unique ID]], tblMaster[Unique ID], tblMaster[Email_Clean], ""), "")</f>
        <v>tabithagable1201@gmail.com</v>
      </c>
      <c r="E41" t="str">
        <f>IFERROR(_xlfn.XLOOKUP(tblLog[[#This Row],[Unique ID]], tblMaster[Unique ID], tblMaster[Phone], ""), "")</f>
        <v xml:space="preserve">(978) 350-4437 </v>
      </c>
      <c r="F41" t="str">
        <f>IFERROR(_xlfn.XLOOKUP(tblLog[[#This Row],[Unique ID]], tblMaster[Unique ID], tblMaster[Recruiter], ""), "")</f>
        <v>Zenon Moses</v>
      </c>
      <c r="G41" t="str">
        <f>IFERROR(_xlfn.XLOOKUP(tblLog[[#This Row],[Unique ID]], tblMaster[Unique ID], tblMaster[Recruitment Cycle], ""), "")</f>
        <v xml:space="preserve">New Submission/ Lead </v>
      </c>
      <c r="H41" t="s">
        <v>7455</v>
      </c>
      <c r="I41" t="s">
        <v>4</v>
      </c>
      <c r="J41" s="3">
        <v>2</v>
      </c>
      <c r="K41" t="s">
        <v>7446</v>
      </c>
      <c r="L41" s="2">
        <v>46057</v>
      </c>
      <c r="M41" t="s">
        <v>7452</v>
      </c>
      <c r="N41" t="s">
        <v>7481</v>
      </c>
      <c r="O41" t="s">
        <v>7534</v>
      </c>
      <c r="P41">
        <f ca="1">IF(tblLog[[#This Row],[Log Date]]="","",TODAY()-tblLog[[#This Row],[Log Date]])</f>
        <v>22</v>
      </c>
      <c r="Q41" t="str">
        <f>IF(tblLog[[#This Row],[Log Date]]="","",IF(TRIM(tblLog[[#This Row],[Cycle Stage]])="Asked to be removed from database","NO","YES"))</f>
        <v>YES</v>
      </c>
      <c r="R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" spans="1:18" ht="15" customHeight="1">
      <c r="A42" t="s">
        <v>7535</v>
      </c>
      <c r="B42" t="str">
        <f>IFERROR(_xlfn.XLOOKUP(tblLog[[#This Row],[Unique ID]], tblMaster[Unique ID], tblMaster[First Name], ""), "")</f>
        <v>Chukwuemeka</v>
      </c>
      <c r="C42" t="str">
        <f>IFERROR(_xlfn.XLOOKUP(tblLog[[#This Row],[Unique ID]], tblMaster[Unique ID], tblMaster[Last Name], ""), "")</f>
        <v xml:space="preserve"> Okere </v>
      </c>
      <c r="D42" t="str">
        <f>IFERROR(_xlfn.XLOOKUP(tblLog[[#This Row],[Unique ID]], tblMaster[Unique ID], tblMaster[Email_Clean], ""), "")</f>
        <v>okere2013@outlook.com</v>
      </c>
      <c r="E42" t="str">
        <f>IFERROR(_xlfn.XLOOKUP(tblLog[[#This Row],[Unique ID]], tblMaster[Unique ID], tblMaster[Phone], ""), "")</f>
        <v xml:space="preserve">240) 318-4368 </v>
      </c>
      <c r="F42" t="str">
        <f>IFERROR(_xlfn.XLOOKUP(tblLog[[#This Row],[Unique ID]], tblMaster[Unique ID], tblMaster[Recruiter], ""), "")</f>
        <v xml:space="preserve">Enrique Ortiz </v>
      </c>
      <c r="G42" t="str">
        <f>IFERROR(_xlfn.XLOOKUP(tblLog[[#This Row],[Unique ID]], tblMaster[Unique ID], tblMaster[Recruitment Cycle], ""), "")</f>
        <v xml:space="preserve">New Submission/ Lead </v>
      </c>
      <c r="H42" t="s">
        <v>7490</v>
      </c>
      <c r="I42" t="s">
        <v>7434</v>
      </c>
      <c r="J42" s="3">
        <v>1</v>
      </c>
      <c r="O42" t="s">
        <v>7536</v>
      </c>
      <c r="P42" t="str">
        <f ca="1">IF(tblLog[[#This Row],[Log Date]]="","",TODAY()-tblLog[[#This Row],[Log Date]])</f>
        <v/>
      </c>
      <c r="Q42" t="str">
        <f>IF(tblLog[[#This Row],[Log Date]]="","",IF(TRIM(tblLog[[#This Row],[Cycle Stage]])="Asked to be removed from database","NO","YES"))</f>
        <v/>
      </c>
      <c r="R4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" spans="1:18" ht="15" customHeight="1">
      <c r="A43" t="s">
        <v>7537</v>
      </c>
      <c r="B43" t="str">
        <f>IFERROR(_xlfn.XLOOKUP(tblLog[[#This Row],[Unique ID]], tblMaster[Unique ID], tblMaster[First Name], ""), "")</f>
        <v xml:space="preserve">Rodney </v>
      </c>
      <c r="C43" t="str">
        <f>IFERROR(_xlfn.XLOOKUP(tblLog[[#This Row],[Unique ID]], tblMaster[Unique ID], tblMaster[Last Name], ""), "")</f>
        <v xml:space="preserve">Boamah </v>
      </c>
      <c r="D43" t="str">
        <f>IFERROR(_xlfn.XLOOKUP(tblLog[[#This Row],[Unique ID]], tblMaster[Unique ID], tblMaster[Email_Clean], ""), "")</f>
        <v>rodbameek13@yahoo.com</v>
      </c>
      <c r="E43" t="str">
        <f>IFERROR(_xlfn.XLOOKUP(tblLog[[#This Row],[Unique ID]], tblMaster[Unique ID], tblMaster[Phone], ""), "")</f>
        <v xml:space="preserve">508) 615-4557 </v>
      </c>
      <c r="F43" t="str">
        <f>IFERROR(_xlfn.XLOOKUP(tblLog[[#This Row],[Unique ID]], tblMaster[Unique ID], tblMaster[Recruiter], ""), "")</f>
        <v xml:space="preserve">Enrique Ortiz </v>
      </c>
      <c r="G43" t="str">
        <f>IFERROR(_xlfn.XLOOKUP(tblLog[[#This Row],[Unique ID]], tblMaster[Unique ID], tblMaster[Recruitment Cycle], ""), "")</f>
        <v xml:space="preserve">New Submission/ Lead </v>
      </c>
      <c r="H43" t="s">
        <v>7455</v>
      </c>
      <c r="I43" t="s">
        <v>7434</v>
      </c>
      <c r="J43" s="3">
        <v>1</v>
      </c>
      <c r="K43" t="s">
        <v>7435</v>
      </c>
      <c r="L43" s="2">
        <v>46058</v>
      </c>
      <c r="M43" t="s">
        <v>7508</v>
      </c>
      <c r="P43">
        <f ca="1">IF(tblLog[[#This Row],[Log Date]]="","",TODAY()-tblLog[[#This Row],[Log Date]])</f>
        <v>21</v>
      </c>
      <c r="Q43" t="str">
        <f>IF(tblLog[[#This Row],[Log Date]]="","",IF(TRIM(tblLog[[#This Row],[Cycle Stage]])="Asked to be removed from database","NO","YES"))</f>
        <v>YES</v>
      </c>
      <c r="R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" spans="1:18" ht="15" customHeight="1">
      <c r="A44" t="s">
        <v>7538</v>
      </c>
      <c r="B44" t="str">
        <f>IFERROR(_xlfn.XLOOKUP(tblLog[[#This Row],[Unique ID]], tblMaster[Unique ID], tblMaster[First Name], ""), "")</f>
        <v xml:space="preserve">Luis N </v>
      </c>
      <c r="C44" t="str">
        <f>IFERROR(_xlfn.XLOOKUP(tblLog[[#This Row],[Unique ID]], tblMaster[Unique ID], tblMaster[Last Name], ""), "")</f>
        <v xml:space="preserve">Forchue Custodio </v>
      </c>
      <c r="D44" t="str">
        <f>IFERROR(_xlfn.XLOOKUP(tblLog[[#This Row],[Unique ID]], tblMaster[Unique ID], tblMaster[Email_Clean], ""), "")</f>
        <v>forchue12@icloud.com</v>
      </c>
      <c r="E44">
        <f>IFERROR(_xlfn.XLOOKUP(tblLog[[#This Row],[Unique ID]], tblMaster[Unique ID], tblMaster[Phone], ""), "")</f>
        <v>2539734324</v>
      </c>
      <c r="F44" t="str">
        <f>IFERROR(_xlfn.XLOOKUP(tblLog[[#This Row],[Unique ID]], tblMaster[Unique ID], tblMaster[Recruiter], ""), "")</f>
        <v xml:space="preserve">Enrique Ortiz </v>
      </c>
      <c r="G44" t="str">
        <f>IFERROR(_xlfn.XLOOKUP(tblLog[[#This Row],[Unique ID]], tblMaster[Unique ID], tblMaster[Recruitment Cycle], ""), "")</f>
        <v xml:space="preserve">New Submission/ Lead </v>
      </c>
      <c r="H44" t="s">
        <v>7529</v>
      </c>
      <c r="I44" t="s">
        <v>4</v>
      </c>
      <c r="J44" s="3">
        <v>1</v>
      </c>
      <c r="L44" s="2">
        <v>46058</v>
      </c>
      <c r="O44" t="s">
        <v>7539</v>
      </c>
      <c r="P44">
        <f ca="1">IF(tblLog[[#This Row],[Log Date]]="","",TODAY()-tblLog[[#This Row],[Log Date]])</f>
        <v>21</v>
      </c>
      <c r="Q44" t="str">
        <f>IF(tblLog[[#This Row],[Log Date]]="","",IF(TRIM(tblLog[[#This Row],[Cycle Stage]])="Asked to be removed from database","NO","YES"))</f>
        <v>YES</v>
      </c>
      <c r="R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" spans="1:18" ht="15" customHeight="1">
      <c r="A45" t="s">
        <v>7540</v>
      </c>
      <c r="B45" t="str">
        <f>IFERROR(_xlfn.XLOOKUP(tblLog[[#This Row],[Unique ID]], tblMaster[Unique ID], tblMaster[First Name], ""), "")</f>
        <v xml:space="preserve">Shawnte </v>
      </c>
      <c r="C45" t="str">
        <f>IFERROR(_xlfn.XLOOKUP(tblLog[[#This Row],[Unique ID]], tblMaster[Unique ID], tblMaster[Last Name], ""), "")</f>
        <v xml:space="preserve"> Walls</v>
      </c>
      <c r="D45" t="str">
        <f>IFERROR(_xlfn.XLOOKUP(tblLog[[#This Row],[Unique ID]], tblMaster[Unique ID], tblMaster[Email_Clean], ""), "")</f>
        <v>shawnte13.walls@gmail.com</v>
      </c>
      <c r="E45">
        <f>IFERROR(_xlfn.XLOOKUP(tblLog[[#This Row],[Unique ID]], tblMaster[Unique ID], tblMaster[Phone], ""), "")</f>
        <v>0</v>
      </c>
      <c r="F45" t="str">
        <f>IFERROR(_xlfn.XLOOKUP(tblLog[[#This Row],[Unique ID]], tblMaster[Unique ID], tblMaster[Recruiter], ""), "")</f>
        <v xml:space="preserve">Enrique Ortiz </v>
      </c>
      <c r="G45" t="str">
        <f>IFERROR(_xlfn.XLOOKUP(tblLog[[#This Row],[Unique ID]], tblMaster[Unique ID], tblMaster[Recruitment Cycle], ""), "")</f>
        <v xml:space="preserve">New Submission/ Lead </v>
      </c>
      <c r="H45" t="s">
        <v>7490</v>
      </c>
      <c r="I45" t="s">
        <v>4</v>
      </c>
      <c r="J45" s="3">
        <v>1</v>
      </c>
      <c r="L45" s="2">
        <v>46058</v>
      </c>
      <c r="O45" t="s">
        <v>7541</v>
      </c>
      <c r="P45">
        <f ca="1">IF(tblLog[[#This Row],[Log Date]]="","",TODAY()-tblLog[[#This Row],[Log Date]])</f>
        <v>21</v>
      </c>
      <c r="Q45" t="str">
        <f>IF(tblLog[[#This Row],[Log Date]]="","",IF(TRIM(tblLog[[#This Row],[Cycle Stage]])="Asked to be removed from database","NO","YES"))</f>
        <v>YES</v>
      </c>
      <c r="R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" spans="1:18" ht="15" customHeight="1">
      <c r="A46" t="s">
        <v>7542</v>
      </c>
      <c r="B46" t="str">
        <f>IFERROR(_xlfn.XLOOKUP(tblLog[[#This Row],[Unique ID]], tblMaster[Unique ID], tblMaster[First Name], ""), "")</f>
        <v xml:space="preserve">ROBERTO </v>
      </c>
      <c r="C46" t="str">
        <f>IFERROR(_xlfn.XLOOKUP(tblLog[[#This Row],[Unique ID]], tblMaster[Unique ID], tblMaster[Last Name], ""), "")</f>
        <v>RABELO</v>
      </c>
      <c r="D46" t="str">
        <f>IFERROR(_xlfn.XLOOKUP(tblLog[[#This Row],[Unique ID]], tblMaster[Unique ID], tblMaster[Email_Clean], ""), "")</f>
        <v>rob5rb@aol.com</v>
      </c>
      <c r="E46" t="str">
        <f>IFERROR(_xlfn.XLOOKUP(tblLog[[#This Row],[Unique ID]], tblMaster[Unique ID], tblMaster[Phone], ""), "")</f>
        <v>910-728-1116</v>
      </c>
      <c r="F46" t="str">
        <f>IFERROR(_xlfn.XLOOKUP(tblLog[[#This Row],[Unique ID]], tblMaster[Unique ID], tblMaster[Recruiter], ""), "")</f>
        <v xml:space="preserve">Jevon Brown Simpson </v>
      </c>
      <c r="G46" t="str">
        <f>IFERROR(_xlfn.XLOOKUP(tblLog[[#This Row],[Unique ID]], tblMaster[Unique ID], tblMaster[Recruitment Cycle], ""), "")</f>
        <v xml:space="preserve">Re-Engagment </v>
      </c>
      <c r="H46" t="s">
        <v>7543</v>
      </c>
      <c r="I46" t="s">
        <v>7516</v>
      </c>
      <c r="J46" s="3">
        <v>2</v>
      </c>
      <c r="K46" t="s">
        <v>7446</v>
      </c>
      <c r="L46" s="2">
        <v>46058</v>
      </c>
      <c r="M46" t="s">
        <v>7544</v>
      </c>
      <c r="N46" t="s">
        <v>7517</v>
      </c>
      <c r="O46" t="s">
        <v>7545</v>
      </c>
      <c r="P46">
        <f ca="1">IF(tblLog[[#This Row],[Log Date]]="","",TODAY()-tblLog[[#This Row],[Log Date]])</f>
        <v>21</v>
      </c>
      <c r="Q46" t="str">
        <f>IF(tblLog[[#This Row],[Log Date]]="","",IF(TRIM(tblLog[[#This Row],[Cycle Stage]])="Asked to be removed from database","NO","YES"))</f>
        <v>YES</v>
      </c>
      <c r="R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" spans="1:18" ht="15" customHeight="1">
      <c r="A47" t="s">
        <v>7546</v>
      </c>
      <c r="B47" t="str">
        <f>IFERROR(_xlfn.XLOOKUP(tblLog[[#This Row],[Unique ID]], tblMaster[Unique ID], tblMaster[First Name], ""), "")</f>
        <v>Aderonke</v>
      </c>
      <c r="C47" t="str">
        <f>IFERROR(_xlfn.XLOOKUP(tblLog[[#This Row],[Unique ID]], tblMaster[Unique ID], tblMaster[Last Name], ""), "")</f>
        <v>Oladapo</v>
      </c>
      <c r="D47" t="str">
        <f>IFERROR(_xlfn.XLOOKUP(tblLog[[#This Row],[Unique ID]], tblMaster[Unique ID], tblMaster[Email_Clean], ""), "")</f>
        <v>ronnieformore@yahoo.com</v>
      </c>
      <c r="E47" t="str">
        <f>IFERROR(_xlfn.XLOOKUP(tblLog[[#This Row],[Unique ID]], tblMaster[Unique ID], tblMaster[Phone], ""), "")</f>
        <v>(347) 791-9720</v>
      </c>
      <c r="F47" t="str">
        <f>IFERROR(_xlfn.XLOOKUP(tblLog[[#This Row],[Unique ID]], tblMaster[Unique ID], tblMaster[Recruiter], ""), "")</f>
        <v>Zenon Moses</v>
      </c>
      <c r="G47" t="str">
        <f>IFERROR(_xlfn.XLOOKUP(tblLog[[#This Row],[Unique ID]], tblMaster[Unique ID], tblMaster[Recruitment Cycle], ""), "")</f>
        <v xml:space="preserve">New Submission/ Lead </v>
      </c>
      <c r="H47" t="s">
        <v>7455</v>
      </c>
      <c r="I47" t="s">
        <v>4</v>
      </c>
      <c r="J47" s="3">
        <v>1</v>
      </c>
      <c r="K47" t="s">
        <v>7491</v>
      </c>
      <c r="L47" s="2">
        <v>46058</v>
      </c>
      <c r="M47" t="s">
        <v>7452</v>
      </c>
      <c r="N47" t="s">
        <v>7500</v>
      </c>
      <c r="O47" t="s">
        <v>7547</v>
      </c>
      <c r="P47">
        <f ca="1">IF(tblLog[[#This Row],[Log Date]]="","",TODAY()-tblLog[[#This Row],[Log Date]])</f>
        <v>21</v>
      </c>
      <c r="Q47" t="str">
        <f>IF(tblLog[[#This Row],[Log Date]]="","",IF(TRIM(tblLog[[#This Row],[Cycle Stage]])="Asked to be removed from database","NO","YES"))</f>
        <v>YES</v>
      </c>
      <c r="R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" spans="1:18" ht="15" customHeight="1">
      <c r="A48" t="s">
        <v>7548</v>
      </c>
      <c r="B48" t="str">
        <f>IFERROR(_xlfn.XLOOKUP(tblLog[[#This Row],[Unique ID]], tblMaster[Unique ID], tblMaster[First Name], ""), "")</f>
        <v>Trang</v>
      </c>
      <c r="C48" t="str">
        <f>IFERROR(_xlfn.XLOOKUP(tblLog[[#This Row],[Unique ID]], tblMaster[Unique ID], tblMaster[Last Name], ""), "")</f>
        <v>Pavon</v>
      </c>
      <c r="D48" t="str">
        <f>IFERROR(_xlfn.XLOOKUP(tblLog[[#This Row],[Unique ID]], tblMaster[Unique ID], tblMaster[Email_Clean], ""), "")</f>
        <v>phamtrang161992@gmail.com</v>
      </c>
      <c r="E48" t="str">
        <f>IFERROR(_xlfn.XLOOKUP(tblLog[[#This Row],[Unique ID]], tblMaster[Unique ID], tblMaster[Phone], ""), "")</f>
        <v xml:space="preserve">	(781) 778-6140</v>
      </c>
      <c r="F48" t="str">
        <f>IFERROR(_xlfn.XLOOKUP(tblLog[[#This Row],[Unique ID]], tblMaster[Unique ID], tblMaster[Recruiter], ""), "")</f>
        <v xml:space="preserve">Enrique Ortiz </v>
      </c>
      <c r="G48" t="str">
        <f>IFERROR(_xlfn.XLOOKUP(tblLog[[#This Row],[Unique ID]], tblMaster[Unique ID], tblMaster[Recruitment Cycle], ""), "")</f>
        <v xml:space="preserve">New Submission/ Lead </v>
      </c>
      <c r="H48" t="s">
        <v>7455</v>
      </c>
      <c r="I48" t="s">
        <v>4</v>
      </c>
      <c r="J48" s="3">
        <v>1</v>
      </c>
      <c r="K48" t="s">
        <v>7491</v>
      </c>
      <c r="L48" s="2">
        <v>46058</v>
      </c>
      <c r="M48" t="s">
        <v>7452</v>
      </c>
      <c r="N48" t="s">
        <v>7475</v>
      </c>
      <c r="P48">
        <f ca="1">IF(tblLog[[#This Row],[Log Date]]="","",TODAY()-tblLog[[#This Row],[Log Date]])</f>
        <v>21</v>
      </c>
      <c r="Q48" t="str">
        <f>IF(tblLog[[#This Row],[Log Date]]="","",IF(TRIM(tblLog[[#This Row],[Cycle Stage]])="Asked to be removed from database","NO","YES"))</f>
        <v>YES</v>
      </c>
      <c r="R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" spans="1:18" ht="15" customHeight="1">
      <c r="A49" t="s">
        <v>7549</v>
      </c>
      <c r="B49" t="str">
        <f>IFERROR(_xlfn.XLOOKUP(tblLog[[#This Row],[Unique ID]], tblMaster[Unique ID], tblMaster[First Name], ""), "")</f>
        <v xml:space="preserve">Asra </v>
      </c>
      <c r="C49" t="str">
        <f>IFERROR(_xlfn.XLOOKUP(tblLog[[#This Row],[Unique ID]], tblMaster[Unique ID], tblMaster[Last Name], ""), "")</f>
        <v xml:space="preserve"> Qadir </v>
      </c>
      <c r="D49" t="str">
        <f>IFERROR(_xlfn.XLOOKUP(tblLog[[#This Row],[Unique ID]], tblMaster[Unique ID], tblMaster[Email_Clean], ""), "")</f>
        <v>asraqadir@msn.com</v>
      </c>
      <c r="E49" t="str">
        <f>IFERROR(_xlfn.XLOOKUP(tblLog[[#This Row],[Unique ID]], tblMaster[Unique ID], tblMaster[Phone], ""), "")</f>
        <v xml:space="preserve">(781) 790-3334 </v>
      </c>
      <c r="F49" t="str">
        <f>IFERROR(_xlfn.XLOOKUP(tblLog[[#This Row],[Unique ID]], tblMaster[Unique ID], tblMaster[Recruiter], ""), "")</f>
        <v xml:space="preserve">Enrique Ortiz </v>
      </c>
      <c r="G49" t="str">
        <f>IFERROR(_xlfn.XLOOKUP(tblLog[[#This Row],[Unique ID]], tblMaster[Unique ID], tblMaster[Recruitment Cycle], ""), "")</f>
        <v xml:space="preserve">New Submission/ Lead </v>
      </c>
      <c r="H49" t="s">
        <v>7455</v>
      </c>
      <c r="I49" t="s">
        <v>4</v>
      </c>
      <c r="J49" s="3">
        <v>1</v>
      </c>
      <c r="K49" t="s">
        <v>7491</v>
      </c>
      <c r="L49" s="2">
        <v>46058</v>
      </c>
      <c r="M49" t="s">
        <v>7452</v>
      </c>
      <c r="N49" t="s">
        <v>7475</v>
      </c>
      <c r="P49">
        <f ca="1">IF(tblLog[[#This Row],[Log Date]]="","",TODAY()-tblLog[[#This Row],[Log Date]])</f>
        <v>21</v>
      </c>
      <c r="Q49" t="str">
        <f>IF(tblLog[[#This Row],[Log Date]]="","",IF(TRIM(tblLog[[#This Row],[Cycle Stage]])="Asked to be removed from database","NO","YES"))</f>
        <v>YES</v>
      </c>
      <c r="R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" spans="1:18" ht="15" customHeight="1">
      <c r="A50" t="s">
        <v>7550</v>
      </c>
      <c r="B50" t="str">
        <f>IFERROR(_xlfn.XLOOKUP(tblLog[[#This Row],[Unique ID]], tblMaster[Unique ID], tblMaster[First Name], ""), "")</f>
        <v xml:space="preserve">Michael </v>
      </c>
      <c r="C50" t="str">
        <f>IFERROR(_xlfn.XLOOKUP(tblLog[[#This Row],[Unique ID]], tblMaster[Unique ID], tblMaster[Last Name], ""), "")</f>
        <v xml:space="preserve"> Atkins </v>
      </c>
      <c r="D50" t="str">
        <f>IFERROR(_xlfn.XLOOKUP(tblLog[[#This Row],[Unique ID]], tblMaster[Unique ID], tblMaster[Email_Clean], ""), "")</f>
        <v>michaelatkins93@gmail.com</v>
      </c>
      <c r="E50" t="str">
        <f>IFERROR(_xlfn.XLOOKUP(tblLog[[#This Row],[Unique ID]], tblMaster[Unique ID], tblMaster[Phone], ""), "")</f>
        <v xml:space="preserve">(617) 458-6509 </v>
      </c>
      <c r="F50" t="str">
        <f>IFERROR(_xlfn.XLOOKUP(tblLog[[#This Row],[Unique ID]], tblMaster[Unique ID], tblMaster[Recruiter], ""), "")</f>
        <v xml:space="preserve">Enrique Ortiz </v>
      </c>
      <c r="G50" t="str">
        <f>IFERROR(_xlfn.XLOOKUP(tblLog[[#This Row],[Unique ID]], tblMaster[Unique ID], tblMaster[Recruitment Cycle], ""), "")</f>
        <v xml:space="preserve">New Submission/ Lead </v>
      </c>
      <c r="H50" t="s">
        <v>7455</v>
      </c>
      <c r="I50" t="s">
        <v>4</v>
      </c>
      <c r="J50" s="3">
        <v>2</v>
      </c>
      <c r="K50" t="s">
        <v>7491</v>
      </c>
      <c r="L50" s="2">
        <v>46058</v>
      </c>
      <c r="M50" t="s">
        <v>7452</v>
      </c>
      <c r="N50" t="s">
        <v>7475</v>
      </c>
      <c r="P50">
        <f ca="1">IF(tblLog[[#This Row],[Log Date]]="","",TODAY()-tblLog[[#This Row],[Log Date]])</f>
        <v>21</v>
      </c>
      <c r="Q50" t="str">
        <f>IF(tblLog[[#This Row],[Log Date]]="","",IF(TRIM(tblLog[[#This Row],[Cycle Stage]])="Asked to be removed from database","NO","YES"))</f>
        <v>YES</v>
      </c>
      <c r="R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" spans="1:18" ht="15" customHeight="1">
      <c r="A51" t="s">
        <v>7551</v>
      </c>
      <c r="B51" t="str">
        <f>IFERROR(_xlfn.XLOOKUP(tblLog[[#This Row],[Unique ID]], tblMaster[Unique ID], tblMaster[First Name], ""), "")</f>
        <v xml:space="preserve">Kenia </v>
      </c>
      <c r="C51" t="str">
        <f>IFERROR(_xlfn.XLOOKUP(tblLog[[#This Row],[Unique ID]], tblMaster[Unique ID], tblMaster[Last Name], ""), "")</f>
        <v xml:space="preserve">Guinto </v>
      </c>
      <c r="D51" t="str">
        <f>IFERROR(_xlfn.XLOOKUP(tblLog[[#This Row],[Unique ID]], tblMaster[Unique ID], tblMaster[Email_Clean], ""), "")</f>
        <v>keniaguinto@yahoo.com</v>
      </c>
      <c r="E51" t="str">
        <f>IFERROR(_xlfn.XLOOKUP(tblLog[[#This Row],[Unique ID]], tblMaster[Unique ID], tblMaster[Phone], ""), "")</f>
        <v xml:space="preserve">805) 294-2481 </v>
      </c>
      <c r="F51" t="str">
        <f>IFERROR(_xlfn.XLOOKUP(tblLog[[#This Row],[Unique ID]], tblMaster[Unique ID], tblMaster[Recruiter], ""), "")</f>
        <v xml:space="preserve">Enrique Ortiz </v>
      </c>
      <c r="G51" t="str">
        <f>IFERROR(_xlfn.XLOOKUP(tblLog[[#This Row],[Unique ID]], tblMaster[Unique ID], tblMaster[Recruitment Cycle], ""), "")</f>
        <v xml:space="preserve">New Submission/ Lead </v>
      </c>
      <c r="H51" t="s">
        <v>7455</v>
      </c>
      <c r="I51" t="s">
        <v>4</v>
      </c>
      <c r="J51" s="3">
        <v>2</v>
      </c>
      <c r="K51" t="s">
        <v>7491</v>
      </c>
      <c r="L51" s="2">
        <v>46058</v>
      </c>
      <c r="M51" t="s">
        <v>7452</v>
      </c>
      <c r="N51" t="s">
        <v>7475</v>
      </c>
      <c r="O51" t="s">
        <v>7552</v>
      </c>
      <c r="P51">
        <f ca="1">IF(tblLog[[#This Row],[Log Date]]="","",TODAY()-tblLog[[#This Row],[Log Date]])</f>
        <v>21</v>
      </c>
      <c r="Q51" t="str">
        <f>IF(tblLog[[#This Row],[Log Date]]="","",IF(TRIM(tblLog[[#This Row],[Cycle Stage]])="Asked to be removed from database","NO","YES"))</f>
        <v>YES</v>
      </c>
    </row>
    <row r="52" spans="1:18" ht="15" customHeight="1">
      <c r="A52" t="s">
        <v>7553</v>
      </c>
      <c r="B52" t="str">
        <f>IFERROR(_xlfn.XLOOKUP(tblLog[[#This Row],[Unique ID]], tblMaster[Unique ID], tblMaster[First Name], ""), "")</f>
        <v>Samuel</v>
      </c>
      <c r="C52" t="str">
        <f>IFERROR(_xlfn.XLOOKUP(tblLog[[#This Row],[Unique ID]], tblMaster[Unique ID], tblMaster[Last Name], ""), "")</f>
        <v xml:space="preserve"> Andrade </v>
      </c>
      <c r="D52" t="str">
        <f>IFERROR(_xlfn.XLOOKUP(tblLog[[#This Row],[Unique ID]], tblMaster[Unique ID], tblMaster[Email_Clean], ""), "")</f>
        <v>sam.semedo25@gmail.com</v>
      </c>
      <c r="E52" t="str">
        <f>IFERROR(_xlfn.XLOOKUP(tblLog[[#This Row],[Unique ID]], tblMaster[Unique ID], tblMaster[Phone], ""), "")</f>
        <v xml:space="preserve">401) 332-3570 </v>
      </c>
      <c r="F52" t="str">
        <f>IFERROR(_xlfn.XLOOKUP(tblLog[[#This Row],[Unique ID]], tblMaster[Unique ID], tblMaster[Recruiter], ""), "")</f>
        <v xml:space="preserve">Enrique Ortiz </v>
      </c>
      <c r="G52" t="str">
        <f>IFERROR(_xlfn.XLOOKUP(tblLog[[#This Row],[Unique ID]], tblMaster[Unique ID], tblMaster[Recruitment Cycle], ""), "")</f>
        <v xml:space="preserve">New Submission/ Lead </v>
      </c>
      <c r="H52" t="s">
        <v>7455</v>
      </c>
      <c r="I52" t="s">
        <v>4</v>
      </c>
      <c r="J52" s="3">
        <v>2</v>
      </c>
      <c r="K52" t="s">
        <v>7491</v>
      </c>
      <c r="L52" s="2">
        <v>46058</v>
      </c>
      <c r="M52" t="s">
        <v>7452</v>
      </c>
      <c r="N52" t="s">
        <v>7475</v>
      </c>
      <c r="O52" t="s">
        <v>7554</v>
      </c>
      <c r="P52">
        <f ca="1">IF(tblLog[[#This Row],[Log Date]]="","",TODAY()-tblLog[[#This Row],[Log Date]])</f>
        <v>21</v>
      </c>
      <c r="Q52" t="str">
        <f>IF(tblLog[[#This Row],[Log Date]]="","",IF(TRIM(tblLog[[#This Row],[Cycle Stage]])="Asked to be removed from database","NO","YES"))</f>
        <v>YES</v>
      </c>
      <c r="R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3" spans="1:18" ht="15" customHeight="1">
      <c r="A53" t="s">
        <v>7555</v>
      </c>
      <c r="B53" s="36" t="s">
        <v>7057</v>
      </c>
      <c r="C53" s="36" t="s">
        <v>7058</v>
      </c>
      <c r="D53" s="71" t="s">
        <v>7059</v>
      </c>
      <c r="E53" s="4" t="s">
        <v>7060</v>
      </c>
      <c r="F53" t="s">
        <v>7521</v>
      </c>
      <c r="G53" t="str">
        <f>IFERROR(_xlfn.XLOOKUP(tblLog[[#This Row],[Unique ID]], tblMaster[Unique ID], tblMaster[Recruitment Cycle], ""), "")</f>
        <v xml:space="preserve">New Submission/ Lead </v>
      </c>
      <c r="H53" t="s">
        <v>7490</v>
      </c>
      <c r="I53" t="s">
        <v>7494</v>
      </c>
      <c r="J53" s="3">
        <v>2</v>
      </c>
      <c r="L53" s="2">
        <v>46058</v>
      </c>
      <c r="M53" t="s">
        <v>7556</v>
      </c>
      <c r="P53">
        <f ca="1">IF(tblLog[[#This Row],[Log Date]]="","",TODAY()-tblLog[[#This Row],[Log Date]])</f>
        <v>21</v>
      </c>
      <c r="Q53" t="str">
        <f>IF(tblLog[[#This Row],[Log Date]]="","",IF(TRIM(tblLog[[#This Row],[Cycle Stage]])="Asked to be removed from database","NO","YES"))</f>
        <v>YES</v>
      </c>
      <c r="R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4" spans="1:18" ht="15" customHeight="1">
      <c r="A54" t="s">
        <v>7557</v>
      </c>
      <c r="B54" t="str">
        <f>IFERROR(_xlfn.XLOOKUP(tblLog[[#This Row],[Unique ID]], tblMaster[Unique ID], tblMaster[First Name], ""), "")</f>
        <v xml:space="preserve">Oshanah </v>
      </c>
      <c r="C54" t="str">
        <f>IFERROR(_xlfn.XLOOKUP(tblLog[[#This Row],[Unique ID]], tblMaster[Unique ID], tblMaster[Last Name], ""), "")</f>
        <v xml:space="preserve"> Monteiro </v>
      </c>
      <c r="D54" t="str">
        <f>IFERROR(_xlfn.XLOOKUP(tblLog[[#This Row],[Unique ID]], tblMaster[Unique ID], tblMaster[Email_Clean], ""), "")</f>
        <v>oshanahmonteiro95@gmail.com</v>
      </c>
      <c r="E54" t="str">
        <f>IFERROR(_xlfn.XLOOKUP(tblLog[[#This Row],[Unique ID]], tblMaster[Unique ID], tblMaster[Phone], ""), "")</f>
        <v xml:space="preserve">(774) 294-1584 </v>
      </c>
      <c r="F54" t="str">
        <f>IFERROR(_xlfn.XLOOKUP(tblLog[[#This Row],[Unique ID]], tblMaster[Unique ID], tblMaster[Recruiter], ""), "")</f>
        <v xml:space="preserve">Tom Clark </v>
      </c>
      <c r="G54" t="str">
        <f>IFERROR(_xlfn.XLOOKUP(tblLog[[#This Row],[Unique ID]], tblMaster[Unique ID], tblMaster[Recruitment Cycle], ""), "")</f>
        <v xml:space="preserve">New Submission/ Lead </v>
      </c>
      <c r="H54" t="s">
        <v>7455</v>
      </c>
      <c r="I54" t="s">
        <v>7434</v>
      </c>
      <c r="J54" s="3">
        <v>2</v>
      </c>
      <c r="L54" s="2">
        <v>46058</v>
      </c>
      <c r="M54" t="s">
        <v>7452</v>
      </c>
      <c r="N54" t="s">
        <v>7475</v>
      </c>
      <c r="P54">
        <f ca="1">IF(tblLog[[#This Row],[Log Date]]="","",TODAY()-tblLog[[#This Row],[Log Date]])</f>
        <v>21</v>
      </c>
      <c r="Q54" t="str">
        <f>IF(tblLog[[#This Row],[Log Date]]="","",IF(TRIM(tblLog[[#This Row],[Cycle Stage]])="Asked to be removed from database","NO","YES"))</f>
        <v>YES</v>
      </c>
      <c r="R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5" spans="1:18" ht="15" customHeight="1">
      <c r="A55" t="s">
        <v>7558</v>
      </c>
      <c r="B55" t="str">
        <f>IFERROR(_xlfn.XLOOKUP(tblLog[[#This Row],[Unique ID]], tblMaster[Unique ID], tblMaster[First Name], ""), "")</f>
        <v>Louis</v>
      </c>
      <c r="C55" t="str">
        <f>IFERROR(_xlfn.XLOOKUP(tblLog[[#This Row],[Unique ID]], tblMaster[Unique ID], tblMaster[Last Name], ""), "")</f>
        <v xml:space="preserve">Exil </v>
      </c>
      <c r="D55" t="str">
        <f>IFERROR(_xlfn.XLOOKUP(tblLog[[#This Row],[Unique ID]], tblMaster[Unique ID], tblMaster[Email_Clean], ""), "")</f>
        <v>lozamaexil@yahoo.fr</v>
      </c>
      <c r="E55" s="36" t="str">
        <f>IFERROR(_xlfn.XLOOKUP(tblLog[[#This Row],[Unique ID]], tblMaster[Unique ID], tblMaster[Phone], ""), "")</f>
        <v xml:space="preserve">857) 247-6363 </v>
      </c>
      <c r="F55" t="str">
        <f>IFERROR(_xlfn.XLOOKUP(tblLog[[#This Row],[Unique ID]], tblMaster[Unique ID], tblMaster[Recruiter], ""), "")</f>
        <v xml:space="preserve">Christopher Servello </v>
      </c>
      <c r="G55" t="str">
        <f>IFERROR(_xlfn.XLOOKUP(tblLog[[#This Row],[Unique ID]], tblMaster[Unique ID], tblMaster[Recruitment Cycle], ""), "")</f>
        <v xml:space="preserve">New Submission/ Lead </v>
      </c>
      <c r="H55" t="s">
        <v>7455</v>
      </c>
      <c r="I55" t="s">
        <v>7434</v>
      </c>
      <c r="J55" s="3">
        <v>2</v>
      </c>
      <c r="K55" t="s">
        <v>7435</v>
      </c>
      <c r="L55" s="2">
        <v>46062</v>
      </c>
      <c r="M55" t="s">
        <v>7452</v>
      </c>
      <c r="N55" t="s">
        <v>7481</v>
      </c>
      <c r="O55" t="s">
        <v>7559</v>
      </c>
      <c r="P55">
        <f ca="1">IF(tblLog[[#This Row],[Log Date]]="","",TODAY()-tblLog[[#This Row],[Log Date]])</f>
        <v>17</v>
      </c>
      <c r="Q55" t="str">
        <f>IF(tblLog[[#This Row],[Log Date]]="","",IF(TRIM(tblLog[[#This Row],[Cycle Stage]])="Asked to be removed from database","NO","YES"))</f>
        <v>YES</v>
      </c>
      <c r="R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6" spans="1:18" ht="15" customHeight="1">
      <c r="A56" t="s">
        <v>7560</v>
      </c>
      <c r="B56" t="str">
        <f>IFERROR(_xlfn.XLOOKUP(tblLog[[#This Row],[Unique ID]], tblMaster[Unique ID], tblMaster[First Name], ""), "")</f>
        <v xml:space="preserve">Scott </v>
      </c>
      <c r="C56" t="str">
        <f>IFERROR(_xlfn.XLOOKUP(tblLog[[#This Row],[Unique ID]], tblMaster[Unique ID], tblMaster[Last Name], ""), "")</f>
        <v xml:space="preserve"> Williams </v>
      </c>
      <c r="D56" t="str">
        <f>IFERROR(_xlfn.XLOOKUP(tblLog[[#This Row],[Unique ID]], tblMaster[Unique ID], tblMaster[Email_Clean], ""), "")</f>
        <v>swjrbears@gmail.com</v>
      </c>
      <c r="E56" t="str">
        <f>IFERROR(_xlfn.XLOOKUP(tblLog[[#This Row],[Unique ID]], tblMaster[Unique ID], tblMaster[Phone], ""), "")</f>
        <v xml:space="preserve">(413) 205-9325 </v>
      </c>
      <c r="F56" t="str">
        <f>IFERROR(_xlfn.XLOOKUP(tblLog[[#This Row],[Unique ID]], tblMaster[Unique ID], tblMaster[Recruiter], ""), "")</f>
        <v xml:space="preserve">Enrique Ortiz </v>
      </c>
      <c r="G56" t="str">
        <f>IFERROR(_xlfn.XLOOKUP(tblLog[[#This Row],[Unique ID]], tblMaster[Unique ID], tblMaster[Recruitment Cycle], ""), "")</f>
        <v xml:space="preserve">New Submission/ Lead </v>
      </c>
      <c r="H56" t="s">
        <v>7455</v>
      </c>
      <c r="I56" t="s">
        <v>7434</v>
      </c>
      <c r="J56" s="3">
        <v>2</v>
      </c>
      <c r="K56" t="s">
        <v>7491</v>
      </c>
      <c r="L56" s="2">
        <v>46058</v>
      </c>
      <c r="M56" t="s">
        <v>7452</v>
      </c>
      <c r="N56" t="s">
        <v>7475</v>
      </c>
      <c r="P56">
        <f ca="1">IF(tblLog[[#This Row],[Log Date]]="","",TODAY()-tblLog[[#This Row],[Log Date]])</f>
        <v>21</v>
      </c>
      <c r="Q56" t="str">
        <f>IF(tblLog[[#This Row],[Log Date]]="","",IF(TRIM(tblLog[[#This Row],[Cycle Stage]])="Asked to be removed from database","NO","YES"))</f>
        <v>YES</v>
      </c>
      <c r="R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7" spans="1:18" ht="15" customHeight="1">
      <c r="A57" t="s">
        <v>7561</v>
      </c>
      <c r="B57" t="str">
        <f>IFERROR(_xlfn.XLOOKUP(tblLog[[#This Row],[Unique ID]], tblMaster[Unique ID], tblMaster[First Name], ""), "")</f>
        <v>Ciara</v>
      </c>
      <c r="C57" t="str">
        <f>IFERROR(_xlfn.XLOOKUP(tblLog[[#This Row],[Unique ID]], tblMaster[Unique ID], tblMaster[Last Name], ""), "")</f>
        <v>Thorme</v>
      </c>
      <c r="D57" t="str">
        <f>IFERROR(_xlfn.XLOOKUP(tblLog[[#This Row],[Unique ID]], tblMaster[Unique ID], tblMaster[Email_Clean], ""), "")</f>
        <v>cicilovee222@gmail.com</v>
      </c>
      <c r="E57" t="str">
        <f>IFERROR(_xlfn.XLOOKUP(tblLog[[#This Row],[Unique ID]], tblMaster[Unique ID], tblMaster[Phone], ""), "")</f>
        <v>(857) 283-2545</v>
      </c>
      <c r="F57" t="str">
        <f>IFERROR(_xlfn.XLOOKUP(tblLog[[#This Row],[Unique ID]], tblMaster[Unique ID], tblMaster[Recruiter], ""), "")</f>
        <v xml:space="preserve">Enrique Ortiz </v>
      </c>
      <c r="G57" t="str">
        <f>IFERROR(_xlfn.XLOOKUP(tblLog[[#This Row],[Unique ID]], tblMaster[Unique ID], tblMaster[Recruitment Cycle], ""), "")</f>
        <v xml:space="preserve">New Submission/ Lead </v>
      </c>
      <c r="H57" t="s">
        <v>7455</v>
      </c>
      <c r="I57" t="s">
        <v>4</v>
      </c>
      <c r="J57" s="3">
        <v>2</v>
      </c>
      <c r="K57" t="s">
        <v>7491</v>
      </c>
      <c r="L57" s="2">
        <v>46058</v>
      </c>
      <c r="M57" t="s">
        <v>7452</v>
      </c>
      <c r="N57" t="s">
        <v>7475</v>
      </c>
      <c r="P57">
        <f ca="1">IF(tblLog[[#This Row],[Log Date]]="","",TODAY()-tblLog[[#This Row],[Log Date]])</f>
        <v>21</v>
      </c>
      <c r="Q57" t="str">
        <f>IF(tblLog[[#This Row],[Log Date]]="","",IF(TRIM(tblLog[[#This Row],[Cycle Stage]])="Asked to be removed from database","NO","YES"))</f>
        <v>YES</v>
      </c>
      <c r="R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8" spans="1:18" ht="15" customHeight="1">
      <c r="A58" t="s">
        <v>7562</v>
      </c>
      <c r="B58" t="str">
        <f>IFERROR(_xlfn.XLOOKUP(tblLog[[#This Row],[Unique ID]], tblMaster[Unique ID], tblMaster[First Name], ""), "")</f>
        <v>Joy</v>
      </c>
      <c r="C58" t="str">
        <f>IFERROR(_xlfn.XLOOKUP(tblLog[[#This Row],[Unique ID]], tblMaster[Unique ID], tblMaster[Last Name], ""), "")</f>
        <v>Willis</v>
      </c>
      <c r="D58" t="str">
        <f>IFERROR(_xlfn.XLOOKUP(tblLog[[#This Row],[Unique ID]], tblMaster[Unique ID], tblMaster[Email_Clean], ""), "")</f>
        <v>iwill4fam@gmail.com</v>
      </c>
      <c r="E58" t="str">
        <f>IFERROR(_xlfn.XLOOKUP(tblLog[[#This Row],[Unique ID]], tblMaster[Unique ID], tblMaster[Phone], ""), "")</f>
        <v>857-409-6403</v>
      </c>
      <c r="F58" t="str">
        <f>IFERROR(_xlfn.XLOOKUP(tblLog[[#This Row],[Unique ID]], tblMaster[Unique ID], tblMaster[Recruiter], ""), "")</f>
        <v xml:space="preserve">Jevon Brown Simpson </v>
      </c>
      <c r="G58" t="str">
        <f>IFERROR(_xlfn.XLOOKUP(tblLog[[#This Row],[Unique ID]], tblMaster[Unique ID], tblMaster[Recruitment Cycle], ""), "")</f>
        <v xml:space="preserve">New Submission/ Lead </v>
      </c>
      <c r="H58" t="s">
        <v>7445</v>
      </c>
      <c r="I58" t="s">
        <v>7434</v>
      </c>
      <c r="J58" s="3">
        <v>2</v>
      </c>
      <c r="K58" t="s">
        <v>7446</v>
      </c>
      <c r="L58" s="2">
        <v>46058</v>
      </c>
      <c r="M58" t="s">
        <v>7452</v>
      </c>
      <c r="N58" t="s">
        <v>7487</v>
      </c>
      <c r="P58">
        <f ca="1">IF(tblLog[[#This Row],[Log Date]]="","",TODAY()-tblLog[[#This Row],[Log Date]])</f>
        <v>21</v>
      </c>
      <c r="Q58" t="str">
        <f>IF(tblLog[[#This Row],[Log Date]]="","",IF(TRIM(tblLog[[#This Row],[Cycle Stage]])="Asked to be removed from database","NO","YES"))</f>
        <v>YES</v>
      </c>
      <c r="R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9" spans="1:18" ht="15" customHeight="1">
      <c r="A59" t="s">
        <v>7563</v>
      </c>
      <c r="B59" t="str">
        <f>IFERROR(_xlfn.XLOOKUP(tblLog[[#This Row],[Unique ID]], tblMaster[Unique ID], tblMaster[First Name], ""), "")</f>
        <v>Alexis</v>
      </c>
      <c r="C59" t="str">
        <f>IFERROR(_xlfn.XLOOKUP(tblLog[[#This Row],[Unique ID]], tblMaster[Unique ID], tblMaster[Last Name], ""), "")</f>
        <v xml:space="preserve">Zavras </v>
      </c>
      <c r="D59" t="str">
        <f>IFERROR(_xlfn.XLOOKUP(tblLog[[#This Row],[Unique ID]], tblMaster[Unique ID], tblMaster[Email_Clean], ""), "")</f>
        <v>alexisz11903@gmail.com</v>
      </c>
      <c r="E59" s="36" t="s">
        <v>7564</v>
      </c>
      <c r="F59" t="str">
        <f>IFERROR(_xlfn.XLOOKUP(tblLog[[#This Row],[Unique ID]], tblMaster[Unique ID], tblMaster[Recruiter], ""), "")</f>
        <v xml:space="preserve">Christopher Servello </v>
      </c>
      <c r="G59" t="str">
        <f>IFERROR(_xlfn.XLOOKUP(tblLog[[#This Row],[Unique ID]], tblMaster[Unique ID], tblMaster[Recruitment Cycle], ""), "")</f>
        <v xml:space="preserve">New Submission/ Lead </v>
      </c>
      <c r="H59" t="s">
        <v>7455</v>
      </c>
      <c r="I59" t="s">
        <v>7530</v>
      </c>
      <c r="J59" s="3">
        <v>3</v>
      </c>
      <c r="K59" t="s">
        <v>7435</v>
      </c>
      <c r="L59" s="2">
        <v>46058</v>
      </c>
      <c r="M59" t="s">
        <v>7565</v>
      </c>
      <c r="N59" t="s">
        <v>7500</v>
      </c>
      <c r="O59" t="s">
        <v>7566</v>
      </c>
      <c r="P59">
        <f ca="1">IF(tblLog[[#This Row],[Log Date]]="","",TODAY()-tblLog[[#This Row],[Log Date]])</f>
        <v>21</v>
      </c>
      <c r="Q59" t="str">
        <f>IF(tblLog[[#This Row],[Log Date]]="","",IF(TRIM(tblLog[[#This Row],[Cycle Stage]])="Asked to be removed from database","NO","YES"))</f>
        <v>YES</v>
      </c>
      <c r="R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0" spans="1:18" ht="15" customHeight="1">
      <c r="A60" t="s">
        <v>7567</v>
      </c>
      <c r="B60" t="str">
        <f>IFERROR(_xlfn.XLOOKUP(tblLog[[#This Row],[Unique ID]], tblMaster[Unique ID], tblMaster[First Name], ""), "")</f>
        <v>Christan</v>
      </c>
      <c r="C60" t="str">
        <f>IFERROR(_xlfn.XLOOKUP(tblLog[[#This Row],[Unique ID]], tblMaster[Unique ID], tblMaster[Last Name], ""), "")</f>
        <v>Mannix</v>
      </c>
      <c r="D60" t="str">
        <f>IFERROR(_xlfn.XLOOKUP(tblLog[[#This Row],[Unique ID]], tblMaster[Unique ID], tblMaster[Email_Clean], ""), "")</f>
        <v>cmqnnix@gmail.com</v>
      </c>
      <c r="E60" s="36" t="str">
        <f>IFERROR(_xlfn.XLOOKUP(tblLog[[#This Row],[Unique ID]], tblMaster[Unique ID], tblMaster[Phone], ""), "")</f>
        <v>(774) 273-3452</v>
      </c>
      <c r="F60" t="str">
        <f>IFERROR(_xlfn.XLOOKUP(tblLog[[#This Row],[Unique ID]], tblMaster[Unique ID], tblMaster[Recruiter], ""), "")</f>
        <v xml:space="preserve">Christopher Servello </v>
      </c>
      <c r="G60" t="str">
        <f>IFERROR(_xlfn.XLOOKUP(tblLog[[#This Row],[Unique ID]], tblMaster[Unique ID], tblMaster[Recruitment Cycle], ""), "")</f>
        <v xml:space="preserve">New Submission/ Lead </v>
      </c>
      <c r="H60" t="s">
        <v>7499</v>
      </c>
      <c r="I60" t="s">
        <v>7434</v>
      </c>
      <c r="J60" s="3">
        <v>2</v>
      </c>
      <c r="L60" s="2">
        <v>46058</v>
      </c>
      <c r="M60" t="s">
        <v>7452</v>
      </c>
      <c r="N60" t="s">
        <v>7475</v>
      </c>
      <c r="P60">
        <f ca="1">IF(tblLog[[#This Row],[Log Date]]="","",TODAY()-tblLog[[#This Row],[Log Date]])</f>
        <v>21</v>
      </c>
      <c r="Q60" t="str">
        <f>IF(tblLog[[#This Row],[Log Date]]="","",IF(TRIM(tblLog[[#This Row],[Cycle Stage]])="Asked to be removed from database","NO","YES"))</f>
        <v>YES</v>
      </c>
      <c r="R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1" spans="1:18" ht="15" customHeight="1">
      <c r="A61" t="s">
        <v>7568</v>
      </c>
      <c r="B61" t="str">
        <f>IFERROR(_xlfn.XLOOKUP(tblLog[[#This Row],[Unique ID]], tblMaster[Unique ID], tblMaster[First Name], ""), "")</f>
        <v xml:space="preserve">Alain </v>
      </c>
      <c r="C61" t="str">
        <f>IFERROR(_xlfn.XLOOKUP(tblLog[[#This Row],[Unique ID]], tblMaster[Unique ID], tblMaster[Last Name], ""), "")</f>
        <v>Bessard</v>
      </c>
      <c r="D61" t="str">
        <f>IFERROR(_xlfn.XLOOKUP(tblLog[[#This Row],[Unique ID]], tblMaster[Unique ID], tblMaster[Email_Clean], ""), "")</f>
        <v>alainbessard@icloud.com</v>
      </c>
      <c r="E61" s="36" t="str">
        <f>IFERROR(_xlfn.XLOOKUP(tblLog[[#This Row],[Unique ID]], tblMaster[Unique ID], tblMaster[Phone], ""), "")</f>
        <v>239-296-9478</v>
      </c>
      <c r="F61" t="str">
        <f>IFERROR(_xlfn.XLOOKUP(tblLog[[#This Row],[Unique ID]], tblMaster[Unique ID], tblMaster[Recruiter], ""), "")</f>
        <v xml:space="preserve">Christopher Servello </v>
      </c>
      <c r="G61" t="str">
        <f>IFERROR(_xlfn.XLOOKUP(tblLog[[#This Row],[Unique ID]], tblMaster[Unique ID], tblMaster[Recruitment Cycle], ""), "")</f>
        <v xml:space="preserve">New Submission/ Lead </v>
      </c>
      <c r="H61" t="s">
        <v>7496</v>
      </c>
      <c r="I61" t="s">
        <v>7569</v>
      </c>
      <c r="J61" s="3">
        <v>3</v>
      </c>
      <c r="L61" s="2">
        <v>46058</v>
      </c>
      <c r="M61" t="s">
        <v>7570</v>
      </c>
      <c r="N61" t="s">
        <v>7500</v>
      </c>
      <c r="O61" t="s">
        <v>7571</v>
      </c>
      <c r="P61">
        <f ca="1">IF(tblLog[[#This Row],[Log Date]]="","",TODAY()-tblLog[[#This Row],[Log Date]])</f>
        <v>21</v>
      </c>
      <c r="Q61" t="str">
        <f>IF(tblLog[[#This Row],[Log Date]]="","",IF(TRIM(tblLog[[#This Row],[Cycle Stage]])="Asked to be removed from database","NO","YES"))</f>
        <v>YES</v>
      </c>
      <c r="R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2" spans="1:18" ht="15" customHeight="1">
      <c r="A62" t="s">
        <v>7572</v>
      </c>
      <c r="B62" t="str">
        <f>IFERROR(_xlfn.XLOOKUP(tblLog[[#This Row],[Unique ID]], tblMaster[Unique ID], tblMaster[First Name], ""), "")</f>
        <v xml:space="preserve">David </v>
      </c>
      <c r="C62" t="str">
        <f>IFERROR(_xlfn.XLOOKUP(tblLog[[#This Row],[Unique ID]], tblMaster[Unique ID], tblMaster[Last Name], ""), "")</f>
        <v xml:space="preserve">Meitamei </v>
      </c>
      <c r="D62" t="str">
        <f>IFERROR(_xlfn.XLOOKUP(tblLog[[#This Row],[Unique ID]], tblMaster[Unique ID], tblMaster[Email_Clean], ""), "")</f>
        <v>dkmeitamei@gmail.com</v>
      </c>
      <c r="E62" s="36" t="str">
        <f>IFERROR(_xlfn.XLOOKUP(tblLog[[#This Row],[Unique ID]], tblMaster[Unique ID], tblMaster[Phone], ""), "")</f>
        <v xml:space="preserve">(074) 400-6590 </v>
      </c>
      <c r="F62" t="str">
        <f>IFERROR(_xlfn.XLOOKUP(tblLog[[#This Row],[Unique ID]], tblMaster[Unique ID], tblMaster[Recruiter], ""), "")</f>
        <v xml:space="preserve">Christopher Servello </v>
      </c>
      <c r="G62" t="str">
        <f>IFERROR(_xlfn.XLOOKUP(tblLog[[#This Row],[Unique ID]], tblMaster[Unique ID], tblMaster[Recruitment Cycle], ""), "")</f>
        <v xml:space="preserve">New Submission/ Lead </v>
      </c>
      <c r="H62" t="s">
        <v>7455</v>
      </c>
      <c r="I62" t="s">
        <v>7569</v>
      </c>
      <c r="J62" s="3">
        <v>3</v>
      </c>
      <c r="L62" s="2">
        <v>46058</v>
      </c>
      <c r="M62" t="s">
        <v>7452</v>
      </c>
      <c r="N62" t="s">
        <v>7475</v>
      </c>
      <c r="O62" t="s">
        <v>7573</v>
      </c>
      <c r="P62">
        <f ca="1">IF(tblLog[[#This Row],[Log Date]]="","",TODAY()-tblLog[[#This Row],[Log Date]])</f>
        <v>21</v>
      </c>
      <c r="Q62" t="str">
        <f>IF(tblLog[[#This Row],[Log Date]]="","",IF(TRIM(tblLog[[#This Row],[Cycle Stage]])="Asked to be removed from database","NO","YES"))</f>
        <v>YES</v>
      </c>
      <c r="R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3" spans="1:18" ht="15" customHeight="1">
      <c r="A63" t="s">
        <v>7574</v>
      </c>
      <c r="B63" t="str">
        <f>IFERROR(_xlfn.XLOOKUP(tblLog[[#This Row],[Unique ID]], tblMaster[Unique ID], tblMaster[First Name], ""), "")</f>
        <v xml:space="preserve">Douglas </v>
      </c>
      <c r="C63" t="str">
        <f>IFERROR(_xlfn.XLOOKUP(tblLog[[#This Row],[Unique ID]], tblMaster[Unique ID], tblMaster[Last Name], ""), "")</f>
        <v xml:space="preserve">Daley </v>
      </c>
      <c r="D63" t="str">
        <f>IFERROR(_xlfn.XLOOKUP(tblLog[[#This Row],[Unique ID]], tblMaster[Unique ID], tblMaster[Email_Clean], ""), "")</f>
        <v>douglasdaley312@gmail.com</v>
      </c>
      <c r="E63" s="36">
        <f>IFERROR(_xlfn.XLOOKUP(tblLog[[#This Row],[Unique ID]], tblMaster[Unique ID], tblMaster[Phone], ""), "")</f>
        <v>0</v>
      </c>
      <c r="F63" t="str">
        <f>IFERROR(_xlfn.XLOOKUP(tblLog[[#This Row],[Unique ID]], tblMaster[Unique ID], tblMaster[Recruiter], ""), "")</f>
        <v xml:space="preserve">Christopher Servello </v>
      </c>
      <c r="G63" t="str">
        <f>IFERROR(_xlfn.XLOOKUP(tblLog[[#This Row],[Unique ID]], tblMaster[Unique ID], tblMaster[Recruitment Cycle], ""), "")</f>
        <v xml:space="preserve">New Submission/ Lead </v>
      </c>
      <c r="H63" t="s">
        <v>7496</v>
      </c>
      <c r="I63" t="s">
        <v>4</v>
      </c>
      <c r="J63" s="3">
        <v>2</v>
      </c>
      <c r="L63" s="2">
        <v>46058</v>
      </c>
      <c r="M63" t="s">
        <v>7452</v>
      </c>
      <c r="N63" t="s">
        <v>7475</v>
      </c>
      <c r="P63">
        <f ca="1">IF(tblLog[[#This Row],[Log Date]]="","",TODAY()-tblLog[[#This Row],[Log Date]])</f>
        <v>21</v>
      </c>
      <c r="Q63" t="str">
        <f>IF(tblLog[[#This Row],[Log Date]]="","",IF(TRIM(tblLog[[#This Row],[Cycle Stage]])="Asked to be removed from database","NO","YES"))</f>
        <v>YES</v>
      </c>
      <c r="R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4" spans="1:18" ht="15" customHeight="1">
      <c r="A64" t="s">
        <v>7575</v>
      </c>
      <c r="B64" t="str">
        <f>IFERROR(_xlfn.XLOOKUP(tblLog[[#This Row],[Unique ID]], tblMaster[Unique ID], tblMaster[First Name], ""), "")</f>
        <v xml:space="preserve">Raquel </v>
      </c>
      <c r="C64" t="str">
        <f>IFERROR(_xlfn.XLOOKUP(tblLog[[#This Row],[Unique ID]], tblMaster[Unique ID], tblMaster[Last Name], ""), "")</f>
        <v xml:space="preserve"> Pena</v>
      </c>
      <c r="D64" t="str">
        <f>IFERROR(_xlfn.XLOOKUP(tblLog[[#This Row],[Unique ID]], tblMaster[Unique ID], tblMaster[Email_Clean], ""), "")</f>
        <v>rpena120@icloud.com</v>
      </c>
      <c r="E64" s="36">
        <f>IFERROR(_xlfn.XLOOKUP(tblLog[[#This Row],[Unique ID]], tblMaster[Unique ID], tblMaster[Phone], ""), "")</f>
        <v>5088479444</v>
      </c>
      <c r="F64" t="str">
        <f>IFERROR(_xlfn.XLOOKUP(tblLog[[#This Row],[Unique ID]], tblMaster[Unique ID], tblMaster[Recruiter], ""), "")</f>
        <v xml:space="preserve">Christopher Servello </v>
      </c>
      <c r="G64" t="str">
        <f>IFERROR(_xlfn.XLOOKUP(tblLog[[#This Row],[Unique ID]], tblMaster[Unique ID], tblMaster[Recruitment Cycle], ""), "")</f>
        <v xml:space="preserve">New Submission/ Lead </v>
      </c>
      <c r="H64" t="s">
        <v>7455</v>
      </c>
      <c r="I64" t="s">
        <v>7434</v>
      </c>
      <c r="J64" s="3">
        <v>2</v>
      </c>
      <c r="K64" t="s">
        <v>7491</v>
      </c>
      <c r="L64" s="2">
        <v>46058</v>
      </c>
      <c r="M64" t="s">
        <v>7452</v>
      </c>
      <c r="N64" t="s">
        <v>7475</v>
      </c>
      <c r="O64" t="s">
        <v>7576</v>
      </c>
      <c r="P64">
        <f ca="1">IF(tblLog[[#This Row],[Log Date]]="","",TODAY()-tblLog[[#This Row],[Log Date]])</f>
        <v>21</v>
      </c>
      <c r="Q64" t="str">
        <f>IF(tblLog[[#This Row],[Log Date]]="","",IF(TRIM(tblLog[[#This Row],[Cycle Stage]])="Asked to be removed from database","NO","YES"))</f>
        <v>YES</v>
      </c>
      <c r="R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5" spans="1:18" ht="15" customHeight="1">
      <c r="A65" t="s">
        <v>7577</v>
      </c>
      <c r="B65" t="str">
        <f>IFERROR(_xlfn.XLOOKUP(tblLog[[#This Row],[Unique ID]], tblMaster[Unique ID], tblMaster[First Name], ""), "")</f>
        <v xml:space="preserve">Aishorjo </v>
      </c>
      <c r="C65" t="str">
        <f>IFERROR(_xlfn.XLOOKUP(tblLog[[#This Row],[Unique ID]], tblMaster[Unique ID], tblMaster[Last Name], ""), "")</f>
        <v xml:space="preserve"> Paul Bablee </v>
      </c>
      <c r="D65" t="str">
        <f>IFERROR(_xlfn.XLOOKUP(tblLog[[#This Row],[Unique ID]], tblMaster[Unique ID], tblMaster[Email_Clean], ""), "")</f>
        <v>aishorjo95@gmail.com</v>
      </c>
      <c r="E65" s="36" t="str">
        <f>IFERROR(_xlfn.XLOOKUP(tblLog[[#This Row],[Unique ID]], tblMaster[Unique ID], tblMaster[Phone], ""), "")</f>
        <v xml:space="preserve">530) 219-8354 </v>
      </c>
      <c r="F65" t="str">
        <f>IFERROR(_xlfn.XLOOKUP(tblLog[[#This Row],[Unique ID]], tblMaster[Unique ID], tblMaster[Recruiter], ""), "")</f>
        <v xml:space="preserve">Christopher Servello </v>
      </c>
      <c r="G65" t="str">
        <f>IFERROR(_xlfn.XLOOKUP(tblLog[[#This Row],[Unique ID]], tblMaster[Unique ID], tblMaster[Recruitment Cycle], ""), "")</f>
        <v xml:space="preserve">New Submission/ Lead </v>
      </c>
      <c r="H65" t="s">
        <v>7496</v>
      </c>
      <c r="I65" t="s">
        <v>4</v>
      </c>
      <c r="J65" s="3">
        <v>2</v>
      </c>
      <c r="L65" s="2">
        <v>46058</v>
      </c>
      <c r="M65" t="s">
        <v>7452</v>
      </c>
      <c r="N65" t="s">
        <v>7475</v>
      </c>
      <c r="P65">
        <f ca="1">IF(tblLog[[#This Row],[Log Date]]="","",TODAY()-tblLog[[#This Row],[Log Date]])</f>
        <v>21</v>
      </c>
      <c r="Q65" t="str">
        <f>IF(tblLog[[#This Row],[Log Date]]="","",IF(TRIM(tblLog[[#This Row],[Cycle Stage]])="Asked to be removed from database","NO","YES"))</f>
        <v>YES</v>
      </c>
      <c r="R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6" spans="1:18" ht="15" customHeight="1">
      <c r="A66" t="s">
        <v>7578</v>
      </c>
      <c r="B66" t="str">
        <f>IFERROR(_xlfn.XLOOKUP(tblLog[[#This Row],[Unique ID]], tblMaster[Unique ID], tblMaster[First Name], ""), "")</f>
        <v>Melena</v>
      </c>
      <c r="C66" t="str">
        <f>IFERROR(_xlfn.XLOOKUP(tblLog[[#This Row],[Unique ID]], tblMaster[Unique ID], tblMaster[Last Name], ""), "")</f>
        <v xml:space="preserve">Karolemeas </v>
      </c>
      <c r="D66" t="str">
        <f>IFERROR(_xlfn.XLOOKUP(tblLog[[#This Row],[Unique ID]], tblMaster[Unique ID], tblMaster[Email_Clean], ""), "")</f>
        <v>melenakarol@gmail.com</v>
      </c>
      <c r="E66" s="36" t="str">
        <f>IFERROR(_xlfn.XLOOKUP(tblLog[[#This Row],[Unique ID]], tblMaster[Unique ID], tblMaster[Phone], ""), "")</f>
        <v xml:space="preserve">(781) 856-1344 </v>
      </c>
      <c r="F66" t="str">
        <f>IFERROR(_xlfn.XLOOKUP(tblLog[[#This Row],[Unique ID]], tblMaster[Unique ID], tblMaster[Recruiter], ""), "")</f>
        <v xml:space="preserve">Christopher Servello </v>
      </c>
      <c r="G66" t="str">
        <f>IFERROR(_xlfn.XLOOKUP(tblLog[[#This Row],[Unique ID]], tblMaster[Unique ID], tblMaster[Recruitment Cycle], ""), "")</f>
        <v xml:space="preserve">New Submission/ Lead </v>
      </c>
      <c r="H66" t="s">
        <v>7455</v>
      </c>
      <c r="I66" t="s">
        <v>7434</v>
      </c>
      <c r="J66" s="3">
        <v>3</v>
      </c>
      <c r="K66" t="s">
        <v>7435</v>
      </c>
      <c r="L66" s="2">
        <v>46058</v>
      </c>
      <c r="M66" t="s">
        <v>7452</v>
      </c>
      <c r="N66" t="s">
        <v>7475</v>
      </c>
      <c r="O66" t="s">
        <v>7579</v>
      </c>
      <c r="P66">
        <f ca="1">IF(tblLog[[#This Row],[Log Date]]="","",TODAY()-tblLog[[#This Row],[Log Date]])</f>
        <v>21</v>
      </c>
      <c r="Q66" t="str">
        <f>IF(tblLog[[#This Row],[Log Date]]="","",IF(TRIM(tblLog[[#This Row],[Cycle Stage]])="Asked to be removed from database","NO","YES"))</f>
        <v>YES</v>
      </c>
      <c r="R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7" spans="1:18" ht="15" customHeight="1">
      <c r="A67" t="s">
        <v>7580</v>
      </c>
      <c r="B67" t="str">
        <f>IFERROR(_xlfn.XLOOKUP(tblLog[[#This Row],[Unique ID]], tblMaster[Unique ID], tblMaster[First Name], ""), "")</f>
        <v xml:space="preserve">Michael </v>
      </c>
      <c r="C67" t="str">
        <f>IFERROR(_xlfn.XLOOKUP(tblLog[[#This Row],[Unique ID]], tblMaster[Unique ID], tblMaster[Last Name], ""), "")</f>
        <v xml:space="preserve"> Yarmai</v>
      </c>
      <c r="D67" t="str">
        <f>IFERROR(_xlfn.XLOOKUP(tblLog[[#This Row],[Unique ID]], tblMaster[Unique ID], tblMaster[Email_Clean], ""), "")</f>
        <v>yarmaimichael7@gmail.com</v>
      </c>
      <c r="E67" t="str">
        <f>IFERROR(_xlfn.XLOOKUP(tblLog[[#This Row],[Unique ID]], tblMaster[Unique ID], tblMaster[Phone], ""), "")</f>
        <v xml:space="preserve">(401) 601-6670 </v>
      </c>
      <c r="F67" t="str">
        <f>IFERROR(_xlfn.XLOOKUP(tblLog[[#This Row],[Unique ID]], tblMaster[Unique ID], tblMaster[Recruiter], ""), "")</f>
        <v xml:space="preserve">Enrique Ortiz </v>
      </c>
      <c r="G67" t="str">
        <f>IFERROR(_xlfn.XLOOKUP(tblLog[[#This Row],[Unique ID]], tblMaster[Unique ID], tblMaster[Recruitment Cycle], ""), "")</f>
        <v xml:space="preserve">Re-Engagment </v>
      </c>
      <c r="H67" t="s">
        <v>7455</v>
      </c>
      <c r="I67" t="s">
        <v>4</v>
      </c>
      <c r="J67" s="3">
        <v>2</v>
      </c>
      <c r="K67" t="s">
        <v>7491</v>
      </c>
      <c r="L67" s="2">
        <v>46058</v>
      </c>
      <c r="M67" t="s">
        <v>7452</v>
      </c>
      <c r="N67" t="s">
        <v>7475</v>
      </c>
      <c r="O67" t="s">
        <v>7541</v>
      </c>
      <c r="P67">
        <f ca="1">IF(tblLog[[#This Row],[Log Date]]="","",TODAY()-tblLog[[#This Row],[Log Date]])</f>
        <v>21</v>
      </c>
      <c r="Q67" t="str">
        <f>IF(tblLog[[#This Row],[Log Date]]="","",IF(TRIM(tblLog[[#This Row],[Cycle Stage]])="Asked to be removed from database","NO","YES"))</f>
        <v>YES</v>
      </c>
      <c r="R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8" spans="1:18" ht="15" customHeight="1">
      <c r="A68" t="s">
        <v>7581</v>
      </c>
      <c r="B68" t="str">
        <f>IFERROR(_xlfn.XLOOKUP(tblLog[[#This Row],[Unique ID]], tblMaster[Unique ID], tblMaster[First Name], ""), "")</f>
        <v xml:space="preserve">Semanda </v>
      </c>
      <c r="C68" t="str">
        <f>IFERROR(_xlfn.XLOOKUP(tblLog[[#This Row],[Unique ID]], tblMaster[Unique ID], tblMaster[Last Name], ""), "")</f>
        <v xml:space="preserve">Vicent </v>
      </c>
      <c r="D68" t="str">
        <f>IFERROR(_xlfn.XLOOKUP(tblLog[[#This Row],[Unique ID]], tblMaster[Unique ID], tblMaster[Email_Clean], ""), "")</f>
        <v>svicent499@gmail.com</v>
      </c>
      <c r="E68" t="str">
        <f>IFERROR(_xlfn.XLOOKUP(tblLog[[#This Row],[Unique ID]], tblMaster[Unique ID], tblMaster[Phone], ""), "")</f>
        <v>720-582-9606</v>
      </c>
      <c r="F68" t="str">
        <f>IFERROR(_xlfn.XLOOKUP(tblLog[[#This Row],[Unique ID]], tblMaster[Unique ID], tblMaster[Recruiter], ""), "")</f>
        <v xml:space="preserve">Jevon Brown Simpson </v>
      </c>
      <c r="G68" t="str">
        <f>IFERROR(_xlfn.XLOOKUP(tblLog[[#This Row],[Unique ID]], tblMaster[Unique ID], tblMaster[Recruitment Cycle], ""), "")</f>
        <v xml:space="preserve">Re-Engagment </v>
      </c>
      <c r="H68" t="s">
        <v>7543</v>
      </c>
      <c r="I68" t="s">
        <v>4</v>
      </c>
      <c r="J68" s="3">
        <v>3</v>
      </c>
      <c r="K68" t="s">
        <v>7446</v>
      </c>
      <c r="L68" s="2">
        <v>46062</v>
      </c>
      <c r="M68" t="s">
        <v>7452</v>
      </c>
      <c r="N68" t="s">
        <v>7517</v>
      </c>
      <c r="O68" t="s">
        <v>7582</v>
      </c>
      <c r="P68">
        <f ca="1">IF(tblLog[[#This Row],[Log Date]]="","",TODAY()-tblLog[[#This Row],[Log Date]])</f>
        <v>17</v>
      </c>
      <c r="Q68" t="str">
        <f>IF(tblLog[[#This Row],[Log Date]]="","",IF(TRIM(tblLog[[#This Row],[Cycle Stage]])="Asked to be removed from database","NO","YES"))</f>
        <v>YES</v>
      </c>
      <c r="R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69" spans="1:18" ht="15" customHeight="1">
      <c r="A69" t="s">
        <v>7583</v>
      </c>
      <c r="B69" t="str">
        <f>IFERROR(_xlfn.XLOOKUP(tblLog[[#This Row],[Unique ID]], tblMaster[Unique ID], tblMaster[First Name], ""), "")</f>
        <v xml:space="preserve">Andre </v>
      </c>
      <c r="C69" t="str">
        <f>IFERROR(_xlfn.XLOOKUP(tblLog[[#This Row],[Unique ID]], tblMaster[Unique ID], tblMaster[Last Name], ""), "")</f>
        <v xml:space="preserve">Peters </v>
      </c>
      <c r="D69" t="str">
        <f>IFERROR(_xlfn.XLOOKUP(tblLog[[#This Row],[Unique ID]], tblMaster[Unique ID], tblMaster[Email_Clean], ""), "")</f>
        <v>andrehph@yahoo.com</v>
      </c>
      <c r="E69" t="str">
        <f>IFERROR(_xlfn.XLOOKUP(tblLog[[#This Row],[Unique ID]], tblMaster[Unique ID], tblMaster[Phone], ""), "")</f>
        <v>857 316 9026</v>
      </c>
      <c r="F69" t="str">
        <f>IFERROR(_xlfn.XLOOKUP(tblLog[[#This Row],[Unique ID]], tblMaster[Unique ID], tblMaster[Recruiter], ""), "")</f>
        <v>Zenon Moses</v>
      </c>
      <c r="G69" t="str">
        <f>IFERROR(_xlfn.XLOOKUP(tblLog[[#This Row],[Unique ID]], tblMaster[Unique ID], tblMaster[Recruitment Cycle], ""), "")</f>
        <v xml:space="preserve">Re-Engagment </v>
      </c>
      <c r="H69" t="s">
        <v>7455</v>
      </c>
      <c r="I69" t="s">
        <v>7434</v>
      </c>
      <c r="J69" s="3">
        <v>2</v>
      </c>
      <c r="K69" t="s">
        <v>7491</v>
      </c>
      <c r="L69" s="2">
        <v>46058</v>
      </c>
      <c r="M69" t="s">
        <v>7452</v>
      </c>
      <c r="N69" t="s">
        <v>7500</v>
      </c>
      <c r="O69" t="s">
        <v>7584</v>
      </c>
      <c r="P69">
        <f ca="1">IF(tblLog[[#This Row],[Log Date]]="","",TODAY()-tblLog[[#This Row],[Log Date]])</f>
        <v>21</v>
      </c>
      <c r="Q69" t="str">
        <f>IF(tblLog[[#This Row],[Log Date]]="","",IF(TRIM(tblLog[[#This Row],[Cycle Stage]])="Asked to be removed from database","NO","YES"))</f>
        <v>YES</v>
      </c>
      <c r="R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0" spans="1:18" ht="15" customHeight="1">
      <c r="A70" t="s">
        <v>7585</v>
      </c>
      <c r="B70" t="str">
        <f>IFERROR(_xlfn.XLOOKUP(tblLog[[#This Row],[Unique ID]], tblMaster[Unique ID], tblMaster[First Name], ""), "")</f>
        <v>Isaiah</v>
      </c>
      <c r="C70" t="str">
        <f>IFERROR(_xlfn.XLOOKUP(tblLog[[#This Row],[Unique ID]], tblMaster[Unique ID], tblMaster[Last Name], ""), "")</f>
        <v>Ortiz</v>
      </c>
      <c r="D70" t="str">
        <f>IFERROR(_xlfn.XLOOKUP(tblLog[[#This Row],[Unique ID]], tblMaster[Unique ID], tblMaster[Email_Clean], ""), "")</f>
        <v>oisaiah56@gmail.com</v>
      </c>
      <c r="E70" s="36" t="str">
        <f>IFERROR(_xlfn.XLOOKUP(tblLog[[#This Row],[Unique ID]], tblMaster[Unique ID], tblMaster[Phone], ""), "")</f>
        <v>(413) 270-6563</v>
      </c>
      <c r="F70" t="str">
        <f>IFERROR(_xlfn.XLOOKUP(tblLog[[#This Row],[Unique ID]], tblMaster[Unique ID], tblMaster[Recruiter], ""), "")</f>
        <v xml:space="preserve">Christopher Servello </v>
      </c>
      <c r="G70" t="str">
        <f>IFERROR(_xlfn.XLOOKUP(tblLog[[#This Row],[Unique ID]], tblMaster[Unique ID], tblMaster[Recruitment Cycle], ""), "")</f>
        <v xml:space="preserve">New Submission/ Lead </v>
      </c>
      <c r="H70" t="s">
        <v>7455</v>
      </c>
      <c r="I70" t="s">
        <v>7434</v>
      </c>
      <c r="J70" s="3">
        <v>2</v>
      </c>
      <c r="K70" t="s">
        <v>7435</v>
      </c>
      <c r="L70" s="2">
        <v>46058</v>
      </c>
      <c r="M70" t="s">
        <v>7452</v>
      </c>
      <c r="N70" t="s">
        <v>7475</v>
      </c>
      <c r="O70" t="s">
        <v>7586</v>
      </c>
      <c r="P70">
        <f ca="1">IF(tblLog[[#This Row],[Log Date]]="","",TODAY()-tblLog[[#This Row],[Log Date]])</f>
        <v>21</v>
      </c>
      <c r="Q70" t="str">
        <f>IF(tblLog[[#This Row],[Log Date]]="","",IF(TRIM(tblLog[[#This Row],[Cycle Stage]])="Asked to be removed from database","NO","YES"))</f>
        <v>YES</v>
      </c>
      <c r="R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1" spans="1:18" ht="15" customHeight="1">
      <c r="A71" t="s">
        <v>7587</v>
      </c>
      <c r="B71" t="str">
        <f>IFERROR(_xlfn.XLOOKUP(tblLog[[#This Row],[Unique ID]], tblMaster[Unique ID], tblMaster[First Name], ""), "")</f>
        <v xml:space="preserve">Joseph  </v>
      </c>
      <c r="C71" t="str">
        <f>IFERROR(_xlfn.XLOOKUP(tblLog[[#This Row],[Unique ID]], tblMaster[Unique ID], tblMaster[Last Name], ""), "")</f>
        <v xml:space="preserve"> CUPERTINO JR </v>
      </c>
      <c r="D71" t="str">
        <f>IFERROR(_xlfn.XLOOKUP(tblLog[[#This Row],[Unique ID]], tblMaster[Unique ID], tblMaster[Email_Clean], ""), "")</f>
        <v>jcupertinojr@gmail.com</v>
      </c>
      <c r="E71" t="str">
        <f>IFERROR(_xlfn.XLOOKUP(tblLog[[#This Row],[Unique ID]], tblMaster[Unique ID], tblMaster[Phone], ""), "")</f>
        <v>508-369-1169</v>
      </c>
      <c r="F71" t="str">
        <f>IFERROR(_xlfn.XLOOKUP(tblLog[[#This Row],[Unique ID]], tblMaster[Unique ID], tblMaster[Recruiter], ""), "")</f>
        <v xml:space="preserve">Enrique Ortiz </v>
      </c>
      <c r="G71" t="str">
        <f>IFERROR(_xlfn.XLOOKUP(tblLog[[#This Row],[Unique ID]], tblMaster[Unique ID], tblMaster[Recruitment Cycle], ""), "")</f>
        <v xml:space="preserve">Re-Engagment </v>
      </c>
      <c r="H71" t="s">
        <v>7529</v>
      </c>
      <c r="I71" t="s">
        <v>7494</v>
      </c>
      <c r="J71" s="3">
        <v>3</v>
      </c>
      <c r="L71" s="2">
        <v>46066</v>
      </c>
      <c r="M71" t="s">
        <v>7485</v>
      </c>
      <c r="N71" t="s">
        <v>7475</v>
      </c>
      <c r="O71" t="s">
        <v>7588</v>
      </c>
      <c r="P71">
        <f ca="1">IF(tblLog[[#This Row],[Log Date]]="","",TODAY()-tblLog[[#This Row],[Log Date]])</f>
        <v>13</v>
      </c>
      <c r="Q71" t="str">
        <f>IF(tblLog[[#This Row],[Log Date]]="","",IF(TRIM(tblLog[[#This Row],[Cycle Stage]])="Asked to be removed from database","NO","YES"))</f>
        <v>YES</v>
      </c>
      <c r="R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2" spans="1:18" ht="15" customHeight="1">
      <c r="A72" t="s">
        <v>7589</v>
      </c>
      <c r="B72" t="str">
        <f>IFERROR(_xlfn.XLOOKUP(tblLog[[#This Row],[Unique ID]], tblMaster[Unique ID], tblMaster[First Name], ""), "")</f>
        <v xml:space="preserve">Jamie </v>
      </c>
      <c r="C72" t="str">
        <f>IFERROR(_xlfn.XLOOKUP(tblLog[[#This Row],[Unique ID]], tblMaster[Unique ID], tblMaster[Last Name], ""), "")</f>
        <v xml:space="preserve">Courtney </v>
      </c>
      <c r="D72" t="str">
        <f>IFERROR(_xlfn.XLOOKUP(tblLog[[#This Row],[Unique ID]], tblMaster[Unique ID], tblMaster[Email_Clean], ""), "")</f>
        <v>jamiecourtney1989@gmail.com</v>
      </c>
      <c r="E72" t="str">
        <f>IFERROR(_xlfn.XLOOKUP(tblLog[[#This Row],[Unique ID]], tblMaster[Unique ID], tblMaster[Phone], ""), "")</f>
        <v>8439742733</v>
      </c>
      <c r="F72" t="str">
        <f>IFERROR(_xlfn.XLOOKUP(tblLog[[#This Row],[Unique ID]], tblMaster[Unique ID], tblMaster[Recruiter], ""), "")</f>
        <v xml:space="preserve">Tom Clark </v>
      </c>
      <c r="G72" t="str">
        <f>IFERROR(_xlfn.XLOOKUP(tblLog[[#This Row],[Unique ID]], tblMaster[Unique ID], tblMaster[Recruitment Cycle], ""), "")</f>
        <v xml:space="preserve">New Submission/ Lead </v>
      </c>
      <c r="H72" t="s">
        <v>7455</v>
      </c>
      <c r="I72" t="s">
        <v>7530</v>
      </c>
      <c r="J72" s="3">
        <v>3</v>
      </c>
      <c r="L72" s="2">
        <v>46059</v>
      </c>
      <c r="M72" t="s">
        <v>7452</v>
      </c>
      <c r="O72" t="s">
        <v>7590</v>
      </c>
      <c r="P72">
        <f ca="1">IF(tblLog[[#This Row],[Log Date]]="","",TODAY()-tblLog[[#This Row],[Log Date]])</f>
        <v>20</v>
      </c>
      <c r="Q72" t="str">
        <f>IF(tblLog[[#This Row],[Log Date]]="","",IF(TRIM(tblLog[[#This Row],[Cycle Stage]])="Asked to be removed from database","NO","YES"))</f>
        <v>YES</v>
      </c>
      <c r="R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3" spans="1:18" ht="15" customHeight="1">
      <c r="A73" t="s">
        <v>7591</v>
      </c>
      <c r="B73" t="str">
        <f>IFERROR(_xlfn.XLOOKUP(tblLog[[#This Row],[Unique ID]], tblMaster[Unique ID], tblMaster[First Name], ""), "")</f>
        <v xml:space="preserve">Derek </v>
      </c>
      <c r="C73" t="str">
        <f>IFERROR(_xlfn.XLOOKUP(tblLog[[#This Row],[Unique ID]], tblMaster[Unique ID], tblMaster[Last Name], ""), "")</f>
        <v xml:space="preserve">Momo </v>
      </c>
      <c r="D73" t="str">
        <f>IFERROR(_xlfn.XLOOKUP(tblLog[[#This Row],[Unique ID]], tblMaster[Unique ID], tblMaster[Email_Clean], ""), "")</f>
        <v>derekmomo@gmail.com</v>
      </c>
      <c r="E73" t="str">
        <f>IFERROR(_xlfn.XLOOKUP(tblLog[[#This Row],[Unique ID]], tblMaster[Unique ID], tblMaster[Phone], ""), "")</f>
        <v xml:space="preserve">(410) 412-4239 </v>
      </c>
      <c r="F73" t="str">
        <f>IFERROR(_xlfn.XLOOKUP(tblLog[[#This Row],[Unique ID]], tblMaster[Unique ID], tblMaster[Recruiter], ""), "")</f>
        <v xml:space="preserve">Enrique Ortiz </v>
      </c>
      <c r="G73" t="str">
        <f>IFERROR(_xlfn.XLOOKUP(tblLog[[#This Row],[Unique ID]], tblMaster[Unique ID], tblMaster[Recruitment Cycle], ""), "")</f>
        <v xml:space="preserve">Re-Engagment </v>
      </c>
      <c r="H73" t="s">
        <v>7455</v>
      </c>
      <c r="I73" t="s">
        <v>4</v>
      </c>
      <c r="J73" s="3">
        <v>2</v>
      </c>
      <c r="K73" t="s">
        <v>7491</v>
      </c>
      <c r="L73" s="2">
        <v>46066</v>
      </c>
      <c r="M73" t="s">
        <v>7485</v>
      </c>
      <c r="N73" t="s">
        <v>7475</v>
      </c>
      <c r="O73" t="s">
        <v>7592</v>
      </c>
      <c r="P73">
        <f ca="1">IF(tblLog[[#This Row],[Log Date]]="","",TODAY()-tblLog[[#This Row],[Log Date]])</f>
        <v>13</v>
      </c>
      <c r="Q73" t="str">
        <f>IF(tblLog[[#This Row],[Log Date]]="","",IF(TRIM(tblLog[[#This Row],[Cycle Stage]])="Asked to be removed from database","NO","YES"))</f>
        <v>YES</v>
      </c>
      <c r="R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4" spans="1:18" ht="15" customHeight="1">
      <c r="A74" t="s">
        <v>7593</v>
      </c>
      <c r="B74" t="str">
        <f>IFERROR(_xlfn.XLOOKUP(tblLog[[#This Row],[Unique ID]], tblMaster[Unique ID], tblMaster[First Name], ""), "")</f>
        <v xml:space="preserve">Nicole </v>
      </c>
      <c r="C74" t="str">
        <f>IFERROR(_xlfn.XLOOKUP(tblLog[[#This Row],[Unique ID]], tblMaster[Unique ID], tblMaster[Last Name], ""), "")</f>
        <v>Isabel Whalon</v>
      </c>
      <c r="D74" t="str">
        <f>IFERROR(_xlfn.XLOOKUP(tblLog[[#This Row],[Unique ID]], tblMaster[Unique ID], tblMaster[Email_Clean], ""), "")</f>
        <v>sweetheart554@aol.com</v>
      </c>
      <c r="E74" t="str">
        <f>IFERROR(_xlfn.XLOOKUP(tblLog[[#This Row],[Unique ID]], tblMaster[Unique ID], tblMaster[Phone], ""), "")</f>
        <v>774-406-7843</v>
      </c>
      <c r="F74" t="str">
        <f>IFERROR(_xlfn.XLOOKUP(tblLog[[#This Row],[Unique ID]], tblMaster[Unique ID], tblMaster[Recruiter], ""), "")</f>
        <v xml:space="preserve">Enrique Ortiz </v>
      </c>
      <c r="G74" t="str">
        <f>IFERROR(_xlfn.XLOOKUP(tblLog[[#This Row],[Unique ID]], tblMaster[Unique ID], tblMaster[Recruitment Cycle], ""), "")</f>
        <v xml:space="preserve">Re-Engagment </v>
      </c>
      <c r="H74" t="s">
        <v>7455</v>
      </c>
      <c r="I74" t="s">
        <v>7494</v>
      </c>
      <c r="J74" s="3">
        <v>1</v>
      </c>
      <c r="K74" t="s">
        <v>7491</v>
      </c>
      <c r="L74" s="2">
        <v>46058</v>
      </c>
      <c r="M74" t="s">
        <v>7452</v>
      </c>
      <c r="P74">
        <f ca="1">IF(tblLog[[#This Row],[Log Date]]="","",TODAY()-tblLog[[#This Row],[Log Date]])</f>
        <v>21</v>
      </c>
      <c r="Q74" t="str">
        <f>IF(tblLog[[#This Row],[Log Date]]="","",IF(TRIM(tblLog[[#This Row],[Cycle Stage]])="Asked to be removed from database","NO","YES"))</f>
        <v>YES</v>
      </c>
      <c r="R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5" spans="1:18" ht="15" customHeight="1">
      <c r="A75" t="s">
        <v>7594</v>
      </c>
      <c r="B75" t="str">
        <f>IFERROR(_xlfn.XLOOKUP(tblLog[[#This Row],[Unique ID]], tblMaster[Unique ID], tblMaster[First Name], ""), "")</f>
        <v xml:space="preserve">Xabiel </v>
      </c>
      <c r="C75" t="str">
        <f>IFERROR(_xlfn.XLOOKUP(tblLog[[#This Row],[Unique ID]], tblMaster[Unique ID], tblMaster[Last Name], ""), "")</f>
        <v xml:space="preserve">Cortes </v>
      </c>
      <c r="D75" t="str">
        <f>IFERROR(_xlfn.XLOOKUP(tblLog[[#This Row],[Unique ID]], tblMaster[Unique ID], tblMaster[Email_Clean], ""), "")</f>
        <v>xcortesjj@gmail.com</v>
      </c>
      <c r="E75" t="str">
        <f>IFERROR(_xlfn.XLOOKUP(tblLog[[#This Row],[Unique ID]], tblMaster[Unique ID], tblMaster[Phone], ""), "")</f>
        <v>508-410-1711</v>
      </c>
      <c r="F75" t="str">
        <f>IFERROR(_xlfn.XLOOKUP(tblLog[[#This Row],[Unique ID]], tblMaster[Unique ID], tblMaster[Recruiter], ""), "")</f>
        <v xml:space="preserve">Enrique Ortiz </v>
      </c>
      <c r="G75" t="str">
        <f>IFERROR(_xlfn.XLOOKUP(tblLog[[#This Row],[Unique ID]], tblMaster[Unique ID], tblMaster[Recruitment Cycle], ""), "")</f>
        <v xml:space="preserve">Re-Engagment </v>
      </c>
      <c r="H75" t="s">
        <v>7455</v>
      </c>
      <c r="I75" t="s">
        <v>7434</v>
      </c>
      <c r="J75" s="3">
        <v>1</v>
      </c>
      <c r="K75" t="s">
        <v>7595</v>
      </c>
      <c r="L75" s="2">
        <v>46058</v>
      </c>
      <c r="M75" t="s">
        <v>7485</v>
      </c>
      <c r="O75" t="s">
        <v>7596</v>
      </c>
      <c r="P75">
        <f ca="1">IF(tblLog[[#This Row],[Log Date]]="","",TODAY()-tblLog[[#This Row],[Log Date]])</f>
        <v>21</v>
      </c>
      <c r="Q75" t="str">
        <f>IF(tblLog[[#This Row],[Log Date]]="","",IF(TRIM(tblLog[[#This Row],[Cycle Stage]])="Asked to be removed from database","NO","YES"))</f>
        <v>YES</v>
      </c>
      <c r="R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6" spans="1:18" ht="15" customHeight="1">
      <c r="A76" t="s">
        <v>7597</v>
      </c>
      <c r="B76" t="str">
        <f>IFERROR(_xlfn.XLOOKUP(tblLog[[#This Row],[Unique ID]], tblMaster[Unique ID], tblMaster[First Name], ""), "")</f>
        <v>Regina</v>
      </c>
      <c r="C76" t="str">
        <f>IFERROR(_xlfn.XLOOKUP(tblLog[[#This Row],[Unique ID]], tblMaster[Unique ID], tblMaster[Last Name], ""), "")</f>
        <v xml:space="preserve">Pomaa </v>
      </c>
      <c r="D76" t="str">
        <f>IFERROR(_xlfn.XLOOKUP(tblLog[[#This Row],[Unique ID]], tblMaster[Unique ID], tblMaster[Email_Clean], ""), "")</f>
        <v>rpomaa398@gmail.com</v>
      </c>
      <c r="E76" t="str">
        <f>IFERROR(_xlfn.XLOOKUP(tblLog[[#This Row],[Unique ID]], tblMaster[Unique ID], tblMaster[Phone], ""), "")</f>
        <v xml:space="preserve">(774) 293-3385 </v>
      </c>
      <c r="F76" t="str">
        <f>IFERROR(_xlfn.XLOOKUP(tblLog[[#This Row],[Unique ID]], tblMaster[Unique ID], tblMaster[Recruiter], ""), "")</f>
        <v xml:space="preserve">Enrique Ortiz </v>
      </c>
      <c r="G76" t="str">
        <f>IFERROR(_xlfn.XLOOKUP(tblLog[[#This Row],[Unique ID]], tblMaster[Unique ID], tblMaster[Recruitment Cycle], ""), "")</f>
        <v xml:space="preserve">Re-Engagment </v>
      </c>
      <c r="H76" t="s">
        <v>7455</v>
      </c>
      <c r="I76" t="s">
        <v>7434</v>
      </c>
      <c r="J76" s="3">
        <v>1</v>
      </c>
      <c r="K76" t="s">
        <v>7595</v>
      </c>
      <c r="L76" s="2">
        <v>46058</v>
      </c>
      <c r="M76" t="s">
        <v>7598</v>
      </c>
      <c r="O76" t="s">
        <v>7599</v>
      </c>
      <c r="P76">
        <f ca="1">IF(tblLog[[#This Row],[Log Date]]="","",TODAY()-tblLog[[#This Row],[Log Date]])</f>
        <v>21</v>
      </c>
      <c r="Q76" t="str">
        <f>IF(tblLog[[#This Row],[Log Date]]="","",IF(TRIM(tblLog[[#This Row],[Cycle Stage]])="Asked to be removed from database","NO","YES"))</f>
        <v>YES</v>
      </c>
      <c r="R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7" spans="1:18" ht="15" customHeight="1">
      <c r="A77" t="s">
        <v>7600</v>
      </c>
      <c r="B77" t="str">
        <f>IFERROR(_xlfn.XLOOKUP(tblLog[[#This Row],[Unique ID]], tblMaster[Unique ID], tblMaster[First Name], ""), "")</f>
        <v xml:space="preserve">David </v>
      </c>
      <c r="C77" t="str">
        <f>IFERROR(_xlfn.XLOOKUP(tblLog[[#This Row],[Unique ID]], tblMaster[Unique ID], tblMaster[Last Name], ""), "")</f>
        <v xml:space="preserve"> Lacreta</v>
      </c>
      <c r="D77" t="str">
        <f>IFERROR(_xlfn.XLOOKUP(tblLog[[#This Row],[Unique ID]], tblMaster[Unique ID], tblMaster[Email_Clean], ""), "")</f>
        <v>davidlacreta@gmail.com</v>
      </c>
      <c r="E77" t="str">
        <f>IFERROR(_xlfn.XLOOKUP(tblLog[[#This Row],[Unique ID]], tblMaster[Unique ID], tblMaster[Phone], ""), "")</f>
        <v>508-665-8772</v>
      </c>
      <c r="F77" t="str">
        <f>IFERROR(_xlfn.XLOOKUP(tblLog[[#This Row],[Unique ID]], tblMaster[Unique ID], tblMaster[Recruiter], ""), "")</f>
        <v>Zenon Moses</v>
      </c>
      <c r="G77" t="str">
        <f>IFERROR(_xlfn.XLOOKUP(tblLog[[#This Row],[Unique ID]], tblMaster[Unique ID], tblMaster[Recruitment Cycle], ""), "")</f>
        <v xml:space="preserve">New Submission/ Lead </v>
      </c>
      <c r="H77" t="s">
        <v>7439</v>
      </c>
      <c r="I77" t="s">
        <v>7494</v>
      </c>
      <c r="J77" s="3">
        <v>1</v>
      </c>
      <c r="K77" t="s">
        <v>7440</v>
      </c>
      <c r="L77" s="2">
        <v>46058</v>
      </c>
      <c r="M77" t="s">
        <v>7445</v>
      </c>
      <c r="N77" t="s">
        <v>7487</v>
      </c>
      <c r="O77" t="s">
        <v>7601</v>
      </c>
      <c r="P77">
        <f ca="1">IF(tblLog[[#This Row],[Log Date]]="","",TODAY()-tblLog[[#This Row],[Log Date]])</f>
        <v>21</v>
      </c>
      <c r="Q77" t="str">
        <f>IF(tblLog[[#This Row],[Log Date]]="","",IF(TRIM(tblLog[[#This Row],[Cycle Stage]])="Asked to be removed from database","NO","YES"))</f>
        <v>YES</v>
      </c>
      <c r="R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8" spans="1:18" ht="15" customHeight="1">
      <c r="A78" t="s">
        <v>7602</v>
      </c>
      <c r="B78" t="str">
        <f>IFERROR(_xlfn.XLOOKUP(tblLog[[#This Row],[Unique ID]], tblMaster[Unique ID], tblMaster[First Name], ""), "")</f>
        <v xml:space="preserve">Brandon </v>
      </c>
      <c r="C78" t="str">
        <f>IFERROR(_xlfn.XLOOKUP(tblLog[[#This Row],[Unique ID]], tblMaster[Unique ID], tblMaster[Last Name], ""), "")</f>
        <v>Carreiro</v>
      </c>
      <c r="D78" t="str">
        <f>IFERROR(_xlfn.XLOOKUP(tblLog[[#This Row],[Unique ID]], tblMaster[Unique ID], tblMaster[Email_Clean], ""), "")</f>
        <v>bcarreiro5825@gmail.com</v>
      </c>
      <c r="E78" t="str">
        <f>IFERROR(_xlfn.XLOOKUP(tblLog[[#This Row],[Unique ID]], tblMaster[Unique ID], tblMaster[Phone], ""), "")</f>
        <v>508 262 2946</v>
      </c>
      <c r="F78" t="str">
        <f>IFERROR(_xlfn.XLOOKUP(tblLog[[#This Row],[Unique ID]], tblMaster[Unique ID], tblMaster[Recruiter], ""), "")</f>
        <v xml:space="preserve">Austin Campos </v>
      </c>
      <c r="G78" t="str">
        <f>IFERROR(_xlfn.XLOOKUP(tblLog[[#This Row],[Unique ID]], tblMaster[Unique ID], tblMaster[Recruitment Cycle], ""), "")</f>
        <v xml:space="preserve">Re-Engagment </v>
      </c>
      <c r="H78" t="s">
        <v>7455</v>
      </c>
      <c r="I78" t="s">
        <v>7530</v>
      </c>
      <c r="J78" s="3">
        <v>2</v>
      </c>
      <c r="K78" t="s">
        <v>7435</v>
      </c>
      <c r="L78" s="2">
        <v>46058</v>
      </c>
      <c r="M78" t="s">
        <v>7452</v>
      </c>
      <c r="N78" t="s">
        <v>7487</v>
      </c>
      <c r="O78" t="s">
        <v>7603</v>
      </c>
      <c r="P78">
        <f ca="1">IF(tblLog[[#This Row],[Log Date]]="","",TODAY()-tblLog[[#This Row],[Log Date]])</f>
        <v>21</v>
      </c>
      <c r="Q78" t="str">
        <f>IF(tblLog[[#This Row],[Log Date]]="","",IF(TRIM(tblLog[[#This Row],[Cycle Stage]])="Asked to be removed from database","NO","YES"))</f>
        <v>YES</v>
      </c>
      <c r="R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79" spans="1:18" ht="15" customHeight="1">
      <c r="A79" t="s">
        <v>7604</v>
      </c>
      <c r="B79" t="str">
        <f>IFERROR(_xlfn.XLOOKUP(tblLog[[#This Row],[Unique ID]], tblMaster[Unique ID], tblMaster[First Name], ""), "")</f>
        <v>Charles</v>
      </c>
      <c r="C79" t="str">
        <f>IFERROR(_xlfn.XLOOKUP(tblLog[[#This Row],[Unique ID]], tblMaster[Unique ID], tblMaster[Last Name], ""), "")</f>
        <v xml:space="preserve"> Adjei </v>
      </c>
      <c r="D79" t="str">
        <f>IFERROR(_xlfn.XLOOKUP(tblLog[[#This Row],[Unique ID]], tblMaster[Unique ID], tblMaster[Email_Clean], ""), "")</f>
        <v>akwasiadjeigh@gmail.com</v>
      </c>
      <c r="E79" t="str">
        <f>IFERROR(_xlfn.XLOOKUP(tblLog[[#This Row],[Unique ID]], tblMaster[Unique ID], tblMaster[Phone], ""), "")</f>
        <v xml:space="preserve">(959) 237-3936 </v>
      </c>
      <c r="F79" t="str">
        <f>IFERROR(_xlfn.XLOOKUP(tblLog[[#This Row],[Unique ID]], tblMaster[Unique ID], tblMaster[Recruiter], ""), "")</f>
        <v xml:space="preserve">Jevon Brown Simpson </v>
      </c>
      <c r="G79" t="str">
        <f>IFERROR(_xlfn.XLOOKUP(tblLog[[#This Row],[Unique ID]], tblMaster[Unique ID], tblMaster[Recruitment Cycle], ""), "")</f>
        <v xml:space="preserve">New Submission/ Lead </v>
      </c>
      <c r="H79" t="s">
        <v>7496</v>
      </c>
      <c r="I79" t="s">
        <v>4</v>
      </c>
      <c r="J79" s="3">
        <v>5</v>
      </c>
      <c r="K79" t="s">
        <v>7530</v>
      </c>
      <c r="L79" s="2">
        <v>46066</v>
      </c>
      <c r="M79" t="s">
        <v>7452</v>
      </c>
      <c r="N79" t="s">
        <v>7487</v>
      </c>
      <c r="P79">
        <f ca="1">IF(tblLog[[#This Row],[Log Date]]="","",TODAY()-tblLog[[#This Row],[Log Date]])</f>
        <v>13</v>
      </c>
      <c r="Q79" t="str">
        <f>IF(tblLog[[#This Row],[Log Date]]="","",IF(TRIM(tblLog[[#This Row],[Cycle Stage]])="Asked to be removed from database","NO","YES"))</f>
        <v>YES</v>
      </c>
      <c r="R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0" spans="1:18" ht="15" customHeight="1">
      <c r="A80" t="s">
        <v>7605</v>
      </c>
      <c r="B80" t="str">
        <f>IFERROR(_xlfn.XLOOKUP(tblLog[[#This Row],[Unique ID]], tblMaster[Unique ID], tblMaster[First Name], ""), "")</f>
        <v>Alexa</v>
      </c>
      <c r="C80" t="str">
        <f>IFERROR(_xlfn.XLOOKUP(tblLog[[#This Row],[Unique ID]], tblMaster[Unique ID], tblMaster[Last Name], ""), "")</f>
        <v>O'Neill</v>
      </c>
      <c r="D80" t="str">
        <f>IFERROR(_xlfn.XLOOKUP(tblLog[[#This Row],[Unique ID]], tblMaster[Unique ID], tblMaster[Email_Clean], ""), "")</f>
        <v>alexa.oneill92@gmail.com</v>
      </c>
      <c r="E80" t="str">
        <f>IFERROR(_xlfn.XLOOKUP(tblLog[[#This Row],[Unique ID]], tblMaster[Unique ID], tblMaster[Phone], ""), "")</f>
        <v>(978)-496-0771</v>
      </c>
      <c r="F80" t="str">
        <f>IFERROR(_xlfn.XLOOKUP(tblLog[[#This Row],[Unique ID]], tblMaster[Unique ID], tblMaster[Recruiter], ""), "")</f>
        <v>Zenon Moses</v>
      </c>
      <c r="G80" t="str">
        <f>IFERROR(_xlfn.XLOOKUP(tblLog[[#This Row],[Unique ID]], tblMaster[Unique ID], tblMaster[Recruitment Cycle], ""), "")</f>
        <v xml:space="preserve">New Submission/ Lead </v>
      </c>
      <c r="H80" t="s">
        <v>7455</v>
      </c>
      <c r="I80" t="s">
        <v>7494</v>
      </c>
      <c r="J80" s="3">
        <v>3</v>
      </c>
      <c r="K80" t="s">
        <v>7491</v>
      </c>
      <c r="L80" s="2">
        <v>46058</v>
      </c>
      <c r="M80" t="s">
        <v>7508</v>
      </c>
      <c r="N80" t="s">
        <v>7481</v>
      </c>
      <c r="P80">
        <f ca="1">IF(tblLog[[#This Row],[Log Date]]="","",TODAY()-tblLog[[#This Row],[Log Date]])</f>
        <v>21</v>
      </c>
      <c r="Q80" t="str">
        <f>IF(tblLog[[#This Row],[Log Date]]="","",IF(TRIM(tblLog[[#This Row],[Cycle Stage]])="Asked to be removed from database","NO","YES"))</f>
        <v>YES</v>
      </c>
      <c r="R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1" spans="1:18" ht="15" customHeight="1">
      <c r="A81" t="s">
        <v>7606</v>
      </c>
      <c r="B81" t="str">
        <f>IFERROR(_xlfn.XLOOKUP(tblLog[[#This Row],[Unique ID]], tblMaster[Unique ID], tblMaster[First Name], ""), "")</f>
        <v xml:space="preserve">Omar </v>
      </c>
      <c r="C81" t="str">
        <f>IFERROR(_xlfn.XLOOKUP(tblLog[[#This Row],[Unique ID]], tblMaster[Unique ID], tblMaster[Last Name], ""), "")</f>
        <v xml:space="preserve"> Rehman</v>
      </c>
      <c r="D81" t="str">
        <f>IFERROR(_xlfn.XLOOKUP(tblLog[[#This Row],[Unique ID]], tblMaster[Unique ID], tblMaster[Email_Clean], ""), "")</f>
        <v>omar.rehman.usa@gmail.com</v>
      </c>
      <c r="E81" t="str">
        <f>IFERROR(_xlfn.XLOOKUP(tblLog[[#This Row],[Unique ID]], tblMaster[Unique ID], tblMaster[Phone], ""), "")</f>
        <v xml:space="preserve"> 947 201 6829</v>
      </c>
      <c r="F81" t="str">
        <f>IFERROR(_xlfn.XLOOKUP(tblLog[[#This Row],[Unique ID]], tblMaster[Unique ID], tblMaster[Recruiter], ""), "")</f>
        <v xml:space="preserve">Tom Clark </v>
      </c>
      <c r="G81" t="str">
        <f>IFERROR(_xlfn.XLOOKUP(tblLog[[#This Row],[Unique ID]], tblMaster[Unique ID], tblMaster[Recruitment Cycle], ""), "")</f>
        <v xml:space="preserve">New Submission/ Lead </v>
      </c>
      <c r="H81" t="s">
        <v>7455</v>
      </c>
      <c r="I81" t="s">
        <v>7491</v>
      </c>
      <c r="J81" s="3">
        <v>2</v>
      </c>
      <c r="L81" s="2">
        <v>46058</v>
      </c>
      <c r="M81" t="s">
        <v>7452</v>
      </c>
      <c r="N81" t="s">
        <v>7481</v>
      </c>
      <c r="P81">
        <f ca="1">IF(tblLog[[#This Row],[Log Date]]="","",TODAY()-tblLog[[#This Row],[Log Date]])</f>
        <v>21</v>
      </c>
      <c r="Q81" t="str">
        <f>IF(tblLog[[#This Row],[Log Date]]="","",IF(TRIM(tblLog[[#This Row],[Cycle Stage]])="Asked to be removed from database","NO","YES"))</f>
        <v>YES</v>
      </c>
      <c r="R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2" spans="1:18" ht="15" customHeight="1">
      <c r="A82" t="s">
        <v>7607</v>
      </c>
      <c r="B82" t="str">
        <f>IFERROR(_xlfn.XLOOKUP(tblLog[[#This Row],[Unique ID]], tblMaster[Unique ID], tblMaster[First Name], ""), "")</f>
        <v>Malik</v>
      </c>
      <c r="C82" t="str">
        <f>IFERROR(_xlfn.XLOOKUP(tblLog[[#This Row],[Unique ID]], tblMaster[Unique ID], tblMaster[Last Name], ""), "")</f>
        <v>Fofana</v>
      </c>
      <c r="D82" t="str">
        <f>IFERROR(_xlfn.XLOOKUP(tblLog[[#This Row],[Unique ID]], tblMaster[Unique ID], tblMaster[Email_Clean], ""), "")</f>
        <v>fofana.mjl@gmail.com</v>
      </c>
      <c r="E82" t="str">
        <f>IFERROR(_xlfn.XLOOKUP(tblLog[[#This Row],[Unique ID]], tblMaster[Unique ID], tblMaster[Phone], ""), "")</f>
        <v xml:space="preserve">	(617) 981-2481</v>
      </c>
      <c r="F82" t="str">
        <f>IFERROR(_xlfn.XLOOKUP(tblLog[[#This Row],[Unique ID]], tblMaster[Unique ID], tblMaster[Recruiter], ""), "")</f>
        <v xml:space="preserve">Austin Campos </v>
      </c>
      <c r="G82" t="str">
        <f>IFERROR(_xlfn.XLOOKUP(tblLog[[#This Row],[Unique ID]], tblMaster[Unique ID], tblMaster[Recruitment Cycle], ""), "")</f>
        <v xml:space="preserve">New Submission/ Lead </v>
      </c>
      <c r="H82" t="s">
        <v>7455</v>
      </c>
      <c r="I82" t="s">
        <v>7530</v>
      </c>
      <c r="J82" s="3">
        <v>2</v>
      </c>
      <c r="L82" s="2">
        <v>46058</v>
      </c>
      <c r="M82" t="s">
        <v>7452</v>
      </c>
      <c r="N82" t="s">
        <v>7481</v>
      </c>
      <c r="O82" t="s">
        <v>7608</v>
      </c>
      <c r="P82">
        <f ca="1">IF(tblLog[[#This Row],[Log Date]]="","",TODAY()-tblLog[[#This Row],[Log Date]])</f>
        <v>21</v>
      </c>
      <c r="Q82" t="str">
        <f>IF(tblLog[[#This Row],[Log Date]]="","",IF(TRIM(tblLog[[#This Row],[Cycle Stage]])="Asked to be removed from database","NO","YES"))</f>
        <v>YES</v>
      </c>
      <c r="R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3" spans="1:18" ht="15" customHeight="1">
      <c r="A83" t="s">
        <v>7609</v>
      </c>
      <c r="B83" t="str">
        <f>IFERROR(_xlfn.XLOOKUP(tblLog[[#This Row],[Unique ID]], tblMaster[Unique ID], tblMaster[First Name], ""), "")</f>
        <v xml:space="preserve">Cameron </v>
      </c>
      <c r="C83" t="str">
        <f>IFERROR(_xlfn.XLOOKUP(tblLog[[#This Row],[Unique ID]], tblMaster[Unique ID], tblMaster[Last Name], ""), "")</f>
        <v xml:space="preserve"> May </v>
      </c>
      <c r="D83" t="str">
        <f>IFERROR(_xlfn.XLOOKUP(tblLog[[#This Row],[Unique ID]], tblMaster[Unique ID], tblMaster[Email_Clean], ""), "")</f>
        <v>cameronmay141141@gmail.com</v>
      </c>
      <c r="E83" t="str">
        <f>IFERROR(_xlfn.XLOOKUP(tblLog[[#This Row],[Unique ID]], tblMaster[Unique ID], tblMaster[Phone], ""), "")</f>
        <v>845-283-9595</v>
      </c>
      <c r="F83" t="str">
        <f>IFERROR(_xlfn.XLOOKUP(tblLog[[#This Row],[Unique ID]], tblMaster[Unique ID], tblMaster[Recruiter], ""), "")</f>
        <v xml:space="preserve">Enrique Ortiz </v>
      </c>
      <c r="G83" t="str">
        <f>IFERROR(_xlfn.XLOOKUP(tblLog[[#This Row],[Unique ID]], tblMaster[Unique ID], tblMaster[Recruitment Cycle], ""), "")</f>
        <v xml:space="preserve">Re-Engagment </v>
      </c>
      <c r="H83" t="s">
        <v>7455</v>
      </c>
      <c r="I83" t="s">
        <v>4</v>
      </c>
      <c r="J83" s="3">
        <v>2</v>
      </c>
      <c r="K83" t="s">
        <v>7491</v>
      </c>
      <c r="L83" s="2">
        <v>46059</v>
      </c>
      <c r="M83" t="s">
        <v>7485</v>
      </c>
      <c r="N83" t="s">
        <v>7475</v>
      </c>
      <c r="O83" t="s">
        <v>7541</v>
      </c>
      <c r="P83">
        <f ca="1">IF(tblLog[[#This Row],[Log Date]]="","",TODAY()-tblLog[[#This Row],[Log Date]])</f>
        <v>20</v>
      </c>
      <c r="Q83" t="str">
        <f>IF(tblLog[[#This Row],[Log Date]]="","",IF(TRIM(tblLog[[#This Row],[Cycle Stage]])="Asked to be removed from database","NO","YES"))</f>
        <v>YES</v>
      </c>
      <c r="R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4" spans="1:18" ht="15" customHeight="1">
      <c r="A84" t="s">
        <v>7610</v>
      </c>
      <c r="B84" t="str">
        <f>IFERROR(_xlfn.XLOOKUP(tblLog[[#This Row],[Unique ID]], tblMaster[Unique ID], tblMaster[First Name], ""), "")</f>
        <v xml:space="preserve">Treanna </v>
      </c>
      <c r="C84" t="str">
        <f>IFERROR(_xlfn.XLOOKUP(tblLog[[#This Row],[Unique ID]], tblMaster[Unique ID], tblMaster[Last Name], ""), "")</f>
        <v xml:space="preserve">Colbert </v>
      </c>
      <c r="D84" t="str">
        <f>IFERROR(_xlfn.XLOOKUP(tblLog[[#This Row],[Unique ID]], tblMaster[Unique ID], tblMaster[Email_Clean], ""), "")</f>
        <v>treannacolbert2950@gmail.com</v>
      </c>
      <c r="E84" t="str">
        <f>IFERROR(_xlfn.XLOOKUP(tblLog[[#This Row],[Unique ID]], tblMaster[Unique ID], tblMaster[Phone], ""), "")</f>
        <v>(857) 500-1101</v>
      </c>
      <c r="F84" t="str">
        <f>IFERROR(_xlfn.XLOOKUP(tblLog[[#This Row],[Unique ID]], tblMaster[Unique ID], tblMaster[Recruiter], ""), "")</f>
        <v xml:space="preserve">Enrique Ortiz </v>
      </c>
      <c r="G84" t="str">
        <f>IFERROR(_xlfn.XLOOKUP(tblLog[[#This Row],[Unique ID]], tblMaster[Unique ID], tblMaster[Recruitment Cycle], ""), "")</f>
        <v xml:space="preserve">Re-Engagment </v>
      </c>
      <c r="H84" t="s">
        <v>7455</v>
      </c>
      <c r="I84" t="s">
        <v>7434</v>
      </c>
      <c r="J84" s="3">
        <v>2</v>
      </c>
      <c r="K84" t="s">
        <v>7435</v>
      </c>
      <c r="L84" s="2">
        <v>46059</v>
      </c>
      <c r="M84" t="s">
        <v>7452</v>
      </c>
      <c r="N84" t="s">
        <v>7487</v>
      </c>
      <c r="P84">
        <f ca="1">IF(tblLog[[#This Row],[Log Date]]="","",TODAY()-tblLog[[#This Row],[Log Date]])</f>
        <v>20</v>
      </c>
      <c r="Q84" t="str">
        <f>IF(tblLog[[#This Row],[Log Date]]="","",IF(TRIM(tblLog[[#This Row],[Cycle Stage]])="Asked to be removed from database","NO","YES"))</f>
        <v>YES</v>
      </c>
      <c r="R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5" spans="1:18" ht="15" customHeight="1">
      <c r="A85" t="s">
        <v>7611</v>
      </c>
      <c r="B85" t="str">
        <f>IFERROR(_xlfn.XLOOKUP(tblLog[[#This Row],[Unique ID]], tblMaster[Unique ID], tblMaster[First Name], ""), "")</f>
        <v>Skylar</v>
      </c>
      <c r="C85" t="str">
        <f>IFERROR(_xlfn.XLOOKUP(tblLog[[#This Row],[Unique ID]], tblMaster[Unique ID], tblMaster[Last Name], ""), "")</f>
        <v>Mills</v>
      </c>
      <c r="D85" t="str">
        <f>IFERROR(_xlfn.XLOOKUP(tblLog[[#This Row],[Unique ID]], tblMaster[Unique ID], tblMaster[Email_Clean], ""), "")</f>
        <v>skylarmills1013@gmail.com</v>
      </c>
      <c r="E85" t="str">
        <f>IFERROR(_xlfn.XLOOKUP(tblLog[[#This Row],[Unique ID]], tblMaster[Unique ID], tblMaster[Phone], ""), "")</f>
        <v>617-980-4489</v>
      </c>
      <c r="F85" t="str">
        <f>IFERROR(_xlfn.XLOOKUP(tblLog[[#This Row],[Unique ID]], tblMaster[Unique ID], tblMaster[Recruiter], ""), "")</f>
        <v xml:space="preserve">Enrique Ortiz </v>
      </c>
      <c r="G85" t="str">
        <f>IFERROR(_xlfn.XLOOKUP(tblLog[[#This Row],[Unique ID]], tblMaster[Unique ID], tblMaster[Recruitment Cycle], ""), "")</f>
        <v xml:space="preserve">Re-Engagment </v>
      </c>
      <c r="H85" t="s">
        <v>7455</v>
      </c>
      <c r="I85" t="s">
        <v>7434</v>
      </c>
      <c r="J85" s="3">
        <v>1</v>
      </c>
      <c r="K85" t="s">
        <v>7595</v>
      </c>
      <c r="L85" s="2">
        <v>46059</v>
      </c>
      <c r="M85" t="s">
        <v>7612</v>
      </c>
      <c r="O85" t="s">
        <v>7613</v>
      </c>
      <c r="P85">
        <f ca="1">IF(tblLog[[#This Row],[Log Date]]="","",TODAY()-tblLog[[#This Row],[Log Date]])</f>
        <v>20</v>
      </c>
      <c r="Q85" t="str">
        <f>IF(tblLog[[#This Row],[Log Date]]="","",IF(TRIM(tblLog[[#This Row],[Cycle Stage]])="Asked to be removed from database","NO","YES"))</f>
        <v>YES</v>
      </c>
      <c r="R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6" spans="1:18" ht="15" customHeight="1">
      <c r="A86" t="s">
        <v>7614</v>
      </c>
      <c r="B86" t="str">
        <f>IFERROR(_xlfn.XLOOKUP(tblLog[[#This Row],[Unique ID]], tblMaster[Unique ID], tblMaster[First Name], ""), "")</f>
        <v xml:space="preserve">Dayshon </v>
      </c>
      <c r="C86" t="str">
        <f>IFERROR(_xlfn.XLOOKUP(tblLog[[#This Row],[Unique ID]], tblMaster[Unique ID], tblMaster[Last Name], ""), "")</f>
        <v xml:space="preserve"> Anderson</v>
      </c>
      <c r="D86" t="str">
        <f>IFERROR(_xlfn.XLOOKUP(tblLog[[#This Row],[Unique ID]], tblMaster[Unique ID], tblMaster[Email_Clean], ""), "")</f>
        <v>dayshon211@gmail.com</v>
      </c>
      <c r="E86" t="str">
        <f>IFERROR(_xlfn.XLOOKUP(tblLog[[#This Row],[Unique ID]], tblMaster[Unique ID], tblMaster[Phone], ""), "")</f>
        <v>781 913 3841</v>
      </c>
      <c r="F86" t="str">
        <f>IFERROR(_xlfn.XLOOKUP(tblLog[[#This Row],[Unique ID]], tblMaster[Unique ID], tblMaster[Recruiter], ""), "")</f>
        <v xml:space="preserve">Enrique Ortiz </v>
      </c>
      <c r="G86" t="str">
        <f>IFERROR(_xlfn.XLOOKUP(tblLog[[#This Row],[Unique ID]], tblMaster[Unique ID], tblMaster[Recruitment Cycle], ""), "")</f>
        <v xml:space="preserve">Re-Engagment </v>
      </c>
      <c r="H86" t="s">
        <v>7455</v>
      </c>
      <c r="I86" t="s">
        <v>7434</v>
      </c>
      <c r="J86" s="3">
        <v>1</v>
      </c>
      <c r="K86" t="s">
        <v>7472</v>
      </c>
      <c r="L86" s="2">
        <v>46059</v>
      </c>
      <c r="M86" t="s">
        <v>7615</v>
      </c>
      <c r="O86" t="s">
        <v>7616</v>
      </c>
      <c r="P86">
        <f ca="1">IF(tblLog[[#This Row],[Log Date]]="","",TODAY()-tblLog[[#This Row],[Log Date]])</f>
        <v>20</v>
      </c>
      <c r="Q86" t="str">
        <f>IF(tblLog[[#This Row],[Log Date]]="","",IF(TRIM(tblLog[[#This Row],[Cycle Stage]])="Asked to be removed from database","NO","YES"))</f>
        <v>YES</v>
      </c>
      <c r="R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7" spans="1:18" ht="15" customHeight="1">
      <c r="A87" t="s">
        <v>7617</v>
      </c>
      <c r="B87" t="str">
        <f>IFERROR(_xlfn.XLOOKUP(tblLog[[#This Row],[Unique ID]], tblMaster[Unique ID], tblMaster[First Name], ""), "")</f>
        <v xml:space="preserve">Sandra </v>
      </c>
      <c r="C87" t="str">
        <f>IFERROR(_xlfn.XLOOKUP(tblLog[[#This Row],[Unique ID]], tblMaster[Unique ID], tblMaster[Last Name], ""), "")</f>
        <v xml:space="preserve"> Souto </v>
      </c>
      <c r="D87" t="str">
        <f>IFERROR(_xlfn.XLOOKUP(tblLog[[#This Row],[Unique ID]], tblMaster[Unique ID], tblMaster[Email_Clean], ""), "")</f>
        <v>soutosandra2@gmail.com</v>
      </c>
      <c r="E87" t="str">
        <f>IFERROR(_xlfn.XLOOKUP(tblLog[[#This Row],[Unique ID]], tblMaster[Unique ID], tblMaster[Phone], ""), "")</f>
        <v xml:space="preserve">781 603 6235 </v>
      </c>
      <c r="F87" t="str">
        <f>IFERROR(_xlfn.XLOOKUP(tblLog[[#This Row],[Unique ID]], tblMaster[Unique ID], tblMaster[Recruiter], ""), "")</f>
        <v xml:space="preserve">Enrique Ortiz </v>
      </c>
      <c r="G87" t="str">
        <f>IFERROR(_xlfn.XLOOKUP(tblLog[[#This Row],[Unique ID]], tblMaster[Unique ID], tblMaster[Recruitment Cycle], ""), "")</f>
        <v xml:space="preserve">Re-Engagment </v>
      </c>
      <c r="H87" t="s">
        <v>7455</v>
      </c>
      <c r="I87" t="s">
        <v>7434</v>
      </c>
      <c r="J87" s="3">
        <v>2</v>
      </c>
      <c r="K87" t="s">
        <v>7491</v>
      </c>
      <c r="L87" s="2">
        <v>46059</v>
      </c>
      <c r="M87" t="s">
        <v>7452</v>
      </c>
      <c r="N87" t="s">
        <v>7475</v>
      </c>
      <c r="P87">
        <f ca="1">IF(tblLog[[#This Row],[Log Date]]="","",TODAY()-tblLog[[#This Row],[Log Date]])</f>
        <v>20</v>
      </c>
      <c r="Q87" t="str">
        <f>IF(tblLog[[#This Row],[Log Date]]="","",IF(TRIM(tblLog[[#This Row],[Cycle Stage]])="Asked to be removed from database","NO","YES"))</f>
        <v>YES</v>
      </c>
      <c r="R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8" spans="1:18" ht="15" customHeight="1">
      <c r="A88" t="s">
        <v>7618</v>
      </c>
      <c r="B88" t="str">
        <f>IFERROR(_xlfn.XLOOKUP(tblLog[[#This Row],[Unique ID]], tblMaster[Unique ID], tblMaster[First Name], ""), "")</f>
        <v xml:space="preserve">Cheahan </v>
      </c>
      <c r="C88" t="str">
        <f>IFERROR(_xlfn.XLOOKUP(tblLog[[#This Row],[Unique ID]], tblMaster[Unique ID], tblMaster[Last Name], ""), "")</f>
        <v xml:space="preserve">Carrington </v>
      </c>
      <c r="D88" t="str">
        <f>IFERROR(_xlfn.XLOOKUP(tblLog[[#This Row],[Unique ID]], tblMaster[Unique ID], tblMaster[Email_Clean], ""), "")</f>
        <v>cheahangc@gmail.com</v>
      </c>
      <c r="E88" t="str">
        <f>IFERROR(_xlfn.XLOOKUP(tblLog[[#This Row],[Unique ID]], tblMaster[Unique ID], tblMaster[Phone], ""), "")</f>
        <v xml:space="preserve">857 205 8363 </v>
      </c>
      <c r="F88" t="str">
        <f>IFERROR(_xlfn.XLOOKUP(tblLog[[#This Row],[Unique ID]], tblMaster[Unique ID], tblMaster[Recruiter], ""), "")</f>
        <v xml:space="preserve">Enrique Ortiz </v>
      </c>
      <c r="G88" t="str">
        <f>IFERROR(_xlfn.XLOOKUP(tblLog[[#This Row],[Unique ID]], tblMaster[Unique ID], tblMaster[Recruitment Cycle], ""), "")</f>
        <v xml:space="preserve">Re-Engagment </v>
      </c>
      <c r="H88" t="s">
        <v>7455</v>
      </c>
      <c r="I88" t="s">
        <v>7434</v>
      </c>
      <c r="J88" s="3">
        <v>2</v>
      </c>
      <c r="K88" t="s">
        <v>7435</v>
      </c>
      <c r="L88" s="2">
        <v>46059</v>
      </c>
      <c r="M88" t="s">
        <v>7452</v>
      </c>
      <c r="N88" t="s">
        <v>7475</v>
      </c>
      <c r="P88">
        <f ca="1">IF(tblLog[[#This Row],[Log Date]]="","",TODAY()-tblLog[[#This Row],[Log Date]])</f>
        <v>20</v>
      </c>
      <c r="Q88" t="str">
        <f>IF(tblLog[[#This Row],[Log Date]]="","",IF(TRIM(tblLog[[#This Row],[Cycle Stage]])="Asked to be removed from database","NO","YES"))</f>
        <v>YES</v>
      </c>
      <c r="R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89" spans="1:18" ht="15" customHeight="1">
      <c r="A89" t="s">
        <v>7619</v>
      </c>
      <c r="B89" t="str">
        <f>IFERROR(_xlfn.XLOOKUP(tblLog[[#This Row],[Unique ID]], tblMaster[Unique ID], tblMaster[First Name], ""), "")</f>
        <v xml:space="preserve">Jeffrey </v>
      </c>
      <c r="C89" t="str">
        <f>IFERROR(_xlfn.XLOOKUP(tblLog[[#This Row],[Unique ID]], tblMaster[Unique ID], tblMaster[Last Name], ""), "")</f>
        <v xml:space="preserve">Seidi </v>
      </c>
      <c r="D89" t="str">
        <f>IFERROR(_xlfn.XLOOKUP(tblLog[[#This Row],[Unique ID]], tblMaster[Unique ID], tblMaster[Email_Clean], ""), "")</f>
        <v>jeffreytroh@yahoo.com</v>
      </c>
      <c r="E89" t="str">
        <f>IFERROR(_xlfn.XLOOKUP(tblLog[[#This Row],[Unique ID]], tblMaster[Unique ID], tblMaster[Phone], ""), "")</f>
        <v xml:space="preserve">(401) 288-8760 </v>
      </c>
      <c r="F89" t="str">
        <f>IFERROR(_xlfn.XLOOKUP(tblLog[[#This Row],[Unique ID]], tblMaster[Unique ID], tblMaster[Recruiter], ""), "")</f>
        <v xml:space="preserve">Enrique Ortiz </v>
      </c>
      <c r="G89" t="str">
        <f>IFERROR(_xlfn.XLOOKUP(tblLog[[#This Row],[Unique ID]], tblMaster[Unique ID], tblMaster[Recruitment Cycle], ""), "")</f>
        <v xml:space="preserve">Re-Engagment </v>
      </c>
      <c r="H89" t="s">
        <v>7455</v>
      </c>
      <c r="I89" t="s">
        <v>4</v>
      </c>
      <c r="J89" s="3">
        <v>1</v>
      </c>
      <c r="K89" t="s">
        <v>7491</v>
      </c>
      <c r="L89" s="2">
        <v>46059</v>
      </c>
      <c r="N89" t="s">
        <v>7475</v>
      </c>
      <c r="O89" t="s">
        <v>7554</v>
      </c>
      <c r="P89">
        <f ca="1">IF(tblLog[[#This Row],[Log Date]]="","",TODAY()-tblLog[[#This Row],[Log Date]])</f>
        <v>20</v>
      </c>
      <c r="Q89" t="str">
        <f>IF(tblLog[[#This Row],[Log Date]]="","",IF(TRIM(tblLog[[#This Row],[Cycle Stage]])="Asked to be removed from database","NO","YES"))</f>
        <v>YES</v>
      </c>
      <c r="R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0" spans="1:18" ht="15" customHeight="1">
      <c r="A90" t="s">
        <v>7620</v>
      </c>
      <c r="B90" t="str">
        <f>IFERROR(_xlfn.XLOOKUP(tblLog[[#This Row],[Unique ID]], tblMaster[Unique ID], tblMaster[First Name], ""), "")</f>
        <v xml:space="preserve">Stella </v>
      </c>
      <c r="C90" t="str">
        <f>IFERROR(_xlfn.XLOOKUP(tblLog[[#This Row],[Unique ID]], tblMaster[Unique ID], tblMaster[Last Name], ""), "")</f>
        <v xml:space="preserve"> DiFronzo </v>
      </c>
      <c r="D90" t="str">
        <f>IFERROR(_xlfn.XLOOKUP(tblLog[[#This Row],[Unique ID]], tblMaster[Unique ID], tblMaster[Email_Clean], ""), "")</f>
        <v>sdifronzo31@gmail.com</v>
      </c>
      <c r="E90" s="36" t="str">
        <f>IFERROR(_xlfn.XLOOKUP(tblLog[[#This Row],[Unique ID]], tblMaster[Unique ID], tblMaster[Phone], ""), "")</f>
        <v xml:space="preserve">(617) 999-4381 </v>
      </c>
      <c r="F90" t="str">
        <f>IFERROR(_xlfn.XLOOKUP(tblLog[[#This Row],[Unique ID]], tblMaster[Unique ID], tblMaster[Recruiter], ""), "")</f>
        <v xml:space="preserve">Christopher Servello </v>
      </c>
      <c r="G90" t="str">
        <f>IFERROR(_xlfn.XLOOKUP(tblLog[[#This Row],[Unique ID]], tblMaster[Unique ID], tblMaster[Recruitment Cycle], ""), "")</f>
        <v xml:space="preserve">New Submission/ Lead </v>
      </c>
      <c r="H90" t="s">
        <v>7455</v>
      </c>
      <c r="I90" t="s">
        <v>7434</v>
      </c>
      <c r="J90" s="3">
        <v>2</v>
      </c>
      <c r="K90" t="s">
        <v>7435</v>
      </c>
      <c r="L90" s="2">
        <v>46059</v>
      </c>
      <c r="M90" t="s">
        <v>7452</v>
      </c>
      <c r="N90" t="s">
        <v>7497</v>
      </c>
      <c r="O90" t="s">
        <v>7621</v>
      </c>
      <c r="P90">
        <f ca="1">IF(tblLog[[#This Row],[Log Date]]="","",TODAY()-tblLog[[#This Row],[Log Date]])</f>
        <v>20</v>
      </c>
      <c r="Q90" t="str">
        <f>IF(tblLog[[#This Row],[Log Date]]="","",IF(TRIM(tblLog[[#This Row],[Cycle Stage]])="Asked to be removed from database","NO","YES"))</f>
        <v>YES</v>
      </c>
      <c r="R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1" spans="1:18" ht="15" customHeight="1">
      <c r="A91" t="s">
        <v>7622</v>
      </c>
      <c r="B91" t="str">
        <f>IFERROR(_xlfn.XLOOKUP(tblLog[[#This Row],[Unique ID]], tblMaster[Unique ID], tblMaster[First Name], ""), "")</f>
        <v xml:space="preserve">Caitlyn </v>
      </c>
      <c r="C91" t="str">
        <f>IFERROR(_xlfn.XLOOKUP(tblLog[[#This Row],[Unique ID]], tblMaster[Unique ID], tblMaster[Last Name], ""), "")</f>
        <v xml:space="preserve">Donovan </v>
      </c>
      <c r="D91" t="str">
        <f>IFERROR(_xlfn.XLOOKUP(tblLog[[#This Row],[Unique ID]], tblMaster[Unique ID], tblMaster[Email_Clean], ""), "")</f>
        <v>centeredbodycare@gmail.com</v>
      </c>
      <c r="E91" s="36">
        <f>IFERROR(_xlfn.XLOOKUP(tblLog[[#This Row],[Unique ID]], tblMaster[Unique ID], tblMaster[Phone], ""), "")</f>
        <v>0</v>
      </c>
      <c r="F91" t="str">
        <f>IFERROR(_xlfn.XLOOKUP(tblLog[[#This Row],[Unique ID]], tblMaster[Unique ID], tblMaster[Recruiter], ""), "")</f>
        <v xml:space="preserve">Christopher Servello </v>
      </c>
      <c r="G91" t="str">
        <f>IFERROR(_xlfn.XLOOKUP(tblLog[[#This Row],[Unique ID]], tblMaster[Unique ID], tblMaster[Recruitment Cycle], ""), "")</f>
        <v xml:space="preserve">New Submission/ Lead </v>
      </c>
      <c r="H91" t="s">
        <v>7496</v>
      </c>
      <c r="I91" t="s">
        <v>4</v>
      </c>
      <c r="J91" s="3">
        <v>1</v>
      </c>
      <c r="L91" s="2">
        <v>46059</v>
      </c>
      <c r="M91" t="s">
        <v>7452</v>
      </c>
      <c r="N91" t="s">
        <v>7497</v>
      </c>
      <c r="P91">
        <f ca="1">IF(tblLog[[#This Row],[Log Date]]="","",TODAY()-tblLog[[#This Row],[Log Date]])</f>
        <v>20</v>
      </c>
      <c r="Q91" t="str">
        <f>IF(tblLog[[#This Row],[Log Date]]="","",IF(TRIM(tblLog[[#This Row],[Cycle Stage]])="Asked to be removed from database","NO","YES"))</f>
        <v>YES</v>
      </c>
      <c r="R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2" spans="1:18" ht="15" customHeight="1">
      <c r="A92" t="s">
        <v>7623</v>
      </c>
      <c r="B92" t="str">
        <f>IFERROR(_xlfn.XLOOKUP(tblLog[[#This Row],[Unique ID]], tblMaster[Unique ID], tblMaster[First Name], ""), "")</f>
        <v>Aaron</v>
      </c>
      <c r="C92" t="str">
        <f>IFERROR(_xlfn.XLOOKUP(tblLog[[#This Row],[Unique ID]], tblMaster[Unique ID], tblMaster[Last Name], ""), "")</f>
        <v xml:space="preserve">Rubino-McGhee </v>
      </c>
      <c r="D92" t="str">
        <f>IFERROR(_xlfn.XLOOKUP(tblLog[[#This Row],[Unique ID]], tblMaster[Unique ID], tblMaster[Email_Clean], ""), "")</f>
        <v>arubinomcghee@gmail.com</v>
      </c>
      <c r="E92" t="str">
        <f>IFERROR(_xlfn.XLOOKUP(tblLog[[#This Row],[Unique ID]], tblMaster[Unique ID], tblMaster[Phone], ""), "")</f>
        <v xml:space="preserve">508 837 4037 </v>
      </c>
      <c r="F92" t="str">
        <f>IFERROR(_xlfn.XLOOKUP(tblLog[[#This Row],[Unique ID]], tblMaster[Unique ID], tblMaster[Recruiter], ""), "")</f>
        <v xml:space="preserve">Enrique Ortiz </v>
      </c>
      <c r="G92" t="str">
        <f>IFERROR(_xlfn.XLOOKUP(tblLog[[#This Row],[Unique ID]], tblMaster[Unique ID], tblMaster[Recruitment Cycle], ""), "")</f>
        <v xml:space="preserve">Re-Engagment </v>
      </c>
      <c r="H92" t="s">
        <v>7455</v>
      </c>
      <c r="I92" t="s">
        <v>7434</v>
      </c>
      <c r="J92" s="3">
        <v>3</v>
      </c>
      <c r="K92" t="s">
        <v>7491</v>
      </c>
      <c r="L92" s="2">
        <v>46059</v>
      </c>
      <c r="N92" t="s">
        <v>7475</v>
      </c>
      <c r="P92">
        <f ca="1">IF(tblLog[[#This Row],[Log Date]]="","",TODAY()-tblLog[[#This Row],[Log Date]])</f>
        <v>20</v>
      </c>
      <c r="Q92" t="str">
        <f>IF(tblLog[[#This Row],[Log Date]]="","",IF(TRIM(tblLog[[#This Row],[Cycle Stage]])="Asked to be removed from database","NO","YES"))</f>
        <v>YES</v>
      </c>
      <c r="R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3" spans="1:18" ht="15" customHeight="1">
      <c r="A93" t="s">
        <v>7624</v>
      </c>
      <c r="B93" t="str">
        <f>IFERROR(_xlfn.XLOOKUP(tblLog[[#This Row],[Unique ID]], tblMaster[Unique ID], tblMaster[First Name], ""), "")</f>
        <v xml:space="preserve">Michael </v>
      </c>
      <c r="C93" t="str">
        <f>IFERROR(_xlfn.XLOOKUP(tblLog[[#This Row],[Unique ID]], tblMaster[Unique ID], tblMaster[Last Name], ""), "")</f>
        <v xml:space="preserve"> Cordero </v>
      </c>
      <c r="D93" t="str">
        <f>IFERROR(_xlfn.XLOOKUP(tblLog[[#This Row],[Unique ID]], tblMaster[Unique ID], tblMaster[Email_Clean], ""), "")</f>
        <v>413bikelife.rico@gmail.com</v>
      </c>
      <c r="E93" s="36" t="str">
        <f>IFERROR(_xlfn.XLOOKUP(tblLog[[#This Row],[Unique ID]], tblMaster[Unique ID], tblMaster[Phone], ""), "")</f>
        <v xml:space="preserve">(413) 250-6986 </v>
      </c>
      <c r="F93" t="str">
        <f>IFERROR(_xlfn.XLOOKUP(tblLog[[#This Row],[Unique ID]], tblMaster[Unique ID], tblMaster[Recruiter], ""), "")</f>
        <v xml:space="preserve">Christopher Servello </v>
      </c>
      <c r="G93" t="str">
        <f>IFERROR(_xlfn.XLOOKUP(tblLog[[#This Row],[Unique ID]], tblMaster[Unique ID], tblMaster[Recruitment Cycle], ""), "")</f>
        <v xml:space="preserve">New Submission/ Lead </v>
      </c>
      <c r="H93" t="s">
        <v>7455</v>
      </c>
      <c r="I93" t="s">
        <v>7530</v>
      </c>
      <c r="J93" s="3">
        <v>2</v>
      </c>
      <c r="K93" t="s">
        <v>7435</v>
      </c>
      <c r="L93" s="2">
        <v>46059</v>
      </c>
      <c r="M93" t="s">
        <v>7452</v>
      </c>
      <c r="N93" t="s">
        <v>7497</v>
      </c>
      <c r="O93" t="s">
        <v>7625</v>
      </c>
      <c r="P93">
        <f ca="1">IF(tblLog[[#This Row],[Log Date]]="","",TODAY()-tblLog[[#This Row],[Log Date]])</f>
        <v>20</v>
      </c>
      <c r="Q93" t="str">
        <f>IF(tblLog[[#This Row],[Log Date]]="","",IF(TRIM(tblLog[[#This Row],[Cycle Stage]])="Asked to be removed from database","NO","YES"))</f>
        <v>YES</v>
      </c>
      <c r="R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4" spans="1:18" ht="15" customHeight="1">
      <c r="A94" t="s">
        <v>7626</v>
      </c>
      <c r="B94" t="str">
        <f>IFERROR(_xlfn.XLOOKUP(tblLog[[#This Row],[Unique ID]], tblMaster[Unique ID], tblMaster[First Name], ""), "")</f>
        <v xml:space="preserve">Iris </v>
      </c>
      <c r="C94" t="str">
        <f>IFERROR(_xlfn.XLOOKUP(tblLog[[#This Row],[Unique ID]], tblMaster[Unique ID], tblMaster[Last Name], ""), "")</f>
        <v xml:space="preserve"> Cruz-Villodas </v>
      </c>
      <c r="D94" t="str">
        <f>IFERROR(_xlfn.XLOOKUP(tblLog[[#This Row],[Unique ID]], tblMaster[Unique ID], tblMaster[Email_Clean], ""), "")</f>
        <v>villodas92@gmail.com</v>
      </c>
      <c r="E94" s="36" t="str">
        <f>IFERROR(_xlfn.XLOOKUP(tblLog[[#This Row],[Unique ID]], tblMaster[Unique ID], tblMaster[Phone], ""), "")</f>
        <v xml:space="preserve">(413) 949-5404 </v>
      </c>
      <c r="F94" t="str">
        <f>IFERROR(_xlfn.XLOOKUP(tblLog[[#This Row],[Unique ID]], tblMaster[Unique ID], tblMaster[Recruiter], ""), "")</f>
        <v xml:space="preserve">Christopher Servello </v>
      </c>
      <c r="G94" t="str">
        <f>IFERROR(_xlfn.XLOOKUP(tblLog[[#This Row],[Unique ID]], tblMaster[Unique ID], tblMaster[Recruitment Cycle], ""), "")</f>
        <v xml:space="preserve">New Submission/ Lead </v>
      </c>
      <c r="H94" t="s">
        <v>7455</v>
      </c>
      <c r="I94" t="s">
        <v>7494</v>
      </c>
      <c r="J94" s="3">
        <v>2</v>
      </c>
      <c r="K94" t="s">
        <v>7491</v>
      </c>
      <c r="L94" s="2">
        <v>46059</v>
      </c>
      <c r="M94" t="s">
        <v>7452</v>
      </c>
      <c r="N94" t="s">
        <v>7497</v>
      </c>
      <c r="O94" t="s">
        <v>7627</v>
      </c>
      <c r="P94">
        <f ca="1">IF(tblLog[[#This Row],[Log Date]]="","",TODAY()-tblLog[[#This Row],[Log Date]])</f>
        <v>20</v>
      </c>
      <c r="Q94" t="str">
        <f>IF(tblLog[[#This Row],[Log Date]]="","",IF(TRIM(tblLog[[#This Row],[Cycle Stage]])="Asked to be removed from database","NO","YES"))</f>
        <v>YES</v>
      </c>
      <c r="R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5" spans="1:18" ht="15" customHeight="1">
      <c r="A95" t="s">
        <v>7628</v>
      </c>
      <c r="B95" t="str">
        <f>IFERROR(_xlfn.XLOOKUP(tblLog[[#This Row],[Unique ID]], tblMaster[Unique ID], tblMaster[First Name], ""), "")</f>
        <v xml:space="preserve">Eddy </v>
      </c>
      <c r="C95" t="str">
        <f>IFERROR(_xlfn.XLOOKUP(tblLog[[#This Row],[Unique ID]], tblMaster[Unique ID], tblMaster[Last Name], ""), "")</f>
        <v>Garraud</v>
      </c>
      <c r="D95" t="str">
        <f>IFERROR(_xlfn.XLOOKUP(tblLog[[#This Row],[Unique ID]], tblMaster[Unique ID], tblMaster[Email_Clean], ""), "")</f>
        <v>edygarraud15@aol.com</v>
      </c>
      <c r="E95" s="36" t="str">
        <f>IFERROR(_xlfn.XLOOKUP(tblLog[[#This Row],[Unique ID]], tblMaster[Unique ID], tblMaster[Phone], ""), "")</f>
        <v>347-987-8962</v>
      </c>
      <c r="F95" t="str">
        <f>IFERROR(_xlfn.XLOOKUP(tblLog[[#This Row],[Unique ID]], tblMaster[Unique ID], tblMaster[Recruiter], ""), "")</f>
        <v xml:space="preserve">Christopher Servello </v>
      </c>
      <c r="G95" t="str">
        <f>IFERROR(_xlfn.XLOOKUP(tblLog[[#This Row],[Unique ID]], tblMaster[Unique ID], tblMaster[Recruitment Cycle], ""), "")</f>
        <v xml:space="preserve">New Submission/ Lead </v>
      </c>
      <c r="H95" t="s">
        <v>7455</v>
      </c>
      <c r="I95" t="s">
        <v>7434</v>
      </c>
      <c r="J95" s="3">
        <v>2</v>
      </c>
      <c r="K95" t="s">
        <v>7491</v>
      </c>
      <c r="L95" s="2">
        <v>46059</v>
      </c>
      <c r="M95" t="s">
        <v>7452</v>
      </c>
      <c r="N95" t="s">
        <v>7497</v>
      </c>
      <c r="O95" t="s">
        <v>7573</v>
      </c>
      <c r="P95">
        <f ca="1">IF(tblLog[[#This Row],[Log Date]]="","",TODAY()-tblLog[[#This Row],[Log Date]])</f>
        <v>20</v>
      </c>
      <c r="Q95" t="str">
        <f>IF(tblLog[[#This Row],[Log Date]]="","",IF(TRIM(tblLog[[#This Row],[Cycle Stage]])="Asked to be removed from database","NO","YES"))</f>
        <v>YES</v>
      </c>
      <c r="R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6" spans="1:18" ht="15" customHeight="1">
      <c r="A96" t="s">
        <v>7629</v>
      </c>
      <c r="B96" t="str">
        <f>IFERROR(_xlfn.XLOOKUP(tblLog[[#This Row],[Unique ID]], tblMaster[Unique ID], tblMaster[First Name], ""), "")</f>
        <v xml:space="preserve">Bawi  </v>
      </c>
      <c r="C96" t="str">
        <f>IFERROR(_xlfn.XLOOKUP(tblLog[[#This Row],[Unique ID]], tblMaster[Unique ID], tblMaster[Last Name], ""), "")</f>
        <v xml:space="preserve">Thang </v>
      </c>
      <c r="D96" t="str">
        <f>IFERROR(_xlfn.XLOOKUP(tblLog[[#This Row],[Unique ID]], tblMaster[Unique ID], tblMaster[Email_Clean], ""), "")</f>
        <v>itsbawithang@yahoo.com</v>
      </c>
      <c r="E96" s="36" t="str">
        <f>IFERROR(_xlfn.XLOOKUP(tblLog[[#This Row],[Unique ID]], tblMaster[Unique ID], tblMaster[Phone], ""), "")</f>
        <v xml:space="preserve">(774) 219-6945 </v>
      </c>
      <c r="F96" t="str">
        <f>IFERROR(_xlfn.XLOOKUP(tblLog[[#This Row],[Unique ID]], tblMaster[Unique ID], tblMaster[Recruiter], ""), "")</f>
        <v xml:space="preserve">Christopher Servello </v>
      </c>
      <c r="G96" t="str">
        <f>IFERROR(_xlfn.XLOOKUP(tblLog[[#This Row],[Unique ID]], tblMaster[Unique ID], tblMaster[Recruitment Cycle], ""), "")</f>
        <v xml:space="preserve">New Submission/ Lead </v>
      </c>
      <c r="H96" t="s">
        <v>7455</v>
      </c>
      <c r="I96" t="s">
        <v>7569</v>
      </c>
      <c r="J96" s="3">
        <v>2</v>
      </c>
      <c r="K96" t="s">
        <v>7491</v>
      </c>
      <c r="L96" s="2">
        <v>46059</v>
      </c>
      <c r="M96" t="s">
        <v>7452</v>
      </c>
      <c r="N96" t="s">
        <v>7497</v>
      </c>
      <c r="O96" t="s">
        <v>7573</v>
      </c>
      <c r="P96">
        <f ca="1">IF(tblLog[[#This Row],[Log Date]]="","",TODAY()-tblLog[[#This Row],[Log Date]])</f>
        <v>20</v>
      </c>
      <c r="Q96" t="str">
        <f>IF(tblLog[[#This Row],[Log Date]]="","",IF(TRIM(tblLog[[#This Row],[Cycle Stage]])="Asked to be removed from database","NO","YES"))</f>
        <v>YES</v>
      </c>
      <c r="R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7" spans="1:18" ht="15" customHeight="1">
      <c r="A97" t="s">
        <v>7630</v>
      </c>
      <c r="B97" t="str">
        <f>IFERROR(_xlfn.XLOOKUP(tblLog[[#This Row],[Unique ID]], tblMaster[Unique ID], tblMaster[First Name], ""), "")</f>
        <v xml:space="preserve">Jodeci </v>
      </c>
      <c r="C97" t="str">
        <f>IFERROR(_xlfn.XLOOKUP(tblLog[[#This Row],[Unique ID]], tblMaster[Unique ID], tblMaster[Last Name], ""), "")</f>
        <v xml:space="preserve">Garcia </v>
      </c>
      <c r="D97" t="str">
        <f>IFERROR(_xlfn.XLOOKUP(tblLog[[#This Row],[Unique ID]], tblMaster[Unique ID], tblMaster[Email_Clean], ""), "")</f>
        <v>jayfgarcia94@gmail.com</v>
      </c>
      <c r="E97" s="36" t="str">
        <f>IFERROR(_xlfn.XLOOKUP(tblLog[[#This Row],[Unique ID]], tblMaster[Unique ID], tblMaster[Phone], ""), "")</f>
        <v>(401) 470-5434</v>
      </c>
      <c r="F97" t="str">
        <f>IFERROR(_xlfn.XLOOKUP(tblLog[[#This Row],[Unique ID]], tblMaster[Unique ID], tblMaster[Recruiter], ""), "")</f>
        <v xml:space="preserve">Christopher Servello </v>
      </c>
      <c r="G97" t="str">
        <f>IFERROR(_xlfn.XLOOKUP(tblLog[[#This Row],[Unique ID]], tblMaster[Unique ID], tblMaster[Recruitment Cycle], ""), "")</f>
        <v xml:space="preserve">New Submission/ Lead </v>
      </c>
      <c r="H97" t="s">
        <v>7455</v>
      </c>
      <c r="I97" t="s">
        <v>7569</v>
      </c>
      <c r="J97" s="3">
        <v>2</v>
      </c>
      <c r="K97" t="s">
        <v>7491</v>
      </c>
      <c r="L97" s="2">
        <v>46059</v>
      </c>
      <c r="M97" t="s">
        <v>7452</v>
      </c>
      <c r="N97" t="s">
        <v>7497</v>
      </c>
      <c r="O97" t="s">
        <v>7573</v>
      </c>
      <c r="P97">
        <f ca="1">IF(tblLog[[#This Row],[Log Date]]="","",TODAY()-tblLog[[#This Row],[Log Date]])</f>
        <v>20</v>
      </c>
      <c r="Q97" t="str">
        <f>IF(tblLog[[#This Row],[Log Date]]="","",IF(TRIM(tblLog[[#This Row],[Cycle Stage]])="Asked to be removed from database","NO","YES"))</f>
        <v>YES</v>
      </c>
      <c r="R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8" spans="1:18" ht="15" customHeight="1">
      <c r="A98" t="s">
        <v>7631</v>
      </c>
      <c r="B98" t="str">
        <f>IFERROR(_xlfn.XLOOKUP(tblLog[[#This Row],[Unique ID]], tblMaster[Unique ID], tblMaster[First Name], ""), "")</f>
        <v xml:space="preserve">Gerard </v>
      </c>
      <c r="C98" t="str">
        <f>IFERROR(_xlfn.XLOOKUP(tblLog[[#This Row],[Unique ID]], tblMaster[Unique ID], tblMaster[Last Name], ""), "")</f>
        <v xml:space="preserve">Nken </v>
      </c>
      <c r="D98" t="str">
        <f>IFERROR(_xlfn.XLOOKUP(tblLog[[#This Row],[Unique ID]], tblMaster[Unique ID], tblMaster[Email_Clean], ""), "")</f>
        <v>nkemgerard@gmail.com</v>
      </c>
      <c r="E98" s="36" t="str">
        <f>IFERROR(_xlfn.XLOOKUP(tblLog[[#This Row],[Unique ID]], tblMaster[Unique ID], tblMaster[Phone], ""), "")</f>
        <v>781 309 2116</v>
      </c>
      <c r="F98" t="str">
        <f>IFERROR(_xlfn.XLOOKUP(tblLog[[#This Row],[Unique ID]], tblMaster[Unique ID], tblMaster[Recruiter], ""), "")</f>
        <v xml:space="preserve">Christopher Servello </v>
      </c>
      <c r="G98" t="str">
        <f>IFERROR(_xlfn.XLOOKUP(tblLog[[#This Row],[Unique ID]], tblMaster[Unique ID], tblMaster[Recruitment Cycle], ""), "")</f>
        <v xml:space="preserve">New Submission/ Lead </v>
      </c>
      <c r="H98" t="s">
        <v>7455</v>
      </c>
      <c r="I98" t="s">
        <v>7530</v>
      </c>
      <c r="J98" s="3">
        <v>2</v>
      </c>
      <c r="K98" t="s">
        <v>7435</v>
      </c>
      <c r="L98" s="2">
        <v>46059</v>
      </c>
      <c r="M98" t="s">
        <v>7452</v>
      </c>
      <c r="N98" t="s">
        <v>7497</v>
      </c>
      <c r="O98" t="s">
        <v>7632</v>
      </c>
      <c r="P98">
        <f ca="1">IF(tblLog[[#This Row],[Log Date]]="","",TODAY()-tblLog[[#This Row],[Log Date]])</f>
        <v>20</v>
      </c>
      <c r="Q98" t="str">
        <f>IF(tblLog[[#This Row],[Log Date]]="","",IF(TRIM(tblLog[[#This Row],[Cycle Stage]])="Asked to be removed from database","NO","YES"))</f>
        <v>YES</v>
      </c>
      <c r="R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99" spans="1:18" ht="15" customHeight="1">
      <c r="A99" t="s">
        <v>7633</v>
      </c>
      <c r="B99" t="str">
        <f>IFERROR(_xlfn.XLOOKUP(tblLog[[#This Row],[Unique ID]], tblMaster[Unique ID], tblMaster[First Name], ""), "")</f>
        <v xml:space="preserve">BRANDON </v>
      </c>
      <c r="C99" t="str">
        <f>IFERROR(_xlfn.XLOOKUP(tblLog[[#This Row],[Unique ID]], tblMaster[Unique ID], tblMaster[Last Name], ""), "")</f>
        <v xml:space="preserve"> WOLF</v>
      </c>
      <c r="D99" t="str">
        <f>IFERROR(_xlfn.XLOOKUP(tblLog[[#This Row],[Unique ID]], tblMaster[Unique ID], tblMaster[Email_Clean], ""), "")</f>
        <v>brandonwolf590@gmail.com</v>
      </c>
      <c r="E99" s="36" t="str">
        <f>IFERROR(_xlfn.XLOOKUP(tblLog[[#This Row],[Unique ID]], tblMaster[Unique ID], tblMaster[Phone], ""), "")</f>
        <v>612-430-5047</v>
      </c>
      <c r="F99" t="str">
        <f>IFERROR(_xlfn.XLOOKUP(tblLog[[#This Row],[Unique ID]], tblMaster[Unique ID], tblMaster[Recruiter], ""), "")</f>
        <v xml:space="preserve">Christopher Servello </v>
      </c>
      <c r="G99" t="str">
        <f>IFERROR(_xlfn.XLOOKUP(tblLog[[#This Row],[Unique ID]], tblMaster[Unique ID], tblMaster[Recruitment Cycle], ""), "")</f>
        <v xml:space="preserve">New Submission/ Lead </v>
      </c>
      <c r="H99" t="s">
        <v>7455</v>
      </c>
      <c r="I99" t="s">
        <v>7434</v>
      </c>
      <c r="J99" s="3">
        <v>2</v>
      </c>
      <c r="K99" t="s">
        <v>7491</v>
      </c>
      <c r="L99" s="2">
        <v>46059</v>
      </c>
      <c r="M99" t="s">
        <v>7452</v>
      </c>
      <c r="N99" t="s">
        <v>7497</v>
      </c>
      <c r="O99" t="s">
        <v>7573</v>
      </c>
      <c r="P99">
        <f ca="1">IF(tblLog[[#This Row],[Log Date]]="","",TODAY()-tblLog[[#This Row],[Log Date]])</f>
        <v>20</v>
      </c>
      <c r="Q99" t="str">
        <f>IF(tblLog[[#This Row],[Log Date]]="","",IF(TRIM(tblLog[[#This Row],[Cycle Stage]])="Asked to be removed from database","NO","YES"))</f>
        <v>YES</v>
      </c>
      <c r="R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0" spans="1:18" ht="15" customHeight="1">
      <c r="A100" t="s">
        <v>7634</v>
      </c>
      <c r="B100" t="str">
        <f>IFERROR(_xlfn.XLOOKUP(tblLog[[#This Row],[Unique ID]], tblMaster[Unique ID], tblMaster[First Name], ""), "")</f>
        <v xml:space="preserve">Morgan </v>
      </c>
      <c r="C100" t="str">
        <f>IFERROR(_xlfn.XLOOKUP(tblLog[[#This Row],[Unique ID]], tblMaster[Unique ID], tblMaster[Last Name], ""), "")</f>
        <v xml:space="preserve">Anders </v>
      </c>
      <c r="D100" t="str">
        <f>IFERROR(_xlfn.XLOOKUP(tblLog[[#This Row],[Unique ID]], tblMaster[Unique ID], tblMaster[Email_Clean], ""), "")</f>
        <v>metavinylmorgan@gmail.com</v>
      </c>
      <c r="E100" s="36" t="str">
        <f>IFERROR(_xlfn.XLOOKUP(tblLog[[#This Row],[Unique ID]], tblMaster[Unique ID], tblMaster[Phone], ""), "")</f>
        <v xml:space="preserve">(508) 292-6815 </v>
      </c>
      <c r="F100" t="str">
        <f>IFERROR(_xlfn.XLOOKUP(tblLog[[#This Row],[Unique ID]], tblMaster[Unique ID], tblMaster[Recruiter], ""), "")</f>
        <v xml:space="preserve">Christopher Servello </v>
      </c>
      <c r="G100" t="str">
        <f>IFERROR(_xlfn.XLOOKUP(tblLog[[#This Row],[Unique ID]], tblMaster[Unique ID], tblMaster[Recruitment Cycle], ""), "")</f>
        <v xml:space="preserve">New Submission/ Lead </v>
      </c>
      <c r="H100" t="s">
        <v>7455</v>
      </c>
      <c r="I100" t="s">
        <v>7494</v>
      </c>
      <c r="J100" s="3">
        <v>2</v>
      </c>
      <c r="K100" t="s">
        <v>7491</v>
      </c>
      <c r="L100" s="2">
        <v>46059</v>
      </c>
      <c r="M100" t="s">
        <v>7452</v>
      </c>
      <c r="N100" t="s">
        <v>7497</v>
      </c>
      <c r="O100" t="s">
        <v>7627</v>
      </c>
      <c r="P100">
        <f ca="1">IF(tblLog[[#This Row],[Log Date]]="","",TODAY()-tblLog[[#This Row],[Log Date]])</f>
        <v>20</v>
      </c>
      <c r="Q100" t="str">
        <f>IF(tblLog[[#This Row],[Log Date]]="","",IF(TRIM(tblLog[[#This Row],[Cycle Stage]])="Asked to be removed from database","NO","YES"))</f>
        <v>YES</v>
      </c>
      <c r="R1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1" spans="1:18" ht="15" customHeight="1">
      <c r="A101" t="s">
        <v>7635</v>
      </c>
      <c r="B101" t="str">
        <f>IFERROR(_xlfn.XLOOKUP(tblLog[[#This Row],[Unique ID]], tblMaster[Unique ID], tblMaster[First Name], ""), "")</f>
        <v>Bryan</v>
      </c>
      <c r="C101" t="str">
        <f>IFERROR(_xlfn.XLOOKUP(tblLog[[#This Row],[Unique ID]], tblMaster[Unique ID], tblMaster[Last Name], ""), "")</f>
        <v xml:space="preserve"> Holguin </v>
      </c>
      <c r="D101" t="str">
        <f>IFERROR(_xlfn.XLOOKUP(tblLog[[#This Row],[Unique ID]], tblMaster[Unique ID], tblMaster[Email_Clean], ""), "")</f>
        <v>bryan.holguin246@gmail.com</v>
      </c>
      <c r="E101" s="36" t="str">
        <f>IFERROR(_xlfn.XLOOKUP(tblLog[[#This Row],[Unique ID]], tblMaster[Unique ID], tblMaster[Phone], ""), "")</f>
        <v>617 712 8075</v>
      </c>
      <c r="F101" t="str">
        <f>IFERROR(_xlfn.XLOOKUP(tblLog[[#This Row],[Unique ID]], tblMaster[Unique ID], tblMaster[Recruiter], ""), "")</f>
        <v xml:space="preserve">Christopher Servello </v>
      </c>
      <c r="G101" t="str">
        <f>IFERROR(_xlfn.XLOOKUP(tblLog[[#This Row],[Unique ID]], tblMaster[Unique ID], tblMaster[Recruitment Cycle], ""), "")</f>
        <v xml:space="preserve">New Submission/ Lead </v>
      </c>
      <c r="H101" t="s">
        <v>7455</v>
      </c>
      <c r="I101" t="s">
        <v>7494</v>
      </c>
      <c r="J101" s="3">
        <v>2</v>
      </c>
      <c r="K101" t="s">
        <v>7491</v>
      </c>
      <c r="L101" s="2">
        <v>46059</v>
      </c>
      <c r="M101" t="s">
        <v>7452</v>
      </c>
      <c r="N101" t="s">
        <v>7497</v>
      </c>
      <c r="O101" t="s">
        <v>7627</v>
      </c>
      <c r="P101">
        <f ca="1">IF(tblLog[[#This Row],[Log Date]]="","",TODAY()-tblLog[[#This Row],[Log Date]])</f>
        <v>20</v>
      </c>
      <c r="Q101" t="str">
        <f>IF(tblLog[[#This Row],[Log Date]]="","",IF(TRIM(tblLog[[#This Row],[Cycle Stage]])="Asked to be removed from database","NO","YES"))</f>
        <v>YES</v>
      </c>
      <c r="R1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2" spans="1:18" ht="15" customHeight="1">
      <c r="A102" t="s">
        <v>7636</v>
      </c>
      <c r="B102" t="str">
        <f>IFERROR(_xlfn.XLOOKUP(tblLog[[#This Row],[Unique ID]], tblMaster[Unique ID], tblMaster[First Name], ""), "")</f>
        <v xml:space="preserve">Venante </v>
      </c>
      <c r="C102" t="str">
        <f>IFERROR(_xlfn.XLOOKUP(tblLog[[#This Row],[Unique ID]], tblMaster[Unique ID], tblMaster[Last Name], ""), "")</f>
        <v xml:space="preserve"> Baptiste</v>
      </c>
      <c r="D102" t="str">
        <f>IFERROR(_xlfn.XLOOKUP(tblLog[[#This Row],[Unique ID]], tblMaster[Unique ID], tblMaster[Email_Clean], ""), "")</f>
        <v>venante9@gmail.com</v>
      </c>
      <c r="E102" s="36" t="str">
        <f>IFERROR(_xlfn.XLOOKUP(tblLog[[#This Row],[Unique ID]], tblMaster[Unique ID], tblMaster[Phone], ""), "")</f>
        <v xml:space="preserve">774 707 5086 </v>
      </c>
      <c r="F102" t="str">
        <f>IFERROR(_xlfn.XLOOKUP(tblLog[[#This Row],[Unique ID]], tblMaster[Unique ID], tblMaster[Recruiter], ""), "")</f>
        <v xml:space="preserve">Christopher Servello </v>
      </c>
      <c r="G102" t="str">
        <f>IFERROR(_xlfn.XLOOKUP(tblLog[[#This Row],[Unique ID]], tblMaster[Unique ID], tblMaster[Recruitment Cycle], ""), "")</f>
        <v xml:space="preserve">New Submission/ Lead </v>
      </c>
      <c r="H102" t="s">
        <v>7455</v>
      </c>
      <c r="I102" t="s">
        <v>7434</v>
      </c>
      <c r="J102" s="3">
        <v>2</v>
      </c>
      <c r="K102" t="s">
        <v>7472</v>
      </c>
      <c r="L102" s="2">
        <v>46059</v>
      </c>
      <c r="M102" t="s">
        <v>7436</v>
      </c>
      <c r="N102" t="s">
        <v>7497</v>
      </c>
      <c r="O102" t="s">
        <v>7637</v>
      </c>
      <c r="P102">
        <f ca="1">IF(tblLog[[#This Row],[Log Date]]="","",TODAY()-tblLog[[#This Row],[Log Date]])</f>
        <v>20</v>
      </c>
      <c r="Q102" t="str">
        <f>IF(tblLog[[#This Row],[Log Date]]="","",IF(TRIM(tblLog[[#This Row],[Cycle Stage]])="Asked to be removed from database","NO","YES"))</f>
        <v>YES</v>
      </c>
      <c r="R1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3" spans="1:18" ht="15" customHeight="1">
      <c r="A103" t="s">
        <v>7638</v>
      </c>
      <c r="B103" t="str">
        <f>IFERROR(_xlfn.XLOOKUP(tblLog[[#This Row],[Unique ID]], tblMaster[Unique ID], tblMaster[First Name], ""), "")</f>
        <v xml:space="preserve">Parris </v>
      </c>
      <c r="C103" t="str">
        <f>IFERROR(_xlfn.XLOOKUP(tblLog[[#This Row],[Unique ID]], tblMaster[Unique ID], tblMaster[Last Name], ""), "")</f>
        <v xml:space="preserve">Heath </v>
      </c>
      <c r="D103" t="str">
        <f>IFERROR(_xlfn.XLOOKUP(tblLog[[#This Row],[Unique ID]], tblMaster[Unique ID], tblMaster[Email_Clean], ""), "")</f>
        <v>parrisheath123@gmail.com</v>
      </c>
      <c r="E103" s="36" t="str">
        <f>IFERROR(_xlfn.XLOOKUP(tblLog[[#This Row],[Unique ID]], tblMaster[Unique ID], tblMaster[Phone], ""), "")</f>
        <v xml:space="preserve">(845) 598-3264 </v>
      </c>
      <c r="F103" t="str">
        <f>IFERROR(_xlfn.XLOOKUP(tblLog[[#This Row],[Unique ID]], tblMaster[Unique ID], tblMaster[Recruiter], ""), "")</f>
        <v xml:space="preserve">Christopher Servello </v>
      </c>
      <c r="G103" t="str">
        <f>IFERROR(_xlfn.XLOOKUP(tblLog[[#This Row],[Unique ID]], tblMaster[Unique ID], tblMaster[Recruitment Cycle], ""), "")</f>
        <v xml:space="preserve">New Submission/ Lead </v>
      </c>
      <c r="H103" t="s">
        <v>7455</v>
      </c>
      <c r="I103" t="s">
        <v>7569</v>
      </c>
      <c r="J103" s="3">
        <v>2</v>
      </c>
      <c r="K103" t="s">
        <v>7491</v>
      </c>
      <c r="L103" s="2">
        <v>46059</v>
      </c>
      <c r="M103" t="s">
        <v>7452</v>
      </c>
      <c r="N103" t="s">
        <v>7497</v>
      </c>
      <c r="O103" t="s">
        <v>7573</v>
      </c>
      <c r="P103">
        <f ca="1">IF(tblLog[[#This Row],[Log Date]]="","",TODAY()-tblLog[[#This Row],[Log Date]])</f>
        <v>20</v>
      </c>
      <c r="Q103" t="str">
        <f>IF(tblLog[[#This Row],[Log Date]]="","",IF(TRIM(tblLog[[#This Row],[Cycle Stage]])="Asked to be removed from database","NO","YES"))</f>
        <v>YES</v>
      </c>
      <c r="R1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4" spans="1:18" ht="15" customHeight="1">
      <c r="A104" t="s">
        <v>7639</v>
      </c>
      <c r="B104" t="str">
        <f>IFERROR(_xlfn.XLOOKUP(tblLog[[#This Row],[Unique ID]], tblMaster[Unique ID], tblMaster[First Name], ""), "")</f>
        <v xml:space="preserve">Noslen </v>
      </c>
      <c r="C104" t="str">
        <f>IFERROR(_xlfn.XLOOKUP(tblLog[[#This Row],[Unique ID]], tblMaster[Unique ID], tblMaster[Last Name], ""), "")</f>
        <v xml:space="preserve"> Medeiros </v>
      </c>
      <c r="D104" t="str">
        <f>IFERROR(_xlfn.XLOOKUP(tblLog[[#This Row],[Unique ID]], tblMaster[Unique ID], tblMaster[Email_Clean], ""), "")</f>
        <v>noslenpainting@gmail.com</v>
      </c>
      <c r="E104" s="36" t="str">
        <f>IFERROR(_xlfn.XLOOKUP(tblLog[[#This Row],[Unique ID]], tblMaster[Unique ID], tblMaster[Phone], ""), "")</f>
        <v xml:space="preserve">774) 225-5171 </v>
      </c>
      <c r="F104" t="str">
        <f>IFERROR(_xlfn.XLOOKUP(tblLog[[#This Row],[Unique ID]], tblMaster[Unique ID], tblMaster[Recruiter], ""), "")</f>
        <v xml:space="preserve">Christopher Servello </v>
      </c>
      <c r="G104" t="str">
        <f>IFERROR(_xlfn.XLOOKUP(tblLog[[#This Row],[Unique ID]], tblMaster[Unique ID], tblMaster[Recruitment Cycle], ""), "")</f>
        <v xml:space="preserve">New Submission/ Lead </v>
      </c>
      <c r="H104" t="s">
        <v>7455</v>
      </c>
      <c r="I104" t="s">
        <v>7494</v>
      </c>
      <c r="J104" s="3">
        <v>2</v>
      </c>
      <c r="K104" t="s">
        <v>7491</v>
      </c>
      <c r="L104" s="2">
        <v>46059</v>
      </c>
      <c r="M104" t="s">
        <v>7452</v>
      </c>
      <c r="N104" t="s">
        <v>7497</v>
      </c>
      <c r="O104" t="s">
        <v>7627</v>
      </c>
      <c r="P104">
        <f ca="1">IF(tblLog[[#This Row],[Log Date]]="","",TODAY()-tblLog[[#This Row],[Log Date]])</f>
        <v>20</v>
      </c>
      <c r="Q104" t="str">
        <f>IF(tblLog[[#This Row],[Log Date]]="","",IF(TRIM(tblLog[[#This Row],[Cycle Stage]])="Asked to be removed from database","NO","YES"))</f>
        <v>YES</v>
      </c>
      <c r="R1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5" spans="1:18" ht="15" customHeight="1">
      <c r="A105" t="s">
        <v>7640</v>
      </c>
      <c r="B105" t="str">
        <f>IFERROR(_xlfn.XLOOKUP(tblLog[[#This Row],[Unique ID]], tblMaster[Unique ID], tblMaster[First Name], ""), "")</f>
        <v xml:space="preserve">Alex </v>
      </c>
      <c r="C105" t="str">
        <f>IFERROR(_xlfn.XLOOKUP(tblLog[[#This Row],[Unique ID]], tblMaster[Unique ID], tblMaster[Last Name], ""), "")</f>
        <v xml:space="preserve">Cantin </v>
      </c>
      <c r="D105" t="str">
        <f>IFERROR(_xlfn.XLOOKUP(tblLog[[#This Row],[Unique ID]], tblMaster[Unique ID], tblMaster[Email_Clean], ""), "")</f>
        <v>alextincan36@gmail.com</v>
      </c>
      <c r="E105" s="36" t="str">
        <f>IFERROR(_xlfn.XLOOKUP(tblLog[[#This Row],[Unique ID]], tblMaster[Unique ID], tblMaster[Phone], ""), "")</f>
        <v>978-407-1632</v>
      </c>
      <c r="F105" t="str">
        <f>IFERROR(_xlfn.XLOOKUP(tblLog[[#This Row],[Unique ID]], tblMaster[Unique ID], tblMaster[Recruiter], ""), "")</f>
        <v xml:space="preserve">Christopher Servello </v>
      </c>
      <c r="G105" t="str">
        <f>IFERROR(_xlfn.XLOOKUP(tblLog[[#This Row],[Unique ID]], tblMaster[Unique ID], tblMaster[Recruitment Cycle], ""), "")</f>
        <v xml:space="preserve">New Submission/ Lead </v>
      </c>
      <c r="H105" t="s">
        <v>7455</v>
      </c>
      <c r="I105" t="s">
        <v>7434</v>
      </c>
      <c r="J105" s="3">
        <v>2</v>
      </c>
      <c r="K105" t="s">
        <v>7472</v>
      </c>
      <c r="L105" s="2">
        <v>46059</v>
      </c>
      <c r="M105" t="s">
        <v>7615</v>
      </c>
      <c r="N105" t="s">
        <v>7517</v>
      </c>
      <c r="O105" t="s">
        <v>7641</v>
      </c>
      <c r="P105">
        <f ca="1">IF(tblLog[[#This Row],[Log Date]]="","",TODAY()-tblLog[[#This Row],[Log Date]])</f>
        <v>20</v>
      </c>
      <c r="Q105" t="str">
        <f>IF(tblLog[[#This Row],[Log Date]]="","",IF(TRIM(tblLog[[#This Row],[Cycle Stage]])="Asked to be removed from database","NO","YES"))</f>
        <v>YES</v>
      </c>
      <c r="R1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6" spans="1:18" ht="15" customHeight="1">
      <c r="A106" t="s">
        <v>7642</v>
      </c>
      <c r="B106" t="str">
        <f>IFERROR(_xlfn.XLOOKUP(tblLog[[#This Row],[Unique ID]], tblMaster[Unique ID], tblMaster[First Name], ""), "")</f>
        <v xml:space="preserve">Marino </v>
      </c>
      <c r="C106" t="str">
        <f>IFERROR(_xlfn.XLOOKUP(tblLog[[#This Row],[Unique ID]], tblMaster[Unique ID], tblMaster[Last Name], ""), "")</f>
        <v xml:space="preserve">Alejandro Velasquez </v>
      </c>
      <c r="D106" t="str">
        <f>IFERROR(_xlfn.XLOOKUP(tblLog[[#This Row],[Unique ID]], tblMaster[Unique ID], tblMaster[Email_Clean], ""), "")</f>
        <v>marinovelasquez87@gmail.com</v>
      </c>
      <c r="E106" t="str">
        <f>IFERROR(_xlfn.XLOOKUP(tblLog[[#This Row],[Unique ID]], tblMaster[Unique ID], tblMaster[Phone], ""), "")</f>
        <v xml:space="preserve">781) 521-9719 </v>
      </c>
      <c r="F106" t="str">
        <f>IFERROR(_xlfn.XLOOKUP(tblLog[[#This Row],[Unique ID]], tblMaster[Unique ID], tblMaster[Recruiter], ""), "")</f>
        <v xml:space="preserve">Enrique Ortiz </v>
      </c>
      <c r="G106" t="str">
        <f>IFERROR(_xlfn.XLOOKUP(tblLog[[#This Row],[Unique ID]], tblMaster[Unique ID], tblMaster[Recruitment Cycle], ""), "")</f>
        <v xml:space="preserve">New Submission/ Lead </v>
      </c>
      <c r="H106" t="s">
        <v>7455</v>
      </c>
      <c r="I106" t="s">
        <v>7434</v>
      </c>
      <c r="J106" s="3">
        <v>3</v>
      </c>
      <c r="K106" t="s">
        <v>7491</v>
      </c>
      <c r="L106" s="2">
        <v>46059</v>
      </c>
      <c r="M106" t="s">
        <v>7452</v>
      </c>
      <c r="N106" t="s">
        <v>7475</v>
      </c>
      <c r="P106">
        <f ca="1">IF(tblLog[[#This Row],[Log Date]]="","",TODAY()-tblLog[[#This Row],[Log Date]])</f>
        <v>20</v>
      </c>
      <c r="Q106" t="str">
        <f>IF(tblLog[[#This Row],[Log Date]]="","",IF(TRIM(tblLog[[#This Row],[Cycle Stage]])="Asked to be removed from database","NO","YES"))</f>
        <v>YES</v>
      </c>
      <c r="R1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7" spans="1:18" ht="15" customHeight="1">
      <c r="A107" t="s">
        <v>7643</v>
      </c>
      <c r="B107" t="str">
        <f>IFERROR(_xlfn.XLOOKUP(tblLog[[#This Row],[Unique ID]], tblMaster[Unique ID], tblMaster[First Name], ""), "")</f>
        <v xml:space="preserve">Bencheley </v>
      </c>
      <c r="C107" t="str">
        <f>IFERROR(_xlfn.XLOOKUP(tblLog[[#This Row],[Unique ID]], tblMaster[Unique ID], tblMaster[Last Name], ""), "")</f>
        <v>Auguste</v>
      </c>
      <c r="D107" t="str">
        <f>IFERROR(_xlfn.XLOOKUP(tblLog[[#This Row],[Unique ID]], tblMaster[Unique ID], tblMaster[Email_Clean], ""), "")</f>
        <v>bencheleyauguste32@gmail.com</v>
      </c>
      <c r="E107" t="str">
        <f>IFERROR(_xlfn.XLOOKUP(tblLog[[#This Row],[Unique ID]], tblMaster[Unique ID], tblMaster[Phone], ""), "")</f>
        <v xml:space="preserve">321 732 0485  </v>
      </c>
      <c r="F107" t="str">
        <f>IFERROR(_xlfn.XLOOKUP(tblLog[[#This Row],[Unique ID]], tblMaster[Unique ID], tblMaster[Recruiter], ""), "")</f>
        <v xml:space="preserve">Enrique Ortiz </v>
      </c>
      <c r="G107" t="str">
        <f>IFERROR(_xlfn.XLOOKUP(tblLog[[#This Row],[Unique ID]], tblMaster[Unique ID], tblMaster[Recruitment Cycle], ""), "")</f>
        <v xml:space="preserve">New Submission/ Lead </v>
      </c>
      <c r="H107" t="s">
        <v>7455</v>
      </c>
      <c r="I107" t="s">
        <v>4</v>
      </c>
      <c r="J107" s="3">
        <v>1</v>
      </c>
      <c r="K107" t="s">
        <v>7491</v>
      </c>
      <c r="L107" s="2">
        <v>46059</v>
      </c>
      <c r="M107" t="s">
        <v>7452</v>
      </c>
      <c r="N107" t="s">
        <v>7475</v>
      </c>
      <c r="P107">
        <f ca="1">IF(tblLog[[#This Row],[Log Date]]="","",TODAY()-tblLog[[#This Row],[Log Date]])</f>
        <v>20</v>
      </c>
      <c r="Q107" t="str">
        <f>IF(tblLog[[#This Row],[Log Date]]="","",IF(TRIM(tblLog[[#This Row],[Cycle Stage]])="Asked to be removed from database","NO","YES"))</f>
        <v>YES</v>
      </c>
      <c r="R1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8" spans="1:18" ht="15" customHeight="1">
      <c r="A108" t="s">
        <v>7644</v>
      </c>
      <c r="B108" t="str">
        <f>IFERROR(_xlfn.XLOOKUP(tblLog[[#This Row],[Unique ID]], tblMaster[Unique ID], tblMaster[First Name], ""), "")</f>
        <v xml:space="preserve">Neila </v>
      </c>
      <c r="C108" t="str">
        <f>IFERROR(_xlfn.XLOOKUP(tblLog[[#This Row],[Unique ID]], tblMaster[Unique ID], tblMaster[Last Name], ""), "")</f>
        <v xml:space="preserve"> Foster </v>
      </c>
      <c r="D108" t="str">
        <f>IFERROR(_xlfn.XLOOKUP(tblLog[[#This Row],[Unique ID]], tblMaster[Unique ID], tblMaster[Email_Clean], ""), "")</f>
        <v>fosterneila37@gmail.com</v>
      </c>
      <c r="E108" t="str">
        <f>IFERROR(_xlfn.XLOOKUP(tblLog[[#This Row],[Unique ID]], tblMaster[Unique ID], tblMaster[Phone], ""), "")</f>
        <v xml:space="preserve">(857) 251-0266 </v>
      </c>
      <c r="F108" t="str">
        <f>IFERROR(_xlfn.XLOOKUP(tblLog[[#This Row],[Unique ID]], tblMaster[Unique ID], tblMaster[Recruiter], ""), "")</f>
        <v xml:space="preserve">Enrique Ortiz </v>
      </c>
      <c r="G108" t="str">
        <f>IFERROR(_xlfn.XLOOKUP(tblLog[[#This Row],[Unique ID]], tblMaster[Unique ID], tblMaster[Recruitment Cycle], ""), "")</f>
        <v xml:space="preserve">New Submission/ Lead </v>
      </c>
      <c r="H108" t="s">
        <v>7455</v>
      </c>
      <c r="I108" t="s">
        <v>7434</v>
      </c>
      <c r="J108" s="3">
        <v>1</v>
      </c>
      <c r="K108" t="s">
        <v>7472</v>
      </c>
      <c r="L108" s="2">
        <v>46059</v>
      </c>
      <c r="M108" t="s">
        <v>7615</v>
      </c>
      <c r="O108" t="s">
        <v>7645</v>
      </c>
      <c r="P108">
        <f ca="1">IF(tblLog[[#This Row],[Log Date]]="","",TODAY()-tblLog[[#This Row],[Log Date]])</f>
        <v>20</v>
      </c>
      <c r="Q108" t="str">
        <f>IF(tblLog[[#This Row],[Log Date]]="","",IF(TRIM(tblLog[[#This Row],[Cycle Stage]])="Asked to be removed from database","NO","YES"))</f>
        <v>YES</v>
      </c>
      <c r="R1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09" spans="1:18" ht="15" customHeight="1">
      <c r="A109" t="s">
        <v>7646</v>
      </c>
      <c r="B109" t="str">
        <f>IFERROR(_xlfn.XLOOKUP(tblLog[[#This Row],[Unique ID]], tblMaster[Unique ID], tblMaster[First Name], ""), "")</f>
        <v xml:space="preserve">Jocelyn </v>
      </c>
      <c r="C109" t="str">
        <f>IFERROR(_xlfn.XLOOKUP(tblLog[[#This Row],[Unique ID]], tblMaster[Unique ID], tblMaster[Last Name], ""), "")</f>
        <v xml:space="preserve"> Brooks </v>
      </c>
      <c r="D109" t="str">
        <f>IFERROR(_xlfn.XLOOKUP(tblLog[[#This Row],[Unique ID]], tblMaster[Unique ID], tblMaster[Email_Clean], ""), "")</f>
        <v>jocelynbrooks123@gmail.com</v>
      </c>
      <c r="E109" t="str">
        <f>IFERROR(_xlfn.XLOOKUP(tblLog[[#This Row],[Unique ID]], tblMaster[Unique ID], tblMaster[Phone], ""), "")</f>
        <v xml:space="preserve">781) 535-7024 </v>
      </c>
      <c r="F109" t="str">
        <f>IFERROR(_xlfn.XLOOKUP(tblLog[[#This Row],[Unique ID]], tblMaster[Unique ID], tblMaster[Recruiter], ""), "")</f>
        <v xml:space="preserve">Enrique Ortiz </v>
      </c>
      <c r="G109" t="str">
        <f>IFERROR(_xlfn.XLOOKUP(tblLog[[#This Row],[Unique ID]], tblMaster[Unique ID], tblMaster[Recruitment Cycle], ""), "")</f>
        <v xml:space="preserve">New Submission/ Lead </v>
      </c>
      <c r="H109" t="s">
        <v>7455</v>
      </c>
      <c r="I109" t="s">
        <v>4</v>
      </c>
      <c r="J109" s="3">
        <v>3</v>
      </c>
      <c r="K109" t="s">
        <v>7491</v>
      </c>
      <c r="L109" s="2">
        <v>46059</v>
      </c>
      <c r="M109" t="s">
        <v>7452</v>
      </c>
      <c r="N109" t="s">
        <v>7475</v>
      </c>
      <c r="P109">
        <f ca="1">IF(tblLog[[#This Row],[Log Date]]="","",TODAY()-tblLog[[#This Row],[Log Date]])</f>
        <v>20</v>
      </c>
      <c r="Q109" t="str">
        <f>IF(tblLog[[#This Row],[Log Date]]="","",IF(TRIM(tblLog[[#This Row],[Cycle Stage]])="Asked to be removed from database","NO","YES"))</f>
        <v>YES</v>
      </c>
      <c r="R1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0" spans="1:18" ht="15" customHeight="1">
      <c r="A110" t="s">
        <v>7647</v>
      </c>
      <c r="B110" t="str">
        <f>IFERROR(_xlfn.XLOOKUP(tblLog[[#This Row],[Unique ID]], tblMaster[Unique ID], tblMaster[First Name], ""), "")</f>
        <v xml:space="preserve">Micheal </v>
      </c>
      <c r="C110" t="str">
        <f>IFERROR(_xlfn.XLOOKUP(tblLog[[#This Row],[Unique ID]], tblMaster[Unique ID], tblMaster[Last Name], ""), "")</f>
        <v>Young</v>
      </c>
      <c r="D110" t="str">
        <f>IFERROR(_xlfn.XLOOKUP(tblLog[[#This Row],[Unique ID]], tblMaster[Unique ID], tblMaster[Email_Clean], ""), "")</f>
        <v>mtyyoung@gmail.com</v>
      </c>
      <c r="E110" t="str">
        <f>IFERROR(_xlfn.XLOOKUP(tblLog[[#This Row],[Unique ID]], tblMaster[Unique ID], tblMaster[Phone], ""), "")</f>
        <v>508-883-7824</v>
      </c>
      <c r="F110" t="str">
        <f>IFERROR(_xlfn.XLOOKUP(tblLog[[#This Row],[Unique ID]], tblMaster[Unique ID], tblMaster[Recruiter], ""), "")</f>
        <v xml:space="preserve">Enrique Ortiz </v>
      </c>
      <c r="G110" t="str">
        <f>IFERROR(_xlfn.XLOOKUP(tblLog[[#This Row],[Unique ID]], tblMaster[Unique ID], tblMaster[Recruitment Cycle], ""), "")</f>
        <v xml:space="preserve">New Submission/ Lead </v>
      </c>
      <c r="H110" t="s">
        <v>7455</v>
      </c>
      <c r="I110" t="s">
        <v>7434</v>
      </c>
      <c r="J110" s="3">
        <v>3</v>
      </c>
      <c r="K110" t="s">
        <v>7491</v>
      </c>
      <c r="L110" s="2">
        <v>46059</v>
      </c>
      <c r="M110" t="s">
        <v>7452</v>
      </c>
      <c r="N110" t="s">
        <v>7475</v>
      </c>
      <c r="P110">
        <f ca="1">IF(tblLog[[#This Row],[Log Date]]="","",TODAY()-tblLog[[#This Row],[Log Date]])</f>
        <v>20</v>
      </c>
      <c r="Q110" t="str">
        <f>IF(tblLog[[#This Row],[Log Date]]="","",IF(TRIM(tblLog[[#This Row],[Cycle Stage]])="Asked to be removed from database","NO","YES"))</f>
        <v>YES</v>
      </c>
      <c r="R1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1" spans="1:18" ht="15" customHeight="1">
      <c r="A111" t="s">
        <v>7648</v>
      </c>
      <c r="B111" t="str">
        <f>IFERROR(_xlfn.XLOOKUP(tblLog[[#This Row],[Unique ID]], tblMaster[Unique ID], tblMaster[First Name], ""), "")</f>
        <v xml:space="preserve">Anselm </v>
      </c>
      <c r="C111" t="str">
        <f>IFERROR(_xlfn.XLOOKUP(tblLog[[#This Row],[Unique ID]], tblMaster[Unique ID], tblMaster[Last Name], ""), "")</f>
        <v xml:space="preserve"> Okeke </v>
      </c>
      <c r="D111" t="str">
        <f>IFERROR(_xlfn.XLOOKUP(tblLog[[#This Row],[Unique ID]], tblMaster[Unique ID], tblMaster[Email_Clean], ""), "")</f>
        <v>akemeugocha@gmail.com</v>
      </c>
      <c r="E111" t="str">
        <f>IFERROR(_xlfn.XLOOKUP(tblLog[[#This Row],[Unique ID]], tblMaster[Unique ID], tblMaster[Phone], ""), "")</f>
        <v xml:space="preserve">623) 293-7094 </v>
      </c>
      <c r="F111" t="str">
        <f>IFERROR(_xlfn.XLOOKUP(tblLog[[#This Row],[Unique ID]], tblMaster[Unique ID], tblMaster[Recruiter], ""), "")</f>
        <v xml:space="preserve">Enrique Ortiz </v>
      </c>
      <c r="G111" t="str">
        <f>IFERROR(_xlfn.XLOOKUP(tblLog[[#This Row],[Unique ID]], tblMaster[Unique ID], tblMaster[Recruitment Cycle], ""), "")</f>
        <v xml:space="preserve">New Submission/ Lead </v>
      </c>
      <c r="H111" t="s">
        <v>7455</v>
      </c>
      <c r="I111" t="s">
        <v>7434</v>
      </c>
      <c r="J111" s="3">
        <v>2</v>
      </c>
      <c r="K111" t="s">
        <v>7472</v>
      </c>
      <c r="L111" s="2">
        <v>46059</v>
      </c>
      <c r="M111" t="s">
        <v>7485</v>
      </c>
      <c r="N111" t="s">
        <v>7475</v>
      </c>
      <c r="O111" t="s">
        <v>7596</v>
      </c>
      <c r="P111">
        <f ca="1">IF(tblLog[[#This Row],[Log Date]]="","",TODAY()-tblLog[[#This Row],[Log Date]])</f>
        <v>20</v>
      </c>
      <c r="Q111" t="str">
        <f>IF(tblLog[[#This Row],[Log Date]]="","",IF(TRIM(tblLog[[#This Row],[Cycle Stage]])="Asked to be removed from database","NO","YES"))</f>
        <v>YES</v>
      </c>
      <c r="R1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2" spans="1:18" ht="15" customHeight="1">
      <c r="A112" t="s">
        <v>7649</v>
      </c>
      <c r="B112" t="str">
        <f>IFERROR(_xlfn.XLOOKUP(tblLog[[#This Row],[Unique ID]], tblMaster[Unique ID], tblMaster[First Name], ""), "")</f>
        <v>Devante</v>
      </c>
      <c r="C112" t="str">
        <f>IFERROR(_xlfn.XLOOKUP(tblLog[[#This Row],[Unique ID]], tblMaster[Unique ID], tblMaster[Last Name], ""), "")</f>
        <v xml:space="preserve"> Jones </v>
      </c>
      <c r="D112" t="str">
        <f>IFERROR(_xlfn.XLOOKUP(tblLog[[#This Row],[Unique ID]], tblMaster[Unique ID], tblMaster[Email_Clean], ""), "")</f>
        <v>devantejones135@gmail.com</v>
      </c>
      <c r="E112" s="36" t="str">
        <f>IFERROR(_xlfn.XLOOKUP(tblLog[[#This Row],[Unique ID]], tblMaster[Unique ID], tblMaster[Phone], ""), "")</f>
        <v xml:space="preserve">413) 363-3574 </v>
      </c>
      <c r="F112" t="str">
        <f>IFERROR(_xlfn.XLOOKUP(tblLog[[#This Row],[Unique ID]], tblMaster[Unique ID], tblMaster[Recruiter], ""), "")</f>
        <v xml:space="preserve">Christopher Servello </v>
      </c>
      <c r="G112" t="str">
        <f>IFERROR(_xlfn.XLOOKUP(tblLog[[#This Row],[Unique ID]], tblMaster[Unique ID], tblMaster[Recruitment Cycle], ""), "")</f>
        <v xml:space="preserve">New Submission/ Lead </v>
      </c>
      <c r="H112" t="s">
        <v>7455</v>
      </c>
      <c r="I112" t="s">
        <v>7530</v>
      </c>
      <c r="J112" s="3">
        <v>3</v>
      </c>
      <c r="K112" t="s">
        <v>7435</v>
      </c>
      <c r="L112" s="2">
        <v>46062</v>
      </c>
      <c r="M112" t="s">
        <v>7452</v>
      </c>
      <c r="N112" t="s">
        <v>7487</v>
      </c>
      <c r="O112" t="s">
        <v>7650</v>
      </c>
      <c r="P112">
        <f ca="1">IF(tblLog[[#This Row],[Log Date]]="","",TODAY()-tblLog[[#This Row],[Log Date]])</f>
        <v>17</v>
      </c>
      <c r="Q112" t="str">
        <f>IF(tblLog[[#This Row],[Log Date]]="","",IF(TRIM(tblLog[[#This Row],[Cycle Stage]])="Asked to be removed from database","NO","YES"))</f>
        <v>YES</v>
      </c>
      <c r="R1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3" spans="1:18" ht="15" customHeight="1">
      <c r="A113" t="s">
        <v>7651</v>
      </c>
      <c r="B113" t="str">
        <f>IFERROR(_xlfn.XLOOKUP(tblLog[[#This Row],[Unique ID]], tblMaster[Unique ID], tblMaster[First Name], ""), "")</f>
        <v xml:space="preserve">Denise </v>
      </c>
      <c r="C113" t="str">
        <f>IFERROR(_xlfn.XLOOKUP(tblLog[[#This Row],[Unique ID]], tblMaster[Unique ID], tblMaster[Last Name], ""), "")</f>
        <v xml:space="preserve">Torres </v>
      </c>
      <c r="D113" t="str">
        <f>IFERROR(_xlfn.XLOOKUP(tblLog[[#This Row],[Unique ID]], tblMaster[Unique ID], tblMaster[Email_Clean], ""), "")</f>
        <v>deniseltorresmd@gmail.com</v>
      </c>
      <c r="E113" t="str">
        <f>IFERROR(_xlfn.XLOOKUP(tblLog[[#This Row],[Unique ID]], tblMaster[Unique ID], tblMaster[Phone], ""), "")</f>
        <v xml:space="preserve">(917) 900-6690 </v>
      </c>
      <c r="F113" t="str">
        <f>IFERROR(_xlfn.XLOOKUP(tblLog[[#This Row],[Unique ID]], tblMaster[Unique ID], tblMaster[Recruiter], ""), "")</f>
        <v xml:space="preserve">Enrique Ortiz </v>
      </c>
      <c r="G113" t="str">
        <f>IFERROR(_xlfn.XLOOKUP(tblLog[[#This Row],[Unique ID]], tblMaster[Unique ID], tblMaster[Recruitment Cycle], ""), "")</f>
        <v xml:space="preserve">New Submission/ Lead </v>
      </c>
      <c r="H113" t="s">
        <v>7455</v>
      </c>
      <c r="I113" t="s">
        <v>7434</v>
      </c>
      <c r="J113" s="3">
        <v>2</v>
      </c>
      <c r="K113" t="s">
        <v>7472</v>
      </c>
      <c r="L113" s="2">
        <v>46059</v>
      </c>
      <c r="M113" t="s">
        <v>7615</v>
      </c>
      <c r="N113" t="s">
        <v>7475</v>
      </c>
      <c r="O113" t="s">
        <v>7596</v>
      </c>
      <c r="P113">
        <f ca="1">IF(tblLog[[#This Row],[Log Date]]="","",TODAY()-tblLog[[#This Row],[Log Date]])</f>
        <v>20</v>
      </c>
      <c r="Q113" t="str">
        <f>IF(tblLog[[#This Row],[Log Date]]="","",IF(TRIM(tblLog[[#This Row],[Cycle Stage]])="Asked to be removed from database","NO","YES"))</f>
        <v>YES</v>
      </c>
      <c r="R1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4" spans="1:18" ht="15" customHeight="1">
      <c r="A114" t="s">
        <v>7652</v>
      </c>
      <c r="B114" t="str">
        <f>IFERROR(_xlfn.XLOOKUP(tblLog[[#This Row],[Unique ID]], tblMaster[Unique ID], tblMaster[First Name], ""), "")</f>
        <v xml:space="preserve">Matthew </v>
      </c>
      <c r="C114" t="str">
        <f>IFERROR(_xlfn.XLOOKUP(tblLog[[#This Row],[Unique ID]], tblMaster[Unique ID], tblMaster[Last Name], ""), "")</f>
        <v xml:space="preserve"> Demary </v>
      </c>
      <c r="D114" t="str">
        <f>IFERROR(_xlfn.XLOOKUP(tblLog[[#This Row],[Unique ID]], tblMaster[Unique ID], tblMaster[Email_Clean], ""), "")</f>
        <v>demary420@gmail.com</v>
      </c>
      <c r="E114" t="str">
        <f>IFERROR(_xlfn.XLOOKUP(tblLog[[#This Row],[Unique ID]], tblMaster[Unique ID], tblMaster[Phone], ""), "")</f>
        <v xml:space="preserve">413) 412-9456 </v>
      </c>
      <c r="F114" t="str">
        <f>IFERROR(_xlfn.XLOOKUP(tblLog[[#This Row],[Unique ID]], tblMaster[Unique ID], tblMaster[Recruiter], ""), "")</f>
        <v xml:space="preserve">Enrique Ortiz </v>
      </c>
      <c r="G114" t="str">
        <f>IFERROR(_xlfn.XLOOKUP(tblLog[[#This Row],[Unique ID]], tblMaster[Unique ID], tblMaster[Recruitment Cycle], ""), "")</f>
        <v xml:space="preserve">New Submission/ Lead </v>
      </c>
      <c r="H114" t="s">
        <v>7455</v>
      </c>
      <c r="I114" t="s">
        <v>7434</v>
      </c>
      <c r="J114" s="3">
        <v>2</v>
      </c>
      <c r="K114" t="s">
        <v>7435</v>
      </c>
      <c r="L114" s="2">
        <v>46059</v>
      </c>
      <c r="M114" t="s">
        <v>7452</v>
      </c>
      <c r="N114" t="s">
        <v>7475</v>
      </c>
      <c r="P114">
        <f ca="1">IF(tblLog[[#This Row],[Log Date]]="","",TODAY()-tblLog[[#This Row],[Log Date]])</f>
        <v>20</v>
      </c>
      <c r="Q114" t="str">
        <f>IF(tblLog[[#This Row],[Log Date]]="","",IF(TRIM(tblLog[[#This Row],[Cycle Stage]])="Asked to be removed from database","NO","YES"))</f>
        <v>YES</v>
      </c>
      <c r="R1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5" spans="1:18" ht="15" customHeight="1">
      <c r="A115" t="s">
        <v>7653</v>
      </c>
      <c r="B115" t="str">
        <f>IFERROR(_xlfn.XLOOKUP(tblLog[[#This Row],[Unique ID]], tblMaster[Unique ID], tblMaster[First Name], ""), "")</f>
        <v xml:space="preserve">Jean Jovin </v>
      </c>
      <c r="C115" t="str">
        <f>IFERROR(_xlfn.XLOOKUP(tblLog[[#This Row],[Unique ID]], tblMaster[Unique ID], tblMaster[Last Name], ""), "")</f>
        <v xml:space="preserve">Jean Jovin </v>
      </c>
      <c r="D115" t="str">
        <f>IFERROR(_xlfn.XLOOKUP(tblLog[[#This Row],[Unique ID]], tblMaster[Unique ID], tblMaster[Email_Clean], ""), "")</f>
        <v>jdjovin@hotmail.com</v>
      </c>
      <c r="E115" t="str">
        <f>IFERROR(_xlfn.XLOOKUP(tblLog[[#This Row],[Unique ID]], tblMaster[Unique ID], tblMaster[Phone], ""), "")</f>
        <v xml:space="preserve">(774) 262-1192 </v>
      </c>
      <c r="F115" t="str">
        <f>IFERROR(_xlfn.XLOOKUP(tblLog[[#This Row],[Unique ID]], tblMaster[Unique ID], tblMaster[Recruiter], ""), "")</f>
        <v xml:space="preserve">Enrique Ortiz </v>
      </c>
      <c r="G115" t="str">
        <f>IFERROR(_xlfn.XLOOKUP(tblLog[[#This Row],[Unique ID]], tblMaster[Unique ID], tblMaster[Recruitment Cycle], ""), "")</f>
        <v xml:space="preserve">New Submission/ Lead </v>
      </c>
      <c r="H115" t="s">
        <v>7455</v>
      </c>
      <c r="I115" t="s">
        <v>7434</v>
      </c>
      <c r="J115" s="3">
        <v>2</v>
      </c>
      <c r="K115" t="s">
        <v>7491</v>
      </c>
      <c r="L115" s="2">
        <v>46059</v>
      </c>
      <c r="M115" t="s">
        <v>7508</v>
      </c>
      <c r="N115" t="s">
        <v>7475</v>
      </c>
      <c r="P115">
        <f ca="1">IF(tblLog[[#This Row],[Log Date]]="","",TODAY()-tblLog[[#This Row],[Log Date]])</f>
        <v>20</v>
      </c>
      <c r="Q115" t="str">
        <f>IF(tblLog[[#This Row],[Log Date]]="","",IF(TRIM(tblLog[[#This Row],[Cycle Stage]])="Asked to be removed from database","NO","YES"))</f>
        <v>YES</v>
      </c>
      <c r="R1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6" spans="1:18" ht="15" customHeight="1">
      <c r="A116" t="s">
        <v>7654</v>
      </c>
      <c r="B116" t="str">
        <f>IFERROR(_xlfn.XLOOKUP(tblLog[[#This Row],[Unique ID]], tblMaster[Unique ID], tblMaster[First Name], ""), "")</f>
        <v xml:space="preserve">Michael </v>
      </c>
      <c r="C116" t="str">
        <f>IFERROR(_xlfn.XLOOKUP(tblLog[[#This Row],[Unique ID]], tblMaster[Unique ID], tblMaster[Last Name], ""), "")</f>
        <v xml:space="preserve"> Rutledge </v>
      </c>
      <c r="D116" t="str">
        <f>IFERROR(_xlfn.XLOOKUP(tblLog[[#This Row],[Unique ID]], tblMaster[Unique ID], tblMaster[Email_Clean], ""), "")</f>
        <v>mikeyrut36@gmail.com</v>
      </c>
      <c r="E116" t="str">
        <f>IFERROR(_xlfn.XLOOKUP(tblLog[[#This Row],[Unique ID]], tblMaster[Unique ID], tblMaster[Phone], ""), "")</f>
        <v xml:space="preserve">(781) 400-0412 </v>
      </c>
      <c r="F116" t="str">
        <f>IFERROR(_xlfn.XLOOKUP(tblLog[[#This Row],[Unique ID]], tblMaster[Unique ID], tblMaster[Recruiter], ""), "")</f>
        <v xml:space="preserve">Enrique Ortiz </v>
      </c>
      <c r="G116" t="str">
        <f>IFERROR(_xlfn.XLOOKUP(tblLog[[#This Row],[Unique ID]], tblMaster[Unique ID], tblMaster[Recruitment Cycle], ""), "")</f>
        <v xml:space="preserve">New Submission/ Lead </v>
      </c>
      <c r="H116" t="s">
        <v>7455</v>
      </c>
      <c r="I116" t="s">
        <v>7434</v>
      </c>
      <c r="J116" s="3">
        <v>3</v>
      </c>
      <c r="K116" t="s">
        <v>7435</v>
      </c>
      <c r="L116" s="2">
        <v>46059</v>
      </c>
      <c r="M116" t="s">
        <v>7452</v>
      </c>
      <c r="N116" t="s">
        <v>7475</v>
      </c>
      <c r="P116">
        <f ca="1">IF(tblLog[[#This Row],[Log Date]]="","",TODAY()-tblLog[[#This Row],[Log Date]])</f>
        <v>20</v>
      </c>
      <c r="Q116" t="str">
        <f>IF(tblLog[[#This Row],[Log Date]]="","",IF(TRIM(tblLog[[#This Row],[Cycle Stage]])="Asked to be removed from database","NO","YES"))</f>
        <v>YES</v>
      </c>
      <c r="R1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7" spans="1:18" ht="15" customHeight="1">
      <c r="A117" t="s">
        <v>7655</v>
      </c>
      <c r="B117" t="str">
        <f>IFERROR(_xlfn.XLOOKUP(tblLog[[#This Row],[Unique ID]], tblMaster[Unique ID], tblMaster[First Name], ""), "")</f>
        <v>Dante</v>
      </c>
      <c r="C117" t="str">
        <f>IFERROR(_xlfn.XLOOKUP(tblLog[[#This Row],[Unique ID]], tblMaster[Unique ID], tblMaster[Last Name], ""), "")</f>
        <v xml:space="preserve"> Estrada </v>
      </c>
      <c r="D117" t="str">
        <f>IFERROR(_xlfn.XLOOKUP(tblLog[[#This Row],[Unique ID]], tblMaster[Unique ID], tblMaster[Email_Clean], ""), "")</f>
        <v>estdante25@icloud.com</v>
      </c>
      <c r="E117" t="str">
        <f>IFERROR(_xlfn.XLOOKUP(tblLog[[#This Row],[Unique ID]], tblMaster[Unique ID], tblMaster[Phone], ""), "")</f>
        <v>413-405-4729</v>
      </c>
      <c r="F117" t="str">
        <f>IFERROR(_xlfn.XLOOKUP(tblLog[[#This Row],[Unique ID]], tblMaster[Unique ID], tblMaster[Recruiter], ""), "")</f>
        <v xml:space="preserve">Enrique Ortiz </v>
      </c>
      <c r="G117" t="str">
        <f>IFERROR(_xlfn.XLOOKUP(tblLog[[#This Row],[Unique ID]], tblMaster[Unique ID], tblMaster[Recruitment Cycle], ""), "")</f>
        <v xml:space="preserve">New Submission/ Lead </v>
      </c>
      <c r="H117" t="s">
        <v>7455</v>
      </c>
      <c r="I117" t="s">
        <v>7434</v>
      </c>
      <c r="J117" s="3">
        <v>3</v>
      </c>
      <c r="K117" t="s">
        <v>7435</v>
      </c>
      <c r="L117" s="2">
        <v>46059</v>
      </c>
      <c r="M117" t="s">
        <v>7452</v>
      </c>
      <c r="N117" t="s">
        <v>7475</v>
      </c>
      <c r="P117">
        <f ca="1">IF(tblLog[[#This Row],[Log Date]]="","",TODAY()-tblLog[[#This Row],[Log Date]])</f>
        <v>20</v>
      </c>
      <c r="Q117" t="str">
        <f>IF(tblLog[[#This Row],[Log Date]]="","",IF(TRIM(tblLog[[#This Row],[Cycle Stage]])="Asked to be removed from database","NO","YES"))</f>
        <v>YES</v>
      </c>
      <c r="R1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8" spans="1:18" ht="15" customHeight="1">
      <c r="A118" t="s">
        <v>7656</v>
      </c>
      <c r="B118" t="str">
        <f>IFERROR(_xlfn.XLOOKUP(tblLog[[#This Row],[Unique ID]], tblMaster[Unique ID], tblMaster[First Name], ""), "")</f>
        <v xml:space="preserve">Brianna </v>
      </c>
      <c r="C118" t="str">
        <f>IFERROR(_xlfn.XLOOKUP(tblLog[[#This Row],[Unique ID]], tblMaster[Unique ID], tblMaster[Last Name], ""), "")</f>
        <v>Lynch</v>
      </c>
      <c r="D118" t="str">
        <f>IFERROR(_xlfn.XLOOKUP(tblLog[[#This Row],[Unique ID]], tblMaster[Unique ID], tblMaster[Email_Clean], ""), "")</f>
        <v>briannalynchrock@icloud.com</v>
      </c>
      <c r="E118" t="str">
        <f>IFERROR(_xlfn.XLOOKUP(tblLog[[#This Row],[Unique ID]], tblMaster[Unique ID], tblMaster[Phone], ""), "")</f>
        <v>781-901-2071</v>
      </c>
      <c r="F118" t="str">
        <f>IFERROR(_xlfn.XLOOKUP(tblLog[[#This Row],[Unique ID]], tblMaster[Unique ID], tblMaster[Recruiter], ""), "")</f>
        <v xml:space="preserve">Enrique Ortiz </v>
      </c>
      <c r="G118" t="str">
        <f>IFERROR(_xlfn.XLOOKUP(tblLog[[#This Row],[Unique ID]], tblMaster[Unique ID], tblMaster[Recruitment Cycle], ""), "")</f>
        <v xml:space="preserve">New Submission/ Lead </v>
      </c>
      <c r="H118" t="s">
        <v>7455</v>
      </c>
      <c r="I118" t="s">
        <v>4</v>
      </c>
      <c r="J118" s="3">
        <v>2</v>
      </c>
      <c r="K118" t="s">
        <v>7491</v>
      </c>
      <c r="L118" s="2">
        <v>46059</v>
      </c>
      <c r="M118" t="s">
        <v>7508</v>
      </c>
      <c r="N118" t="s">
        <v>7475</v>
      </c>
      <c r="P118">
        <f ca="1">IF(tblLog[[#This Row],[Log Date]]="","",TODAY()-tblLog[[#This Row],[Log Date]])</f>
        <v>20</v>
      </c>
      <c r="Q118" t="str">
        <f>IF(tblLog[[#This Row],[Log Date]]="","",IF(TRIM(tblLog[[#This Row],[Cycle Stage]])="Asked to be removed from database","NO","YES"))</f>
        <v>YES</v>
      </c>
      <c r="R1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19" spans="1:18" ht="15" customHeight="1">
      <c r="A119" t="s">
        <v>7657</v>
      </c>
      <c r="B119" t="str">
        <f>IFERROR(_xlfn.XLOOKUP(tblLog[[#This Row],[Unique ID]], tblMaster[Unique ID], tblMaster[First Name], ""), "")</f>
        <v>Valentine</v>
      </c>
      <c r="C119" t="str">
        <f>IFERROR(_xlfn.XLOOKUP(tblLog[[#This Row],[Unique ID]], tblMaster[Unique ID], tblMaster[Last Name], ""), "")</f>
        <v xml:space="preserve">Beluchukwu </v>
      </c>
      <c r="D119" t="str">
        <f>IFERROR(_xlfn.XLOOKUP(tblLog[[#This Row],[Unique ID]], tblMaster[Unique ID], tblMaster[Email_Clean], ""), "")</f>
        <v>valentinebeluchukwu@yahoo.com</v>
      </c>
      <c r="E119" t="str">
        <f>IFERROR(_xlfn.XLOOKUP(tblLog[[#This Row],[Unique ID]], tblMaster[Unique ID], tblMaster[Phone], ""), "")</f>
        <v>(508) 808-5374</v>
      </c>
      <c r="F119" t="str">
        <f>IFERROR(_xlfn.XLOOKUP(tblLog[[#This Row],[Unique ID]], tblMaster[Unique ID], tblMaster[Recruiter], ""), "")</f>
        <v xml:space="preserve">Enrique Ortiz </v>
      </c>
      <c r="G119" t="str">
        <f>IFERROR(_xlfn.XLOOKUP(tblLog[[#This Row],[Unique ID]], tblMaster[Unique ID], tblMaster[Recruitment Cycle], ""), "")</f>
        <v xml:space="preserve">New Submission/ Lead </v>
      </c>
      <c r="H119" t="s">
        <v>7455</v>
      </c>
      <c r="I119" t="s">
        <v>7434</v>
      </c>
      <c r="J119" s="3">
        <v>3</v>
      </c>
      <c r="K119" t="s">
        <v>7435</v>
      </c>
      <c r="L119" s="2">
        <v>46059</v>
      </c>
      <c r="M119" t="s">
        <v>7452</v>
      </c>
      <c r="N119" t="s">
        <v>7475</v>
      </c>
      <c r="P119">
        <f ca="1">IF(tblLog[[#This Row],[Log Date]]="","",TODAY()-tblLog[[#This Row],[Log Date]])</f>
        <v>20</v>
      </c>
      <c r="Q119" t="str">
        <f>IF(tblLog[[#This Row],[Log Date]]="","",IF(TRIM(tblLog[[#This Row],[Cycle Stage]])="Asked to be removed from database","NO","YES"))</f>
        <v>YES</v>
      </c>
      <c r="R1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0" spans="1:18" ht="15" customHeight="1">
      <c r="A120" t="s">
        <v>7658</v>
      </c>
      <c r="B120" t="str">
        <f>IFERROR(_xlfn.XLOOKUP(tblLog[[#This Row],[Unique ID]], tblMaster[Unique ID], tblMaster[First Name], ""), "")</f>
        <v>Mamadou</v>
      </c>
      <c r="C120" t="str">
        <f>IFERROR(_xlfn.XLOOKUP(tblLog[[#This Row],[Unique ID]], tblMaster[Unique ID], tblMaster[Last Name], ""), "")</f>
        <v xml:space="preserve">Fanta </v>
      </c>
      <c r="D120" t="str">
        <f>IFERROR(_xlfn.XLOOKUP(tblLog[[#This Row],[Unique ID]], tblMaster[Unique ID], tblMaster[Email_Clean], ""), "")</f>
        <v>mamadoufantakourouma@gmail.com</v>
      </c>
      <c r="E120" t="str">
        <f>IFERROR(_xlfn.XLOOKUP(tblLog[[#This Row],[Unique ID]], tblMaster[Unique ID], tblMaster[Phone], ""), "")</f>
        <v>774-528-6752</v>
      </c>
      <c r="F120" t="str">
        <f>IFERROR(_xlfn.XLOOKUP(tblLog[[#This Row],[Unique ID]], tblMaster[Unique ID], tblMaster[Recruiter], ""), "")</f>
        <v xml:space="preserve">Enrique Ortiz </v>
      </c>
      <c r="G120" t="str">
        <f>IFERROR(_xlfn.XLOOKUP(tblLog[[#This Row],[Unique ID]], tblMaster[Unique ID], tblMaster[Recruitment Cycle], ""), "")</f>
        <v xml:space="preserve">New Submission/ Lead </v>
      </c>
      <c r="H120" t="s">
        <v>7455</v>
      </c>
      <c r="I120" t="s">
        <v>7434</v>
      </c>
      <c r="J120" s="3">
        <v>3</v>
      </c>
      <c r="K120" t="s">
        <v>7435</v>
      </c>
      <c r="L120" s="2">
        <v>46059</v>
      </c>
      <c r="M120" t="s">
        <v>7615</v>
      </c>
      <c r="N120" t="s">
        <v>7475</v>
      </c>
      <c r="P120">
        <f ca="1">IF(tblLog[[#This Row],[Log Date]]="","",TODAY()-tblLog[[#This Row],[Log Date]])</f>
        <v>20</v>
      </c>
      <c r="Q120" t="str">
        <f>IF(tblLog[[#This Row],[Log Date]]="","",IF(TRIM(tblLog[[#This Row],[Cycle Stage]])="Asked to be removed from database","NO","YES"))</f>
        <v>YES</v>
      </c>
      <c r="R1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1" spans="1:18" ht="15" customHeight="1">
      <c r="A121" t="s">
        <v>7659</v>
      </c>
      <c r="B121" t="str">
        <f>IFERROR(_xlfn.XLOOKUP(tblLog[[#This Row],[Unique ID]], tblMaster[Unique ID], tblMaster[First Name], ""), "")</f>
        <v xml:space="preserve">Carolin </v>
      </c>
      <c r="C121" t="str">
        <f>IFERROR(_xlfn.XLOOKUP(tblLog[[#This Row],[Unique ID]], tblMaster[Unique ID], tblMaster[Last Name], ""), "")</f>
        <v xml:space="preserve">Torres </v>
      </c>
      <c r="D121" t="str">
        <f>IFERROR(_xlfn.XLOOKUP(tblLog[[#This Row],[Unique ID]], tblMaster[Unique ID], tblMaster[Email_Clean], ""), "")</f>
        <v>carolyntorres009@gmail.com</v>
      </c>
      <c r="E121" t="str">
        <f>IFERROR(_xlfn.XLOOKUP(tblLog[[#This Row],[Unique ID]], tblMaster[Unique ID], tblMaster[Phone], ""), "")</f>
        <v xml:space="preserve">978) 818-4171 </v>
      </c>
      <c r="F121" t="str">
        <f>IFERROR(_xlfn.XLOOKUP(tblLog[[#This Row],[Unique ID]], tblMaster[Unique ID], tblMaster[Recruiter], ""), "")</f>
        <v xml:space="preserve">Enrique Ortiz </v>
      </c>
      <c r="G121" t="str">
        <f>IFERROR(_xlfn.XLOOKUP(tblLog[[#This Row],[Unique ID]], tblMaster[Unique ID], tblMaster[Recruitment Cycle], ""), "")</f>
        <v xml:space="preserve">New Submission/ Lead </v>
      </c>
      <c r="H121" t="s">
        <v>7455</v>
      </c>
      <c r="I121" t="s">
        <v>7434</v>
      </c>
      <c r="J121" s="3">
        <v>3</v>
      </c>
      <c r="K121" t="s">
        <v>7435</v>
      </c>
      <c r="L121" s="2">
        <v>46059</v>
      </c>
      <c r="M121" t="s">
        <v>7452</v>
      </c>
      <c r="N121" t="s">
        <v>7487</v>
      </c>
      <c r="P121">
        <f ca="1">IF(tblLog[[#This Row],[Log Date]]="","",TODAY()-tblLog[[#This Row],[Log Date]])</f>
        <v>20</v>
      </c>
      <c r="Q121" t="str">
        <f>IF(tblLog[[#This Row],[Log Date]]="","",IF(TRIM(tblLog[[#This Row],[Cycle Stage]])="Asked to be removed from database","NO","YES"))</f>
        <v>YES</v>
      </c>
      <c r="R1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2" spans="1:18" ht="15" customHeight="1">
      <c r="A122" t="s">
        <v>7660</v>
      </c>
      <c r="B122" t="str">
        <f>IFERROR(_xlfn.XLOOKUP(tblLog[[#This Row],[Unique ID]], tblMaster[Unique ID], tblMaster[First Name], ""), "")</f>
        <v xml:space="preserve">Brian </v>
      </c>
      <c r="C122" t="str">
        <f>IFERROR(_xlfn.XLOOKUP(tblLog[[#This Row],[Unique ID]], tblMaster[Unique ID], tblMaster[Last Name], ""), "")</f>
        <v xml:space="preserve">Jansen </v>
      </c>
      <c r="D122" t="str">
        <f>IFERROR(_xlfn.XLOOKUP(tblLog[[#This Row],[Unique ID]], tblMaster[Unique ID], tblMaster[Email_Clean], ""), "")</f>
        <v>bjansen2022@gmail.com</v>
      </c>
      <c r="E122" t="str">
        <f>IFERROR(_xlfn.XLOOKUP(tblLog[[#This Row],[Unique ID]], tblMaster[Unique ID], tblMaster[Phone], ""), "")</f>
        <v xml:space="preserve">(774) 534-0933 </v>
      </c>
      <c r="F122" t="str">
        <f>IFERROR(_xlfn.XLOOKUP(tblLog[[#This Row],[Unique ID]], tblMaster[Unique ID], tblMaster[Recruiter], ""), "")</f>
        <v xml:space="preserve">Enrique Ortiz </v>
      </c>
      <c r="G122" t="str">
        <f>IFERROR(_xlfn.XLOOKUP(tblLog[[#This Row],[Unique ID]], tblMaster[Unique ID], tblMaster[Recruitment Cycle], ""), "")</f>
        <v xml:space="preserve">New Submission/ Lead </v>
      </c>
      <c r="H122" t="s">
        <v>7455</v>
      </c>
      <c r="I122" t="s">
        <v>7494</v>
      </c>
      <c r="J122" s="3">
        <v>2</v>
      </c>
      <c r="K122" t="s">
        <v>7491</v>
      </c>
      <c r="L122" s="2">
        <v>46059</v>
      </c>
      <c r="M122" t="s">
        <v>7508</v>
      </c>
      <c r="N122" t="s">
        <v>7475</v>
      </c>
      <c r="P122">
        <f ca="1">IF(tblLog[[#This Row],[Log Date]]="","",TODAY()-tblLog[[#This Row],[Log Date]])</f>
        <v>20</v>
      </c>
      <c r="Q122" t="str">
        <f>IF(tblLog[[#This Row],[Log Date]]="","",IF(TRIM(tblLog[[#This Row],[Cycle Stage]])="Asked to be removed from database","NO","YES"))</f>
        <v>YES</v>
      </c>
      <c r="R1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3" spans="1:18" ht="15" customHeight="1">
      <c r="A123" t="s">
        <v>7661</v>
      </c>
      <c r="B123" t="str">
        <f>IFERROR(_xlfn.XLOOKUP(tblLog[[#This Row],[Unique ID]], tblMaster[Unique ID], tblMaster[First Name], ""), "")</f>
        <v xml:space="preserve">Wilfredo </v>
      </c>
      <c r="C123" t="str">
        <f>IFERROR(_xlfn.XLOOKUP(tblLog[[#This Row],[Unique ID]], tblMaster[Unique ID], tblMaster[Last Name], ""), "")</f>
        <v>a</v>
      </c>
      <c r="D123" t="str">
        <f>IFERROR(_xlfn.XLOOKUP(tblLog[[#This Row],[Unique ID]], tblMaster[Unique ID], tblMaster[Email_Clean], ""), "")</f>
        <v>inglesw84@gmail.com</v>
      </c>
      <c r="E123" t="str">
        <f>IFERROR(_xlfn.XLOOKUP(tblLog[[#This Row],[Unique ID]], tblMaster[Unique ID], tblMaster[Phone], ""), "")</f>
        <v>774-242-5618</v>
      </c>
      <c r="F123" t="str">
        <f>IFERROR(_xlfn.XLOOKUP(tblLog[[#This Row],[Unique ID]], tblMaster[Unique ID], tblMaster[Recruiter], ""), "")</f>
        <v xml:space="preserve">Enrique Ortiz </v>
      </c>
      <c r="G123" t="str">
        <f>IFERROR(_xlfn.XLOOKUP(tblLog[[#This Row],[Unique ID]], tblMaster[Unique ID], tblMaster[Recruitment Cycle], ""), "")</f>
        <v xml:space="preserve">New Submission/ Lead </v>
      </c>
      <c r="H123" t="s">
        <v>7455</v>
      </c>
      <c r="I123" t="s">
        <v>7494</v>
      </c>
      <c r="J123" s="3">
        <v>2</v>
      </c>
      <c r="K123" t="s">
        <v>7491</v>
      </c>
      <c r="L123" s="2">
        <v>46059</v>
      </c>
      <c r="M123" t="s">
        <v>7508</v>
      </c>
      <c r="N123" t="s">
        <v>7475</v>
      </c>
      <c r="P123">
        <f ca="1">IF(tblLog[[#This Row],[Log Date]]="","",TODAY()-tblLog[[#This Row],[Log Date]])</f>
        <v>20</v>
      </c>
      <c r="Q123" t="str">
        <f>IF(tblLog[[#This Row],[Log Date]]="","",IF(TRIM(tblLog[[#This Row],[Cycle Stage]])="Asked to be removed from database","NO","YES"))</f>
        <v>YES</v>
      </c>
      <c r="R1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4" spans="1:18" ht="15" customHeight="1">
      <c r="A124" t="s">
        <v>7662</v>
      </c>
      <c r="B124" t="str">
        <f>IFERROR(_xlfn.XLOOKUP(tblLog[[#This Row],[Unique ID]], tblMaster[Unique ID], tblMaster[First Name], ""), "")</f>
        <v xml:space="preserve">Brandon </v>
      </c>
      <c r="C124" t="str">
        <f>IFERROR(_xlfn.XLOOKUP(tblLog[[#This Row],[Unique ID]], tblMaster[Unique ID], tblMaster[Last Name], ""), "")</f>
        <v xml:space="preserve">Pike </v>
      </c>
      <c r="D124" t="str">
        <f>IFERROR(_xlfn.XLOOKUP(tblLog[[#This Row],[Unique ID]], tblMaster[Unique ID], tblMaster[Email_Clean], ""), "")</f>
        <v>brandon.pike32118@icloud.com</v>
      </c>
      <c r="E124" t="str">
        <f>IFERROR(_xlfn.XLOOKUP(tblLog[[#This Row],[Unique ID]], tblMaster[Unique ID], tblMaster[Phone], ""), "")</f>
        <v>413-636-5035</v>
      </c>
      <c r="F124" t="str">
        <f>IFERROR(_xlfn.XLOOKUP(tblLog[[#This Row],[Unique ID]], tblMaster[Unique ID], tblMaster[Recruiter], ""), "")</f>
        <v xml:space="preserve">Enrique Ortiz </v>
      </c>
      <c r="G124" t="str">
        <f>IFERROR(_xlfn.XLOOKUP(tblLog[[#This Row],[Unique ID]], tblMaster[Unique ID], tblMaster[Recruitment Cycle], ""), "")</f>
        <v xml:space="preserve">New Submission/ Lead </v>
      </c>
      <c r="H124" t="s">
        <v>7455</v>
      </c>
      <c r="I124" t="s">
        <v>7434</v>
      </c>
      <c r="J124" s="3">
        <v>2</v>
      </c>
      <c r="K124" t="s">
        <v>7472</v>
      </c>
      <c r="L124" s="2">
        <v>46059</v>
      </c>
      <c r="M124" t="s">
        <v>7615</v>
      </c>
      <c r="N124" t="s">
        <v>7475</v>
      </c>
      <c r="P124">
        <f ca="1">IF(tblLog[[#This Row],[Log Date]]="","",TODAY()-tblLog[[#This Row],[Log Date]])</f>
        <v>20</v>
      </c>
      <c r="Q124" t="str">
        <f>IF(tblLog[[#This Row],[Log Date]]="","",IF(TRIM(tblLog[[#This Row],[Cycle Stage]])="Asked to be removed from database","NO","YES"))</f>
        <v>YES</v>
      </c>
      <c r="R1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5" spans="1:18" ht="15" customHeight="1">
      <c r="A125" t="s">
        <v>7663</v>
      </c>
      <c r="B125" t="str">
        <f>IFERROR(_xlfn.XLOOKUP(tblLog[[#This Row],[Unique ID]], tblMaster[Unique ID], tblMaster[First Name], ""), "")</f>
        <v xml:space="preserve">Cesar </v>
      </c>
      <c r="C125" t="str">
        <f>IFERROR(_xlfn.XLOOKUP(tblLog[[#This Row],[Unique ID]], tblMaster[Unique ID], tblMaster[Last Name], ""), "")</f>
        <v>Gill</v>
      </c>
      <c r="D125" t="str">
        <f>IFERROR(_xlfn.XLOOKUP(tblLog[[#This Row],[Unique ID]], tblMaster[Unique ID], tblMaster[Email_Clean], ""), "")</f>
        <v>juliogil0221@icloud.com</v>
      </c>
      <c r="E125" t="str">
        <f>IFERROR(_xlfn.XLOOKUP(tblLog[[#This Row],[Unique ID]], tblMaster[Unique ID], tblMaster[Phone], ""), "")</f>
        <v>(978) 566-2266</v>
      </c>
      <c r="F125" t="str">
        <f>IFERROR(_xlfn.XLOOKUP(tblLog[[#This Row],[Unique ID]], tblMaster[Unique ID], tblMaster[Recruiter], ""), "")</f>
        <v xml:space="preserve">Enrique Ortiz </v>
      </c>
      <c r="G125" t="str">
        <f>IFERROR(_xlfn.XLOOKUP(tblLog[[#This Row],[Unique ID]], tblMaster[Unique ID], tblMaster[Recruitment Cycle], ""), "")</f>
        <v xml:space="preserve">New Submission/ Lead </v>
      </c>
      <c r="H125" t="s">
        <v>7455</v>
      </c>
      <c r="I125" t="s">
        <v>7494</v>
      </c>
      <c r="J125" s="3">
        <v>3</v>
      </c>
      <c r="K125" t="s">
        <v>7491</v>
      </c>
      <c r="L125" s="2">
        <v>46059</v>
      </c>
      <c r="M125" t="s">
        <v>7508</v>
      </c>
      <c r="N125" t="s">
        <v>7475</v>
      </c>
      <c r="P125">
        <f ca="1">IF(tblLog[[#This Row],[Log Date]]="","",TODAY()-tblLog[[#This Row],[Log Date]])</f>
        <v>20</v>
      </c>
      <c r="Q125" t="str">
        <f>IF(tblLog[[#This Row],[Log Date]]="","",IF(TRIM(tblLog[[#This Row],[Cycle Stage]])="Asked to be removed from database","NO","YES"))</f>
        <v>YES</v>
      </c>
      <c r="R1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6" spans="1:18" ht="15" customHeight="1">
      <c r="A126" t="s">
        <v>7664</v>
      </c>
      <c r="B126" t="str">
        <f>IFERROR(_xlfn.XLOOKUP(tblLog[[#This Row],[Unique ID]], tblMaster[Unique ID], tblMaster[First Name], ""), "")</f>
        <v xml:space="preserve">Carlos </v>
      </c>
      <c r="C126" t="str">
        <f>IFERROR(_xlfn.XLOOKUP(tblLog[[#This Row],[Unique ID]], tblMaster[Unique ID], tblMaster[Last Name], ""), "")</f>
        <v xml:space="preserve">Dacosta </v>
      </c>
      <c r="D126" t="str">
        <f>IFERROR(_xlfn.XLOOKUP(tblLog[[#This Row],[Unique ID]], tblMaster[Unique ID], tblMaster[Email_Clean], ""), "")</f>
        <v>carlosdacosta24@gmail.com</v>
      </c>
      <c r="E126" t="str">
        <f>IFERROR(_xlfn.XLOOKUP(tblLog[[#This Row],[Unique ID]], tblMaster[Unique ID], tblMaster[Phone], ""), "")</f>
        <v>(508) 345-5834</v>
      </c>
      <c r="F126" t="str">
        <f>IFERROR(_xlfn.XLOOKUP(tblLog[[#This Row],[Unique ID]], tblMaster[Unique ID], tblMaster[Recruiter], ""), "")</f>
        <v xml:space="preserve">Enrique Ortiz </v>
      </c>
      <c r="G126" t="str">
        <f>IFERROR(_xlfn.XLOOKUP(tblLog[[#This Row],[Unique ID]], tblMaster[Unique ID], tblMaster[Recruitment Cycle], ""), "")</f>
        <v xml:space="preserve">New Submission/ Lead </v>
      </c>
      <c r="H126" t="s">
        <v>7455</v>
      </c>
      <c r="I126" t="s">
        <v>7434</v>
      </c>
      <c r="J126" s="3">
        <v>3</v>
      </c>
      <c r="K126" t="s">
        <v>7435</v>
      </c>
      <c r="L126" s="2">
        <v>46059</v>
      </c>
      <c r="M126" t="s">
        <v>7452</v>
      </c>
      <c r="N126" t="s">
        <v>7475</v>
      </c>
      <c r="P126">
        <f ca="1">IF(tblLog[[#This Row],[Log Date]]="","",TODAY()-tblLog[[#This Row],[Log Date]])</f>
        <v>20</v>
      </c>
      <c r="Q126" t="str">
        <f>IF(tblLog[[#This Row],[Log Date]]="","",IF(TRIM(tblLog[[#This Row],[Cycle Stage]])="Asked to be removed from database","NO","YES"))</f>
        <v>YES</v>
      </c>
      <c r="R1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7" spans="1:18" ht="15" customHeight="1">
      <c r="A127" t="s">
        <v>7665</v>
      </c>
      <c r="B127" t="str">
        <f>IFERROR(_xlfn.XLOOKUP(tblLog[[#This Row],[Unique ID]], tblMaster[Unique ID], tblMaster[First Name], ""), "")</f>
        <v>Jessica</v>
      </c>
      <c r="C127" t="str">
        <f>IFERROR(_xlfn.XLOOKUP(tblLog[[#This Row],[Unique ID]], tblMaster[Unique ID], tblMaster[Last Name], ""), "")</f>
        <v>Rene</v>
      </c>
      <c r="D127" t="str">
        <f>IFERROR(_xlfn.XLOOKUP(tblLog[[#This Row],[Unique ID]], tblMaster[Unique ID], tblMaster[Email_Clean], ""), "")</f>
        <v>jd.rene30@gmail.com</v>
      </c>
      <c r="E127" t="str">
        <f>IFERROR(_xlfn.XLOOKUP(tblLog[[#This Row],[Unique ID]], tblMaster[Unique ID], tblMaster[Phone], ""), "")</f>
        <v>(413) 390-1309</v>
      </c>
      <c r="F127" t="str">
        <f>IFERROR(_xlfn.XLOOKUP(tblLog[[#This Row],[Unique ID]], tblMaster[Unique ID], tblMaster[Recruiter], ""), "")</f>
        <v xml:space="preserve">Enrique Ortiz </v>
      </c>
      <c r="G127" t="str">
        <f>IFERROR(_xlfn.XLOOKUP(tblLog[[#This Row],[Unique ID]], tblMaster[Unique ID], tblMaster[Recruitment Cycle], ""), "")</f>
        <v xml:space="preserve">New Submission/ Lead </v>
      </c>
      <c r="H127" t="s">
        <v>7455</v>
      </c>
      <c r="I127" t="s">
        <v>7494</v>
      </c>
      <c r="J127" s="3">
        <v>3</v>
      </c>
      <c r="K127" t="s">
        <v>7491</v>
      </c>
      <c r="L127" s="2">
        <v>46059</v>
      </c>
      <c r="M127" t="s">
        <v>7452</v>
      </c>
      <c r="N127" t="s">
        <v>7475</v>
      </c>
      <c r="P127">
        <f ca="1">IF(tblLog[[#This Row],[Log Date]]="","",TODAY()-tblLog[[#This Row],[Log Date]])</f>
        <v>20</v>
      </c>
      <c r="Q127" t="str">
        <f>IF(tblLog[[#This Row],[Log Date]]="","",IF(TRIM(tblLog[[#This Row],[Cycle Stage]])="Asked to be removed from database","NO","YES"))</f>
        <v>YES</v>
      </c>
      <c r="R1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8" spans="1:18" ht="15" customHeight="1">
      <c r="A128" t="s">
        <v>7666</v>
      </c>
      <c r="B128" t="str">
        <f>IFERROR(_xlfn.XLOOKUP(tblLog[[#This Row],[Unique ID]], tblMaster[Unique ID], tblMaster[First Name], ""), "")</f>
        <v xml:space="preserve">Edix </v>
      </c>
      <c r="C128" t="str">
        <f>IFERROR(_xlfn.XLOOKUP(tblLog[[#This Row],[Unique ID]], tblMaster[Unique ID], tblMaster[Last Name], ""), "")</f>
        <v>Lemus</v>
      </c>
      <c r="D128" t="str">
        <f>IFERROR(_xlfn.XLOOKUP(tblLog[[#This Row],[Unique ID]], tblMaster[Unique ID], tblMaster[Email_Clean], ""), "")</f>
        <v>edixjunior@hotmail.com</v>
      </c>
      <c r="E128" t="str">
        <f>IFERROR(_xlfn.XLOOKUP(tblLog[[#This Row],[Unique ID]], tblMaster[Unique ID], tblMaster[Phone], ""), "")</f>
        <v>781 907 0269</v>
      </c>
      <c r="F128" t="str">
        <f>IFERROR(_xlfn.XLOOKUP(tblLog[[#This Row],[Unique ID]], tblMaster[Unique ID], tblMaster[Recruiter], ""), "")</f>
        <v xml:space="preserve">Enrique Ortiz </v>
      </c>
      <c r="G128" t="str">
        <f>IFERROR(_xlfn.XLOOKUP(tblLog[[#This Row],[Unique ID]], tblMaster[Unique ID], tblMaster[Recruitment Cycle], ""), "")</f>
        <v xml:space="preserve">Re-Engagment </v>
      </c>
      <c r="H128" t="s">
        <v>7455</v>
      </c>
      <c r="I128" t="s">
        <v>7434</v>
      </c>
      <c r="J128" s="3">
        <v>3</v>
      </c>
      <c r="K128" t="s">
        <v>7435</v>
      </c>
      <c r="L128" s="2">
        <v>46059</v>
      </c>
      <c r="M128" t="s">
        <v>7452</v>
      </c>
      <c r="N128" t="s">
        <v>7475</v>
      </c>
      <c r="P128">
        <f ca="1">IF(tblLog[[#This Row],[Log Date]]="","",TODAY()-tblLog[[#This Row],[Log Date]])</f>
        <v>20</v>
      </c>
      <c r="Q128" t="str">
        <f>IF(tblLog[[#This Row],[Log Date]]="","",IF(TRIM(tblLog[[#This Row],[Cycle Stage]])="Asked to be removed from database","NO","YES"))</f>
        <v>YES</v>
      </c>
      <c r="R1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29" spans="1:18" ht="15" customHeight="1">
      <c r="A129" t="s">
        <v>7667</v>
      </c>
      <c r="B129" t="str">
        <f>IFERROR(_xlfn.XLOOKUP(tblLog[[#This Row],[Unique ID]], tblMaster[Unique ID], tblMaster[First Name], ""), "")</f>
        <v xml:space="preserve">Andrew </v>
      </c>
      <c r="C129" t="str">
        <f>IFERROR(_xlfn.XLOOKUP(tblLog[[#This Row],[Unique ID]], tblMaster[Unique ID], tblMaster[Last Name], ""), "")</f>
        <v xml:space="preserve">Lindsey </v>
      </c>
      <c r="D129" t="str">
        <f>IFERROR(_xlfn.XLOOKUP(tblLog[[#This Row],[Unique ID]], tblMaster[Unique ID], tblMaster[Email_Clean], ""), "")</f>
        <v>drewlinds89@gmail.com</v>
      </c>
      <c r="E129" t="str">
        <f>IFERROR(_xlfn.XLOOKUP(tblLog[[#This Row],[Unique ID]], tblMaster[Unique ID], tblMaster[Phone], ""), "")</f>
        <v xml:space="preserve">857) 236-4947 </v>
      </c>
      <c r="F129" t="str">
        <f>IFERROR(_xlfn.XLOOKUP(tblLog[[#This Row],[Unique ID]], tblMaster[Unique ID], tblMaster[Recruiter], ""), "")</f>
        <v xml:space="preserve">Enrique Ortiz </v>
      </c>
      <c r="G129" t="str">
        <f>IFERROR(_xlfn.XLOOKUP(tblLog[[#This Row],[Unique ID]], tblMaster[Unique ID], tblMaster[Recruitment Cycle], ""), "")</f>
        <v xml:space="preserve">Re-Engagment </v>
      </c>
      <c r="H129" t="s">
        <v>7455</v>
      </c>
      <c r="I129" t="s">
        <v>7434</v>
      </c>
      <c r="J129" s="3">
        <v>3</v>
      </c>
      <c r="K129" t="s">
        <v>7435</v>
      </c>
      <c r="L129" s="2">
        <v>46059</v>
      </c>
      <c r="M129" t="s">
        <v>7452</v>
      </c>
      <c r="N129" t="s">
        <v>7475</v>
      </c>
      <c r="P129">
        <f ca="1">IF(tblLog[[#This Row],[Log Date]]="","",TODAY()-tblLog[[#This Row],[Log Date]])</f>
        <v>20</v>
      </c>
      <c r="Q129" t="str">
        <f>IF(tblLog[[#This Row],[Log Date]]="","",IF(TRIM(tblLog[[#This Row],[Cycle Stage]])="Asked to be removed from database","NO","YES"))</f>
        <v>YES</v>
      </c>
      <c r="R1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0" spans="1:18" ht="15" customHeight="1">
      <c r="A130" t="s">
        <v>7668</v>
      </c>
      <c r="B130" t="str">
        <f>IFERROR(_xlfn.XLOOKUP(tblLog[[#This Row],[Unique ID]], tblMaster[Unique ID], tblMaster[First Name], ""), "")</f>
        <v xml:space="preserve">Bernard </v>
      </c>
      <c r="C130" t="str">
        <f>IFERROR(_xlfn.XLOOKUP(tblLog[[#This Row],[Unique ID]], tblMaster[Unique ID], tblMaster[Last Name], ""), "")</f>
        <v xml:space="preserve"> Quainoo </v>
      </c>
      <c r="D130" t="str">
        <f>IFERROR(_xlfn.XLOOKUP(tblLog[[#This Row],[Unique ID]], tblMaster[Unique ID], tblMaster[Email_Clean], ""), "")</f>
        <v>nanakaci@yahoo.com</v>
      </c>
      <c r="E130" t="str">
        <f>IFERROR(_xlfn.XLOOKUP(tblLog[[#This Row],[Unique ID]], tblMaster[Unique ID], tblMaster[Phone], ""), "")</f>
        <v xml:space="preserve">(347) 278-0003 </v>
      </c>
      <c r="F130" t="str">
        <f>IFERROR(_xlfn.XLOOKUP(tblLog[[#This Row],[Unique ID]], tblMaster[Unique ID], tblMaster[Recruiter], ""), "")</f>
        <v xml:space="preserve">Enrique Ortiz </v>
      </c>
      <c r="G130" t="str">
        <f>IFERROR(_xlfn.XLOOKUP(tblLog[[#This Row],[Unique ID]], tblMaster[Unique ID], tblMaster[Recruitment Cycle], ""), "")</f>
        <v xml:space="preserve">Re-Engagment </v>
      </c>
      <c r="H130" t="s">
        <v>7455</v>
      </c>
      <c r="I130" t="s">
        <v>4</v>
      </c>
      <c r="J130" s="3">
        <v>2</v>
      </c>
      <c r="K130" t="s">
        <v>7472</v>
      </c>
      <c r="L130" s="2">
        <v>46059</v>
      </c>
      <c r="M130" t="s">
        <v>7485</v>
      </c>
      <c r="N130" t="s">
        <v>7475</v>
      </c>
      <c r="P130">
        <f ca="1">IF(tblLog[[#This Row],[Log Date]]="","",TODAY()-tblLog[[#This Row],[Log Date]])</f>
        <v>20</v>
      </c>
      <c r="Q130" t="str">
        <f>IF(tblLog[[#This Row],[Log Date]]="","",IF(TRIM(tblLog[[#This Row],[Cycle Stage]])="Asked to be removed from database","NO","YES"))</f>
        <v>YES</v>
      </c>
      <c r="R1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1" spans="1:18" ht="15" customHeight="1">
      <c r="A131" t="s">
        <v>7669</v>
      </c>
      <c r="B131" t="str">
        <f>IFERROR(_xlfn.XLOOKUP(tblLog[[#This Row],[Unique ID]], tblMaster[Unique ID], tblMaster[First Name], ""), "")</f>
        <v xml:space="preserve">Kathy </v>
      </c>
      <c r="C131" t="str">
        <f>IFERROR(_xlfn.XLOOKUP(tblLog[[#This Row],[Unique ID]], tblMaster[Unique ID], tblMaster[Last Name], ""), "")</f>
        <v xml:space="preserve"> Delevry </v>
      </c>
      <c r="D131" t="str">
        <f>IFERROR(_xlfn.XLOOKUP(tblLog[[#This Row],[Unique ID]], tblMaster[Unique ID], tblMaster[Email_Clean], ""), "")</f>
        <v>katdeluny19@gmail.com</v>
      </c>
      <c r="E131" t="str">
        <f>IFERROR(_xlfn.XLOOKUP(tblLog[[#This Row],[Unique ID]], tblMaster[Unique ID], tblMaster[Phone], ""), "")</f>
        <v xml:space="preserve">(754) 231-5584 </v>
      </c>
      <c r="F131" t="str">
        <f>IFERROR(_xlfn.XLOOKUP(tblLog[[#This Row],[Unique ID]], tblMaster[Unique ID], tblMaster[Recruiter], ""), "")</f>
        <v xml:space="preserve">Enrique Ortiz </v>
      </c>
      <c r="G131" t="str">
        <f>IFERROR(_xlfn.XLOOKUP(tblLog[[#This Row],[Unique ID]], tblMaster[Unique ID], tblMaster[Recruitment Cycle], ""), "")</f>
        <v xml:space="preserve">Re-Engagment </v>
      </c>
      <c r="H131" t="s">
        <v>7455</v>
      </c>
      <c r="I131" t="s">
        <v>4</v>
      </c>
      <c r="J131" s="3">
        <v>2</v>
      </c>
      <c r="K131" t="s">
        <v>7472</v>
      </c>
      <c r="L131" s="2">
        <v>46059</v>
      </c>
      <c r="M131" t="s">
        <v>7485</v>
      </c>
      <c r="N131" t="s">
        <v>7475</v>
      </c>
      <c r="P131">
        <f ca="1">IF(tblLog[[#This Row],[Log Date]]="","",TODAY()-tblLog[[#This Row],[Log Date]])</f>
        <v>20</v>
      </c>
      <c r="Q131" t="str">
        <f>IF(tblLog[[#This Row],[Log Date]]="","",IF(TRIM(tblLog[[#This Row],[Cycle Stage]])="Asked to be removed from database","NO","YES"))</f>
        <v>YES</v>
      </c>
      <c r="R1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2" spans="1:18" ht="15" customHeight="1">
      <c r="A132" t="s">
        <v>7670</v>
      </c>
      <c r="B132" t="str">
        <f>IFERROR(_xlfn.XLOOKUP(tblLog[[#This Row],[Unique ID]], tblMaster[Unique ID], tblMaster[First Name], ""), "")</f>
        <v xml:space="preserve">Brooke </v>
      </c>
      <c r="C132" t="str">
        <f>IFERROR(_xlfn.XLOOKUP(tblLog[[#This Row],[Unique ID]], tblMaster[Unique ID], tblMaster[Last Name], ""), "")</f>
        <v xml:space="preserve">Harrington </v>
      </c>
      <c r="D132" t="str">
        <f>IFERROR(_xlfn.XLOOKUP(tblLog[[#This Row],[Unique ID]], tblMaster[Unique ID], tblMaster[Email_Clean], ""), "")</f>
        <v>brkhrrngtn@gmail.com</v>
      </c>
      <c r="E132" t="str">
        <f>IFERROR(_xlfn.XLOOKUP(tblLog[[#This Row],[Unique ID]], tblMaster[Unique ID], tblMaster[Phone], ""), "")</f>
        <v xml:space="preserve">(781) 476-3062 </v>
      </c>
      <c r="F132" t="str">
        <f>IFERROR(_xlfn.XLOOKUP(tblLog[[#This Row],[Unique ID]], tblMaster[Unique ID], tblMaster[Recruiter], ""), "")</f>
        <v xml:space="preserve">Enrique Ortiz </v>
      </c>
      <c r="G132" t="str">
        <f>IFERROR(_xlfn.XLOOKUP(tblLog[[#This Row],[Unique ID]], tblMaster[Unique ID], tblMaster[Recruitment Cycle], ""), "")</f>
        <v xml:space="preserve">Re-Engagment </v>
      </c>
      <c r="H132" t="s">
        <v>7455</v>
      </c>
      <c r="I132" t="s">
        <v>7434</v>
      </c>
      <c r="J132" s="3">
        <v>3</v>
      </c>
      <c r="K132" t="s">
        <v>7491</v>
      </c>
      <c r="L132" s="2">
        <v>46059</v>
      </c>
      <c r="M132" t="s">
        <v>7508</v>
      </c>
      <c r="N132" t="s">
        <v>7475</v>
      </c>
      <c r="P132">
        <f ca="1">IF(tblLog[[#This Row],[Log Date]]="","",TODAY()-tblLog[[#This Row],[Log Date]])</f>
        <v>20</v>
      </c>
      <c r="Q132" t="str">
        <f>IF(tblLog[[#This Row],[Log Date]]="","",IF(TRIM(tblLog[[#This Row],[Cycle Stage]])="Asked to be removed from database","NO","YES"))</f>
        <v>YES</v>
      </c>
      <c r="R1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3" spans="1:18" ht="15" customHeight="1">
      <c r="A133" t="s">
        <v>7671</v>
      </c>
      <c r="B133" t="str">
        <f>IFERROR(_xlfn.XLOOKUP(tblLog[[#This Row],[Unique ID]], tblMaster[Unique ID], tblMaster[First Name], ""), "")</f>
        <v xml:space="preserve">Joshua </v>
      </c>
      <c r="C133" t="str">
        <f>IFERROR(_xlfn.XLOOKUP(tblLog[[#This Row],[Unique ID]], tblMaster[Unique ID], tblMaster[Last Name], ""), "")</f>
        <v xml:space="preserve">Mongeau </v>
      </c>
      <c r="D133" t="str">
        <f>IFERROR(_xlfn.XLOOKUP(tblLog[[#This Row],[Unique ID]], tblMaster[Unique ID], tblMaster[Email_Clean], ""), "")</f>
        <v>j.mongeau1289@gmail.com</v>
      </c>
      <c r="E133" t="str">
        <f>IFERROR(_xlfn.XLOOKUP(tblLog[[#This Row],[Unique ID]], tblMaster[Unique ID], tblMaster[Phone], ""), "")</f>
        <v xml:space="preserve">774)420-9730 </v>
      </c>
      <c r="F133" t="str">
        <f>IFERROR(_xlfn.XLOOKUP(tblLog[[#This Row],[Unique ID]], tblMaster[Unique ID], tblMaster[Recruiter], ""), "")</f>
        <v xml:space="preserve">Enrique Ortiz </v>
      </c>
      <c r="G133" t="str">
        <f>IFERROR(_xlfn.XLOOKUP(tblLog[[#This Row],[Unique ID]], tblMaster[Unique ID], tblMaster[Recruitment Cycle], ""), "")</f>
        <v xml:space="preserve">Re-Engagment </v>
      </c>
      <c r="H133" t="s">
        <v>7455</v>
      </c>
      <c r="I133" t="s">
        <v>4</v>
      </c>
      <c r="J133" s="3">
        <v>2</v>
      </c>
      <c r="K133" t="s">
        <v>7472</v>
      </c>
      <c r="L133" s="2">
        <v>46059</v>
      </c>
      <c r="M133" t="s">
        <v>7615</v>
      </c>
      <c r="N133" t="s">
        <v>7475</v>
      </c>
      <c r="P133">
        <f ca="1">IF(tblLog[[#This Row],[Log Date]]="","",TODAY()-tblLog[[#This Row],[Log Date]])</f>
        <v>20</v>
      </c>
      <c r="Q133" t="str">
        <f>IF(tblLog[[#This Row],[Log Date]]="","",IF(TRIM(tblLog[[#This Row],[Cycle Stage]])="Asked to be removed from database","NO","YES"))</f>
        <v>YES</v>
      </c>
      <c r="R1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4" spans="1:18" ht="15" customHeight="1">
      <c r="A134" t="s">
        <v>7672</v>
      </c>
      <c r="B134" t="str">
        <f>IFERROR(_xlfn.XLOOKUP(tblLog[[#This Row],[Unique ID]], tblMaster[Unique ID], tblMaster[First Name], ""), "")</f>
        <v>Brent</v>
      </c>
      <c r="C134" t="str">
        <f>IFERROR(_xlfn.XLOOKUP(tblLog[[#This Row],[Unique ID]], tblMaster[Unique ID], tblMaster[Last Name], ""), "")</f>
        <v xml:space="preserve"> Aucoin </v>
      </c>
      <c r="D134" t="str">
        <f>IFERROR(_xlfn.XLOOKUP(tblLog[[#This Row],[Unique ID]], tblMaster[Unique ID], tblMaster[Email_Clean], ""), "")</f>
        <v>brnt556@gmail.com</v>
      </c>
      <c r="E134" t="str">
        <f>IFERROR(_xlfn.XLOOKUP(tblLog[[#This Row],[Unique ID]], tblMaster[Unique ID], tblMaster[Phone], ""), "")</f>
        <v xml:space="preserve">508)844-1644 </v>
      </c>
      <c r="F134" t="str">
        <f>IFERROR(_xlfn.XLOOKUP(tblLog[[#This Row],[Unique ID]], tblMaster[Unique ID], tblMaster[Recruiter], ""), "")</f>
        <v xml:space="preserve">Enrique Ortiz </v>
      </c>
      <c r="G134" t="str">
        <f>IFERROR(_xlfn.XLOOKUP(tblLog[[#This Row],[Unique ID]], tblMaster[Unique ID], tblMaster[Recruitment Cycle], ""), "")</f>
        <v xml:space="preserve">Re-Engagment </v>
      </c>
      <c r="H134" t="s">
        <v>7455</v>
      </c>
      <c r="I134" t="s">
        <v>7494</v>
      </c>
      <c r="J134" s="3">
        <v>3</v>
      </c>
      <c r="K134" t="s">
        <v>7491</v>
      </c>
      <c r="L134" s="2">
        <v>46059</v>
      </c>
      <c r="M134" t="s">
        <v>7508</v>
      </c>
      <c r="N134" t="s">
        <v>7475</v>
      </c>
      <c r="P134">
        <f ca="1">IF(tblLog[[#This Row],[Log Date]]="","",TODAY()-tblLog[[#This Row],[Log Date]])</f>
        <v>20</v>
      </c>
      <c r="Q134" t="str">
        <f>IF(tblLog[[#This Row],[Log Date]]="","",IF(TRIM(tblLog[[#This Row],[Cycle Stage]])="Asked to be removed from database","NO","YES"))</f>
        <v>YES</v>
      </c>
      <c r="R1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5" spans="1:18" ht="15" customHeight="1">
      <c r="A135" t="s">
        <v>7673</v>
      </c>
      <c r="B135" t="str">
        <f>IFERROR(_xlfn.XLOOKUP(tblLog[[#This Row],[Unique ID]], tblMaster[Unique ID], tblMaster[First Name], ""), "")</f>
        <v xml:space="preserve">Synia </v>
      </c>
      <c r="C135" t="str">
        <f>IFERROR(_xlfn.XLOOKUP(tblLog[[#This Row],[Unique ID]], tblMaster[Unique ID], tblMaster[Last Name], ""), "")</f>
        <v>Edwards</v>
      </c>
      <c r="D135" t="str">
        <f>IFERROR(_xlfn.XLOOKUP(tblLog[[#This Row],[Unique ID]], tblMaster[Unique ID], tblMaster[Email_Clean], ""), "")</f>
        <v>syniaedwards@gmail.com</v>
      </c>
      <c r="E135" t="str">
        <f>IFERROR(_xlfn.XLOOKUP(tblLog[[#This Row],[Unique ID]], tblMaster[Unique ID], tblMaster[Phone], ""), "")</f>
        <v>617)-308-3043</v>
      </c>
      <c r="F135" t="str">
        <f>IFERROR(_xlfn.XLOOKUP(tblLog[[#This Row],[Unique ID]], tblMaster[Unique ID], tblMaster[Recruiter], ""), "")</f>
        <v xml:space="preserve">Enrique Ortiz </v>
      </c>
      <c r="G135" t="str">
        <f>IFERROR(_xlfn.XLOOKUP(tblLog[[#This Row],[Unique ID]], tblMaster[Unique ID], tblMaster[Recruitment Cycle], ""), "")</f>
        <v xml:space="preserve">Re-Engagment </v>
      </c>
      <c r="H135" t="s">
        <v>7455</v>
      </c>
      <c r="I135" t="s">
        <v>7434</v>
      </c>
      <c r="J135" s="3">
        <v>2</v>
      </c>
      <c r="K135" t="s">
        <v>7472</v>
      </c>
      <c r="L135" s="2">
        <v>46059</v>
      </c>
      <c r="M135" t="s">
        <v>7615</v>
      </c>
      <c r="N135" t="s">
        <v>7475</v>
      </c>
      <c r="P135">
        <f ca="1">IF(tblLog[[#This Row],[Log Date]]="","",TODAY()-tblLog[[#This Row],[Log Date]])</f>
        <v>20</v>
      </c>
      <c r="Q135" t="str">
        <f>IF(tblLog[[#This Row],[Log Date]]="","",IF(TRIM(tblLog[[#This Row],[Cycle Stage]])="Asked to be removed from database","NO","YES"))</f>
        <v>YES</v>
      </c>
      <c r="R1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6" spans="1:18" ht="15" customHeight="1">
      <c r="A136" t="s">
        <v>7674</v>
      </c>
      <c r="B136" t="str">
        <f>IFERROR(_xlfn.XLOOKUP(tblLog[[#This Row],[Unique ID]], tblMaster[Unique ID], tblMaster[First Name], ""), "")</f>
        <v>Patrick</v>
      </c>
      <c r="C136" t="str">
        <f>IFERROR(_xlfn.XLOOKUP(tblLog[[#This Row],[Unique ID]], tblMaster[Unique ID], tblMaster[Last Name], ""), "")</f>
        <v>Languzzi</v>
      </c>
      <c r="D136" t="str">
        <f>IFERROR(_xlfn.XLOOKUP(tblLog[[#This Row],[Unique ID]], tblMaster[Unique ID], tblMaster[Email_Clean], ""), "")</f>
        <v>patricklanguzzi@gmail.com</v>
      </c>
      <c r="E136" t="str">
        <f>IFERROR(_xlfn.XLOOKUP(tblLog[[#This Row],[Unique ID]], tblMaster[Unique ID], tblMaster[Phone], ""), "")</f>
        <v>978-809-4129</v>
      </c>
      <c r="F136" t="str">
        <f>IFERROR(_xlfn.XLOOKUP(tblLog[[#This Row],[Unique ID]], tblMaster[Unique ID], tblMaster[Recruiter], ""), "")</f>
        <v xml:space="preserve">Enrique Ortiz </v>
      </c>
      <c r="G136" t="str">
        <f>IFERROR(_xlfn.XLOOKUP(tblLog[[#This Row],[Unique ID]], tblMaster[Unique ID], tblMaster[Recruitment Cycle], ""), "")</f>
        <v xml:space="preserve">Re-Engagment </v>
      </c>
      <c r="H136" t="s">
        <v>7455</v>
      </c>
      <c r="I136" t="s">
        <v>7494</v>
      </c>
      <c r="J136" s="3">
        <v>3</v>
      </c>
      <c r="K136" t="s">
        <v>7491</v>
      </c>
      <c r="L136" s="2">
        <v>46059</v>
      </c>
      <c r="M136" t="s">
        <v>7508</v>
      </c>
      <c r="N136" t="s">
        <v>7475</v>
      </c>
      <c r="P136">
        <f ca="1">IF(tblLog[[#This Row],[Log Date]]="","",TODAY()-tblLog[[#This Row],[Log Date]])</f>
        <v>20</v>
      </c>
      <c r="Q136" t="str">
        <f>IF(tblLog[[#This Row],[Log Date]]="","",IF(TRIM(tblLog[[#This Row],[Cycle Stage]])="Asked to be removed from database","NO","YES"))</f>
        <v>YES</v>
      </c>
      <c r="R1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7" spans="1:18" ht="15" customHeight="1">
      <c r="A137" t="s">
        <v>7675</v>
      </c>
      <c r="B137" t="str">
        <f>IFERROR(_xlfn.XLOOKUP(tblLog[[#This Row],[Unique ID]], tblMaster[Unique ID], tblMaster[First Name], ""), "")</f>
        <v>Imanuel</v>
      </c>
      <c r="C137" t="str">
        <f>IFERROR(_xlfn.XLOOKUP(tblLog[[#This Row],[Unique ID]], tblMaster[Unique ID], tblMaster[Last Name], ""), "")</f>
        <v xml:space="preserve"> Fernandes </v>
      </c>
      <c r="D137" t="str">
        <f>IFERROR(_xlfn.XLOOKUP(tblLog[[#This Row],[Unique ID]], tblMaster[Unique ID], tblMaster[Email_Clean], ""), "")</f>
        <v>imanuelfernandes17@gmail.com</v>
      </c>
      <c r="E137" t="str">
        <f>IFERROR(_xlfn.XLOOKUP(tblLog[[#This Row],[Unique ID]], tblMaster[Unique ID], tblMaster[Phone], ""), "")</f>
        <v xml:space="preserve">(774) 259-7545 </v>
      </c>
      <c r="F137" t="str">
        <f>IFERROR(_xlfn.XLOOKUP(tblLog[[#This Row],[Unique ID]], tblMaster[Unique ID], tblMaster[Recruiter], ""), "")</f>
        <v xml:space="preserve">Enrique Ortiz </v>
      </c>
      <c r="G137" t="str">
        <f>IFERROR(_xlfn.XLOOKUP(tblLog[[#This Row],[Unique ID]], tblMaster[Unique ID], tblMaster[Recruitment Cycle], ""), "")</f>
        <v xml:space="preserve">Re-Engagment </v>
      </c>
      <c r="H137" t="s">
        <v>7455</v>
      </c>
      <c r="I137" t="s">
        <v>7494</v>
      </c>
      <c r="J137" s="3">
        <v>3</v>
      </c>
      <c r="K137" t="s">
        <v>7491</v>
      </c>
      <c r="L137" s="2">
        <v>46059</v>
      </c>
      <c r="M137" t="s">
        <v>7508</v>
      </c>
      <c r="N137" t="s">
        <v>7475</v>
      </c>
      <c r="P137">
        <f ca="1">IF(tblLog[[#This Row],[Log Date]]="","",TODAY()-tblLog[[#This Row],[Log Date]])</f>
        <v>20</v>
      </c>
      <c r="Q137" t="str">
        <f>IF(tblLog[[#This Row],[Log Date]]="","",IF(TRIM(tblLog[[#This Row],[Cycle Stage]])="Asked to be removed from database","NO","YES"))</f>
        <v>YES</v>
      </c>
      <c r="R1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8" spans="1:18" ht="15" customHeight="1">
      <c r="A138" t="s">
        <v>7676</v>
      </c>
      <c r="B138" t="str">
        <f>IFERROR(_xlfn.XLOOKUP(tblLog[[#This Row],[Unique ID]], tblMaster[Unique ID], tblMaster[First Name], ""), "")</f>
        <v>Nyzalie</v>
      </c>
      <c r="C138" t="str">
        <f>IFERROR(_xlfn.XLOOKUP(tblLog[[#This Row],[Unique ID]], tblMaster[Unique ID], tblMaster[Last Name], ""), "")</f>
        <v>Calderon</v>
      </c>
      <c r="D138" t="str">
        <f>IFERROR(_xlfn.XLOOKUP(tblLog[[#This Row],[Unique ID]], tblMaster[Unique ID], tblMaster[Email_Clean], ""), "")</f>
        <v>calderonnyzalie@gmail.com</v>
      </c>
      <c r="E138" t="str">
        <f>IFERROR(_xlfn.XLOOKUP(tblLog[[#This Row],[Unique ID]], tblMaster[Unique ID], tblMaster[Phone], ""), "")</f>
        <v>508-202-8369</v>
      </c>
      <c r="F138" t="str">
        <f>IFERROR(_xlfn.XLOOKUP(tblLog[[#This Row],[Unique ID]], tblMaster[Unique ID], tblMaster[Recruiter], ""), "")</f>
        <v xml:space="preserve">Enrique Ortiz </v>
      </c>
      <c r="G138" t="str">
        <f>IFERROR(_xlfn.XLOOKUP(tblLog[[#This Row],[Unique ID]], tblMaster[Unique ID], tblMaster[Recruitment Cycle], ""), "")</f>
        <v xml:space="preserve">Re-Engagment </v>
      </c>
      <c r="H138" t="s">
        <v>7455</v>
      </c>
      <c r="I138" t="s">
        <v>7494</v>
      </c>
      <c r="J138" s="3">
        <v>3</v>
      </c>
      <c r="K138" t="s">
        <v>7491</v>
      </c>
      <c r="L138" s="2">
        <v>46059</v>
      </c>
      <c r="M138" t="s">
        <v>7508</v>
      </c>
      <c r="N138" t="s">
        <v>7475</v>
      </c>
      <c r="P138">
        <f ca="1">IF(tblLog[[#This Row],[Log Date]]="","",TODAY()-tblLog[[#This Row],[Log Date]])</f>
        <v>20</v>
      </c>
      <c r="Q138" t="str">
        <f>IF(tblLog[[#This Row],[Log Date]]="","",IF(TRIM(tblLog[[#This Row],[Cycle Stage]])="Asked to be removed from database","NO","YES"))</f>
        <v>YES</v>
      </c>
      <c r="R1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39" spans="1:18" ht="15" customHeight="1">
      <c r="A139" t="s">
        <v>7677</v>
      </c>
      <c r="B139" t="str">
        <f>IFERROR(_xlfn.XLOOKUP(tblLog[[#This Row],[Unique ID]], tblMaster[Unique ID], tblMaster[First Name], ""), "")</f>
        <v xml:space="preserve">Steven </v>
      </c>
      <c r="C139" t="str">
        <f>IFERROR(_xlfn.XLOOKUP(tblLog[[#This Row],[Unique ID]], tblMaster[Unique ID], tblMaster[Last Name], ""), "")</f>
        <v>Pothier</v>
      </c>
      <c r="D139" t="str">
        <f>IFERROR(_xlfn.XLOOKUP(tblLog[[#This Row],[Unique ID]], tblMaster[Unique ID], tblMaster[Email_Clean], ""), "")</f>
        <v>stevenpothier1968@gmail.com</v>
      </c>
      <c r="E139" t="str">
        <f>IFERROR(_xlfn.XLOOKUP(tblLog[[#This Row],[Unique ID]], tblMaster[Unique ID], tblMaster[Phone], ""), "")</f>
        <v>(401) 602-5052</v>
      </c>
      <c r="F139" t="str">
        <f>IFERROR(_xlfn.XLOOKUP(tblLog[[#This Row],[Unique ID]], tblMaster[Unique ID], tblMaster[Recruiter], ""), "")</f>
        <v>Zenon Moses</v>
      </c>
      <c r="G139" t="str">
        <f>IFERROR(_xlfn.XLOOKUP(tblLog[[#This Row],[Unique ID]], tblMaster[Unique ID], tblMaster[Recruitment Cycle], ""), "")</f>
        <v xml:space="preserve">New Submission/ Lead </v>
      </c>
      <c r="H139" t="s">
        <v>7455</v>
      </c>
      <c r="I139" t="s">
        <v>7434</v>
      </c>
      <c r="J139" s="3"/>
      <c r="K139" t="s">
        <v>7435</v>
      </c>
      <c r="L139" s="2">
        <v>46059</v>
      </c>
      <c r="M139" t="s">
        <v>7508</v>
      </c>
      <c r="N139" t="s">
        <v>7481</v>
      </c>
      <c r="O139" t="s">
        <v>7678</v>
      </c>
      <c r="P139">
        <f ca="1">IF(tblLog[[#This Row],[Log Date]]="","",TODAY()-tblLog[[#This Row],[Log Date]])</f>
        <v>20</v>
      </c>
      <c r="Q139" t="str">
        <f>IF(tblLog[[#This Row],[Log Date]]="","",IF(TRIM(tblLog[[#This Row],[Cycle Stage]])="Asked to be removed from database","NO","YES"))</f>
        <v>YES</v>
      </c>
      <c r="R1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0" spans="1:18" ht="15" customHeight="1">
      <c r="A140" t="s">
        <v>7679</v>
      </c>
      <c r="B140" t="str">
        <f>IFERROR(_xlfn.XLOOKUP(tblLog[[#This Row],[Unique ID]], tblMaster[Unique ID], tblMaster[First Name], ""), "")</f>
        <v xml:space="preserve">Henry </v>
      </c>
      <c r="C140" t="str">
        <f>IFERROR(_xlfn.XLOOKUP(tblLog[[#This Row],[Unique ID]], tblMaster[Unique ID], tblMaster[Last Name], ""), "")</f>
        <v>Flores</v>
      </c>
      <c r="D140" t="str">
        <f>IFERROR(_xlfn.XLOOKUP(tblLog[[#This Row],[Unique ID]], tblMaster[Unique ID], tblMaster[Email_Clean], ""), "")</f>
        <v>henryflores97@gmail.com</v>
      </c>
      <c r="E140" t="str">
        <f>IFERROR(_xlfn.XLOOKUP(tblLog[[#This Row],[Unique ID]], tblMaster[Unique ID], tblMaster[Phone], ""), "")</f>
        <v>857-334-9026</v>
      </c>
      <c r="F140" t="str">
        <f>IFERROR(_xlfn.XLOOKUP(tblLog[[#This Row],[Unique ID]], tblMaster[Unique ID], tblMaster[Recruiter], ""), "")</f>
        <v xml:space="preserve">Enrique Ortiz </v>
      </c>
      <c r="G140" t="str">
        <f>IFERROR(_xlfn.XLOOKUP(tblLog[[#This Row],[Unique ID]], tblMaster[Unique ID], tblMaster[Recruitment Cycle], ""), "")</f>
        <v xml:space="preserve">Re-Engagment </v>
      </c>
      <c r="H140" t="s">
        <v>7455</v>
      </c>
      <c r="I140" t="s">
        <v>7494</v>
      </c>
      <c r="J140" s="3">
        <v>3</v>
      </c>
      <c r="K140" t="s">
        <v>7491</v>
      </c>
      <c r="L140" s="2">
        <v>46059</v>
      </c>
      <c r="M140" t="s">
        <v>7508</v>
      </c>
      <c r="N140" t="s">
        <v>7475</v>
      </c>
      <c r="P140">
        <f ca="1">IF(tblLog[[#This Row],[Log Date]]="","",TODAY()-tblLog[[#This Row],[Log Date]])</f>
        <v>20</v>
      </c>
      <c r="Q140" t="str">
        <f>IF(tblLog[[#This Row],[Log Date]]="","",IF(TRIM(tblLog[[#This Row],[Cycle Stage]])="Asked to be removed from database","NO","YES"))</f>
        <v>YES</v>
      </c>
      <c r="R1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1" spans="1:18" ht="15" customHeight="1">
      <c r="A141" t="s">
        <v>7680</v>
      </c>
      <c r="B141" t="str">
        <f>IFERROR(_xlfn.XLOOKUP(tblLog[[#This Row],[Unique ID]], tblMaster[Unique ID], tblMaster[First Name], ""), "")</f>
        <v xml:space="preserve">Nicholas </v>
      </c>
      <c r="C141" t="str">
        <f>IFERROR(_xlfn.XLOOKUP(tblLog[[#This Row],[Unique ID]], tblMaster[Unique ID], tblMaster[Last Name], ""), "")</f>
        <v xml:space="preserve"> Rolph </v>
      </c>
      <c r="D141" t="str">
        <f>IFERROR(_xlfn.XLOOKUP(tblLog[[#This Row],[Unique ID]], tblMaster[Unique ID], tblMaster[Email_Clean], ""), "")</f>
        <v>rolph.nick@gmail.com</v>
      </c>
      <c r="E141" t="str">
        <f>IFERROR(_xlfn.XLOOKUP(tblLog[[#This Row],[Unique ID]], tblMaster[Unique ID], tblMaster[Phone], ""), "")</f>
        <v xml:space="preserve">774)573 6815 </v>
      </c>
      <c r="F141" t="str">
        <f>IFERROR(_xlfn.XLOOKUP(tblLog[[#This Row],[Unique ID]], tblMaster[Unique ID], tblMaster[Recruiter], ""), "")</f>
        <v xml:space="preserve">Enrique Ortiz </v>
      </c>
      <c r="G141" t="str">
        <f>IFERROR(_xlfn.XLOOKUP(tblLog[[#This Row],[Unique ID]], tblMaster[Unique ID], tblMaster[Recruitment Cycle], ""), "")</f>
        <v xml:space="preserve">Re-Engagment </v>
      </c>
      <c r="H141" t="s">
        <v>7455</v>
      </c>
      <c r="I141" t="s">
        <v>7434</v>
      </c>
      <c r="J141" s="3">
        <v>1</v>
      </c>
      <c r="K141" t="s">
        <v>7472</v>
      </c>
      <c r="L141" s="2">
        <v>46059</v>
      </c>
      <c r="M141" t="s">
        <v>7615</v>
      </c>
      <c r="P141">
        <f ca="1">IF(tblLog[[#This Row],[Log Date]]="","",TODAY()-tblLog[[#This Row],[Log Date]])</f>
        <v>20</v>
      </c>
      <c r="Q141" t="str">
        <f>IF(tblLog[[#This Row],[Log Date]]="","",IF(TRIM(tblLog[[#This Row],[Cycle Stage]])="Asked to be removed from database","NO","YES"))</f>
        <v>YES</v>
      </c>
      <c r="R1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2" spans="1:18" ht="15" customHeight="1">
      <c r="A142" t="s">
        <v>7681</v>
      </c>
      <c r="B142" t="str">
        <f>IFERROR(_xlfn.XLOOKUP(tblLog[[#This Row],[Unique ID]], tblMaster[Unique ID], tblMaster[First Name], ""), "")</f>
        <v xml:space="preserve">Carlos </v>
      </c>
      <c r="C142" t="str">
        <f>IFERROR(_xlfn.XLOOKUP(tblLog[[#This Row],[Unique ID]], tblMaster[Unique ID], tblMaster[Last Name], ""), "")</f>
        <v xml:space="preserve"> Reyes</v>
      </c>
      <c r="D142" t="str">
        <f>IFERROR(_xlfn.XLOOKUP(tblLog[[#This Row],[Unique ID]], tblMaster[Unique ID], tblMaster[Email_Clean], ""), "")</f>
        <v>mrcarlosreyes3@gmail.com</v>
      </c>
      <c r="E142" t="str">
        <f>IFERROR(_xlfn.XLOOKUP(tblLog[[#This Row],[Unique ID]], tblMaster[Unique ID], tblMaster[Phone], ""), "")</f>
        <v>857-237-7005</v>
      </c>
      <c r="F142" t="str">
        <f>IFERROR(_xlfn.XLOOKUP(tblLog[[#This Row],[Unique ID]], tblMaster[Unique ID], tblMaster[Recruiter], ""), "")</f>
        <v xml:space="preserve">Enrique Ortiz </v>
      </c>
      <c r="G142" t="str">
        <f>IFERROR(_xlfn.XLOOKUP(tblLog[[#This Row],[Unique ID]], tblMaster[Unique ID], tblMaster[Recruitment Cycle], ""), "")</f>
        <v xml:space="preserve">Re-Engagment </v>
      </c>
      <c r="H142" t="s">
        <v>7455</v>
      </c>
      <c r="I142" t="s">
        <v>7434</v>
      </c>
      <c r="J142" s="3">
        <v>3</v>
      </c>
      <c r="K142" t="s">
        <v>7435</v>
      </c>
      <c r="L142" s="2">
        <v>46059</v>
      </c>
      <c r="M142" t="s">
        <v>7452</v>
      </c>
      <c r="N142" t="s">
        <v>7475</v>
      </c>
      <c r="P142">
        <f ca="1">IF(tblLog[[#This Row],[Log Date]]="","",TODAY()-tblLog[[#This Row],[Log Date]])</f>
        <v>20</v>
      </c>
      <c r="Q142" t="str">
        <f>IF(tblLog[[#This Row],[Log Date]]="","",IF(TRIM(tblLog[[#This Row],[Cycle Stage]])="Asked to be removed from database","NO","YES"))</f>
        <v>YES</v>
      </c>
      <c r="R1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3" spans="1:18" ht="15" customHeight="1">
      <c r="A143" t="s">
        <v>7682</v>
      </c>
      <c r="B143" t="str">
        <f>IFERROR(_xlfn.XLOOKUP(tblLog[[#This Row],[Unique ID]], tblMaster[Unique ID], tblMaster[First Name], ""), "")</f>
        <v xml:space="preserve">Brixsoma </v>
      </c>
      <c r="C143" t="str">
        <f>IFERROR(_xlfn.XLOOKUP(tblLog[[#This Row],[Unique ID]], tblMaster[Unique ID], tblMaster[Last Name], ""), "")</f>
        <v xml:space="preserve">Elliott </v>
      </c>
      <c r="D143" t="str">
        <f>IFERROR(_xlfn.XLOOKUP(tblLog[[#This Row],[Unique ID]], tblMaster[Unique ID], tblMaster[Email_Clean], ""), "")</f>
        <v>brixsonaelliott@gmail.com</v>
      </c>
      <c r="E143" t="str">
        <f>IFERROR(_xlfn.XLOOKUP(tblLog[[#This Row],[Unique ID]], tblMaster[Unique ID], tblMaster[Phone], ""), "")</f>
        <v>(617-785-2029)</v>
      </c>
      <c r="F143" t="str">
        <f>IFERROR(_xlfn.XLOOKUP(tblLog[[#This Row],[Unique ID]], tblMaster[Unique ID], tblMaster[Recruiter], ""), "")</f>
        <v xml:space="preserve">Enrique Ortiz </v>
      </c>
      <c r="G143" t="str">
        <f>IFERROR(_xlfn.XLOOKUP(tblLog[[#This Row],[Unique ID]], tblMaster[Unique ID], tblMaster[Recruitment Cycle], ""), "")</f>
        <v xml:space="preserve">Re-Engagment </v>
      </c>
      <c r="H143" t="s">
        <v>7455</v>
      </c>
      <c r="I143" t="s">
        <v>7494</v>
      </c>
      <c r="J143" s="3">
        <v>3</v>
      </c>
      <c r="K143" t="s">
        <v>7491</v>
      </c>
      <c r="L143" s="2">
        <v>46059</v>
      </c>
      <c r="M143" t="s">
        <v>7508</v>
      </c>
      <c r="N143" t="s">
        <v>7475</v>
      </c>
      <c r="P143">
        <f ca="1">IF(tblLog[[#This Row],[Log Date]]="","",TODAY()-tblLog[[#This Row],[Log Date]])</f>
        <v>20</v>
      </c>
      <c r="Q143" t="str">
        <f>IF(tblLog[[#This Row],[Log Date]]="","",IF(TRIM(tblLog[[#This Row],[Cycle Stage]])="Asked to be removed from database","NO","YES"))</f>
        <v>YES</v>
      </c>
      <c r="R1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4" spans="1:18" ht="15" customHeight="1">
      <c r="A144" t="s">
        <v>7683</v>
      </c>
      <c r="B144" t="str">
        <f>IFERROR(_xlfn.XLOOKUP(tblLog[[#This Row],[Unique ID]], tblMaster[Unique ID], tblMaster[First Name], ""), "")</f>
        <v>Jean</v>
      </c>
      <c r="C144" t="str">
        <f>IFERROR(_xlfn.XLOOKUP(tblLog[[#This Row],[Unique ID]], tblMaster[Unique ID], tblMaster[Last Name], ""), "")</f>
        <v>Patrick Brazier</v>
      </c>
      <c r="D144" t="str">
        <f>IFERROR(_xlfn.XLOOKUP(tblLog[[#This Row],[Unique ID]], tblMaster[Unique ID], tblMaster[Email_Clean], ""), "")</f>
        <v>jpb9786@yahoo.com</v>
      </c>
      <c r="E144" t="str">
        <f>IFERROR(_xlfn.XLOOKUP(tblLog[[#This Row],[Unique ID]], tblMaster[Unique ID], tblMaster[Phone], ""), "")</f>
        <v>857-231-0127</v>
      </c>
      <c r="F144" t="str">
        <f>IFERROR(_xlfn.XLOOKUP(tblLog[[#This Row],[Unique ID]], tblMaster[Unique ID], tblMaster[Recruiter], ""), "")</f>
        <v xml:space="preserve">Enrique Ortiz </v>
      </c>
      <c r="G144" t="str">
        <f>IFERROR(_xlfn.XLOOKUP(tblLog[[#This Row],[Unique ID]], tblMaster[Unique ID], tblMaster[Recruitment Cycle], ""), "")</f>
        <v xml:space="preserve">Re-Engagment </v>
      </c>
      <c r="H144" t="s">
        <v>7455</v>
      </c>
      <c r="I144" t="s">
        <v>7434</v>
      </c>
      <c r="J144" s="3">
        <v>3</v>
      </c>
      <c r="K144" t="s">
        <v>7435</v>
      </c>
      <c r="L144" s="2">
        <v>46059</v>
      </c>
      <c r="M144" t="s">
        <v>7452</v>
      </c>
      <c r="N144" t="s">
        <v>7475</v>
      </c>
      <c r="O144" t="s">
        <v>7684</v>
      </c>
      <c r="P144">
        <f ca="1">IF(tblLog[[#This Row],[Log Date]]="","",TODAY()-tblLog[[#This Row],[Log Date]])</f>
        <v>20</v>
      </c>
      <c r="Q144" t="str">
        <f>IF(tblLog[[#This Row],[Log Date]]="","",IF(TRIM(tblLog[[#This Row],[Cycle Stage]])="Asked to be removed from database","NO","YES"))</f>
        <v>YES</v>
      </c>
      <c r="R1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5" spans="1:18" ht="15" customHeight="1">
      <c r="A145" t="s">
        <v>7685</v>
      </c>
      <c r="B145" t="str">
        <f>IFERROR(_xlfn.XLOOKUP(tblLog[[#This Row],[Unique ID]], tblMaster[Unique ID], tblMaster[First Name], ""), "")</f>
        <v xml:space="preserve">Dalisha </v>
      </c>
      <c r="C145" t="str">
        <f>IFERROR(_xlfn.XLOOKUP(tblLog[[#This Row],[Unique ID]], tblMaster[Unique ID], tblMaster[Last Name], ""), "")</f>
        <v xml:space="preserve"> Marrero </v>
      </c>
      <c r="D145" t="str">
        <f>IFERROR(_xlfn.XLOOKUP(tblLog[[#This Row],[Unique ID]], tblMaster[Unique ID], tblMaster[Email_Clean], ""), "")</f>
        <v>dalishamarrero1@gmail.com</v>
      </c>
      <c r="E145" t="str">
        <f>IFERROR(_xlfn.XLOOKUP(tblLog[[#This Row],[Unique ID]], tblMaster[Unique ID], tblMaster[Phone], ""), "")</f>
        <v xml:space="preserve">413) 378-8758 </v>
      </c>
      <c r="F145" t="str">
        <f>IFERROR(_xlfn.XLOOKUP(tblLog[[#This Row],[Unique ID]], tblMaster[Unique ID], tblMaster[Recruiter], ""), "")</f>
        <v xml:space="preserve">Austin Campos </v>
      </c>
      <c r="G145" t="str">
        <f>IFERROR(_xlfn.XLOOKUP(tblLog[[#This Row],[Unique ID]], tblMaster[Unique ID], tblMaster[Recruitment Cycle], ""), "")</f>
        <v xml:space="preserve">New Submission/ Lead </v>
      </c>
      <c r="I145" t="s">
        <v>4</v>
      </c>
      <c r="J145" s="3">
        <v>1</v>
      </c>
      <c r="O145" t="s">
        <v>7608</v>
      </c>
      <c r="P145" t="str">
        <f ca="1">IF(tblLog[[#This Row],[Log Date]]="","",TODAY()-tblLog[[#This Row],[Log Date]])</f>
        <v/>
      </c>
      <c r="Q145" t="str">
        <f>IF(tblLog[[#This Row],[Log Date]]="","",IF(TRIM(tblLog[[#This Row],[Cycle Stage]])="Asked to be removed from database","NO","YES"))</f>
        <v/>
      </c>
      <c r="R14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6" spans="1:18" ht="15" customHeight="1">
      <c r="A146" t="s">
        <v>7686</v>
      </c>
      <c r="B146" t="str">
        <f>IFERROR(_xlfn.XLOOKUP(tblLog[[#This Row],[Unique ID]], tblMaster[Unique ID], tblMaster[First Name], ""), "")</f>
        <v xml:space="preserve">Eduardo </v>
      </c>
      <c r="C146" t="str">
        <f>IFERROR(_xlfn.XLOOKUP(tblLog[[#This Row],[Unique ID]], tblMaster[Unique ID], tblMaster[Last Name], ""), "")</f>
        <v xml:space="preserve"> Lopez </v>
      </c>
      <c r="D146" t="str">
        <f>IFERROR(_xlfn.XLOOKUP(tblLog[[#This Row],[Unique ID]], tblMaster[Unique ID], tblMaster[Email_Clean], ""), "")</f>
        <v>edlopez282@gmail.com</v>
      </c>
      <c r="E146" t="str">
        <f>IFERROR(_xlfn.XLOOKUP(tblLog[[#This Row],[Unique ID]], tblMaster[Unique ID], tblMaster[Phone], ""), "")</f>
        <v xml:space="preserve">(978) 350-7158 </v>
      </c>
      <c r="F146" t="str">
        <f>IFERROR(_xlfn.XLOOKUP(tblLog[[#This Row],[Unique ID]], tblMaster[Unique ID], tblMaster[Recruiter], ""), "")</f>
        <v xml:space="preserve">Austin Campos </v>
      </c>
      <c r="G146" t="str">
        <f>IFERROR(_xlfn.XLOOKUP(tblLog[[#This Row],[Unique ID]], tblMaster[Unique ID], tblMaster[Recruitment Cycle], ""), "")</f>
        <v xml:space="preserve">New Submission/ Lead </v>
      </c>
      <c r="H146" t="s">
        <v>7455</v>
      </c>
      <c r="I146" t="s">
        <v>7494</v>
      </c>
      <c r="J146" s="3">
        <v>2</v>
      </c>
      <c r="K146" t="s">
        <v>7491</v>
      </c>
      <c r="L146" s="2">
        <v>46062</v>
      </c>
      <c r="M146" t="s">
        <v>7544</v>
      </c>
      <c r="N146" t="s">
        <v>7475</v>
      </c>
      <c r="O146" t="s">
        <v>7608</v>
      </c>
      <c r="P146">
        <f ca="1">IF(tblLog[[#This Row],[Log Date]]="","",TODAY()-tblLog[[#This Row],[Log Date]])</f>
        <v>17</v>
      </c>
      <c r="Q146" t="str">
        <f>IF(tblLog[[#This Row],[Log Date]]="","",IF(TRIM(tblLog[[#This Row],[Cycle Stage]])="Asked to be removed from database","NO","YES"))</f>
        <v>YES</v>
      </c>
      <c r="R1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7" spans="1:18" ht="15" customHeight="1">
      <c r="A147" t="s">
        <v>7687</v>
      </c>
      <c r="B147" t="str">
        <f>IFERROR(_xlfn.XLOOKUP(tblLog[[#This Row],[Unique ID]], tblMaster[Unique ID], tblMaster[First Name], ""), "")</f>
        <v xml:space="preserve">kwabena </v>
      </c>
      <c r="C147" t="str">
        <f>IFERROR(_xlfn.XLOOKUP(tblLog[[#This Row],[Unique ID]], tblMaster[Unique ID], tblMaster[Last Name], ""), "")</f>
        <v xml:space="preserve"> Amakye </v>
      </c>
      <c r="D147" t="str">
        <f>IFERROR(_xlfn.XLOOKUP(tblLog[[#This Row],[Unique ID]], tblMaster[Unique ID], tblMaster[Email_Clean], ""), "")</f>
        <v>amakye.kwabenat@gmail.com</v>
      </c>
      <c r="E147" t="str">
        <f>IFERROR(_xlfn.XLOOKUP(tblLog[[#This Row],[Unique ID]], tblMaster[Unique ID], tblMaster[Phone], ""), "")</f>
        <v xml:space="preserve">860) 656-4285 </v>
      </c>
      <c r="F147" t="str">
        <f>IFERROR(_xlfn.XLOOKUP(tblLog[[#This Row],[Unique ID]], tblMaster[Unique ID], tblMaster[Recruiter], ""), "")</f>
        <v xml:space="preserve">Austin Campos </v>
      </c>
      <c r="G147" t="str">
        <f>IFERROR(_xlfn.XLOOKUP(tblLog[[#This Row],[Unique ID]], tblMaster[Unique ID], tblMaster[Recruitment Cycle], ""), "")</f>
        <v xml:space="preserve">New Submission/ Lead </v>
      </c>
      <c r="H147" t="s">
        <v>7496</v>
      </c>
      <c r="I147" t="s">
        <v>4</v>
      </c>
      <c r="J147" s="3">
        <v>1</v>
      </c>
      <c r="O147" t="s">
        <v>7608</v>
      </c>
      <c r="P147" t="str">
        <f ca="1">IF(tblLog[[#This Row],[Log Date]]="","",TODAY()-tblLog[[#This Row],[Log Date]])</f>
        <v/>
      </c>
      <c r="Q147" t="str">
        <f>IF(tblLog[[#This Row],[Log Date]]="","",IF(TRIM(tblLog[[#This Row],[Cycle Stage]])="Asked to be removed from database","NO","YES"))</f>
        <v/>
      </c>
      <c r="R14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8" spans="1:18" ht="15" customHeight="1">
      <c r="A148" t="s">
        <v>7688</v>
      </c>
      <c r="B148" t="str">
        <f>IFERROR(_xlfn.XLOOKUP(tblLog[[#This Row],[Unique ID]], tblMaster[Unique ID], tblMaster[First Name], ""), "")</f>
        <v xml:space="preserve">Carlos </v>
      </c>
      <c r="C148" t="str">
        <f>IFERROR(_xlfn.XLOOKUP(tblLog[[#This Row],[Unique ID]], tblMaster[Unique ID], tblMaster[Last Name], ""), "")</f>
        <v xml:space="preserve"> Rivera </v>
      </c>
      <c r="D148" t="str">
        <f>IFERROR(_xlfn.XLOOKUP(tblLog[[#This Row],[Unique ID]], tblMaster[Unique ID], tblMaster[Email_Clean], ""), "")</f>
        <v>ogcarlos282@gmail.com</v>
      </c>
      <c r="E148" t="str">
        <f>IFERROR(_xlfn.XLOOKUP(tblLog[[#This Row],[Unique ID]], tblMaster[Unique ID], tblMaster[Phone], ""), "")</f>
        <v xml:space="preserve">(978) 375-8162 </v>
      </c>
      <c r="F148" t="str">
        <f>IFERROR(_xlfn.XLOOKUP(tblLog[[#This Row],[Unique ID]], tblMaster[Unique ID], tblMaster[Recruiter], ""), "")</f>
        <v xml:space="preserve">Austin Campos </v>
      </c>
      <c r="G148" t="str">
        <f>IFERROR(_xlfn.XLOOKUP(tblLog[[#This Row],[Unique ID]], tblMaster[Unique ID], tblMaster[Recruitment Cycle], ""), "")</f>
        <v xml:space="preserve">New Submission/ Lead </v>
      </c>
      <c r="H148" t="s">
        <v>7455</v>
      </c>
      <c r="I148" t="s">
        <v>7530</v>
      </c>
      <c r="J148" s="3">
        <v>3</v>
      </c>
      <c r="K148" t="s">
        <v>7435</v>
      </c>
      <c r="L148" s="2">
        <v>46063</v>
      </c>
      <c r="M148" t="s">
        <v>7452</v>
      </c>
      <c r="N148" t="s">
        <v>7487</v>
      </c>
      <c r="O148" t="s">
        <v>7689</v>
      </c>
      <c r="P148">
        <f ca="1">IF(tblLog[[#This Row],[Log Date]]="","",TODAY()-tblLog[[#This Row],[Log Date]])</f>
        <v>16</v>
      </c>
      <c r="Q148" t="str">
        <f>IF(tblLog[[#This Row],[Log Date]]="","",IF(TRIM(tblLog[[#This Row],[Cycle Stage]])="Asked to be removed from database","NO","YES"))</f>
        <v>YES</v>
      </c>
      <c r="R1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49" spans="1:18" ht="15" customHeight="1">
      <c r="A149" t="s">
        <v>7690</v>
      </c>
      <c r="B149" t="str">
        <f>IFERROR(_xlfn.XLOOKUP(tblLog[[#This Row],[Unique ID]], tblMaster[Unique ID], tblMaster[First Name], ""), "")</f>
        <v>Jaiden</v>
      </c>
      <c r="C149" t="str">
        <f>IFERROR(_xlfn.XLOOKUP(tblLog[[#This Row],[Unique ID]], tblMaster[Unique ID], tblMaster[Last Name], ""), "")</f>
        <v>Baillargeon</v>
      </c>
      <c r="D149" t="str">
        <f>IFERROR(_xlfn.XLOOKUP(tblLog[[#This Row],[Unique ID]], tblMaster[Unique ID], tblMaster[Email_Clean], ""), "")</f>
        <v>jrivbaihern159@gmail.com</v>
      </c>
      <c r="E149" t="str">
        <f>IFERROR(_xlfn.XLOOKUP(tblLog[[#This Row],[Unique ID]], tblMaster[Unique ID], tblMaster[Phone], ""), "")</f>
        <v>508 744 8288</v>
      </c>
      <c r="F149" t="str">
        <f>IFERROR(_xlfn.XLOOKUP(tblLog[[#This Row],[Unique ID]], tblMaster[Unique ID], tblMaster[Recruiter], ""), "")</f>
        <v xml:space="preserve">Austin Campos </v>
      </c>
      <c r="G149" t="str">
        <f>IFERROR(_xlfn.XLOOKUP(tblLog[[#This Row],[Unique ID]], tblMaster[Unique ID], tblMaster[Recruitment Cycle], ""), "")</f>
        <v xml:space="preserve">New Submission/ Lead </v>
      </c>
      <c r="H149" t="s">
        <v>7455</v>
      </c>
      <c r="I149" t="s">
        <v>7530</v>
      </c>
      <c r="J149" s="3">
        <v>3</v>
      </c>
      <c r="K149" t="s">
        <v>7435</v>
      </c>
      <c r="L149" s="2">
        <v>46066</v>
      </c>
      <c r="M149" t="s">
        <v>7452</v>
      </c>
      <c r="N149" t="s">
        <v>7497</v>
      </c>
      <c r="O149" t="s">
        <v>7691</v>
      </c>
      <c r="P149">
        <f ca="1">IF(tblLog[[#This Row],[Log Date]]="","",TODAY()-tblLog[[#This Row],[Log Date]])</f>
        <v>13</v>
      </c>
      <c r="Q149" t="str">
        <f>IF(tblLog[[#This Row],[Log Date]]="","",IF(TRIM(tblLog[[#This Row],[Cycle Stage]])="Asked to be removed from database","NO","YES"))</f>
        <v>YES</v>
      </c>
      <c r="R1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0" spans="1:18" ht="15" customHeight="1">
      <c r="A150" t="s">
        <v>7692</v>
      </c>
      <c r="B150" t="str">
        <f>IFERROR(_xlfn.XLOOKUP(tblLog[[#This Row],[Unique ID]], tblMaster[Unique ID], tblMaster[First Name], ""), "")</f>
        <v xml:space="preserve">Nickolay </v>
      </c>
      <c r="C150" t="str">
        <f>IFERROR(_xlfn.XLOOKUP(tblLog[[#This Row],[Unique ID]], tblMaster[Unique ID], tblMaster[Last Name], ""), "")</f>
        <v xml:space="preserve"> Stewart </v>
      </c>
      <c r="D150" t="str">
        <f>IFERROR(_xlfn.XLOOKUP(tblLog[[#This Row],[Unique ID]], tblMaster[Unique ID], tblMaster[Email_Clean], ""), "")</f>
        <v>nickolaystewart5@gmail.com</v>
      </c>
      <c r="E150" t="str">
        <f>IFERROR(_xlfn.XLOOKUP(tblLog[[#This Row],[Unique ID]], tblMaster[Unique ID], tblMaster[Phone], ""), "")</f>
        <v xml:space="preserve">(177) 429-3036 </v>
      </c>
      <c r="F150" t="str">
        <f>IFERROR(_xlfn.XLOOKUP(tblLog[[#This Row],[Unique ID]], tblMaster[Unique ID], tblMaster[Recruiter], ""), "")</f>
        <v xml:space="preserve">Austin Campos </v>
      </c>
      <c r="G150" t="str">
        <f>IFERROR(_xlfn.XLOOKUP(tblLog[[#This Row],[Unique ID]], tblMaster[Unique ID], tblMaster[Recruitment Cycle], ""), "")</f>
        <v xml:space="preserve">New Submission/ Lead </v>
      </c>
      <c r="H150" t="s">
        <v>7484</v>
      </c>
      <c r="I150" t="s">
        <v>4</v>
      </c>
      <c r="J150" s="3">
        <v>2</v>
      </c>
      <c r="L150" s="2">
        <v>46063</v>
      </c>
      <c r="M150" t="s">
        <v>7615</v>
      </c>
      <c r="O150" t="s">
        <v>7693</v>
      </c>
      <c r="P150">
        <f ca="1">IF(tblLog[[#This Row],[Log Date]]="","",TODAY()-tblLog[[#This Row],[Log Date]])</f>
        <v>16</v>
      </c>
      <c r="Q150" t="str">
        <f>IF(tblLog[[#This Row],[Log Date]]="","",IF(TRIM(tblLog[[#This Row],[Cycle Stage]])="Asked to be removed from database","NO","YES"))</f>
        <v>NO</v>
      </c>
      <c r="R15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1" spans="1:18" ht="15" customHeight="1">
      <c r="A151" t="s">
        <v>7694</v>
      </c>
      <c r="B151" t="str">
        <f>IFERROR(_xlfn.XLOOKUP(tblLog[[#This Row],[Unique ID]], tblMaster[Unique ID], tblMaster[First Name], ""), "")</f>
        <v xml:space="preserve">Molege </v>
      </c>
      <c r="C151" t="str">
        <f>IFERROR(_xlfn.XLOOKUP(tblLog[[#This Row],[Unique ID]], tblMaster[Unique ID], tblMaster[Last Name], ""), "")</f>
        <v xml:space="preserve">Ertilien </v>
      </c>
      <c r="D151" t="str">
        <f>IFERROR(_xlfn.XLOOKUP(tblLog[[#This Row],[Unique ID]], tblMaster[Unique ID], tblMaster[Email_Clean], ""), "")</f>
        <v>molegeertilien@gmail.com</v>
      </c>
      <c r="F151" t="str">
        <f>IFERROR(_xlfn.XLOOKUP(tblLog[[#This Row],[Unique ID]], tblMaster[Unique ID], tblMaster[Recruiter], ""), "")</f>
        <v xml:space="preserve">Austin Campos </v>
      </c>
      <c r="G151" t="str">
        <f>IFERROR(_xlfn.XLOOKUP(tblLog[[#This Row],[Unique ID]], tblMaster[Unique ID], tblMaster[Recruitment Cycle], ""), "")</f>
        <v xml:space="preserve">New Submission/ Lead </v>
      </c>
      <c r="H151" t="s">
        <v>7496</v>
      </c>
      <c r="I151" t="s">
        <v>4</v>
      </c>
      <c r="J151" s="3">
        <v>1</v>
      </c>
      <c r="O151" t="s">
        <v>7608</v>
      </c>
      <c r="P151" t="str">
        <f ca="1">IF(tblLog[[#This Row],[Log Date]]="","",TODAY()-tblLog[[#This Row],[Log Date]])</f>
        <v/>
      </c>
      <c r="Q151" t="str">
        <f>IF(tblLog[[#This Row],[Log Date]]="","",IF(TRIM(tblLog[[#This Row],[Cycle Stage]])="Asked to be removed from database","NO","YES"))</f>
        <v/>
      </c>
      <c r="R15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2" spans="1:18" ht="15" customHeight="1">
      <c r="A152" t="s">
        <v>7695</v>
      </c>
      <c r="B152" t="str">
        <f>IFERROR(_xlfn.XLOOKUP(tblLog[[#This Row],[Unique ID]], tblMaster[Unique ID], tblMaster[First Name], ""), "")</f>
        <v xml:space="preserve">Yini </v>
      </c>
      <c r="C152" t="str">
        <f>IFERROR(_xlfn.XLOOKUP(tblLog[[#This Row],[Unique ID]], tblMaster[Unique ID], tblMaster[Last Name], ""), "")</f>
        <v xml:space="preserve"> Rosario </v>
      </c>
      <c r="D152" t="str">
        <f>IFERROR(_xlfn.XLOOKUP(tblLog[[#This Row],[Unique ID]], tblMaster[Unique ID], tblMaster[Email_Clean], ""), "")</f>
        <v>yini200@icloud.com</v>
      </c>
      <c r="E152" t="str">
        <f>IFERROR(_xlfn.XLOOKUP(tblLog[[#This Row],[Unique ID]], tblMaster[Unique ID], tblMaster[Phone], ""), "")</f>
        <v xml:space="preserve">347) 471-3969 </v>
      </c>
      <c r="F152" t="str">
        <f>IFERROR(_xlfn.XLOOKUP(tblLog[[#This Row],[Unique ID]], tblMaster[Unique ID], tblMaster[Recruiter], ""), "")</f>
        <v xml:space="preserve">Austin Campos </v>
      </c>
      <c r="G152" t="str">
        <f>IFERROR(_xlfn.XLOOKUP(tblLog[[#This Row],[Unique ID]], tblMaster[Unique ID], tblMaster[Recruitment Cycle], ""), "")</f>
        <v xml:space="preserve">New Submission/ Lead </v>
      </c>
      <c r="H152" t="s">
        <v>7496</v>
      </c>
      <c r="I152" t="s">
        <v>4</v>
      </c>
      <c r="J152" s="3">
        <v>1</v>
      </c>
      <c r="O152" t="s">
        <v>7608</v>
      </c>
      <c r="P152" t="str">
        <f ca="1">IF(tblLog[[#This Row],[Log Date]]="","",TODAY()-tblLog[[#This Row],[Log Date]])</f>
        <v/>
      </c>
      <c r="Q152" t="str">
        <f>IF(tblLog[[#This Row],[Log Date]]="","",IF(TRIM(tblLog[[#This Row],[Cycle Stage]])="Asked to be removed from database","NO","YES"))</f>
        <v/>
      </c>
      <c r="R1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3" spans="1:18" ht="15" customHeight="1">
      <c r="A153" t="s">
        <v>7696</v>
      </c>
      <c r="B153" t="str">
        <f>IFERROR(_xlfn.XLOOKUP(tblLog[[#This Row],[Unique ID]], tblMaster[Unique ID], tblMaster[First Name], ""), "")</f>
        <v xml:space="preserve">Michael </v>
      </c>
      <c r="C153" t="str">
        <f>IFERROR(_xlfn.XLOOKUP(tblLog[[#This Row],[Unique ID]], tblMaster[Unique ID], tblMaster[Last Name], ""), "")</f>
        <v xml:space="preserve">dumas cordero </v>
      </c>
      <c r="D153" t="str">
        <f>IFERROR(_xlfn.XLOOKUP(tblLog[[#This Row],[Unique ID]], tblMaster[Unique ID], tblMaster[Email_Clean], ""), "")</f>
        <v>rico.chinito2025@gmail.com</v>
      </c>
      <c r="E153" t="str">
        <f>IFERROR(_xlfn.XLOOKUP(tblLog[[#This Row],[Unique ID]], tblMaster[Unique ID], tblMaster[Phone], ""), "")</f>
        <v xml:space="preserve">(413) 250-6986 </v>
      </c>
      <c r="F153" t="str">
        <f>IFERROR(_xlfn.XLOOKUP(tblLog[[#This Row],[Unique ID]], tblMaster[Unique ID], tblMaster[Recruiter], ""), "")</f>
        <v xml:space="preserve">Austin Campos </v>
      </c>
      <c r="G153" t="str">
        <f>IFERROR(_xlfn.XLOOKUP(tblLog[[#This Row],[Unique ID]], tblMaster[Unique ID], tblMaster[Recruitment Cycle], ""), "")</f>
        <v xml:space="preserve">New Submission/ Lead </v>
      </c>
      <c r="H153" t="s">
        <v>7455</v>
      </c>
      <c r="I153" t="s">
        <v>7434</v>
      </c>
      <c r="J153" s="3">
        <v>2</v>
      </c>
      <c r="K153" t="s">
        <v>7435</v>
      </c>
      <c r="L153" s="2">
        <v>46062</v>
      </c>
      <c r="M153" t="s">
        <v>7508</v>
      </c>
      <c r="N153" t="s">
        <v>7475</v>
      </c>
      <c r="O153" t="s">
        <v>7697</v>
      </c>
      <c r="P153">
        <f ca="1">IF(tblLog[[#This Row],[Log Date]]="","",TODAY()-tblLog[[#This Row],[Log Date]])</f>
        <v>17</v>
      </c>
      <c r="Q153" t="str">
        <f>IF(tblLog[[#This Row],[Log Date]]="","",IF(TRIM(tblLog[[#This Row],[Cycle Stage]])="Asked to be removed from database","NO","YES"))</f>
        <v>YES</v>
      </c>
      <c r="R1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4" spans="1:18" ht="15" customHeight="1">
      <c r="A154" t="s">
        <v>7698</v>
      </c>
      <c r="B154" t="str">
        <f>IFERROR(_xlfn.XLOOKUP(tblLog[[#This Row],[Unique ID]], tblMaster[Unique ID], tblMaster[First Name], ""), "")</f>
        <v xml:space="preserve">Euclides </v>
      </c>
      <c r="C154" t="str">
        <f>IFERROR(_xlfn.XLOOKUP(tblLog[[#This Row],[Unique ID]], tblMaster[Unique ID], tblMaster[Last Name], ""), "")</f>
        <v xml:space="preserve">Andrade-Gomes </v>
      </c>
      <c r="D154" t="str">
        <f>IFERROR(_xlfn.XLOOKUP(tblLog[[#This Row],[Unique ID]], tblMaster[Unique ID], tblMaster[Email_Clean], ""), "")</f>
        <v>euclidesandradegomes@gmail.com</v>
      </c>
      <c r="E154" t="str">
        <f>IFERROR(_xlfn.XLOOKUP(tblLog[[#This Row],[Unique ID]], tblMaster[Unique ID], tblMaster[Phone], ""), "")</f>
        <v xml:space="preserve">(508) 851-4672 </v>
      </c>
      <c r="F154" t="str">
        <f>IFERROR(_xlfn.XLOOKUP(tblLog[[#This Row],[Unique ID]], tblMaster[Unique ID], tblMaster[Recruiter], ""), "")</f>
        <v xml:space="preserve">Austin Campos </v>
      </c>
      <c r="G154" t="str">
        <f>IFERROR(_xlfn.XLOOKUP(tblLog[[#This Row],[Unique ID]], tblMaster[Unique ID], tblMaster[Recruitment Cycle], ""), "")</f>
        <v xml:space="preserve">New Submission/ Lead </v>
      </c>
      <c r="H154" t="s">
        <v>7496</v>
      </c>
      <c r="I154" t="s">
        <v>4</v>
      </c>
      <c r="J154" s="3">
        <v>1</v>
      </c>
      <c r="O154" t="s">
        <v>7608</v>
      </c>
      <c r="P154" t="str">
        <f ca="1">IF(tblLog[[#This Row],[Log Date]]="","",TODAY()-tblLog[[#This Row],[Log Date]])</f>
        <v/>
      </c>
      <c r="Q154" t="str">
        <f>IF(tblLog[[#This Row],[Log Date]]="","",IF(TRIM(tblLog[[#This Row],[Cycle Stage]])="Asked to be removed from database","NO","YES"))</f>
        <v/>
      </c>
      <c r="R15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5" spans="1:18" ht="15" customHeight="1">
      <c r="A155" t="s">
        <v>7699</v>
      </c>
      <c r="B155" t="str">
        <f>IFERROR(_xlfn.XLOOKUP(tblLog[[#This Row],[Unique ID]], tblMaster[Unique ID], tblMaster[First Name], ""), "")</f>
        <v xml:space="preserve">Trajan  </v>
      </c>
      <c r="C155" t="str">
        <f>IFERROR(_xlfn.XLOOKUP(tblLog[[#This Row],[Unique ID]], tblMaster[Unique ID], tblMaster[Last Name], ""), "")</f>
        <v xml:space="preserve"> Lounsbury </v>
      </c>
      <c r="D155" t="str">
        <f>IFERROR(_xlfn.XLOOKUP(tblLog[[#This Row],[Unique ID]], tblMaster[Unique ID], tblMaster[Email_Clean], ""), "")</f>
        <v>tlounsbury99@gmail.com</v>
      </c>
      <c r="E155" t="str">
        <f>IFERROR(_xlfn.XLOOKUP(tblLog[[#This Row],[Unique ID]], tblMaster[Unique ID], tblMaster[Phone], ""), "")</f>
        <v xml:space="preserve">(203) 893-6228 </v>
      </c>
      <c r="F155" t="str">
        <f>IFERROR(_xlfn.XLOOKUP(tblLog[[#This Row],[Unique ID]], tblMaster[Unique ID], tblMaster[Recruiter], ""), "")</f>
        <v xml:space="preserve">Austin Campos </v>
      </c>
      <c r="G155" t="str">
        <f>IFERROR(_xlfn.XLOOKUP(tblLog[[#This Row],[Unique ID]], tblMaster[Unique ID], tblMaster[Recruitment Cycle], ""), "")</f>
        <v xml:space="preserve">New Submission/ Lead </v>
      </c>
      <c r="H155" t="s">
        <v>7496</v>
      </c>
      <c r="I155" t="s">
        <v>4</v>
      </c>
      <c r="J155" s="3">
        <v>1</v>
      </c>
      <c r="O155" t="s">
        <v>7608</v>
      </c>
      <c r="P155" t="str">
        <f ca="1">IF(tblLog[[#This Row],[Log Date]]="","",TODAY()-tblLog[[#This Row],[Log Date]])</f>
        <v/>
      </c>
      <c r="Q155" t="str">
        <f>IF(tblLog[[#This Row],[Log Date]]="","",IF(TRIM(tblLog[[#This Row],[Cycle Stage]])="Asked to be removed from database","NO","YES"))</f>
        <v/>
      </c>
      <c r="R15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6" spans="1:18" ht="15" customHeight="1">
      <c r="A156" t="s">
        <v>7700</v>
      </c>
      <c r="B156" t="str">
        <f>IFERROR(_xlfn.XLOOKUP(tblLog[[#This Row],[Unique ID]], tblMaster[Unique ID], tblMaster[First Name], ""), "")</f>
        <v xml:space="preserve">Mikaila </v>
      </c>
      <c r="C156" t="str">
        <f>IFERROR(_xlfn.XLOOKUP(tblLog[[#This Row],[Unique ID]], tblMaster[Unique ID], tblMaster[Last Name], ""), "")</f>
        <v xml:space="preserve">Williams-Pina </v>
      </c>
      <c r="D156" t="str">
        <f>IFERROR(_xlfn.XLOOKUP(tblLog[[#This Row],[Unique ID]], tblMaster[Unique ID], tblMaster[Email_Clean], ""), "")</f>
        <v>mikailapina@gmail.com</v>
      </c>
      <c r="E156" t="str">
        <f>IFERROR(_xlfn.XLOOKUP(tblLog[[#This Row],[Unique ID]], tblMaster[Unique ID], tblMaster[Phone], ""), "")</f>
        <v xml:space="preserve">(781) 400-4357 </v>
      </c>
      <c r="F156" t="str">
        <f>IFERROR(_xlfn.XLOOKUP(tblLog[[#This Row],[Unique ID]], tblMaster[Unique ID], tblMaster[Recruiter], ""), "")</f>
        <v xml:space="preserve">Austin Campos </v>
      </c>
      <c r="G156" t="str">
        <f>IFERROR(_xlfn.XLOOKUP(tblLog[[#This Row],[Unique ID]], tblMaster[Unique ID], tblMaster[Recruitment Cycle], ""), "")</f>
        <v xml:space="preserve">New Submission/ Lead </v>
      </c>
      <c r="H156" t="s">
        <v>7439</v>
      </c>
      <c r="I156" t="s">
        <v>7530</v>
      </c>
      <c r="J156" s="3">
        <v>3</v>
      </c>
      <c r="K156" t="s">
        <v>7701</v>
      </c>
      <c r="L156" s="2">
        <v>46062</v>
      </c>
      <c r="M156" t="s">
        <v>7702</v>
      </c>
      <c r="N156" t="s">
        <v>7448</v>
      </c>
      <c r="O156" t="s">
        <v>7703</v>
      </c>
      <c r="P156">
        <f ca="1">IF(tblLog[[#This Row],[Log Date]]="","",TODAY()-tblLog[[#This Row],[Log Date]])</f>
        <v>17</v>
      </c>
      <c r="Q156" t="str">
        <f>IF(tblLog[[#This Row],[Log Date]]="","",IF(TRIM(tblLog[[#This Row],[Cycle Stage]])="Asked to be removed from database","NO","YES"))</f>
        <v>YES</v>
      </c>
      <c r="R1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7" spans="1:18" ht="15" customHeight="1">
      <c r="A157" t="s">
        <v>7704</v>
      </c>
      <c r="B157" t="str">
        <f>IFERROR(_xlfn.XLOOKUP(tblLog[[#This Row],[Unique ID]], tblMaster[Unique ID], tblMaster[First Name], ""), "")</f>
        <v xml:space="preserve">Gabriella </v>
      </c>
      <c r="C157" t="str">
        <f>IFERROR(_xlfn.XLOOKUP(tblLog[[#This Row],[Unique ID]], tblMaster[Unique ID], tblMaster[Last Name], ""), "")</f>
        <v xml:space="preserve">Morkeski </v>
      </c>
      <c r="D157" t="str">
        <f>IFERROR(_xlfn.XLOOKUP(tblLog[[#This Row],[Unique ID]], tblMaster[Unique ID], tblMaster[Email_Clean], ""), "")</f>
        <v>gabby.exclusive@gmail.com</v>
      </c>
      <c r="E157" t="str">
        <f>IFERROR(_xlfn.XLOOKUP(tblLog[[#This Row],[Unique ID]], tblMaster[Unique ID], tblMaster[Phone], ""), "")</f>
        <v xml:space="preserve">(978) 476-9054 </v>
      </c>
      <c r="F157" t="str">
        <f>IFERROR(_xlfn.XLOOKUP(tblLog[[#This Row],[Unique ID]], tblMaster[Unique ID], tblMaster[Recruiter], ""), "")</f>
        <v xml:space="preserve">Austin Campos </v>
      </c>
      <c r="G157" t="str">
        <f>IFERROR(_xlfn.XLOOKUP(tblLog[[#This Row],[Unique ID]], tblMaster[Unique ID], tblMaster[Recruitment Cycle], ""), "")</f>
        <v xml:space="preserve">New Submission/ Lead </v>
      </c>
      <c r="H157" t="s">
        <v>7496</v>
      </c>
      <c r="I157" t="s">
        <v>4</v>
      </c>
      <c r="J157" s="3">
        <v>1</v>
      </c>
      <c r="O157" t="s">
        <v>7608</v>
      </c>
      <c r="P157" t="str">
        <f ca="1">IF(tblLog[[#This Row],[Log Date]]="","",TODAY()-tblLog[[#This Row],[Log Date]])</f>
        <v/>
      </c>
      <c r="Q157" t="str">
        <f>IF(tblLog[[#This Row],[Log Date]]="","",IF(TRIM(tblLog[[#This Row],[Cycle Stage]])="Asked to be removed from database","NO","YES"))</f>
        <v/>
      </c>
      <c r="R15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8" spans="1:18" ht="15" customHeight="1">
      <c r="A158" t="s">
        <v>7705</v>
      </c>
      <c r="B158" t="str">
        <f>IFERROR(_xlfn.XLOOKUP(tblLog[[#This Row],[Unique ID]], tblMaster[Unique ID], tblMaster[First Name], ""), "")</f>
        <v xml:space="preserve">Steeve </v>
      </c>
      <c r="C158" t="str">
        <f>IFERROR(_xlfn.XLOOKUP(tblLog[[#This Row],[Unique ID]], tblMaster[Unique ID], tblMaster[Last Name], ""), "")</f>
        <v xml:space="preserve">Jeanfracois </v>
      </c>
      <c r="D158" t="str">
        <f>IFERROR(_xlfn.XLOOKUP(tblLog[[#This Row],[Unique ID]], tblMaster[Unique ID], tblMaster[Email_Clean], ""), "")</f>
        <v>steevejeanfrancois23@gmail.com</v>
      </c>
      <c r="E158">
        <f>IFERROR(_xlfn.XLOOKUP(tblLog[[#This Row],[Unique ID]], tblMaster[Unique ID], tblMaster[Phone], ""), "")</f>
        <v>0</v>
      </c>
      <c r="F158" t="str">
        <f>IFERROR(_xlfn.XLOOKUP(tblLog[[#This Row],[Unique ID]], tblMaster[Unique ID], tblMaster[Recruiter], ""), "")</f>
        <v xml:space="preserve">Austin Campos </v>
      </c>
      <c r="G158" t="str">
        <f>IFERROR(_xlfn.XLOOKUP(tblLog[[#This Row],[Unique ID]], tblMaster[Unique ID], tblMaster[Recruitment Cycle], ""), "")</f>
        <v xml:space="preserve">New Submission/ Lead </v>
      </c>
      <c r="H158" t="s">
        <v>7496</v>
      </c>
      <c r="I158" t="s">
        <v>4</v>
      </c>
      <c r="J158" s="3">
        <v>1</v>
      </c>
      <c r="O158" t="s">
        <v>7608</v>
      </c>
      <c r="P158" t="str">
        <f ca="1">IF(tblLog[[#This Row],[Log Date]]="","",TODAY()-tblLog[[#This Row],[Log Date]])</f>
        <v/>
      </c>
      <c r="Q158" t="str">
        <f>IF(tblLog[[#This Row],[Log Date]]="","",IF(TRIM(tblLog[[#This Row],[Cycle Stage]])="Asked to be removed from database","NO","YES"))</f>
        <v/>
      </c>
      <c r="R15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59" spans="1:18" ht="15" customHeight="1">
      <c r="A159" t="s">
        <v>7706</v>
      </c>
      <c r="B159" t="str">
        <f>IFERROR(_xlfn.XLOOKUP(tblLog[[#This Row],[Unique ID]], tblMaster[Unique ID], tblMaster[First Name], ""), "")</f>
        <v>Richard</v>
      </c>
      <c r="C159" t="str">
        <f>IFERROR(_xlfn.XLOOKUP(tblLog[[#This Row],[Unique ID]], tblMaster[Unique ID], tblMaster[Last Name], ""), "")</f>
        <v xml:space="preserve">Carrington </v>
      </c>
      <c r="D159" t="str">
        <f>IFERROR(_xlfn.XLOOKUP(tblLog[[#This Row],[Unique ID]], tblMaster[Unique ID], tblMaster[Email_Clean], ""), "")</f>
        <v>mrrcarrington@gmail.com</v>
      </c>
      <c r="E159" t="str">
        <f>IFERROR(_xlfn.XLOOKUP(tblLog[[#This Row],[Unique ID]], tblMaster[Unique ID], tblMaster[Phone], ""), "")</f>
        <v>774-586-5085</v>
      </c>
      <c r="F159" t="str">
        <f>IFERROR(_xlfn.XLOOKUP(tblLog[[#This Row],[Unique ID]], tblMaster[Unique ID], tblMaster[Recruiter], ""), "")</f>
        <v xml:space="preserve">Austin Campos </v>
      </c>
      <c r="G159" t="str">
        <f>IFERROR(_xlfn.XLOOKUP(tblLog[[#This Row],[Unique ID]], tblMaster[Unique ID], tblMaster[Recruitment Cycle], ""), "")</f>
        <v xml:space="preserve">New Submission/ Lead </v>
      </c>
      <c r="H159" t="s">
        <v>7439</v>
      </c>
      <c r="I159" t="s">
        <v>7530</v>
      </c>
      <c r="J159" s="3">
        <v>4</v>
      </c>
      <c r="K159" t="s">
        <v>7701</v>
      </c>
      <c r="L159" s="2">
        <v>46062</v>
      </c>
      <c r="M159" t="s">
        <v>7702</v>
      </c>
      <c r="N159" t="s">
        <v>7500</v>
      </c>
      <c r="O159" t="s">
        <v>7707</v>
      </c>
      <c r="P159">
        <f ca="1">IF(tblLog[[#This Row],[Log Date]]="","",TODAY()-tblLog[[#This Row],[Log Date]])</f>
        <v>17</v>
      </c>
      <c r="Q159" t="str">
        <f>IF(tblLog[[#This Row],[Log Date]]="","",IF(TRIM(tblLog[[#This Row],[Cycle Stage]])="Asked to be removed from database","NO","YES"))</f>
        <v>YES</v>
      </c>
      <c r="R1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0" spans="1:18" ht="15" customHeight="1">
      <c r="A160" t="s">
        <v>7708</v>
      </c>
      <c r="B160" t="str">
        <f>IFERROR(_xlfn.XLOOKUP(tblLog[[#This Row],[Unique ID]], tblMaster[Unique ID], tblMaster[First Name], ""), "")</f>
        <v xml:space="preserve">Naleigha </v>
      </c>
      <c r="C160" t="str">
        <f>IFERROR(_xlfn.XLOOKUP(tblLog[[#This Row],[Unique ID]], tblMaster[Unique ID], tblMaster[Last Name], ""), "")</f>
        <v xml:space="preserve"> Evans</v>
      </c>
      <c r="D160" t="str">
        <f>IFERROR(_xlfn.XLOOKUP(tblLog[[#This Row],[Unique ID]], tblMaster[Unique ID], tblMaster[Email_Clean], ""), "")</f>
        <v>naleighape@gmail.com</v>
      </c>
      <c r="E160" t="str">
        <f>IFERROR(_xlfn.XLOOKUP(tblLog[[#This Row],[Unique ID]], tblMaster[Unique ID], tblMaster[Phone], ""), "")</f>
        <v>252-350-7788</v>
      </c>
      <c r="F160" t="str">
        <f>IFERROR(_xlfn.XLOOKUP(tblLog[[#This Row],[Unique ID]], tblMaster[Unique ID], tblMaster[Recruiter], ""), "")</f>
        <v xml:space="preserve">Austin Campos </v>
      </c>
      <c r="G160" t="str">
        <f>IFERROR(_xlfn.XLOOKUP(tblLog[[#This Row],[Unique ID]], tblMaster[Unique ID], tblMaster[Recruitment Cycle], ""), "")</f>
        <v xml:space="preserve">New Submission/ Lead </v>
      </c>
      <c r="H160" t="s">
        <v>7496</v>
      </c>
      <c r="I160" t="s">
        <v>4</v>
      </c>
      <c r="J160" s="3">
        <v>1</v>
      </c>
      <c r="O160" t="s">
        <v>7608</v>
      </c>
      <c r="P160" t="str">
        <f ca="1">IF(tblLog[[#This Row],[Log Date]]="","",TODAY()-tblLog[[#This Row],[Log Date]])</f>
        <v/>
      </c>
      <c r="Q160" t="str">
        <f>IF(tblLog[[#This Row],[Log Date]]="","",IF(TRIM(tblLog[[#This Row],[Cycle Stage]])="Asked to be removed from database","NO","YES"))</f>
        <v/>
      </c>
      <c r="R160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1" spans="1:18" ht="15" customHeight="1">
      <c r="A161" t="s">
        <v>7709</v>
      </c>
      <c r="B161" t="str">
        <f>IFERROR(_xlfn.XLOOKUP(tblLog[[#This Row],[Unique ID]], tblMaster[Unique ID], tblMaster[First Name], ""), "")</f>
        <v>Marcos</v>
      </c>
      <c r="C161" t="str">
        <f>IFERROR(_xlfn.XLOOKUP(tblLog[[#This Row],[Unique ID]], tblMaster[Unique ID], tblMaster[Last Name], ""), "")</f>
        <v xml:space="preserve"> Figueroa </v>
      </c>
      <c r="D161" t="str">
        <f>IFERROR(_xlfn.XLOOKUP(tblLog[[#This Row],[Unique ID]], tblMaster[Unique ID], tblMaster[Email_Clean], ""), "")</f>
        <v>marcosf@bu.edu</v>
      </c>
      <c r="E161" t="str">
        <f>IFERROR(_xlfn.XLOOKUP(tblLog[[#This Row],[Unique ID]], tblMaster[Unique ID], tblMaster[Phone], ""), "")</f>
        <v xml:space="preserve">401) 261-5790 </v>
      </c>
      <c r="F161" t="str">
        <f>IFERROR(_xlfn.XLOOKUP(tblLog[[#This Row],[Unique ID]], tblMaster[Unique ID], tblMaster[Recruiter], ""), "")</f>
        <v xml:space="preserve">Austin Campos </v>
      </c>
      <c r="G161" t="str">
        <f>IFERROR(_xlfn.XLOOKUP(tblLog[[#This Row],[Unique ID]], tblMaster[Unique ID], tblMaster[Recruitment Cycle], ""), "")</f>
        <v xml:space="preserve">New Submission/ Lead </v>
      </c>
      <c r="H161" t="s">
        <v>7496</v>
      </c>
      <c r="I161" t="s">
        <v>4</v>
      </c>
      <c r="J161" s="3">
        <v>1</v>
      </c>
      <c r="O161" t="s">
        <v>7608</v>
      </c>
      <c r="P161" t="str">
        <f ca="1">IF(tblLog[[#This Row],[Log Date]]="","",TODAY()-tblLog[[#This Row],[Log Date]])</f>
        <v/>
      </c>
      <c r="Q161" t="str">
        <f>IF(tblLog[[#This Row],[Log Date]]="","",IF(TRIM(tblLog[[#This Row],[Cycle Stage]])="Asked to be removed from database","NO","YES"))</f>
        <v/>
      </c>
      <c r="R16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2" spans="1:18" ht="15" customHeight="1">
      <c r="A162" t="s">
        <v>7710</v>
      </c>
      <c r="B162" t="str">
        <f>IFERROR(_xlfn.XLOOKUP(tblLog[[#This Row],[Unique ID]], tblMaster[Unique ID], tblMaster[First Name], ""), "")</f>
        <v>Raymond</v>
      </c>
      <c r="C162" t="str">
        <f>IFERROR(_xlfn.XLOOKUP(tblLog[[#This Row],[Unique ID]], tblMaster[Unique ID], tblMaster[Last Name], ""), "")</f>
        <v xml:space="preserve"> lopez-Quiles</v>
      </c>
      <c r="D162" t="str">
        <f>IFERROR(_xlfn.XLOOKUP(tblLog[[#This Row],[Unique ID]], tblMaster[Unique ID], tblMaster[Email_Clean], ""), "")</f>
        <v>rllopezquiles98@gmail.com</v>
      </c>
      <c r="E162" t="str">
        <f>IFERROR(_xlfn.XLOOKUP(tblLog[[#This Row],[Unique ID]], tblMaster[Unique ID], tblMaster[Phone], ""), "")</f>
        <v>(774) 441-4427</v>
      </c>
      <c r="F162" t="str">
        <f>IFERROR(_xlfn.XLOOKUP(tblLog[[#This Row],[Unique ID]], tblMaster[Unique ID], tblMaster[Recruiter], ""), "")</f>
        <v>Zenon Moses</v>
      </c>
      <c r="G162" t="str">
        <f>IFERROR(_xlfn.XLOOKUP(tblLog[[#This Row],[Unique ID]], tblMaster[Unique ID], tblMaster[Recruitment Cycle], ""), "")</f>
        <v xml:space="preserve">New Submission/ Lead </v>
      </c>
      <c r="H162" t="s">
        <v>7463</v>
      </c>
      <c r="I162" t="s">
        <v>7434</v>
      </c>
      <c r="J162" s="3">
        <v>2</v>
      </c>
      <c r="K162" t="s">
        <v>7460</v>
      </c>
      <c r="L162" s="2">
        <v>46064</v>
      </c>
      <c r="M162" t="s">
        <v>7711</v>
      </c>
      <c r="N162" t="s">
        <v>7500</v>
      </c>
      <c r="P162">
        <f ca="1">IF(tblLog[[#This Row],[Log Date]]="","",TODAY()-tblLog[[#This Row],[Log Date]])</f>
        <v>15</v>
      </c>
      <c r="Q162" t="str">
        <f>IF(tblLog[[#This Row],[Log Date]]="","",IF(TRIM(tblLog[[#This Row],[Cycle Stage]])="Asked to be removed from database","NO","YES"))</f>
        <v>YES</v>
      </c>
      <c r="R1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3" spans="1:18" ht="15" customHeight="1">
      <c r="A163" t="s">
        <v>7712</v>
      </c>
      <c r="B163" t="str">
        <f>IFERROR(_xlfn.XLOOKUP(tblLog[[#This Row],[Unique ID]], tblMaster[Unique ID], tblMaster[First Name], ""), "")</f>
        <v xml:space="preserve">
kathleen</v>
      </c>
      <c r="C163" t="str">
        <f>IFERROR(_xlfn.XLOOKUP(tblLog[[#This Row],[Unique ID]], tblMaster[Unique ID], tblMaster[Last Name], ""), "")</f>
        <v>Gomes</v>
      </c>
      <c r="D163" t="str">
        <f>IFERROR(_xlfn.XLOOKUP(tblLog[[#This Row],[Unique ID]], tblMaster[Unique ID], tblMaster[Email_Clean], ""), "")</f>
        <v>kathleenlgomes@gmail.com</v>
      </c>
      <c r="E163" s="36" t="str">
        <f>IFERROR(_xlfn.XLOOKUP(tblLog[[#This Row],[Unique ID]], tblMaster[Unique ID], tblMaster[Phone], ""), "")</f>
        <v>(401) 365-5170</v>
      </c>
      <c r="F163" t="str">
        <f>IFERROR(_xlfn.XLOOKUP(tblLog[[#This Row],[Unique ID]], tblMaster[Unique ID], tblMaster[Recruiter], ""), "")</f>
        <v xml:space="preserve">Christopher Servello </v>
      </c>
      <c r="G163" t="str">
        <f>IFERROR(_xlfn.XLOOKUP(tblLog[[#This Row],[Unique ID]], tblMaster[Unique ID], tblMaster[Recruitment Cycle], ""), "")</f>
        <v xml:space="preserve">New Submission/ Lead </v>
      </c>
      <c r="H163" t="s">
        <v>7455</v>
      </c>
      <c r="I163" t="s">
        <v>7494</v>
      </c>
      <c r="J163" s="3">
        <v>2</v>
      </c>
      <c r="K163" t="s">
        <v>7491</v>
      </c>
      <c r="L163" s="2">
        <v>46062</v>
      </c>
      <c r="M163" t="s">
        <v>7452</v>
      </c>
      <c r="N163" t="s">
        <v>7497</v>
      </c>
      <c r="O163" t="s">
        <v>7627</v>
      </c>
      <c r="P163">
        <f ca="1">IF(tblLog[[#This Row],[Log Date]]="","",TODAY()-tblLog[[#This Row],[Log Date]])</f>
        <v>17</v>
      </c>
      <c r="Q163" t="str">
        <f>IF(tblLog[[#This Row],[Log Date]]="","",IF(TRIM(tblLog[[#This Row],[Cycle Stage]])="Asked to be removed from database","NO","YES"))</f>
        <v>YES</v>
      </c>
      <c r="R1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4" spans="1:18" ht="15" customHeight="1">
      <c r="A164" t="s">
        <v>7713</v>
      </c>
      <c r="B164" t="str">
        <f>IFERROR(_xlfn.XLOOKUP(tblLog[[#This Row],[Unique ID]], tblMaster[Unique ID], tblMaster[First Name], ""), "")</f>
        <v xml:space="preserve">John </v>
      </c>
      <c r="C164" t="str">
        <f>IFERROR(_xlfn.XLOOKUP(tblLog[[#This Row],[Unique ID]], tblMaster[Unique ID], tblMaster[Last Name], ""), "")</f>
        <v xml:space="preserve"> Hugo </v>
      </c>
      <c r="D164" t="str">
        <f>IFERROR(_xlfn.XLOOKUP(tblLog[[#This Row],[Unique ID]], tblMaster[Unique ID], tblMaster[Email_Clean], ""), "")</f>
        <v>john_hugo@comcast.net</v>
      </c>
      <c r="E164" t="str">
        <f>IFERROR(_xlfn.XLOOKUP(tblLog[[#This Row],[Unique ID]], tblMaster[Unique ID], tblMaster[Phone], ""), "")</f>
        <v xml:space="preserve">(617) 777-2141 </v>
      </c>
      <c r="F164" t="str">
        <f>IFERROR(_xlfn.XLOOKUP(tblLog[[#This Row],[Unique ID]], tblMaster[Unique ID], tblMaster[Recruiter], ""), "")</f>
        <v xml:space="preserve">Austin Campos </v>
      </c>
      <c r="G164" t="str">
        <f>IFERROR(_xlfn.XLOOKUP(tblLog[[#This Row],[Unique ID]], tblMaster[Unique ID], tblMaster[Recruitment Cycle], ""), "")</f>
        <v xml:space="preserve">New Submission/ Lead </v>
      </c>
      <c r="H164" t="s">
        <v>7484</v>
      </c>
      <c r="I164" t="s">
        <v>7530</v>
      </c>
      <c r="J164" s="3">
        <v>3</v>
      </c>
      <c r="K164" t="s">
        <v>7472</v>
      </c>
      <c r="L164" s="2">
        <v>46062</v>
      </c>
      <c r="M164" t="s">
        <v>7615</v>
      </c>
      <c r="N164" t="s">
        <v>7500</v>
      </c>
      <c r="O164" t="s">
        <v>7714</v>
      </c>
      <c r="P164">
        <f ca="1">IF(tblLog[[#This Row],[Log Date]]="","",TODAY()-tblLog[[#This Row],[Log Date]])</f>
        <v>17</v>
      </c>
      <c r="Q164" t="str">
        <f>IF(tblLog[[#This Row],[Log Date]]="","",IF(TRIM(tblLog[[#This Row],[Cycle Stage]])="Asked to be removed from database","NO","YES"))</f>
        <v>NO</v>
      </c>
      <c r="R16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5" spans="1:18" ht="15" customHeight="1">
      <c r="A165" t="s">
        <v>7715</v>
      </c>
      <c r="B165" t="str">
        <f>IFERROR(_xlfn.XLOOKUP(tblLog[[#This Row],[Unique ID]], tblMaster[Unique ID], tblMaster[First Name], ""), "")</f>
        <v xml:space="preserve">Israel </v>
      </c>
      <c r="C165" t="str">
        <f>IFERROR(_xlfn.XLOOKUP(tblLog[[#This Row],[Unique ID]], tblMaster[Unique ID], tblMaster[Last Name], ""), "")</f>
        <v>Armand</v>
      </c>
      <c r="D165" t="str">
        <f>IFERROR(_xlfn.XLOOKUP(tblLog[[#This Row],[Unique ID]], tblMaster[Unique ID], tblMaster[Email_Clean], ""), "")</f>
        <v>i.armand@aol.com</v>
      </c>
      <c r="E165" t="str">
        <f>IFERROR(_xlfn.XLOOKUP(tblLog[[#This Row],[Unique ID]], tblMaster[Unique ID], tblMaster[Phone], ""), "")</f>
        <v>617-935-5592</v>
      </c>
      <c r="F165" t="str">
        <f>IFERROR(_xlfn.XLOOKUP(tblLog[[#This Row],[Unique ID]], tblMaster[Unique ID], tblMaster[Recruiter], ""), "")</f>
        <v>Zenon Moses</v>
      </c>
      <c r="G165" t="str">
        <f>IFERROR(_xlfn.XLOOKUP(tblLog[[#This Row],[Unique ID]], tblMaster[Unique ID], tblMaster[Recruitment Cycle], ""), "")</f>
        <v xml:space="preserve">New Submission/ Lead </v>
      </c>
      <c r="H165" t="s">
        <v>7716</v>
      </c>
      <c r="I165" t="s">
        <v>7434</v>
      </c>
      <c r="J165" s="3">
        <v>2</v>
      </c>
      <c r="K165" t="s">
        <v>7446</v>
      </c>
      <c r="L165" s="2">
        <v>46073</v>
      </c>
      <c r="M165" t="s">
        <v>7452</v>
      </c>
      <c r="N165" t="s">
        <v>7500</v>
      </c>
      <c r="O165" t="s">
        <v>7717</v>
      </c>
      <c r="P165">
        <f ca="1">IF(tblLog[[#This Row],[Log Date]]="","",TODAY()-tblLog[[#This Row],[Log Date]])</f>
        <v>6</v>
      </c>
      <c r="Q165" t="str">
        <f>IF(tblLog[[#This Row],[Log Date]]="","",IF(TRIM(tblLog[[#This Row],[Cycle Stage]])="Asked to be removed from database","NO","YES"))</f>
        <v>YES</v>
      </c>
      <c r="R1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6" spans="1:18" ht="15" customHeight="1">
      <c r="A166" t="s">
        <v>7718</v>
      </c>
      <c r="B166" t="str">
        <f>IFERROR(_xlfn.XLOOKUP(tblLog[[#This Row],[Unique ID]], tblMaster[Unique ID], tblMaster[First Name], ""), "")</f>
        <v xml:space="preserve">Rosania </v>
      </c>
      <c r="C166" t="str">
        <f>IFERROR(_xlfn.XLOOKUP(tblLog[[#This Row],[Unique ID]], tblMaster[Unique ID], tblMaster[Last Name], ""), "")</f>
        <v xml:space="preserve">Coq </v>
      </c>
      <c r="D166" t="str">
        <f>IFERROR(_xlfn.XLOOKUP(tblLog[[#This Row],[Unique ID]], tblMaster[Unique ID], tblMaster[Email_Clean], ""), "")</f>
        <v>rosaniac68@gmail.com</v>
      </c>
      <c r="E166" t="str">
        <f>IFERROR(_xlfn.XLOOKUP(tblLog[[#This Row],[Unique ID]], tblMaster[Unique ID], tblMaster[Phone], ""), "")</f>
        <v xml:space="preserve">(774) 606-7766 </v>
      </c>
      <c r="F166" t="str">
        <f>IFERROR(_xlfn.XLOOKUP(tblLog[[#This Row],[Unique ID]], tblMaster[Unique ID], tblMaster[Recruiter], ""), "")</f>
        <v xml:space="preserve">Austin Campos </v>
      </c>
      <c r="G166" t="str">
        <f>IFERROR(_xlfn.XLOOKUP(tblLog[[#This Row],[Unique ID]], tblMaster[Unique ID], tblMaster[Recruitment Cycle], ""), "")</f>
        <v xml:space="preserve">New Submission/ Lead </v>
      </c>
      <c r="H166" t="s">
        <v>7496</v>
      </c>
      <c r="I166" t="s">
        <v>4</v>
      </c>
      <c r="J166" s="3">
        <v>1</v>
      </c>
      <c r="O166" t="s">
        <v>7608</v>
      </c>
      <c r="P166" t="str">
        <f ca="1">IF(tblLog[[#This Row],[Log Date]]="","",TODAY()-tblLog[[#This Row],[Log Date]])</f>
        <v/>
      </c>
      <c r="Q166" t="str">
        <f>IF(tblLog[[#This Row],[Log Date]]="","",IF(TRIM(tblLog[[#This Row],[Cycle Stage]])="Asked to be removed from database","NO","YES"))</f>
        <v/>
      </c>
      <c r="R1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7" spans="1:18" ht="15" customHeight="1">
      <c r="A167" t="s">
        <v>7719</v>
      </c>
      <c r="B167" t="str">
        <f>IFERROR(_xlfn.XLOOKUP(tblLog[[#This Row],[Unique ID]], tblMaster[Unique ID], tblMaster[First Name], ""), "")</f>
        <v xml:space="preserve">Sean </v>
      </c>
      <c r="C167" t="str">
        <f>IFERROR(_xlfn.XLOOKUP(tblLog[[#This Row],[Unique ID]], tblMaster[Unique ID], tblMaster[Last Name], ""), "")</f>
        <v xml:space="preserve">Grover </v>
      </c>
      <c r="D167" t="str">
        <f>IFERROR(_xlfn.XLOOKUP(tblLog[[#This Row],[Unique ID]], tblMaster[Unique ID], tblMaster[Email_Clean], ""), "")</f>
        <v>seangrover34@gmail.com</v>
      </c>
      <c r="E167">
        <f>IFERROR(_xlfn.XLOOKUP(tblLog[[#This Row],[Unique ID]], tblMaster[Unique ID], tblMaster[Phone], ""), "")</f>
        <v>0</v>
      </c>
      <c r="F167" t="str">
        <f>IFERROR(_xlfn.XLOOKUP(tblLog[[#This Row],[Unique ID]], tblMaster[Unique ID], tblMaster[Recruiter], ""), "")</f>
        <v xml:space="preserve">Austin Campos </v>
      </c>
      <c r="G167" t="str">
        <f>IFERROR(_xlfn.XLOOKUP(tblLog[[#This Row],[Unique ID]], tblMaster[Unique ID], tblMaster[Recruitment Cycle], ""), "")</f>
        <v xml:space="preserve">New Submission/ Lead </v>
      </c>
      <c r="H167" t="s">
        <v>7496</v>
      </c>
      <c r="I167" t="s">
        <v>4</v>
      </c>
      <c r="J167" s="3">
        <v>1</v>
      </c>
      <c r="O167" t="s">
        <v>7608</v>
      </c>
      <c r="P167" t="str">
        <f ca="1">IF(tblLog[[#This Row],[Log Date]]="","",TODAY()-tblLog[[#This Row],[Log Date]])</f>
        <v/>
      </c>
      <c r="Q167" t="str">
        <f>IF(tblLog[[#This Row],[Log Date]]="","",IF(TRIM(tblLog[[#This Row],[Cycle Stage]])="Asked to be removed from database","NO","YES"))</f>
        <v/>
      </c>
      <c r="R16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8" spans="1:18" ht="15" customHeight="1">
      <c r="A168" t="s">
        <v>7720</v>
      </c>
      <c r="B168" t="str">
        <f>IFERROR(_xlfn.XLOOKUP(tblLog[[#This Row],[Unique ID]], tblMaster[Unique ID], tblMaster[First Name], ""), "")</f>
        <v xml:space="preserve">Jacobo </v>
      </c>
      <c r="C168" t="str">
        <f>IFERROR(_xlfn.XLOOKUP(tblLog[[#This Row],[Unique ID]], tblMaster[Unique ID], tblMaster[Last Name], ""), "")</f>
        <v xml:space="preserve"> Polanco </v>
      </c>
      <c r="D168" t="str">
        <f>IFERROR(_xlfn.XLOOKUP(tblLog[[#This Row],[Unique ID]], tblMaster[Unique ID], tblMaster[Email_Clean], ""), "")</f>
        <v>jacobopolanco12@gmail.com</v>
      </c>
      <c r="E168" t="str">
        <f>IFERROR(_xlfn.XLOOKUP(tblLog[[#This Row],[Unique ID]], tblMaster[Unique ID], tblMaster[Phone], ""), "")</f>
        <v xml:space="preserve">(860) 995-0167 </v>
      </c>
      <c r="F168" t="str">
        <f>IFERROR(_xlfn.XLOOKUP(tblLog[[#This Row],[Unique ID]], tblMaster[Unique ID], tblMaster[Recruiter], ""), "")</f>
        <v xml:space="preserve">Austin Campos </v>
      </c>
      <c r="G168" t="str">
        <f>IFERROR(_xlfn.XLOOKUP(tblLog[[#This Row],[Unique ID]], tblMaster[Unique ID], tblMaster[Recruitment Cycle], ""), "")</f>
        <v xml:space="preserve">New Submission/ Lead </v>
      </c>
      <c r="H168" t="s">
        <v>7496</v>
      </c>
      <c r="I168" t="s">
        <v>4</v>
      </c>
      <c r="J168" s="3">
        <v>1</v>
      </c>
      <c r="O168" t="s">
        <v>7608</v>
      </c>
      <c r="P168" t="str">
        <f ca="1">IF(tblLog[[#This Row],[Log Date]]="","",TODAY()-tblLog[[#This Row],[Log Date]])</f>
        <v/>
      </c>
      <c r="Q168" t="str">
        <f>IF(tblLog[[#This Row],[Log Date]]="","",IF(TRIM(tblLog[[#This Row],[Cycle Stage]])="Asked to be removed from database","NO","YES"))</f>
        <v/>
      </c>
      <c r="R16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69" spans="1:18" ht="15" customHeight="1">
      <c r="A169" t="s">
        <v>7721</v>
      </c>
      <c r="B169" t="str">
        <f>IFERROR(_xlfn.XLOOKUP(tblLog[[#This Row],[Unique ID]], tblMaster[Unique ID], tblMaster[First Name], ""), "")</f>
        <v xml:space="preserve">Ariana </v>
      </c>
      <c r="C169" t="str">
        <f>IFERROR(_xlfn.XLOOKUP(tblLog[[#This Row],[Unique ID]], tblMaster[Unique ID], tblMaster[Last Name], ""), "")</f>
        <v xml:space="preserve"> Wood </v>
      </c>
      <c r="D169" t="str">
        <f>IFERROR(_xlfn.XLOOKUP(tblLog[[#This Row],[Unique ID]], tblMaster[Unique ID], tblMaster[Email_Clean], ""), "")</f>
        <v>ariana12495@icloud.com</v>
      </c>
      <c r="E169" s="36" t="str">
        <f>IFERROR(_xlfn.XLOOKUP(tblLog[[#This Row],[Unique ID]], tblMaster[Unique ID], tblMaster[Phone], ""), "")</f>
        <v>401-771-7891</v>
      </c>
      <c r="F169" t="str">
        <f>IFERROR(_xlfn.XLOOKUP(tblLog[[#This Row],[Unique ID]], tblMaster[Unique ID], tblMaster[Recruiter], ""), "")</f>
        <v xml:space="preserve">Christopher Servello </v>
      </c>
      <c r="G169" t="str">
        <f>IFERROR(_xlfn.XLOOKUP(tblLog[[#This Row],[Unique ID]], tblMaster[Unique ID], tblMaster[Recruitment Cycle], ""), "")</f>
        <v xml:space="preserve">New Submission/ Lead </v>
      </c>
      <c r="H169" t="s">
        <v>7455</v>
      </c>
      <c r="I169" t="s">
        <v>7494</v>
      </c>
      <c r="J169" s="3">
        <v>1</v>
      </c>
      <c r="K169" t="s">
        <v>7491</v>
      </c>
      <c r="L169" s="2">
        <v>46062</v>
      </c>
      <c r="M169" t="s">
        <v>7452</v>
      </c>
      <c r="N169" t="s">
        <v>7497</v>
      </c>
      <c r="O169" t="s">
        <v>7627</v>
      </c>
      <c r="P169">
        <f ca="1">IF(tblLog[[#This Row],[Log Date]]="","",TODAY()-tblLog[[#This Row],[Log Date]])</f>
        <v>17</v>
      </c>
      <c r="Q169" t="str">
        <f>IF(tblLog[[#This Row],[Log Date]]="","",IF(TRIM(tblLog[[#This Row],[Cycle Stage]])="Asked to be removed from database","NO","YES"))</f>
        <v>YES</v>
      </c>
      <c r="R1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0" spans="1:18" ht="15" customHeight="1">
      <c r="A170" t="s">
        <v>7722</v>
      </c>
      <c r="B170" t="str">
        <f>IFERROR(_xlfn.XLOOKUP(tblLog[[#This Row],[Unique ID]], tblMaster[Unique ID], tblMaster[First Name], ""), "")</f>
        <v>Saquon</v>
      </c>
      <c r="C170" t="str">
        <f>IFERROR(_xlfn.XLOOKUP(tblLog[[#This Row],[Unique ID]], tblMaster[Unique ID], tblMaster[Last Name], ""), "")</f>
        <v xml:space="preserve">Spence </v>
      </c>
      <c r="D170" t="str">
        <f>IFERROR(_xlfn.XLOOKUP(tblLog[[#This Row],[Unique ID]], tblMaster[Unique ID], tblMaster[Email_Clean], ""), "")</f>
        <v>ssaquon617@icloud.com</v>
      </c>
      <c r="E170" s="36" t="str">
        <f>IFERROR(_xlfn.XLOOKUP(tblLog[[#This Row],[Unique ID]], tblMaster[Unique ID], tblMaster[Phone], ""), "")</f>
        <v>616028644</v>
      </c>
      <c r="F170" t="str">
        <f>IFERROR(_xlfn.XLOOKUP(tblLog[[#This Row],[Unique ID]], tblMaster[Unique ID], tblMaster[Recruiter], ""), "")</f>
        <v xml:space="preserve">Christopher Servello </v>
      </c>
      <c r="G170" t="str">
        <f>IFERROR(_xlfn.XLOOKUP(tblLog[[#This Row],[Unique ID]], tblMaster[Unique ID], tblMaster[Recruitment Cycle], ""), "")</f>
        <v xml:space="preserve">New Submission/ Lead </v>
      </c>
      <c r="H170" t="s">
        <v>7455</v>
      </c>
      <c r="I170" t="s">
        <v>7434</v>
      </c>
      <c r="J170" s="3">
        <v>2</v>
      </c>
      <c r="K170" t="s">
        <v>7491</v>
      </c>
      <c r="L170" s="2">
        <v>46062</v>
      </c>
      <c r="M170" t="s">
        <v>7452</v>
      </c>
      <c r="N170" t="s">
        <v>7497</v>
      </c>
      <c r="O170" t="s">
        <v>7723</v>
      </c>
      <c r="P170">
        <f ca="1">IF(tblLog[[#This Row],[Log Date]]="","",TODAY()-tblLog[[#This Row],[Log Date]])</f>
        <v>17</v>
      </c>
      <c r="Q170" t="str">
        <f>IF(tblLog[[#This Row],[Log Date]]="","",IF(TRIM(tblLog[[#This Row],[Cycle Stage]])="Asked to be removed from database","NO","YES"))</f>
        <v>YES</v>
      </c>
      <c r="R1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1" spans="1:18" ht="15" customHeight="1">
      <c r="A171" t="s">
        <v>7724</v>
      </c>
      <c r="B171" t="str">
        <f>IFERROR(_xlfn.XLOOKUP(tblLog[[#This Row],[Unique ID]], tblMaster[Unique ID], tblMaster[First Name], ""), "")</f>
        <v xml:space="preserve">
Mikel</v>
      </c>
      <c r="C171" t="str">
        <f>IFERROR(_xlfn.XLOOKUP(tblLog[[#This Row],[Unique ID]], tblMaster[Unique ID], tblMaster[Last Name], ""), "")</f>
        <v>Posey</v>
      </c>
      <c r="D171" t="str">
        <f>IFERROR(_xlfn.XLOOKUP(tblLog[[#This Row],[Unique ID]], tblMaster[Unique ID], tblMaster[Email_Clean], ""), "")</f>
        <v>mposey1833@gmail.com</v>
      </c>
      <c r="E171" t="str">
        <f>IFERROR(_xlfn.XLOOKUP(tblLog[[#This Row],[Unique ID]], tblMaster[Unique ID], tblMaster[Phone], ""), "")</f>
        <v>(978) 822-2465</v>
      </c>
      <c r="F171" t="str">
        <f>IFERROR(_xlfn.XLOOKUP(tblLog[[#This Row],[Unique ID]], tblMaster[Unique ID], tblMaster[Recruiter], ""), "")</f>
        <v xml:space="preserve">Tom Clark </v>
      </c>
      <c r="G171" t="str">
        <f>IFERROR(_xlfn.XLOOKUP(tblLog[[#This Row],[Unique ID]], tblMaster[Unique ID], tblMaster[Recruitment Cycle], ""), "")</f>
        <v xml:space="preserve">New Submission/ Lead </v>
      </c>
      <c r="H171" t="s">
        <v>7505</v>
      </c>
      <c r="I171" t="s">
        <v>7434</v>
      </c>
      <c r="J171" s="3">
        <v>2</v>
      </c>
      <c r="L171" s="2">
        <v>46062</v>
      </c>
      <c r="P171">
        <f ca="1">IF(tblLog[[#This Row],[Log Date]]="","",TODAY()-tblLog[[#This Row],[Log Date]])</f>
        <v>17</v>
      </c>
      <c r="Q171" t="str">
        <f>IF(tblLog[[#This Row],[Log Date]]="","",IF(TRIM(tblLog[[#This Row],[Cycle Stage]])="Asked to be removed from database","NO","YES"))</f>
        <v>YES</v>
      </c>
      <c r="R1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2" spans="1:18" ht="15" customHeight="1">
      <c r="A172" t="s">
        <v>7725</v>
      </c>
      <c r="B172" t="str">
        <f>IFERROR(_xlfn.XLOOKUP(tblLog[[#This Row],[Unique ID]], tblMaster[Unique ID], tblMaster[First Name], ""), "")</f>
        <v>Edgardo</v>
      </c>
      <c r="C172" t="str">
        <f>IFERROR(_xlfn.XLOOKUP(tblLog[[#This Row],[Unique ID]], tblMaster[Unique ID], tblMaster[Last Name], ""), "")</f>
        <v>Santiago</v>
      </c>
      <c r="D172" t="str">
        <f>IFERROR(_xlfn.XLOOKUP(tblLog[[#This Row],[Unique ID]], tblMaster[Unique ID], tblMaster[Email_Clean], ""), "")</f>
        <v>santiagoeliel2006@gmail.com</v>
      </c>
      <c r="E172" t="str">
        <f>IFERROR(_xlfn.XLOOKUP(tblLog[[#This Row],[Unique ID]], tblMaster[Unique ID], tblMaster[Phone], ""), "")</f>
        <v xml:space="preserve">
(978) 320-9028</v>
      </c>
      <c r="F172" t="str">
        <f>IFERROR(_xlfn.XLOOKUP(tblLog[[#This Row],[Unique ID]], tblMaster[Unique ID], tblMaster[Recruiter], ""), "")</f>
        <v xml:space="preserve">Tom Clark </v>
      </c>
      <c r="G172" t="str">
        <f>IFERROR(_xlfn.XLOOKUP(tblLog[[#This Row],[Unique ID]], tblMaster[Unique ID], tblMaster[Recruitment Cycle], ""), "")</f>
        <v xml:space="preserve">New Submission/ Lead </v>
      </c>
      <c r="H172" t="s">
        <v>7490</v>
      </c>
      <c r="I172" t="s">
        <v>7434</v>
      </c>
      <c r="J172" s="3">
        <v>2</v>
      </c>
      <c r="L172" s="2">
        <v>46062</v>
      </c>
      <c r="P172">
        <f ca="1">IF(tblLog[[#This Row],[Log Date]]="","",TODAY()-tblLog[[#This Row],[Log Date]])</f>
        <v>17</v>
      </c>
      <c r="Q172" t="str">
        <f>IF(tblLog[[#This Row],[Log Date]]="","",IF(TRIM(tblLog[[#This Row],[Cycle Stage]])="Asked to be removed from database","NO","YES"))</f>
        <v>YES</v>
      </c>
      <c r="R1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3" spans="1:18" ht="15" customHeight="1">
      <c r="A173" t="s">
        <v>7726</v>
      </c>
      <c r="B173" t="str">
        <f>IFERROR(_xlfn.XLOOKUP(tblLog[[#This Row],[Unique ID]], tblMaster[Unique ID], tblMaster[First Name], ""), "")</f>
        <v>Jayson</v>
      </c>
      <c r="C173" t="str">
        <f>IFERROR(_xlfn.XLOOKUP(tblLog[[#This Row],[Unique ID]], tblMaster[Unique ID], tblMaster[Last Name], ""), "")</f>
        <v>Frazer</v>
      </c>
      <c r="D173" t="str">
        <f>IFERROR(_xlfn.XLOOKUP(tblLog[[#This Row],[Unique ID]], tblMaster[Unique ID], tblMaster[Email_Clean], ""), "")</f>
        <v>jaysonfrazer1998@gmail.com</v>
      </c>
      <c r="E173" t="str">
        <f>IFERROR(_xlfn.XLOOKUP(tblLog[[#This Row],[Unique ID]], tblMaster[Unique ID], tblMaster[Phone], ""), "")</f>
        <v>(508) 939-0206</v>
      </c>
      <c r="F173" t="str">
        <f>IFERROR(_xlfn.XLOOKUP(tblLog[[#This Row],[Unique ID]], tblMaster[Unique ID], tblMaster[Recruiter], ""), "")</f>
        <v xml:space="preserve">Austin Campos </v>
      </c>
      <c r="G173" t="str">
        <f>IFERROR(_xlfn.XLOOKUP(tblLog[[#This Row],[Unique ID]], tblMaster[Unique ID], tblMaster[Recruitment Cycle], ""), "")</f>
        <v xml:space="preserve">New Submission/ Lead </v>
      </c>
      <c r="H173" t="s">
        <v>7484</v>
      </c>
      <c r="I173" t="s">
        <v>7530</v>
      </c>
      <c r="J173" s="3">
        <v>2</v>
      </c>
      <c r="K173" t="s">
        <v>7595</v>
      </c>
      <c r="L173" s="2">
        <v>46062</v>
      </c>
      <c r="M173" t="s">
        <v>7615</v>
      </c>
      <c r="O173" t="s">
        <v>7608</v>
      </c>
      <c r="P173">
        <f ca="1">IF(tblLog[[#This Row],[Log Date]]="","",TODAY()-tblLog[[#This Row],[Log Date]])</f>
        <v>17</v>
      </c>
      <c r="Q173" t="str">
        <f>IF(tblLog[[#This Row],[Log Date]]="","",IF(TRIM(tblLog[[#This Row],[Cycle Stage]])="Asked to be removed from database","NO","YES"))</f>
        <v>NO</v>
      </c>
      <c r="R17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4" spans="1:18" ht="15" customHeight="1">
      <c r="A174" t="s">
        <v>7727</v>
      </c>
      <c r="B174" t="str">
        <f>IFERROR(_xlfn.XLOOKUP(tblLog[[#This Row],[Unique ID]], tblMaster[Unique ID], tblMaster[First Name], ""), "")</f>
        <v xml:space="preserve">Pierre </v>
      </c>
      <c r="C174" t="str">
        <f>IFERROR(_xlfn.XLOOKUP(tblLog[[#This Row],[Unique ID]], tblMaster[Unique ID], tblMaster[Last Name], ""), "")</f>
        <v xml:space="preserve">Jean Coute </v>
      </c>
      <c r="D174" t="str">
        <f>IFERROR(_xlfn.XLOOKUP(tblLog[[#This Row],[Unique ID]], tblMaster[Unique ID], tblMaster[Email_Clean], ""), "")</f>
        <v>pierremary28@gmail.com</v>
      </c>
      <c r="E174" t="str">
        <f>IFERROR(_xlfn.XLOOKUP(tblLog[[#This Row],[Unique ID]], tblMaster[Unique ID], tblMaster[Phone], ""), "")</f>
        <v>781-350-6106</v>
      </c>
      <c r="F174" t="str">
        <f>IFERROR(_xlfn.XLOOKUP(tblLog[[#This Row],[Unique ID]], tblMaster[Unique ID], tblMaster[Recruiter], ""), "")</f>
        <v xml:space="preserve">Austin Campos </v>
      </c>
      <c r="G174" t="str">
        <f>IFERROR(_xlfn.XLOOKUP(tblLog[[#This Row],[Unique ID]], tblMaster[Unique ID], tblMaster[Recruitment Cycle], ""), "")</f>
        <v xml:space="preserve">New Submission/ Lead </v>
      </c>
      <c r="H174" t="s">
        <v>7455</v>
      </c>
      <c r="I174" t="s">
        <v>7434</v>
      </c>
      <c r="J174" s="3">
        <v>2</v>
      </c>
      <c r="K174" t="s">
        <v>7435</v>
      </c>
      <c r="L174" s="2">
        <v>46064</v>
      </c>
      <c r="M174" t="s">
        <v>7452</v>
      </c>
      <c r="N174" t="s">
        <v>7487</v>
      </c>
      <c r="O174" t="s">
        <v>7728</v>
      </c>
      <c r="P174">
        <f ca="1">IF(tblLog[[#This Row],[Log Date]]="","",TODAY()-tblLog[[#This Row],[Log Date]])</f>
        <v>15</v>
      </c>
      <c r="Q174" t="str">
        <f>IF(tblLog[[#This Row],[Log Date]]="","",IF(TRIM(tblLog[[#This Row],[Cycle Stage]])="Asked to be removed from database","NO","YES"))</f>
        <v>YES</v>
      </c>
      <c r="R1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5" spans="1:18" ht="15" customHeight="1">
      <c r="A175" t="s">
        <v>7729</v>
      </c>
      <c r="B175" t="str">
        <f>IFERROR(_xlfn.XLOOKUP(tblLog[[#This Row],[Unique ID]], tblMaster[Unique ID], tblMaster[First Name], ""), "")</f>
        <v>Sarah</v>
      </c>
      <c r="C175" t="str">
        <f>IFERROR(_xlfn.XLOOKUP(tblLog[[#This Row],[Unique ID]], tblMaster[Unique ID], tblMaster[Last Name], ""), "")</f>
        <v xml:space="preserve"> Francois </v>
      </c>
      <c r="D175" t="str">
        <f>IFERROR(_xlfn.XLOOKUP(tblLog[[#This Row],[Unique ID]], tblMaster[Unique ID], tblMaster[Email_Clean], ""), "")</f>
        <v>s.francois713@yahoo.com</v>
      </c>
      <c r="E175" t="str">
        <f>IFERROR(_xlfn.XLOOKUP(tblLog[[#This Row],[Unique ID]], tblMaster[Unique ID], tblMaster[Phone], ""), "")</f>
        <v xml:space="preserve">(857) 334-6447 </v>
      </c>
      <c r="F175" t="str">
        <f>IFERROR(_xlfn.XLOOKUP(tblLog[[#This Row],[Unique ID]], tblMaster[Unique ID], tblMaster[Recruiter], ""), "")</f>
        <v xml:space="preserve">Austin Campos </v>
      </c>
      <c r="G175" t="str">
        <f>IFERROR(_xlfn.XLOOKUP(tblLog[[#This Row],[Unique ID]], tblMaster[Unique ID], tblMaster[Recruitment Cycle], ""), "")</f>
        <v xml:space="preserve">New Submission/ Lead </v>
      </c>
      <c r="H175" t="s">
        <v>7455</v>
      </c>
      <c r="I175" t="s">
        <v>7530</v>
      </c>
      <c r="J175" s="3">
        <v>2</v>
      </c>
      <c r="K175" t="s">
        <v>7435</v>
      </c>
      <c r="L175" s="2">
        <v>46062</v>
      </c>
      <c r="M175" t="s">
        <v>7711</v>
      </c>
      <c r="N175" t="s">
        <v>7475</v>
      </c>
      <c r="O175" t="s">
        <v>7730</v>
      </c>
      <c r="P175">
        <f ca="1">IF(tblLog[[#This Row],[Log Date]]="","",TODAY()-tblLog[[#This Row],[Log Date]])</f>
        <v>17</v>
      </c>
      <c r="Q175" t="str">
        <f>IF(tblLog[[#This Row],[Log Date]]="","",IF(TRIM(tblLog[[#This Row],[Cycle Stage]])="Asked to be removed from database","NO","YES"))</f>
        <v>YES</v>
      </c>
      <c r="R1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6" spans="1:18" ht="15" customHeight="1">
      <c r="A176" t="s">
        <v>7731</v>
      </c>
      <c r="B176" t="str">
        <f>IFERROR(_xlfn.XLOOKUP(tblLog[[#This Row],[Unique ID]], tblMaster[Unique ID], tblMaster[First Name], ""), "")</f>
        <v>India</v>
      </c>
      <c r="C176" t="str">
        <f>IFERROR(_xlfn.XLOOKUP(tblLog[[#This Row],[Unique ID]], tblMaster[Unique ID], tblMaster[Last Name], ""), "")</f>
        <v>Daniels</v>
      </c>
      <c r="D176" t="str">
        <f>IFERROR(_xlfn.XLOOKUP(tblLog[[#This Row],[Unique ID]], tblMaster[Unique ID], tblMaster[Email_Clean], ""), "")</f>
        <v>indialichelle@icloud.com</v>
      </c>
      <c r="E176" t="str">
        <f>IFERROR(_xlfn.XLOOKUP(tblLog[[#This Row],[Unique ID]], tblMaster[Unique ID], tblMaster[Phone], ""), "")</f>
        <v>413 5803699</v>
      </c>
      <c r="F176" t="str">
        <f>IFERROR(_xlfn.XLOOKUP(tblLog[[#This Row],[Unique ID]], tblMaster[Unique ID], tblMaster[Recruiter], ""), "")</f>
        <v xml:space="preserve">Austin Campos </v>
      </c>
      <c r="G176" t="str">
        <f>IFERROR(_xlfn.XLOOKUP(tblLog[[#This Row],[Unique ID]], tblMaster[Unique ID], tblMaster[Recruitment Cycle], ""), "")</f>
        <v xml:space="preserve">New Submission/ Lead </v>
      </c>
      <c r="H176" t="s">
        <v>7496</v>
      </c>
      <c r="I176" t="s">
        <v>4</v>
      </c>
      <c r="J176" s="3">
        <v>1</v>
      </c>
      <c r="O176" t="s">
        <v>7608</v>
      </c>
      <c r="P176" t="str">
        <f ca="1">IF(tblLog[[#This Row],[Log Date]]="","",TODAY()-tblLog[[#This Row],[Log Date]])</f>
        <v/>
      </c>
      <c r="Q176" t="str">
        <f>IF(tblLog[[#This Row],[Log Date]]="","",IF(TRIM(tblLog[[#This Row],[Cycle Stage]])="Asked to be removed from database","NO","YES"))</f>
        <v/>
      </c>
      <c r="R17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7" spans="1:18" ht="15" customHeight="1">
      <c r="A177" t="s">
        <v>7732</v>
      </c>
      <c r="B177" t="str">
        <f>IFERROR(_xlfn.XLOOKUP(tblLog[[#This Row],[Unique ID]], tblMaster[Unique ID], tblMaster[First Name], ""), "")</f>
        <v xml:space="preserve"> Sean </v>
      </c>
      <c r="C177" t="str">
        <f>IFERROR(_xlfn.XLOOKUP(tblLog[[#This Row],[Unique ID]], tblMaster[Unique ID], tblMaster[Last Name], ""), "")</f>
        <v xml:space="preserve"> Stealth</v>
      </c>
      <c r="D177" t="str">
        <f>IFERROR(_xlfn.XLOOKUP(tblLog[[#This Row],[Unique ID]], tblMaster[Unique ID], tblMaster[Email_Clean], ""), "")</f>
        <v>seanstealth@icloud.com</v>
      </c>
      <c r="E177" t="str">
        <f>IFERROR(_xlfn.XLOOKUP(tblLog[[#This Row],[Unique ID]], tblMaster[Unique ID], tblMaster[Phone], ""), "")</f>
        <v>929-990-3155</v>
      </c>
      <c r="F177" t="str">
        <f>IFERROR(_xlfn.XLOOKUP(tblLog[[#This Row],[Unique ID]], tblMaster[Unique ID], tblMaster[Recruiter], ""), "")</f>
        <v xml:space="preserve">Austin Campos </v>
      </c>
      <c r="G177" t="str">
        <f>IFERROR(_xlfn.XLOOKUP(tblLog[[#This Row],[Unique ID]], tblMaster[Unique ID], tblMaster[Recruitment Cycle], ""), "")</f>
        <v xml:space="preserve">New Submission/ Lead </v>
      </c>
      <c r="H177" t="s">
        <v>7496</v>
      </c>
      <c r="I177" t="s">
        <v>4</v>
      </c>
      <c r="J177" s="3">
        <v>1</v>
      </c>
      <c r="O177" t="s">
        <v>7608</v>
      </c>
      <c r="P177" t="str">
        <f ca="1">IF(tblLog[[#This Row],[Log Date]]="","",TODAY()-tblLog[[#This Row],[Log Date]])</f>
        <v/>
      </c>
      <c r="Q177" t="str">
        <f>IF(tblLog[[#This Row],[Log Date]]="","",IF(TRIM(tblLog[[#This Row],[Cycle Stage]])="Asked to be removed from database","NO","YES"))</f>
        <v/>
      </c>
      <c r="R17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8" spans="1:18" ht="15" customHeight="1">
      <c r="A178" t="s">
        <v>7733</v>
      </c>
      <c r="B178" t="str">
        <f>IFERROR(_xlfn.XLOOKUP(tblLog[[#This Row],[Unique ID]], tblMaster[Unique ID], tblMaster[First Name], ""), "")</f>
        <v xml:space="preserve">Enaira </v>
      </c>
      <c r="C178" t="str">
        <f>IFERROR(_xlfn.XLOOKUP(tblLog[[#This Row],[Unique ID]], tblMaster[Unique ID], tblMaster[Last Name], ""), "")</f>
        <v xml:space="preserve">Washington </v>
      </c>
      <c r="D178" t="str">
        <f>IFERROR(_xlfn.XLOOKUP(tblLog[[#This Row],[Unique ID]], tblMaster[Unique ID], tblMaster[Email_Clean], ""), "")</f>
        <v>enairaw@gmail.com</v>
      </c>
      <c r="E178" t="str">
        <f>IFERROR(_xlfn.XLOOKUP(tblLog[[#This Row],[Unique ID]], tblMaster[Unique ID], tblMaster[Phone], ""), "")</f>
        <v>225) 476-2608</v>
      </c>
      <c r="F178" t="str">
        <f>IFERROR(_xlfn.XLOOKUP(tblLog[[#This Row],[Unique ID]], tblMaster[Unique ID], tblMaster[Recruiter], ""), "")</f>
        <v xml:space="preserve">Austin Campos </v>
      </c>
      <c r="G178" t="str">
        <f>IFERROR(_xlfn.XLOOKUP(tblLog[[#This Row],[Unique ID]], tblMaster[Unique ID], tblMaster[Recruitment Cycle], ""), "")</f>
        <v xml:space="preserve">New Submission/ Lead </v>
      </c>
      <c r="H178" t="s">
        <v>7496</v>
      </c>
      <c r="I178" t="s">
        <v>4</v>
      </c>
      <c r="J178" s="3">
        <v>1</v>
      </c>
      <c r="L178" s="2">
        <v>46065</v>
      </c>
      <c r="M178" t="s">
        <v>7556</v>
      </c>
      <c r="N178" t="s">
        <v>7500</v>
      </c>
      <c r="O178" t="s">
        <v>7734</v>
      </c>
      <c r="P178">
        <f ca="1">IF(tblLog[[#This Row],[Log Date]]="","",TODAY()-tblLog[[#This Row],[Log Date]])</f>
        <v>14</v>
      </c>
      <c r="Q178" t="str">
        <f>IF(tblLog[[#This Row],[Log Date]]="","",IF(TRIM(tblLog[[#This Row],[Cycle Stage]])="Asked to be removed from database","NO","YES"))</f>
        <v>YES</v>
      </c>
      <c r="R1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79" spans="1:18" ht="15" customHeight="1">
      <c r="A179" t="s">
        <v>7735</v>
      </c>
      <c r="B179" t="str">
        <f>IFERROR(_xlfn.XLOOKUP(tblLog[[#This Row],[Unique ID]], tblMaster[Unique ID], tblMaster[First Name], ""), "")</f>
        <v xml:space="preserve">Magdala Apollon </v>
      </c>
      <c r="C179" t="str">
        <f>IFERROR(_xlfn.XLOOKUP(tblLog[[#This Row],[Unique ID]], tblMaster[Unique ID], tblMaster[Last Name], ""), "")</f>
        <v xml:space="preserve"> Apollon </v>
      </c>
      <c r="D179" t="str">
        <f>IFERROR(_xlfn.XLOOKUP(tblLog[[#This Row],[Unique ID]], tblMaster[Unique ID], tblMaster[Email_Clean], ""), "")</f>
        <v>gaymagdala1984@gmail.com</v>
      </c>
      <c r="E179" t="str">
        <f>IFERROR(_xlfn.XLOOKUP(tblLog[[#This Row],[Unique ID]], tblMaster[Unique ID], tblMaster[Phone], ""), "")</f>
        <v xml:space="preserve">(339) 221-8647 </v>
      </c>
      <c r="F179" t="str">
        <f>IFERROR(_xlfn.XLOOKUP(tblLog[[#This Row],[Unique ID]], tblMaster[Unique ID], tblMaster[Recruiter], ""), "")</f>
        <v xml:space="preserve">Austin Campos </v>
      </c>
      <c r="G179" t="str">
        <f>IFERROR(_xlfn.XLOOKUP(tblLog[[#This Row],[Unique ID]], tblMaster[Unique ID], tblMaster[Recruitment Cycle], ""), "")</f>
        <v xml:space="preserve">New Submission/ Lead </v>
      </c>
      <c r="H179" t="s">
        <v>7496</v>
      </c>
      <c r="I179" t="s">
        <v>7530</v>
      </c>
      <c r="J179" s="3">
        <v>3</v>
      </c>
      <c r="L179" s="2">
        <v>46065</v>
      </c>
      <c r="M179" t="s">
        <v>7711</v>
      </c>
      <c r="N179" t="s">
        <v>7487</v>
      </c>
      <c r="O179" t="s">
        <v>7736</v>
      </c>
      <c r="P179">
        <f ca="1">IF(tblLog[[#This Row],[Log Date]]="","",TODAY()-tblLog[[#This Row],[Log Date]])</f>
        <v>14</v>
      </c>
      <c r="Q179" t="str">
        <f>IF(tblLog[[#This Row],[Log Date]]="","",IF(TRIM(tblLog[[#This Row],[Cycle Stage]])="Asked to be removed from database","NO","YES"))</f>
        <v>YES</v>
      </c>
      <c r="R1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0" spans="1:18" ht="15" customHeight="1">
      <c r="A180" t="s">
        <v>7737</v>
      </c>
      <c r="B180" t="str">
        <f>IFERROR(_xlfn.XLOOKUP(tblLog[[#This Row],[Unique ID]], tblMaster[Unique ID], tblMaster[First Name], ""), "")</f>
        <v>Melissa</v>
      </c>
      <c r="C180" t="str">
        <f>IFERROR(_xlfn.XLOOKUP(tblLog[[#This Row],[Unique ID]], tblMaster[Unique ID], tblMaster[Last Name], ""), "")</f>
        <v>Andreade</v>
      </c>
      <c r="D180" t="str">
        <f>IFERROR(_xlfn.XLOOKUP(tblLog[[#This Row],[Unique ID]], tblMaster[Unique ID], tblMaster[Email_Clean], ""), "")</f>
        <v>kelyssama2@gmail.com</v>
      </c>
      <c r="E180" t="str">
        <f>IFERROR(_xlfn.XLOOKUP(tblLog[[#This Row],[Unique ID]], tblMaster[Unique ID], tblMaster[Phone], ""), "")</f>
        <v xml:space="preserve">	(401) 548-1558</v>
      </c>
      <c r="F180" t="str">
        <f>IFERROR(_xlfn.XLOOKUP(tblLog[[#This Row],[Unique ID]], tblMaster[Unique ID], tblMaster[Recruiter], ""), "")</f>
        <v xml:space="preserve">Austin Campos </v>
      </c>
      <c r="G180" t="str">
        <f>IFERROR(_xlfn.XLOOKUP(tblLog[[#This Row],[Unique ID]], tblMaster[Unique ID], tblMaster[Recruitment Cycle], ""), "")</f>
        <v xml:space="preserve">New Submission/ Lead </v>
      </c>
      <c r="H180" t="s">
        <v>7439</v>
      </c>
      <c r="I180" t="s">
        <v>7530</v>
      </c>
      <c r="J180" s="3">
        <v>3</v>
      </c>
      <c r="L180" s="2">
        <v>46073</v>
      </c>
      <c r="M180" t="s">
        <v>7452</v>
      </c>
      <c r="N180" t="s">
        <v>7509</v>
      </c>
      <c r="O180" t="s">
        <v>7738</v>
      </c>
      <c r="P180">
        <f ca="1">IF(tblLog[[#This Row],[Log Date]]="","",TODAY()-tblLog[[#This Row],[Log Date]])</f>
        <v>6</v>
      </c>
      <c r="Q180" t="str">
        <f>IF(tblLog[[#This Row],[Log Date]]="","",IF(TRIM(tblLog[[#This Row],[Cycle Stage]])="Asked to be removed from database","NO","YES"))</f>
        <v>YES</v>
      </c>
      <c r="R1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1" spans="1:18" ht="15" customHeight="1">
      <c r="A181" t="s">
        <v>7739</v>
      </c>
      <c r="B181" t="str">
        <f>IFERROR(_xlfn.XLOOKUP(tblLog[[#This Row],[Unique ID]], tblMaster[Unique ID], tblMaster[First Name], ""), "")</f>
        <v>Everett</v>
      </c>
      <c r="C181" t="str">
        <f>IFERROR(_xlfn.XLOOKUP(tblLog[[#This Row],[Unique ID]], tblMaster[Unique ID], tblMaster[Last Name], ""), "")</f>
        <v>Goggans</v>
      </c>
      <c r="D181" t="str">
        <f>IFERROR(_xlfn.XLOOKUP(tblLog[[#This Row],[Unique ID]], tblMaster[Unique ID], tblMaster[Email_Clean], ""), "")</f>
        <v>everettgoggans@comcast.net</v>
      </c>
      <c r="E181" t="str">
        <f>IFERROR(_xlfn.XLOOKUP(tblLog[[#This Row],[Unique ID]], tblMaster[Unique ID], tblMaster[Phone], ""), "")</f>
        <v xml:space="preserve">	(781) 603-5196</v>
      </c>
      <c r="F181" t="str">
        <f>IFERROR(_xlfn.XLOOKUP(tblLog[[#This Row],[Unique ID]], tblMaster[Unique ID], tblMaster[Recruiter], ""), "")</f>
        <v xml:space="preserve">Austin Campos </v>
      </c>
      <c r="G181" t="str">
        <f>IFERROR(_xlfn.XLOOKUP(tblLog[[#This Row],[Unique ID]], tblMaster[Unique ID], tblMaster[Recruitment Cycle], ""), "")</f>
        <v xml:space="preserve">New Submission/ Lead </v>
      </c>
      <c r="H181" t="s">
        <v>7496</v>
      </c>
      <c r="I181" t="s">
        <v>4</v>
      </c>
      <c r="J181" s="3">
        <v>1</v>
      </c>
      <c r="L181" s="2">
        <v>46064</v>
      </c>
      <c r="N181" t="s">
        <v>7497</v>
      </c>
      <c r="O181" t="s">
        <v>7608</v>
      </c>
      <c r="P181">
        <f ca="1">IF(tblLog[[#This Row],[Log Date]]="","",TODAY()-tblLog[[#This Row],[Log Date]])</f>
        <v>15</v>
      </c>
      <c r="Q181" t="str">
        <f>IF(tblLog[[#This Row],[Log Date]]="","",IF(TRIM(tblLog[[#This Row],[Cycle Stage]])="Asked to be removed from database","NO","YES"))</f>
        <v>YES</v>
      </c>
      <c r="R1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2" spans="1:18" ht="15" customHeight="1">
      <c r="A182" t="s">
        <v>7740</v>
      </c>
      <c r="B182" t="str">
        <f>IFERROR(_xlfn.XLOOKUP(tblLog[[#This Row],[Unique ID]], tblMaster[Unique ID], tblMaster[First Name], ""), "")</f>
        <v>Mike</v>
      </c>
      <c r="C182" t="str">
        <f>IFERROR(_xlfn.XLOOKUP(tblLog[[#This Row],[Unique ID]], tblMaster[Unique ID], tblMaster[Last Name], ""), "")</f>
        <v xml:space="preserve"> Foreman </v>
      </c>
      <c r="D182" t="str">
        <f>IFERROR(_xlfn.XLOOKUP(tblLog[[#This Row],[Unique ID]], tblMaster[Unique ID], tblMaster[Email_Clean], ""), "")</f>
        <v>khabibulan@yahoo.com</v>
      </c>
      <c r="E182" t="str">
        <f>IFERROR(_xlfn.XLOOKUP(tblLog[[#This Row],[Unique ID]], tblMaster[Unique ID], tblMaster[Phone], ""), "")</f>
        <v xml:space="preserve">(197) 825-7048 </v>
      </c>
      <c r="F182" t="str">
        <f>IFERROR(_xlfn.XLOOKUP(tblLog[[#This Row],[Unique ID]], tblMaster[Unique ID], tblMaster[Recruiter], ""), "")</f>
        <v xml:space="preserve">Austin Campos </v>
      </c>
      <c r="G182" t="str">
        <f>IFERROR(_xlfn.XLOOKUP(tblLog[[#This Row],[Unique ID]], tblMaster[Unique ID], tblMaster[Recruitment Cycle], ""), "")</f>
        <v xml:space="preserve">New Submission/ Lead </v>
      </c>
      <c r="H182" t="s">
        <v>7496</v>
      </c>
      <c r="I182" t="s">
        <v>4</v>
      </c>
      <c r="J182" s="3">
        <v>1</v>
      </c>
      <c r="L182" s="2">
        <v>46064</v>
      </c>
      <c r="N182" t="s">
        <v>7497</v>
      </c>
      <c r="O182" t="s">
        <v>7608</v>
      </c>
      <c r="P182">
        <f ca="1">IF(tblLog[[#This Row],[Log Date]]="","",TODAY()-tblLog[[#This Row],[Log Date]])</f>
        <v>15</v>
      </c>
      <c r="Q182" t="str">
        <f>IF(tblLog[[#This Row],[Log Date]]="","",IF(TRIM(tblLog[[#This Row],[Cycle Stage]])="Asked to be removed from database","NO","YES"))</f>
        <v>YES</v>
      </c>
      <c r="R1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3" spans="1:18" ht="15" customHeight="1">
      <c r="A183" t="s">
        <v>7741</v>
      </c>
      <c r="B183" t="str">
        <f>IFERROR(_xlfn.XLOOKUP(tblLog[[#This Row],[Unique ID]], tblMaster[Unique ID], tblMaster[First Name], ""), "")</f>
        <v xml:space="preserve">Fred </v>
      </c>
      <c r="C183" t="str">
        <f>IFERROR(_xlfn.XLOOKUP(tblLog[[#This Row],[Unique ID]], tblMaster[Unique ID], tblMaster[Last Name], ""), "")</f>
        <v xml:space="preserve"> Boakye </v>
      </c>
      <c r="D183" t="str">
        <f>IFERROR(_xlfn.XLOOKUP(tblLog[[#This Row],[Unique ID]], tblMaster[Unique ID], tblMaster[Email_Clean], ""), "")</f>
        <v>boakyefk@gmail.com</v>
      </c>
      <c r="E183" t="str">
        <f>IFERROR(_xlfn.XLOOKUP(tblLog[[#This Row],[Unique ID]], tblMaster[Unique ID], tblMaster[Phone], ""), "")</f>
        <v xml:space="preserve">(617) 368-0678 </v>
      </c>
      <c r="F183" t="str">
        <f>IFERROR(_xlfn.XLOOKUP(tblLog[[#This Row],[Unique ID]], tblMaster[Unique ID], tblMaster[Recruiter], ""), "")</f>
        <v xml:space="preserve">Austin Campos </v>
      </c>
      <c r="G183" t="str">
        <f>IFERROR(_xlfn.XLOOKUP(tblLog[[#This Row],[Unique ID]], tblMaster[Unique ID], tblMaster[Recruitment Cycle], ""), "")</f>
        <v xml:space="preserve">New Submission/ Lead </v>
      </c>
      <c r="H183" t="s">
        <v>7496</v>
      </c>
      <c r="I183" t="s">
        <v>4</v>
      </c>
      <c r="J183" s="3">
        <v>1</v>
      </c>
      <c r="L183" s="2">
        <v>46064</v>
      </c>
      <c r="N183" t="s">
        <v>7497</v>
      </c>
      <c r="O183" t="s">
        <v>7608</v>
      </c>
      <c r="P183">
        <f ca="1">IF(tblLog[[#This Row],[Log Date]]="","",TODAY()-tblLog[[#This Row],[Log Date]])</f>
        <v>15</v>
      </c>
      <c r="Q183" t="str">
        <f>IF(tblLog[[#This Row],[Log Date]]="","",IF(TRIM(tblLog[[#This Row],[Cycle Stage]])="Asked to be removed from database","NO","YES"))</f>
        <v>YES</v>
      </c>
      <c r="R1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4" spans="1:18" ht="15" customHeight="1">
      <c r="A184" t="s">
        <v>7742</v>
      </c>
      <c r="B184" t="str">
        <f>IFERROR(_xlfn.XLOOKUP(tblLog[[#This Row],[Unique ID]], tblMaster[Unique ID], tblMaster[First Name], ""), "")</f>
        <v>Marckelrie</v>
      </c>
      <c r="C184" t="str">
        <f>IFERROR(_xlfn.XLOOKUP(tblLog[[#This Row],[Unique ID]], tblMaster[Unique ID], tblMaster[Last Name], ""), "")</f>
        <v xml:space="preserve">Tibreuil </v>
      </c>
      <c r="D184" t="str">
        <f>IFERROR(_xlfn.XLOOKUP(tblLog[[#This Row],[Unique ID]], tblMaster[Unique ID], tblMaster[Email_Clean], ""), "")</f>
        <v>tibmarc16@gmail.com</v>
      </c>
      <c r="E184" t="str">
        <f>IFERROR(_xlfn.XLOOKUP(tblLog[[#This Row],[Unique ID]], tblMaster[Unique ID], tblMaster[Phone], ""), "")</f>
        <v xml:space="preserve">774) 381-8371 </v>
      </c>
      <c r="F184" t="str">
        <f>IFERROR(_xlfn.XLOOKUP(tblLog[[#This Row],[Unique ID]], tblMaster[Unique ID], tblMaster[Recruiter], ""), "")</f>
        <v xml:space="preserve">Austin Campos </v>
      </c>
      <c r="G184" t="str">
        <f>IFERROR(_xlfn.XLOOKUP(tblLog[[#This Row],[Unique ID]], tblMaster[Unique ID], tblMaster[Recruitment Cycle], ""), "")</f>
        <v xml:space="preserve">New Submission/ Lead </v>
      </c>
      <c r="H184" t="s">
        <v>7496</v>
      </c>
      <c r="I184" t="s">
        <v>4</v>
      </c>
      <c r="J184" s="3">
        <v>1</v>
      </c>
      <c r="L184" s="2">
        <v>46064</v>
      </c>
      <c r="N184" t="s">
        <v>7497</v>
      </c>
      <c r="O184" t="s">
        <v>7608</v>
      </c>
      <c r="P184">
        <f ca="1">IF(tblLog[[#This Row],[Log Date]]="","",TODAY()-tblLog[[#This Row],[Log Date]])</f>
        <v>15</v>
      </c>
      <c r="Q184" t="str">
        <f>IF(tblLog[[#This Row],[Log Date]]="","",IF(TRIM(tblLog[[#This Row],[Cycle Stage]])="Asked to be removed from database","NO","YES"))</f>
        <v>YES</v>
      </c>
      <c r="R1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5" spans="1:18" ht="15" customHeight="1">
      <c r="A185" t="s">
        <v>7743</v>
      </c>
      <c r="B185" t="str">
        <f>IFERROR(_xlfn.XLOOKUP(tblLog[[#This Row],[Unique ID]], tblMaster[Unique ID], tblMaster[First Name], ""), "")</f>
        <v xml:space="preserve">Blake </v>
      </c>
      <c r="C185" t="str">
        <f>IFERROR(_xlfn.XLOOKUP(tblLog[[#This Row],[Unique ID]], tblMaster[Unique ID], tblMaster[Last Name], ""), "")</f>
        <v xml:space="preserve"> Greco Muncy </v>
      </c>
      <c r="D185" t="str">
        <f>IFERROR(_xlfn.XLOOKUP(tblLog[[#This Row],[Unique ID]], tblMaster[Unique ID], tblMaster[Email_Clean], ""), "")</f>
        <v>blakem667@gmail.com</v>
      </c>
      <c r="E185" t="str">
        <f>IFERROR(_xlfn.XLOOKUP(tblLog[[#This Row],[Unique ID]], tblMaster[Unique ID], tblMaster[Phone], ""), "")</f>
        <v xml:space="preserve">251) 648-3281 </v>
      </c>
      <c r="F185" t="str">
        <f>IFERROR(_xlfn.XLOOKUP(tblLog[[#This Row],[Unique ID]], tblMaster[Unique ID], tblMaster[Recruiter], ""), "")</f>
        <v xml:space="preserve">Austin Campos </v>
      </c>
      <c r="G185" t="str">
        <f>IFERROR(_xlfn.XLOOKUP(tblLog[[#This Row],[Unique ID]], tblMaster[Unique ID], tblMaster[Recruitment Cycle], ""), "")</f>
        <v xml:space="preserve">New Submission/ Lead </v>
      </c>
      <c r="H185" t="s">
        <v>7496</v>
      </c>
      <c r="I185" t="s">
        <v>4</v>
      </c>
      <c r="J185" s="3">
        <v>1</v>
      </c>
      <c r="L185" s="2">
        <v>46064</v>
      </c>
      <c r="N185" t="s">
        <v>7497</v>
      </c>
      <c r="O185" t="s">
        <v>7608</v>
      </c>
      <c r="P185">
        <f ca="1">IF(tblLog[[#This Row],[Log Date]]="","",TODAY()-tblLog[[#This Row],[Log Date]])</f>
        <v>15</v>
      </c>
      <c r="Q185" t="str">
        <f>IF(tblLog[[#This Row],[Log Date]]="","",IF(TRIM(tblLog[[#This Row],[Cycle Stage]])="Asked to be removed from database","NO","YES"))</f>
        <v>YES</v>
      </c>
      <c r="R1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6" spans="1:18" ht="15" customHeight="1">
      <c r="A186" t="s">
        <v>7744</v>
      </c>
      <c r="B186" t="str">
        <f>IFERROR(_xlfn.XLOOKUP(tblLog[[#This Row],[Unique ID]], tblMaster[Unique ID], tblMaster[First Name], ""), "")</f>
        <v xml:space="preserve">Sequoia </v>
      </c>
      <c r="C186" t="str">
        <f>IFERROR(_xlfn.XLOOKUP(tblLog[[#This Row],[Unique ID]], tblMaster[Unique ID], tblMaster[Last Name], ""), "")</f>
        <v xml:space="preserve"> Grubbs </v>
      </c>
      <c r="D186" t="str">
        <f>IFERROR(_xlfn.XLOOKUP(tblLog[[#This Row],[Unique ID]], tblMaster[Unique ID], tblMaster[Email_Clean], ""), "")</f>
        <v>sequoia97@gmail.com</v>
      </c>
      <c r="E186" t="str">
        <f>IFERROR(_xlfn.XLOOKUP(tblLog[[#This Row],[Unique ID]], tblMaster[Unique ID], tblMaster[Phone], ""), "")</f>
        <v xml:space="preserve">(781) 975-8035 </v>
      </c>
      <c r="F186" t="str">
        <f>IFERROR(_xlfn.XLOOKUP(tblLog[[#This Row],[Unique ID]], tblMaster[Unique ID], tblMaster[Recruiter], ""), "")</f>
        <v xml:space="preserve">Austin Campos </v>
      </c>
      <c r="G186" t="str">
        <f>IFERROR(_xlfn.XLOOKUP(tblLog[[#This Row],[Unique ID]], tblMaster[Unique ID], tblMaster[Recruitment Cycle], ""), "")</f>
        <v xml:space="preserve">New Submission/ Lead </v>
      </c>
      <c r="H186" t="s">
        <v>7496</v>
      </c>
      <c r="I186" t="s">
        <v>4</v>
      </c>
      <c r="J186" s="3">
        <v>1</v>
      </c>
      <c r="L186" s="2">
        <v>46064</v>
      </c>
      <c r="N186" t="s">
        <v>7497</v>
      </c>
      <c r="O186" t="s">
        <v>7608</v>
      </c>
      <c r="P186">
        <f ca="1">IF(tblLog[[#This Row],[Log Date]]="","",TODAY()-tblLog[[#This Row],[Log Date]])</f>
        <v>15</v>
      </c>
      <c r="Q186" t="str">
        <f>IF(tblLog[[#This Row],[Log Date]]="","",IF(TRIM(tblLog[[#This Row],[Cycle Stage]])="Asked to be removed from database","NO","YES"))</f>
        <v>YES</v>
      </c>
      <c r="R1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7" spans="1:18" ht="15" customHeight="1">
      <c r="A187" t="s">
        <v>7745</v>
      </c>
      <c r="B187" t="str">
        <f>IFERROR(_xlfn.XLOOKUP(tblLog[[#This Row],[Unique ID]], tblMaster[Unique ID], tblMaster[First Name], ""), "")</f>
        <v xml:space="preserve">Angel </v>
      </c>
      <c r="C187" t="str">
        <f>IFERROR(_xlfn.XLOOKUP(tblLog[[#This Row],[Unique ID]], tblMaster[Unique ID], tblMaster[Last Name], ""), "")</f>
        <v>Oyola</v>
      </c>
      <c r="D187" t="str">
        <f>IFERROR(_xlfn.XLOOKUP(tblLog[[#This Row],[Unique ID]], tblMaster[Unique ID], tblMaster[Email_Clean], ""), "")</f>
        <v>aoyola9696@gmail.com</v>
      </c>
      <c r="E187" t="str">
        <f>IFERROR(_xlfn.XLOOKUP(tblLog[[#This Row],[Unique ID]], tblMaster[Unique ID], tblMaster[Phone], ""), "")</f>
        <v>(413) 291-6768</v>
      </c>
      <c r="F187" t="str">
        <f>IFERROR(_xlfn.XLOOKUP(tblLog[[#This Row],[Unique ID]], tblMaster[Unique ID], tblMaster[Recruiter], ""), "")</f>
        <v xml:space="preserve">Austin Campos </v>
      </c>
      <c r="G187" t="str">
        <f>IFERROR(_xlfn.XLOOKUP(tblLog[[#This Row],[Unique ID]], tblMaster[Unique ID], tblMaster[Recruitment Cycle], ""), "")</f>
        <v xml:space="preserve">New Submission/ Lead </v>
      </c>
      <c r="H187" t="s">
        <v>7496</v>
      </c>
      <c r="I187" t="s">
        <v>4</v>
      </c>
      <c r="J187" s="3">
        <v>1</v>
      </c>
      <c r="L187" s="2">
        <v>46064</v>
      </c>
      <c r="N187" t="s">
        <v>7497</v>
      </c>
      <c r="O187" t="s">
        <v>7608</v>
      </c>
      <c r="P187">
        <f ca="1">IF(tblLog[[#This Row],[Log Date]]="","",TODAY()-tblLog[[#This Row],[Log Date]])</f>
        <v>15</v>
      </c>
      <c r="Q187" t="str">
        <f>IF(tblLog[[#This Row],[Log Date]]="","",IF(TRIM(tblLog[[#This Row],[Cycle Stage]])="Asked to be removed from database","NO","YES"))</f>
        <v>YES</v>
      </c>
      <c r="R1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8" spans="1:18" ht="15" customHeight="1">
      <c r="A188" t="s">
        <v>7746</v>
      </c>
      <c r="B188" t="str">
        <f>IFERROR(_xlfn.XLOOKUP(tblLog[[#This Row],[Unique ID]], tblMaster[Unique ID], tblMaster[First Name], ""), "")</f>
        <v>Alexander</v>
      </c>
      <c r="C188" t="str">
        <f>IFERROR(_xlfn.XLOOKUP(tblLog[[#This Row],[Unique ID]], tblMaster[Unique ID], tblMaster[Last Name], ""), "")</f>
        <v>Rosati</v>
      </c>
      <c r="D188" t="str">
        <f>IFERROR(_xlfn.XLOOKUP(tblLog[[#This Row],[Unique ID]], tblMaster[Unique ID], tblMaster[Email_Clean], ""), "")</f>
        <v>alexrosati99@gmail.com</v>
      </c>
      <c r="E188" t="str">
        <f>IFERROR(_xlfn.XLOOKUP(tblLog[[#This Row],[Unique ID]], tblMaster[Unique ID], tblMaster[Phone], ""), "")</f>
        <v>(781) 789-7331</v>
      </c>
      <c r="F188" t="str">
        <f>IFERROR(_xlfn.XLOOKUP(tblLog[[#This Row],[Unique ID]], tblMaster[Unique ID], tblMaster[Recruiter], ""), "")</f>
        <v xml:space="preserve">Austin Campos </v>
      </c>
      <c r="G188" t="str">
        <f>IFERROR(_xlfn.XLOOKUP(tblLog[[#This Row],[Unique ID]], tblMaster[Unique ID], tblMaster[Recruitment Cycle], ""), "")</f>
        <v xml:space="preserve">New Submission/ Lead </v>
      </c>
      <c r="H188" t="s">
        <v>7496</v>
      </c>
      <c r="I188" t="s">
        <v>7530</v>
      </c>
      <c r="J188" s="3">
        <v>3</v>
      </c>
      <c r="L188" s="2">
        <v>46065</v>
      </c>
      <c r="M188" t="s">
        <v>7452</v>
      </c>
      <c r="N188" t="s">
        <v>7487</v>
      </c>
      <c r="O188" t="s">
        <v>7747</v>
      </c>
      <c r="P188">
        <f ca="1">IF(tblLog[[#This Row],[Log Date]]="","",TODAY()-tblLog[[#This Row],[Log Date]])</f>
        <v>14</v>
      </c>
      <c r="Q188" t="str">
        <f>IF(tblLog[[#This Row],[Log Date]]="","",IF(TRIM(tblLog[[#This Row],[Cycle Stage]])="Asked to be removed from database","NO","YES"))</f>
        <v>YES</v>
      </c>
      <c r="R1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89" spans="1:18" ht="15" customHeight="1">
      <c r="A189" t="s">
        <v>7748</v>
      </c>
      <c r="B189" t="str">
        <f>IFERROR(_xlfn.XLOOKUP(tblLog[[#This Row],[Unique ID]], tblMaster[Unique ID], tblMaster[First Name], ""), "")</f>
        <v>Joseph</v>
      </c>
      <c r="C189" t="str">
        <f>IFERROR(_xlfn.XLOOKUP(tblLog[[#This Row],[Unique ID]], tblMaster[Unique ID], tblMaster[Last Name], ""), "")</f>
        <v xml:space="preserve"> Colon</v>
      </c>
      <c r="D189" t="str">
        <f>IFERROR(_xlfn.XLOOKUP(tblLog[[#This Row],[Unique ID]], tblMaster[Unique ID], tblMaster[Email_Clean], ""), "")</f>
        <v>joeycolon444@gmail.com</v>
      </c>
      <c r="E189" t="str">
        <f>IFERROR(_xlfn.XLOOKUP(tblLog[[#This Row],[Unique ID]], tblMaster[Unique ID], tblMaster[Phone], ""), "")</f>
        <v>860 836 6679</v>
      </c>
      <c r="F189" t="str">
        <f>IFERROR(_xlfn.XLOOKUP(tblLog[[#This Row],[Unique ID]], tblMaster[Unique ID], tblMaster[Recruiter], ""), "")</f>
        <v xml:space="preserve">Austin Campos </v>
      </c>
      <c r="G189" t="str">
        <f>IFERROR(_xlfn.XLOOKUP(tblLog[[#This Row],[Unique ID]], tblMaster[Unique ID], tblMaster[Recruitment Cycle], ""), "")</f>
        <v xml:space="preserve">New Submission/ Lead </v>
      </c>
      <c r="H189" t="s">
        <v>7496</v>
      </c>
      <c r="I189" t="s">
        <v>4</v>
      </c>
      <c r="J189" s="3">
        <v>1</v>
      </c>
      <c r="L189" s="2">
        <v>46064</v>
      </c>
      <c r="N189" t="s">
        <v>7497</v>
      </c>
      <c r="O189" t="s">
        <v>7608</v>
      </c>
      <c r="P189">
        <f ca="1">IF(tblLog[[#This Row],[Log Date]]="","",TODAY()-tblLog[[#This Row],[Log Date]])</f>
        <v>15</v>
      </c>
      <c r="Q189" t="str">
        <f>IF(tblLog[[#This Row],[Log Date]]="","",IF(TRIM(tblLog[[#This Row],[Cycle Stage]])="Asked to be removed from database","NO","YES"))</f>
        <v>YES</v>
      </c>
      <c r="R1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0" spans="1:18" ht="15" customHeight="1">
      <c r="A190" t="s">
        <v>7749</v>
      </c>
      <c r="B190" t="str">
        <f>IFERROR(_xlfn.XLOOKUP(tblLog[[#This Row],[Unique ID]], tblMaster[Unique ID], tblMaster[First Name], ""), "")</f>
        <v>Maria</v>
      </c>
      <c r="C190" t="str">
        <f>IFERROR(_xlfn.XLOOKUP(tblLog[[#This Row],[Unique ID]], tblMaster[Unique ID], tblMaster[Last Name], ""), "")</f>
        <v>Fernandes</v>
      </c>
      <c r="D190" t="str">
        <f>IFERROR(_xlfn.XLOOKUP(tblLog[[#This Row],[Unique ID]], tblMaster[Unique ID], tblMaster[Email_Clean], ""), "")</f>
        <v>malu1142@yahoo.com</v>
      </c>
      <c r="E190" t="str">
        <f>IFERROR(_xlfn.XLOOKUP(tblLog[[#This Row],[Unique ID]], tblMaster[Unique ID], tblMaster[Phone], ""), "")</f>
        <v xml:space="preserve">
(617) 373-0518</v>
      </c>
      <c r="F190" t="str">
        <f>IFERROR(_xlfn.XLOOKUP(tblLog[[#This Row],[Unique ID]], tblMaster[Unique ID], tblMaster[Recruiter], ""), "")</f>
        <v xml:space="preserve">Austin Campos </v>
      </c>
      <c r="G190" t="str">
        <f>IFERROR(_xlfn.XLOOKUP(tblLog[[#This Row],[Unique ID]], tblMaster[Unique ID], tblMaster[Recruitment Cycle], ""), "")</f>
        <v xml:space="preserve">New Submission/ Lead </v>
      </c>
      <c r="H190" t="s">
        <v>7496</v>
      </c>
      <c r="I190" t="s">
        <v>4</v>
      </c>
      <c r="J190" s="3">
        <v>1</v>
      </c>
      <c r="L190" s="2">
        <v>46064</v>
      </c>
      <c r="N190" t="s">
        <v>7497</v>
      </c>
      <c r="P190">
        <f ca="1">IF(tblLog[[#This Row],[Log Date]]="","",TODAY()-tblLog[[#This Row],[Log Date]])</f>
        <v>15</v>
      </c>
      <c r="Q190" t="str">
        <f>IF(tblLog[[#This Row],[Log Date]]="","",IF(TRIM(tblLog[[#This Row],[Cycle Stage]])="Asked to be removed from database","NO","YES"))</f>
        <v>YES</v>
      </c>
      <c r="R1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1" spans="1:18" ht="15" customHeight="1">
      <c r="A191" t="s">
        <v>7750</v>
      </c>
      <c r="B191" t="str">
        <f>IFERROR(_xlfn.XLOOKUP(tblLog[[#This Row],[Unique ID]], tblMaster[Unique ID], tblMaster[First Name], ""), "")</f>
        <v xml:space="preserve">kareen </v>
      </c>
      <c r="C191" t="str">
        <f>IFERROR(_xlfn.XLOOKUP(tblLog[[#This Row],[Unique ID]], tblMaster[Unique ID], tblMaster[Last Name], ""), "")</f>
        <v xml:space="preserve"> Francois</v>
      </c>
      <c r="D191" t="str">
        <f>IFERROR(_xlfn.XLOOKUP(tblLog[[#This Row],[Unique ID]], tblMaster[Unique ID], tblMaster[Email_Clean], ""), "")</f>
        <v>kareenfrancois@gmail.com</v>
      </c>
      <c r="E191" t="str">
        <f>IFERROR(_xlfn.XLOOKUP(tblLog[[#This Row],[Unique ID]], tblMaster[Unique ID], tblMaster[Phone], ""), "")</f>
        <v>7813544760</v>
      </c>
      <c r="F191" t="str">
        <f>IFERROR(_xlfn.XLOOKUP(tblLog[[#This Row],[Unique ID]], tblMaster[Unique ID], tblMaster[Recruiter], ""), "")</f>
        <v xml:space="preserve">Austin Campos </v>
      </c>
      <c r="G191" t="str">
        <f>IFERROR(_xlfn.XLOOKUP(tblLog[[#This Row],[Unique ID]], tblMaster[Unique ID], tblMaster[Recruitment Cycle], ""), "")</f>
        <v xml:space="preserve">New Submission/ Lead </v>
      </c>
      <c r="H191" t="s">
        <v>7496</v>
      </c>
      <c r="I191" t="s">
        <v>4</v>
      </c>
      <c r="J191" s="3">
        <v>1</v>
      </c>
      <c r="L191" s="2">
        <v>46064</v>
      </c>
      <c r="N191" t="s">
        <v>7497</v>
      </c>
      <c r="P191">
        <f ca="1">IF(tblLog[[#This Row],[Log Date]]="","",TODAY()-tblLog[[#This Row],[Log Date]])</f>
        <v>15</v>
      </c>
      <c r="Q191" t="str">
        <f>IF(tblLog[[#This Row],[Log Date]]="","",IF(TRIM(tblLog[[#This Row],[Cycle Stage]])="Asked to be removed from database","NO","YES"))</f>
        <v>YES</v>
      </c>
      <c r="R1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2" spans="1:18" ht="15" customHeight="1">
      <c r="A192" t="s">
        <v>7751</v>
      </c>
      <c r="B192" t="str">
        <f>IFERROR(_xlfn.XLOOKUP(tblLog[[#This Row],[Unique ID]], tblMaster[Unique ID], tblMaster[First Name], ""), "")</f>
        <v xml:space="preserve">Alissara </v>
      </c>
      <c r="C192" t="str">
        <f>IFERROR(_xlfn.XLOOKUP(tblLog[[#This Row],[Unique ID]], tblMaster[Unique ID], tblMaster[Last Name], ""), "")</f>
        <v>Alexis</v>
      </c>
      <c r="D192" t="str">
        <f>IFERROR(_xlfn.XLOOKUP(tblLog[[#This Row],[Unique ID]], tblMaster[Unique ID], tblMaster[Email_Clean], ""), "")</f>
        <v>alissaraalexis9@gmail.com</v>
      </c>
      <c r="E192" t="str">
        <f>IFERROR(_xlfn.XLOOKUP(tblLog[[#This Row],[Unique ID]], tblMaster[Unique ID], tblMaster[Phone], ""), "")</f>
        <v>508 649 7818</v>
      </c>
      <c r="F192" t="str">
        <f>IFERROR(_xlfn.XLOOKUP(tblLog[[#This Row],[Unique ID]], tblMaster[Unique ID], tblMaster[Recruiter], ""), "")</f>
        <v xml:space="preserve">Austin Campos </v>
      </c>
      <c r="G192" t="str">
        <f>IFERROR(_xlfn.XLOOKUP(tblLog[[#This Row],[Unique ID]], tblMaster[Unique ID], tblMaster[Recruitment Cycle], ""), "")</f>
        <v xml:space="preserve">Re-Engagment </v>
      </c>
      <c r="H192" t="s">
        <v>7455</v>
      </c>
      <c r="I192" t="s">
        <v>7530</v>
      </c>
      <c r="J192" s="3">
        <v>1</v>
      </c>
      <c r="K192" t="s">
        <v>7435</v>
      </c>
      <c r="L192" s="2">
        <v>46062</v>
      </c>
      <c r="M192" t="s">
        <v>7452</v>
      </c>
      <c r="N192" t="s">
        <v>7497</v>
      </c>
      <c r="O192" t="s">
        <v>7752</v>
      </c>
      <c r="P192">
        <f ca="1">IF(tblLog[[#This Row],[Log Date]]="","",TODAY()-tblLog[[#This Row],[Log Date]])</f>
        <v>17</v>
      </c>
      <c r="Q192" t="str">
        <f>IF(tblLog[[#This Row],[Log Date]]="","",IF(TRIM(tblLog[[#This Row],[Cycle Stage]])="Asked to be removed from database","NO","YES"))</f>
        <v>YES</v>
      </c>
      <c r="R1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3" spans="1:18" ht="15" customHeight="1">
      <c r="A193" t="s">
        <v>7753</v>
      </c>
      <c r="B193" t="str">
        <f>IFERROR(_xlfn.XLOOKUP(tblLog[[#This Row],[Unique ID]], tblMaster[Unique ID], tblMaster[First Name], ""), "")</f>
        <v xml:space="preserve">Amber </v>
      </c>
      <c r="C193" t="str">
        <f>IFERROR(_xlfn.XLOOKUP(tblLog[[#This Row],[Unique ID]], tblMaster[Unique ID], tblMaster[Last Name], ""), "")</f>
        <v>Mellman</v>
      </c>
      <c r="D193" t="str">
        <f>IFERROR(_xlfn.XLOOKUP(tblLog[[#This Row],[Unique ID]], tblMaster[Unique ID], tblMaster[Email_Clean], ""), "")</f>
        <v>amber.mellman.depina@icloud.com</v>
      </c>
      <c r="E193" t="str">
        <f>IFERROR(_xlfn.XLOOKUP(tblLog[[#This Row],[Unique ID]], tblMaster[Unique ID], tblMaster[Phone], ""), "")</f>
        <v>774 524 7688</v>
      </c>
      <c r="F193" t="str">
        <f>IFERROR(_xlfn.XLOOKUP(tblLog[[#This Row],[Unique ID]], tblMaster[Unique ID], tblMaster[Recruiter], ""), "")</f>
        <v xml:space="preserve">Austin Campos </v>
      </c>
      <c r="G193" t="str">
        <f>IFERROR(_xlfn.XLOOKUP(tblLog[[#This Row],[Unique ID]], tblMaster[Unique ID], tblMaster[Recruitment Cycle], ""), "")</f>
        <v xml:space="preserve">Re-Engagment </v>
      </c>
      <c r="H193" t="s">
        <v>7496</v>
      </c>
      <c r="I193" t="s">
        <v>4</v>
      </c>
      <c r="J193" s="3">
        <v>1</v>
      </c>
      <c r="P193" t="str">
        <f ca="1">IF(tblLog[[#This Row],[Log Date]]="","",TODAY()-tblLog[[#This Row],[Log Date]])</f>
        <v/>
      </c>
      <c r="Q193" t="str">
        <f>IF(tblLog[[#This Row],[Log Date]]="","",IF(TRIM(tblLog[[#This Row],[Cycle Stage]])="Asked to be removed from database","NO","YES"))</f>
        <v/>
      </c>
      <c r="R19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4" spans="1:18" ht="15" customHeight="1">
      <c r="A194" t="s">
        <v>7754</v>
      </c>
      <c r="B194" t="str">
        <f>IFERROR(_xlfn.XLOOKUP(tblLog[[#This Row],[Unique ID]], tblMaster[Unique ID], tblMaster[First Name], ""), "")</f>
        <v xml:space="preserve">Joel </v>
      </c>
      <c r="C194" t="str">
        <f>IFERROR(_xlfn.XLOOKUP(tblLog[[#This Row],[Unique ID]], tblMaster[Unique ID], tblMaster[Last Name], ""), "")</f>
        <v xml:space="preserve">Joel Varilus </v>
      </c>
      <c r="D194" t="str">
        <f>IFERROR(_xlfn.XLOOKUP(tblLog[[#This Row],[Unique ID]], tblMaster[Unique ID], tblMaster[Email_Clean], ""), "")</f>
        <v>jvarilus@gmail.com</v>
      </c>
      <c r="E194" t="str">
        <f>IFERROR(_xlfn.XLOOKUP(tblLog[[#This Row],[Unique ID]], tblMaster[Unique ID], tblMaster[Phone], ""), "")</f>
        <v xml:space="preserve">857-615-8925 </v>
      </c>
      <c r="F194" t="str">
        <f>IFERROR(_xlfn.XLOOKUP(tblLog[[#This Row],[Unique ID]], tblMaster[Unique ID], tblMaster[Recruiter], ""), "")</f>
        <v xml:space="preserve">Enrique Ortiz </v>
      </c>
      <c r="G194" t="str">
        <f>IFERROR(_xlfn.XLOOKUP(tblLog[[#This Row],[Unique ID]], tblMaster[Unique ID], tblMaster[Recruitment Cycle], ""), "")</f>
        <v xml:space="preserve">Re-Engagment </v>
      </c>
      <c r="H194" t="s">
        <v>7455</v>
      </c>
      <c r="I194" t="s">
        <v>7494</v>
      </c>
      <c r="J194" s="3">
        <v>2</v>
      </c>
      <c r="K194" t="s">
        <v>7491</v>
      </c>
      <c r="L194" s="2">
        <v>46062</v>
      </c>
      <c r="N194" t="s">
        <v>7497</v>
      </c>
      <c r="O194" t="s">
        <v>7627</v>
      </c>
      <c r="P194">
        <f ca="1">IF(tblLog[[#This Row],[Log Date]]="","",TODAY()-tblLog[[#This Row],[Log Date]])</f>
        <v>17</v>
      </c>
      <c r="Q194" t="str">
        <f>IF(tblLog[[#This Row],[Log Date]]="","",IF(TRIM(tblLog[[#This Row],[Cycle Stage]])="Asked to be removed from database","NO","YES"))</f>
        <v>YES</v>
      </c>
      <c r="R1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5" spans="1:18" ht="15" customHeight="1">
      <c r="A195" t="s">
        <v>7755</v>
      </c>
      <c r="B195" t="str">
        <f>IFERROR(_xlfn.XLOOKUP(tblLog[[#This Row],[Unique ID]], tblMaster[Unique ID], tblMaster[First Name], ""), "")</f>
        <v xml:space="preserve">Angelo </v>
      </c>
      <c r="C195" t="str">
        <f>IFERROR(_xlfn.XLOOKUP(tblLog[[#This Row],[Unique ID]], tblMaster[Unique ID], tblMaster[Last Name], ""), "")</f>
        <v xml:space="preserve">Ciocco </v>
      </c>
      <c r="D195" t="str">
        <f>IFERROR(_xlfn.XLOOKUP(tblLog[[#This Row],[Unique ID]], tblMaster[Unique ID], tblMaster[Email_Clean], ""), "")</f>
        <v>angelo6686@gmail.com</v>
      </c>
      <c r="E195" s="36" t="str">
        <f>IFERROR(_xlfn.XLOOKUP(tblLog[[#This Row],[Unique ID]], tblMaster[Unique ID], tblMaster[Phone], ""), "")</f>
        <v>617-372-7761</v>
      </c>
      <c r="F195" t="str">
        <f>IFERROR(_xlfn.XLOOKUP(tblLog[[#This Row],[Unique ID]], tblMaster[Unique ID], tblMaster[Recruiter], ""), "")</f>
        <v xml:space="preserve">Christopher Servello </v>
      </c>
      <c r="G195" t="str">
        <f>IFERROR(_xlfn.XLOOKUP(tblLog[[#This Row],[Unique ID]], tblMaster[Unique ID], tblMaster[Recruitment Cycle], ""), "")</f>
        <v xml:space="preserve">Re-Engagment </v>
      </c>
      <c r="H195" t="s">
        <v>7455</v>
      </c>
      <c r="I195" t="s">
        <v>7434</v>
      </c>
      <c r="J195" s="3">
        <v>2</v>
      </c>
      <c r="K195" t="s">
        <v>7435</v>
      </c>
      <c r="L195" s="2">
        <v>46062</v>
      </c>
      <c r="M195" t="s">
        <v>7452</v>
      </c>
      <c r="N195" t="s">
        <v>7481</v>
      </c>
      <c r="O195" t="s">
        <v>7756</v>
      </c>
      <c r="P195">
        <f ca="1">IF(tblLog[[#This Row],[Log Date]]="","",TODAY()-tblLog[[#This Row],[Log Date]])</f>
        <v>17</v>
      </c>
      <c r="Q195" t="str">
        <f>IF(tblLog[[#This Row],[Log Date]]="","",IF(TRIM(tblLog[[#This Row],[Cycle Stage]])="Asked to be removed from database","NO","YES"))</f>
        <v>YES</v>
      </c>
      <c r="R1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6" spans="1:18" ht="15" customHeight="1">
      <c r="A196" t="s">
        <v>7757</v>
      </c>
      <c r="B196" t="str">
        <f>IFERROR(_xlfn.XLOOKUP(tblLog[[#This Row],[Unique ID]], tblMaster[Unique ID], tblMaster[First Name], ""), "")</f>
        <v xml:space="preserve">Joshua </v>
      </c>
      <c r="C196" t="str">
        <f>IFERROR(_xlfn.XLOOKUP(tblLog[[#This Row],[Unique ID]], tblMaster[Unique ID], tblMaster[Last Name], ""), "")</f>
        <v xml:space="preserve">Lopez </v>
      </c>
      <c r="D196" t="str">
        <f>IFERROR(_xlfn.XLOOKUP(tblLog[[#This Row],[Unique ID]], tblMaster[Unique ID], tblMaster[Email_Clean], ""), "")</f>
        <v>aetreix@gmail.com</v>
      </c>
      <c r="E196" t="str">
        <f>IFERROR(_xlfn.XLOOKUP(tblLog[[#This Row],[Unique ID]], tblMaster[Unique ID], tblMaster[Phone], ""), "")</f>
        <v xml:space="preserve">351 230 3174 </v>
      </c>
      <c r="F196" t="str">
        <f>IFERROR(_xlfn.XLOOKUP(tblLog[[#This Row],[Unique ID]], tblMaster[Unique ID], tblMaster[Recruiter], ""), "")</f>
        <v xml:space="preserve">Austin Campos </v>
      </c>
      <c r="G196" t="str">
        <f>IFERROR(_xlfn.XLOOKUP(tblLog[[#This Row],[Unique ID]], tblMaster[Unique ID], tblMaster[Recruitment Cycle], ""), "")</f>
        <v xml:space="preserve">Re-Engagment </v>
      </c>
      <c r="H196" t="s">
        <v>7496</v>
      </c>
      <c r="I196" t="s">
        <v>4</v>
      </c>
      <c r="J196" s="3">
        <v>1</v>
      </c>
      <c r="P196" t="str">
        <f ca="1">IF(tblLog[[#This Row],[Log Date]]="","",TODAY()-tblLog[[#This Row],[Log Date]])</f>
        <v/>
      </c>
      <c r="Q196" t="str">
        <f>IF(tblLog[[#This Row],[Log Date]]="","",IF(TRIM(tblLog[[#This Row],[Cycle Stage]])="Asked to be removed from database","NO","YES"))</f>
        <v/>
      </c>
      <c r="R19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7" spans="1:18" ht="15" customHeight="1">
      <c r="A197" t="s">
        <v>7758</v>
      </c>
      <c r="B197" t="str">
        <f>IFERROR(_xlfn.XLOOKUP(tblLog[[#This Row],[Unique ID]], tblMaster[Unique ID], tblMaster[First Name], ""), "")</f>
        <v xml:space="preserve">Cassandra </v>
      </c>
      <c r="C197" t="str">
        <f>IFERROR(_xlfn.XLOOKUP(tblLog[[#This Row],[Unique ID]], tblMaster[Unique ID], tblMaster[Last Name], ""), "")</f>
        <v xml:space="preserve"> Florence </v>
      </c>
      <c r="D197" t="str">
        <f>IFERROR(_xlfn.XLOOKUP(tblLog[[#This Row],[Unique ID]], tblMaster[Unique ID], tblMaster[Email_Clean], ""), "")</f>
        <v>cflo0709@gmail.com</v>
      </c>
      <c r="E197" t="str">
        <f>IFERROR(_xlfn.XLOOKUP(tblLog[[#This Row],[Unique ID]], tblMaster[Unique ID], tblMaster[Phone], ""), "")</f>
        <v xml:space="preserve">(508) 948-9371 </v>
      </c>
      <c r="F197" t="str">
        <f>IFERROR(_xlfn.XLOOKUP(tblLog[[#This Row],[Unique ID]], tblMaster[Unique ID], tblMaster[Recruiter], ""), "")</f>
        <v xml:space="preserve">Austin Campos </v>
      </c>
      <c r="G197" t="str">
        <f>IFERROR(_xlfn.XLOOKUP(tblLog[[#This Row],[Unique ID]], tblMaster[Unique ID], tblMaster[Recruitment Cycle], ""), "")</f>
        <v xml:space="preserve">Re-Engagment </v>
      </c>
      <c r="H197" t="s">
        <v>7496</v>
      </c>
      <c r="I197" t="s">
        <v>4</v>
      </c>
      <c r="J197" s="3">
        <v>1</v>
      </c>
      <c r="P197" t="str">
        <f ca="1">IF(tblLog[[#This Row],[Log Date]]="","",TODAY()-tblLog[[#This Row],[Log Date]])</f>
        <v/>
      </c>
      <c r="Q197" t="str">
        <f>IF(tblLog[[#This Row],[Log Date]]="","",IF(TRIM(tblLog[[#This Row],[Cycle Stage]])="Asked to be removed from database","NO","YES"))</f>
        <v/>
      </c>
      <c r="R19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8" spans="1:18" ht="15" customHeight="1">
      <c r="A198" t="s">
        <v>7759</v>
      </c>
      <c r="B198" t="str">
        <f>IFERROR(_xlfn.XLOOKUP(tblLog[[#This Row],[Unique ID]], tblMaster[Unique ID], tblMaster[First Name], ""), "")</f>
        <v xml:space="preserve">Ryan </v>
      </c>
      <c r="C198" t="str">
        <f>IFERROR(_xlfn.XLOOKUP(tblLog[[#This Row],[Unique ID]], tblMaster[Unique ID], tblMaster[Last Name], ""), "")</f>
        <v xml:space="preserve">Rosenthal </v>
      </c>
      <c r="D198" t="str">
        <f>IFERROR(_xlfn.XLOOKUP(tblLog[[#This Row],[Unique ID]], tblMaster[Unique ID], tblMaster[Email_Clean], ""), "")</f>
        <v>rrosenthal2019@gmail.com</v>
      </c>
      <c r="E198" t="str">
        <f>IFERROR(_xlfn.XLOOKUP(tblLog[[#This Row],[Unique ID]], tblMaster[Unique ID], tblMaster[Phone], ""), "")</f>
        <v>781 201 0827</v>
      </c>
      <c r="F198" t="str">
        <f>IFERROR(_xlfn.XLOOKUP(tblLog[[#This Row],[Unique ID]], tblMaster[Unique ID], tblMaster[Recruiter], ""), "")</f>
        <v xml:space="preserve">Austin Campos </v>
      </c>
      <c r="G198" t="str">
        <f>IFERROR(_xlfn.XLOOKUP(tblLog[[#This Row],[Unique ID]], tblMaster[Unique ID], tblMaster[Recruitment Cycle], ""), "")</f>
        <v xml:space="preserve">Re-Engagment </v>
      </c>
      <c r="H198" t="s">
        <v>7496</v>
      </c>
      <c r="I198" t="s">
        <v>4</v>
      </c>
      <c r="J198" s="3">
        <v>1</v>
      </c>
      <c r="P198" t="str">
        <f ca="1">IF(tblLog[[#This Row],[Log Date]]="","",TODAY()-tblLog[[#This Row],[Log Date]])</f>
        <v/>
      </c>
      <c r="Q198" t="str">
        <f>IF(tblLog[[#This Row],[Log Date]]="","",IF(TRIM(tblLog[[#This Row],[Cycle Stage]])="Asked to be removed from database","NO","YES"))</f>
        <v/>
      </c>
      <c r="R19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199" spans="1:18" ht="15" customHeight="1">
      <c r="A199" t="s">
        <v>7760</v>
      </c>
      <c r="B199" t="str">
        <f>IFERROR(_xlfn.XLOOKUP(tblLog[[#This Row],[Unique ID]], tblMaster[Unique ID], tblMaster[First Name], ""), "")</f>
        <v>John Paul</v>
      </c>
      <c r="C199" t="str">
        <f>IFERROR(_xlfn.XLOOKUP(tblLog[[#This Row],[Unique ID]], tblMaster[Unique ID], tblMaster[Last Name], ""), "")</f>
        <v>Mugisha</v>
      </c>
      <c r="D199" t="str">
        <f>IFERROR(_xlfn.XLOOKUP(tblLog[[#This Row],[Unique ID]], tblMaster[Unique ID], tblMaster[Email_Clean], ""), "")</f>
        <v>mugishaparker2@gmail.com</v>
      </c>
      <c r="E199" t="str">
        <f>IFERROR(_xlfn.XLOOKUP(tblLog[[#This Row],[Unique ID]], tblMaster[Unique ID], tblMaster[Phone], ""), "")</f>
        <v>978-726-2461</v>
      </c>
      <c r="F199" t="str">
        <f>IFERROR(_xlfn.XLOOKUP(tblLog[[#This Row],[Unique ID]], tblMaster[Unique ID], tblMaster[Recruiter], ""), "")</f>
        <v xml:space="preserve">Austin Campos </v>
      </c>
      <c r="G199" t="str">
        <f>IFERROR(_xlfn.XLOOKUP(tblLog[[#This Row],[Unique ID]], tblMaster[Unique ID], tblMaster[Recruitment Cycle], ""), "")</f>
        <v xml:space="preserve">Re-Engagment </v>
      </c>
      <c r="H199" t="s">
        <v>7496</v>
      </c>
      <c r="I199" t="s">
        <v>4</v>
      </c>
      <c r="J199" s="3">
        <v>1</v>
      </c>
      <c r="P199" t="str">
        <f ca="1">IF(tblLog[[#This Row],[Log Date]]="","",TODAY()-tblLog[[#This Row],[Log Date]])</f>
        <v/>
      </c>
      <c r="Q199" t="str">
        <f>IF(tblLog[[#This Row],[Log Date]]="","",IF(TRIM(tblLog[[#This Row],[Cycle Stage]])="Asked to be removed from database","NO","YES"))</f>
        <v/>
      </c>
      <c r="R199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0" spans="1:18" ht="15" customHeight="1">
      <c r="A200" t="s">
        <v>7761</v>
      </c>
      <c r="B200" t="str">
        <f>IFERROR(_xlfn.XLOOKUP(tblLog[[#This Row],[Unique ID]], tblMaster[Unique ID], tblMaster[First Name], ""), "")</f>
        <v>Destiny</v>
      </c>
      <c r="C200" t="str">
        <f>IFERROR(_xlfn.XLOOKUP(tblLog[[#This Row],[Unique ID]], tblMaster[Unique ID], tblMaster[Last Name], ""), "")</f>
        <v>Oriakhi</v>
      </c>
      <c r="D200" t="str">
        <f>IFERROR(_xlfn.XLOOKUP(tblLog[[#This Row],[Unique ID]], tblMaster[Unique ID], tblMaster[Email_Clean], ""), "")</f>
        <v>oriakhidestiny@gmail.com</v>
      </c>
      <c r="E200" t="str">
        <f>IFERROR(_xlfn.XLOOKUP(tblLog[[#This Row],[Unique ID]], tblMaster[Unique ID], tblMaster[Phone], ""), "")</f>
        <v xml:space="preserve">781-888-5782 </v>
      </c>
      <c r="F200" t="str">
        <f>IFERROR(_xlfn.XLOOKUP(tblLog[[#This Row],[Unique ID]], tblMaster[Unique ID], tblMaster[Recruiter], ""), "")</f>
        <v xml:space="preserve">Austin Campos </v>
      </c>
      <c r="G200" t="str">
        <f>IFERROR(_xlfn.XLOOKUP(tblLog[[#This Row],[Unique ID]], tblMaster[Unique ID], tblMaster[Recruitment Cycle], ""), "")</f>
        <v xml:space="preserve">Re-Engagment </v>
      </c>
      <c r="H200" t="s">
        <v>7455</v>
      </c>
      <c r="I200" t="s">
        <v>7530</v>
      </c>
      <c r="J200" s="3">
        <v>2</v>
      </c>
      <c r="K200" t="s">
        <v>7435</v>
      </c>
      <c r="L200" s="2">
        <v>46063</v>
      </c>
      <c r="M200" t="s">
        <v>7702</v>
      </c>
      <c r="N200" t="s">
        <v>7487</v>
      </c>
      <c r="O200" t="s">
        <v>7762</v>
      </c>
      <c r="P200">
        <f ca="1">IF(tblLog[[#This Row],[Log Date]]="","",TODAY()-tblLog[[#This Row],[Log Date]])</f>
        <v>16</v>
      </c>
      <c r="Q200" t="str">
        <f>IF(tblLog[[#This Row],[Log Date]]="","",IF(TRIM(tblLog[[#This Row],[Cycle Stage]])="Asked to be removed from database","NO","YES"))</f>
        <v>YES</v>
      </c>
      <c r="R2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1" spans="1:18" ht="15" customHeight="1">
      <c r="A201" t="s">
        <v>7763</v>
      </c>
      <c r="B201" t="str">
        <f>IFERROR(_xlfn.XLOOKUP(tblLog[[#This Row],[Unique ID]], tblMaster[Unique ID], tblMaster[First Name], ""), "")</f>
        <v xml:space="preserve">Maxwell </v>
      </c>
      <c r="C201" t="str">
        <f>IFERROR(_xlfn.XLOOKUP(tblLog[[#This Row],[Unique ID]], tblMaster[Unique ID], tblMaster[Last Name], ""), "")</f>
        <v xml:space="preserve">Aduboakye </v>
      </c>
      <c r="D201" t="str">
        <f>IFERROR(_xlfn.XLOOKUP(tblLog[[#This Row],[Unique ID]], tblMaster[Unique ID], tblMaster[Email_Clean], ""), "")</f>
        <v>maxagriin@gmail.com</v>
      </c>
      <c r="E201" t="str">
        <f>IFERROR(_xlfn.XLOOKUP(tblLog[[#This Row],[Unique ID]], tblMaster[Unique ID], tblMaster[Phone], ""), "")</f>
        <v xml:space="preserve">(715)497-6786 </v>
      </c>
      <c r="F201" t="str">
        <f>IFERROR(_xlfn.XLOOKUP(tblLog[[#This Row],[Unique ID]], tblMaster[Unique ID], tblMaster[Recruiter], ""), "")</f>
        <v xml:space="preserve">Austin Campos </v>
      </c>
      <c r="G201" t="str">
        <f>IFERROR(_xlfn.XLOOKUP(tblLog[[#This Row],[Unique ID]], tblMaster[Unique ID], tblMaster[Recruitment Cycle], ""), "")</f>
        <v xml:space="preserve">Re-Engagment </v>
      </c>
      <c r="H201" t="s">
        <v>7496</v>
      </c>
      <c r="I201" t="s">
        <v>4</v>
      </c>
      <c r="J201" s="3">
        <v>1</v>
      </c>
      <c r="P201" t="str">
        <f ca="1">IF(tblLog[[#This Row],[Log Date]]="","",TODAY()-tblLog[[#This Row],[Log Date]])</f>
        <v/>
      </c>
      <c r="Q201" t="str">
        <f>IF(tblLog[[#This Row],[Log Date]]="","",IF(TRIM(tblLog[[#This Row],[Cycle Stage]])="Asked to be removed from database","NO","YES"))</f>
        <v/>
      </c>
      <c r="R201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2" spans="1:18" ht="15" customHeight="1">
      <c r="A202" t="s">
        <v>7764</v>
      </c>
      <c r="B202" t="str">
        <f>IFERROR(_xlfn.XLOOKUP(tblLog[[#This Row],[Unique ID]], tblMaster[Unique ID], tblMaster[First Name], ""), "")</f>
        <v>Jacqueline</v>
      </c>
      <c r="C202" t="str">
        <f>IFERROR(_xlfn.XLOOKUP(tblLog[[#This Row],[Unique ID]], tblMaster[Unique ID], tblMaster[Last Name], ""), "")</f>
        <v>Lyle</v>
      </c>
      <c r="D202" t="str">
        <f>IFERROR(_xlfn.XLOOKUP(tblLog[[#This Row],[Unique ID]], tblMaster[Unique ID], tblMaster[Email_Clean], ""), "")</f>
        <v>jacquelinelyle@icloud.com</v>
      </c>
      <c r="E202" t="str">
        <f>IFERROR(_xlfn.XLOOKUP(tblLog[[#This Row],[Unique ID]], tblMaster[Unique ID], tblMaster[Phone], ""), "")</f>
        <v>603-294-6132</v>
      </c>
      <c r="F202" t="str">
        <f>IFERROR(_xlfn.XLOOKUP(tblLog[[#This Row],[Unique ID]], tblMaster[Unique ID], tblMaster[Recruiter], ""), "")</f>
        <v xml:space="preserve">Austin Campos </v>
      </c>
      <c r="G202" t="str">
        <f>IFERROR(_xlfn.XLOOKUP(tblLog[[#This Row],[Unique ID]], tblMaster[Unique ID], tblMaster[Recruitment Cycle], ""), "")</f>
        <v xml:space="preserve">Re-Engagment </v>
      </c>
      <c r="H202" t="s">
        <v>7496</v>
      </c>
      <c r="I202" t="s">
        <v>4</v>
      </c>
      <c r="J202" s="3">
        <v>1</v>
      </c>
      <c r="P202" t="str">
        <f ca="1">IF(tblLog[[#This Row],[Log Date]]="","",TODAY()-tblLog[[#This Row],[Log Date]])</f>
        <v/>
      </c>
      <c r="Q202" t="str">
        <f>IF(tblLog[[#This Row],[Log Date]]="","",IF(TRIM(tblLog[[#This Row],[Cycle Stage]])="Asked to be removed from database","NO","YES"))</f>
        <v/>
      </c>
      <c r="R20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3" spans="1:18" ht="15" customHeight="1">
      <c r="A203" t="s">
        <v>7765</v>
      </c>
      <c r="B203" t="str">
        <f>IFERROR(_xlfn.XLOOKUP(tblLog[[#This Row],[Unique ID]], tblMaster[Unique ID], tblMaster[First Name], ""), "")</f>
        <v>Ernest</v>
      </c>
      <c r="C203" t="str">
        <f>IFERROR(_xlfn.XLOOKUP(tblLog[[#This Row],[Unique ID]], tblMaster[Unique ID], tblMaster[Last Name], ""), "")</f>
        <v>Yeboah</v>
      </c>
      <c r="D203" t="str">
        <f>IFERROR(_xlfn.XLOOKUP(tblLog[[#This Row],[Unique ID]], tblMaster[Unique ID], tblMaster[Email_Clean], ""), "")</f>
        <v>yeboahernestct@gmail.com</v>
      </c>
      <c r="E203" t="str">
        <f>IFERROR(_xlfn.XLOOKUP(tblLog[[#This Row],[Unique ID]], tblMaster[Unique ID], tblMaster[Phone], ""), "")</f>
        <v>860-863-3343</v>
      </c>
      <c r="F203" t="str">
        <f>IFERROR(_xlfn.XLOOKUP(tblLog[[#This Row],[Unique ID]], tblMaster[Unique ID], tblMaster[Recruiter], ""), "")</f>
        <v xml:space="preserve">Austin Campos </v>
      </c>
      <c r="G203" t="str">
        <f>IFERROR(_xlfn.XLOOKUP(tblLog[[#This Row],[Unique ID]], tblMaster[Unique ID], tblMaster[Recruitment Cycle], ""), "")</f>
        <v xml:space="preserve">Re-Engagment </v>
      </c>
      <c r="H203" t="s">
        <v>7496</v>
      </c>
      <c r="I203" t="s">
        <v>4</v>
      </c>
      <c r="J203" s="3">
        <v>1</v>
      </c>
      <c r="P203" t="str">
        <f ca="1">IF(tblLog[[#This Row],[Log Date]]="","",TODAY()-tblLog[[#This Row],[Log Date]])</f>
        <v/>
      </c>
      <c r="Q203" t="str">
        <f>IF(tblLog[[#This Row],[Log Date]]="","",IF(TRIM(tblLog[[#This Row],[Cycle Stage]])="Asked to be removed from database","NO","YES"))</f>
        <v/>
      </c>
      <c r="R20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4" spans="1:18" ht="15" customHeight="1">
      <c r="A204" t="s">
        <v>7766</v>
      </c>
      <c r="B204" t="str">
        <f>IFERROR(_xlfn.XLOOKUP(tblLog[[#This Row],[Unique ID]], tblMaster[Unique ID], tblMaster[First Name], ""), "")</f>
        <v>Frimantz</v>
      </c>
      <c r="C204" t="str">
        <f>IFERROR(_xlfn.XLOOKUP(tblLog[[#This Row],[Unique ID]], tblMaster[Unique ID], tblMaster[Last Name], ""), "")</f>
        <v>Etienne</v>
      </c>
      <c r="D204" t="str">
        <f>IFERROR(_xlfn.XLOOKUP(tblLog[[#This Row],[Unique ID]], tblMaster[Unique ID], tblMaster[Email_Clean], ""), "")</f>
        <v>garlensetienne@icloud.com</v>
      </c>
      <c r="E204" t="str">
        <f>IFERROR(_xlfn.XLOOKUP(tblLog[[#This Row],[Unique ID]], tblMaster[Unique ID], tblMaster[Phone], ""), "")</f>
        <v>774-946-8767</v>
      </c>
      <c r="F204" t="str">
        <f>IFERROR(_xlfn.XLOOKUP(tblLog[[#This Row],[Unique ID]], tblMaster[Unique ID], tblMaster[Recruiter], ""), "")</f>
        <v xml:space="preserve">Austin Campos </v>
      </c>
      <c r="G204" t="str">
        <f>IFERROR(_xlfn.XLOOKUP(tblLog[[#This Row],[Unique ID]], tblMaster[Unique ID], tblMaster[Recruitment Cycle], ""), "")</f>
        <v xml:space="preserve">Re-Engagment </v>
      </c>
      <c r="H204" t="s">
        <v>7496</v>
      </c>
      <c r="I204" t="s">
        <v>4</v>
      </c>
      <c r="J204" s="3">
        <v>1</v>
      </c>
      <c r="P204" t="str">
        <f ca="1">IF(tblLog[[#This Row],[Log Date]]="","",TODAY()-tblLog[[#This Row],[Log Date]])</f>
        <v/>
      </c>
      <c r="Q204" t="str">
        <f>IF(tblLog[[#This Row],[Log Date]]="","",IF(TRIM(tblLog[[#This Row],[Cycle Stage]])="Asked to be removed from database","NO","YES"))</f>
        <v/>
      </c>
      <c r="R20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5" spans="1:18" ht="15" customHeight="1">
      <c r="A205" t="s">
        <v>7767</v>
      </c>
      <c r="B205" t="str">
        <f>IFERROR(_xlfn.XLOOKUP(tblLog[[#This Row],[Unique ID]], tblMaster[Unique ID], tblMaster[First Name], ""), "")</f>
        <v xml:space="preserve">Raul </v>
      </c>
      <c r="C205" t="str">
        <f>IFERROR(_xlfn.XLOOKUP(tblLog[[#This Row],[Unique ID]], tblMaster[Unique ID], tblMaster[Last Name], ""), "")</f>
        <v>Gil</v>
      </c>
      <c r="D205" t="str">
        <f>IFERROR(_xlfn.XLOOKUP(tblLog[[#This Row],[Unique ID]], tblMaster[Unique ID], tblMaster[Email_Clean], ""), "")</f>
        <v>raulgil0208@gmail.com</v>
      </c>
      <c r="E205" t="str">
        <f>IFERROR(_xlfn.XLOOKUP(tblLog[[#This Row],[Unique ID]], tblMaster[Unique ID], tblMaster[Phone], ""), "")</f>
        <v>401-678-1817</v>
      </c>
      <c r="F205" t="str">
        <f>IFERROR(_xlfn.XLOOKUP(tblLog[[#This Row],[Unique ID]], tblMaster[Unique ID], tblMaster[Recruiter], ""), "")</f>
        <v xml:space="preserve">Austin Campos </v>
      </c>
      <c r="G205" t="str">
        <f>IFERROR(_xlfn.XLOOKUP(tblLog[[#This Row],[Unique ID]], tblMaster[Unique ID], tblMaster[Recruitment Cycle], ""), "")</f>
        <v xml:space="preserve">Re-Engagment </v>
      </c>
      <c r="H205" t="s">
        <v>7496</v>
      </c>
      <c r="I205" t="s">
        <v>4</v>
      </c>
      <c r="J205" s="3">
        <v>1</v>
      </c>
      <c r="P205" t="str">
        <f ca="1">IF(tblLog[[#This Row],[Log Date]]="","",TODAY()-tblLog[[#This Row],[Log Date]])</f>
        <v/>
      </c>
      <c r="Q205" t="str">
        <f>IF(tblLog[[#This Row],[Log Date]]="","",IF(TRIM(tblLog[[#This Row],[Cycle Stage]])="Asked to be removed from database","NO","YES"))</f>
        <v/>
      </c>
      <c r="R20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6" spans="1:18" ht="15" customHeight="1">
      <c r="A206" t="s">
        <v>7768</v>
      </c>
      <c r="B206" t="str">
        <f>IFERROR(_xlfn.XLOOKUP(tblLog[[#This Row],[Unique ID]], tblMaster[Unique ID], tblMaster[First Name], ""), "")</f>
        <v>Kyree</v>
      </c>
      <c r="C206" t="str">
        <f>IFERROR(_xlfn.XLOOKUP(tblLog[[#This Row],[Unique ID]], tblMaster[Unique ID], tblMaster[Last Name], ""), "")</f>
        <v>Davis</v>
      </c>
      <c r="D206" t="str">
        <f>IFERROR(_xlfn.XLOOKUP(tblLog[[#This Row],[Unique ID]], tblMaster[Unique ID], tblMaster[Email_Clean], ""), "")</f>
        <v>kdavisnba98@gmail.com</v>
      </c>
      <c r="E206" t="str">
        <f>IFERROR(_xlfn.XLOOKUP(tblLog[[#This Row],[Unique ID]], tblMaster[Unique ID], tblMaster[Phone], ""), "")</f>
        <v>401-602-5986</v>
      </c>
      <c r="F206" t="str">
        <f>IFERROR(_xlfn.XLOOKUP(tblLog[[#This Row],[Unique ID]], tblMaster[Unique ID], tblMaster[Recruiter], ""), "")</f>
        <v xml:space="preserve">Austin Campos </v>
      </c>
      <c r="G206" t="str">
        <f>IFERROR(_xlfn.XLOOKUP(tblLog[[#This Row],[Unique ID]], tblMaster[Unique ID], tblMaster[Recruitment Cycle], ""), "")</f>
        <v xml:space="preserve">Re-Engagment </v>
      </c>
      <c r="H206" t="s">
        <v>7496</v>
      </c>
      <c r="I206" t="s">
        <v>4</v>
      </c>
      <c r="J206" s="3">
        <v>1</v>
      </c>
      <c r="P206" t="str">
        <f ca="1">IF(tblLog[[#This Row],[Log Date]]="","",TODAY()-tblLog[[#This Row],[Log Date]])</f>
        <v/>
      </c>
      <c r="Q206" t="str">
        <f>IF(tblLog[[#This Row],[Log Date]]="","",IF(TRIM(tblLog[[#This Row],[Cycle Stage]])="Asked to be removed from database","NO","YES"))</f>
        <v/>
      </c>
      <c r="R20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7" spans="1:18" ht="15" customHeight="1">
      <c r="A207" t="s">
        <v>7769</v>
      </c>
      <c r="B207" t="str">
        <f>IFERROR(_xlfn.XLOOKUP(tblLog[[#This Row],[Unique ID]], tblMaster[Unique ID], tblMaster[First Name], ""), "")</f>
        <v xml:space="preserve">Zackaree  </v>
      </c>
      <c r="C207" t="str">
        <f>IFERROR(_xlfn.XLOOKUP(tblLog[[#This Row],[Unique ID]], tblMaster[Unique ID], tblMaster[Last Name], ""), "")</f>
        <v xml:space="preserve">Hunter </v>
      </c>
      <c r="D207" t="str">
        <f>IFERROR(_xlfn.XLOOKUP(tblLog[[#This Row],[Unique ID]], tblMaster[Unique ID], tblMaster[Email_Clean], ""), "")</f>
        <v>zackareethunter@icloud.com</v>
      </c>
      <c r="E207" t="str">
        <f>IFERROR(_xlfn.XLOOKUP(tblLog[[#This Row],[Unique ID]], tblMaster[Unique ID], tblMaster[Phone], ""), "")</f>
        <v xml:space="preserve">(401) 787-3652 </v>
      </c>
      <c r="F207" t="str">
        <f>IFERROR(_xlfn.XLOOKUP(tblLog[[#This Row],[Unique ID]], tblMaster[Unique ID], tblMaster[Recruiter], ""), "")</f>
        <v xml:space="preserve">Austin Campos </v>
      </c>
      <c r="G207" t="str">
        <f>IFERROR(_xlfn.XLOOKUP(tblLog[[#This Row],[Unique ID]], tblMaster[Unique ID], tblMaster[Recruitment Cycle], ""), "")</f>
        <v xml:space="preserve">Re-Engagment </v>
      </c>
      <c r="H207" t="s">
        <v>7496</v>
      </c>
      <c r="I207" t="s">
        <v>4</v>
      </c>
      <c r="J207" s="3">
        <v>1</v>
      </c>
      <c r="P207" t="str">
        <f ca="1">IF(tblLog[[#This Row],[Log Date]]="","",TODAY()-tblLog[[#This Row],[Log Date]])</f>
        <v/>
      </c>
      <c r="Q207" t="str">
        <f>IF(tblLog[[#This Row],[Log Date]]="","",IF(TRIM(tblLog[[#This Row],[Cycle Stage]])="Asked to be removed from database","NO","YES"))</f>
        <v/>
      </c>
      <c r="R207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8" spans="1:18" ht="15" customHeight="1">
      <c r="A208" t="s">
        <v>7770</v>
      </c>
      <c r="B208" t="str">
        <f>IFERROR(_xlfn.XLOOKUP(tblLog[[#This Row],[Unique ID]], tblMaster[Unique ID], tblMaster[First Name], ""), "")</f>
        <v xml:space="preserve">SAMUEL </v>
      </c>
      <c r="C208" t="str">
        <f>IFERROR(_xlfn.XLOOKUP(tblLog[[#This Row],[Unique ID]], tblMaster[Unique ID], tblMaster[Last Name], ""), "")</f>
        <v>ATTA AGYEI ASARE</v>
      </c>
      <c r="D208" t="str">
        <f>IFERROR(_xlfn.XLOOKUP(tblLog[[#This Row],[Unique ID]], tblMaster[Unique ID], tblMaster[Email_Clean], ""), "")</f>
        <v>sasare072@gmail.com</v>
      </c>
      <c r="E208" t="str">
        <f>IFERROR(_xlfn.XLOOKUP(tblLog[[#This Row],[Unique ID]], tblMaster[Unique ID], tblMaster[Phone], ""), "")</f>
        <v>774-701-9633</v>
      </c>
      <c r="F208" t="str">
        <f>IFERROR(_xlfn.XLOOKUP(tblLog[[#This Row],[Unique ID]], tblMaster[Unique ID], tblMaster[Recruiter], ""), "")</f>
        <v xml:space="preserve">Austin Campos </v>
      </c>
      <c r="G208" t="str">
        <f>IFERROR(_xlfn.XLOOKUP(tblLog[[#This Row],[Unique ID]], tblMaster[Unique ID], tblMaster[Recruitment Cycle], ""), "")</f>
        <v xml:space="preserve">Re-Engagment </v>
      </c>
      <c r="H208" t="s">
        <v>7496</v>
      </c>
      <c r="I208" t="s">
        <v>4</v>
      </c>
      <c r="J208" s="3">
        <v>1</v>
      </c>
      <c r="P208" t="str">
        <f ca="1">IF(tblLog[[#This Row],[Log Date]]="","",TODAY()-tblLog[[#This Row],[Log Date]])</f>
        <v/>
      </c>
      <c r="Q208" t="str">
        <f>IF(tblLog[[#This Row],[Log Date]]="","",IF(TRIM(tblLog[[#This Row],[Cycle Stage]])="Asked to be removed from database","NO","YES"))</f>
        <v/>
      </c>
      <c r="R20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09" spans="1:18" ht="15" customHeight="1">
      <c r="A209" t="s">
        <v>7771</v>
      </c>
      <c r="B209" t="str">
        <f>IFERROR(_xlfn.XLOOKUP(tblLog[[#This Row],[Unique ID]], tblMaster[Unique ID], tblMaster[First Name], ""), "")</f>
        <v xml:space="preserve">Enoch </v>
      </c>
      <c r="C209" t="str">
        <f>IFERROR(_xlfn.XLOOKUP(tblLog[[#This Row],[Unique ID]], tblMaster[Unique ID], tblMaster[Last Name], ""), "")</f>
        <v>Amankwah</v>
      </c>
      <c r="D209" t="str">
        <f>IFERROR(_xlfn.XLOOKUP(tblLog[[#This Row],[Unique ID]], tblMaster[Unique ID], tblMaster[Email_Clean], ""), "")</f>
        <v>oheneamankwah95@gmail.com</v>
      </c>
      <c r="E209" t="str">
        <f>IFERROR(_xlfn.XLOOKUP(tblLog[[#This Row],[Unique ID]], tblMaster[Unique ID], tblMaster[Phone], ""), "")</f>
        <v>508 454 3037</v>
      </c>
      <c r="F209" t="str">
        <f>IFERROR(_xlfn.XLOOKUP(tblLog[[#This Row],[Unique ID]], tblMaster[Unique ID], tblMaster[Recruiter], ""), "")</f>
        <v xml:space="preserve">Austin Campos </v>
      </c>
      <c r="G209" t="str">
        <f>IFERROR(_xlfn.XLOOKUP(tblLog[[#This Row],[Unique ID]], tblMaster[Unique ID], tblMaster[Recruitment Cycle], ""), "")</f>
        <v xml:space="preserve">Re-Engagment/Post Civil Service Exam </v>
      </c>
      <c r="H209" t="s">
        <v>7496</v>
      </c>
      <c r="I209" t="s">
        <v>4</v>
      </c>
      <c r="J209" s="3">
        <v>1</v>
      </c>
      <c r="P209" t="str">
        <f ca="1">IF(tblLog[[#This Row],[Log Date]]="","",TODAY()-tblLog[[#This Row],[Log Date]])</f>
        <v/>
      </c>
      <c r="Q209" t="str">
        <f>IF(tblLog[[#This Row],[Log Date]]="","",IF(TRIM(tblLog[[#This Row],[Cycle Stage]])="Asked to be removed from database","NO","YES"))</f>
        <v/>
      </c>
      <c r="R209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0" spans="1:18" ht="15" customHeight="1">
      <c r="A210" t="s">
        <v>7772</v>
      </c>
      <c r="B210" t="str">
        <f>IFERROR(_xlfn.XLOOKUP(tblLog[[#This Row],[Unique ID]], tblMaster[Unique ID], tblMaster[First Name], ""), "")</f>
        <v xml:space="preserve">Steve </v>
      </c>
      <c r="C210" t="str">
        <f>IFERROR(_xlfn.XLOOKUP(tblLog[[#This Row],[Unique ID]], tblMaster[Unique ID], tblMaster[Last Name], ""), "")</f>
        <v xml:space="preserve">Etienne </v>
      </c>
      <c r="D210" t="str">
        <f>IFERROR(_xlfn.XLOOKUP(tblLog[[#This Row],[Unique ID]], tblMaster[Unique ID], tblMaster[Email_Clean], ""), "")</f>
        <v>setienne0961@gmail.com</v>
      </c>
      <c r="E210" t="str">
        <f>IFERROR(_xlfn.XLOOKUP(tblLog[[#This Row],[Unique ID]], tblMaster[Unique ID], tblMaster[Phone], ""), "")</f>
        <v xml:space="preserve">857 258 2114 </v>
      </c>
      <c r="F210" t="str">
        <f>IFERROR(_xlfn.XLOOKUP(tblLog[[#This Row],[Unique ID]], tblMaster[Unique ID], tblMaster[Recruiter], ""), "")</f>
        <v xml:space="preserve">Austin Campos </v>
      </c>
      <c r="G210" t="str">
        <f>IFERROR(_xlfn.XLOOKUP(tblLog[[#This Row],[Unique ID]], tblMaster[Unique ID], tblMaster[Recruitment Cycle], ""), "")</f>
        <v xml:space="preserve">Re-Engagment </v>
      </c>
      <c r="H210" t="s">
        <v>7455</v>
      </c>
      <c r="I210" t="s">
        <v>7494</v>
      </c>
      <c r="J210" s="3">
        <v>2</v>
      </c>
      <c r="L210" s="2">
        <v>46063</v>
      </c>
      <c r="M210" t="s">
        <v>7544</v>
      </c>
      <c r="N210" t="s">
        <v>7475</v>
      </c>
      <c r="O210" t="s">
        <v>7773</v>
      </c>
      <c r="P210">
        <f ca="1">IF(tblLog[[#This Row],[Log Date]]="","",TODAY()-tblLog[[#This Row],[Log Date]])</f>
        <v>16</v>
      </c>
      <c r="Q210" t="str">
        <f>IF(tblLog[[#This Row],[Log Date]]="","",IF(TRIM(tblLog[[#This Row],[Cycle Stage]])="Asked to be removed from database","NO","YES"))</f>
        <v>YES</v>
      </c>
      <c r="R2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1" spans="1:18" ht="15" customHeight="1">
      <c r="A211" t="s">
        <v>7774</v>
      </c>
      <c r="B211" t="str">
        <f>IFERROR(_xlfn.XLOOKUP(tblLog[[#This Row],[Unique ID]], tblMaster[Unique ID], tblMaster[First Name], ""), "")</f>
        <v>Jayden</v>
      </c>
      <c r="C211" t="str">
        <f>IFERROR(_xlfn.XLOOKUP(tblLog[[#This Row],[Unique ID]], tblMaster[Unique ID], tblMaster[Last Name], ""), "")</f>
        <v>Biggi</v>
      </c>
      <c r="D211" t="str">
        <f>IFERROR(_xlfn.XLOOKUP(tblLog[[#This Row],[Unique ID]], tblMaster[Unique ID], tblMaster[Email_Clean], ""), "")</f>
        <v>jaydenbiggi4@gmail.com</v>
      </c>
      <c r="E211" t="str">
        <f>IFERROR(_xlfn.XLOOKUP(tblLog[[#This Row],[Unique ID]], tblMaster[Unique ID], tblMaster[Phone], ""), "")</f>
        <v>857-888-6554</v>
      </c>
      <c r="F211" t="str">
        <f>IFERROR(_xlfn.XLOOKUP(tblLog[[#This Row],[Unique ID]], tblMaster[Unique ID], tblMaster[Recruiter], ""), "")</f>
        <v xml:space="preserve">Austin Campos </v>
      </c>
      <c r="G211" t="str">
        <f>IFERROR(_xlfn.XLOOKUP(tblLog[[#This Row],[Unique ID]], tblMaster[Unique ID], tblMaster[Recruitment Cycle], ""), "")</f>
        <v xml:space="preserve">Re-Engagment </v>
      </c>
      <c r="H211" t="s">
        <v>7455</v>
      </c>
      <c r="I211" t="s">
        <v>7494</v>
      </c>
      <c r="J211" s="3">
        <v>2</v>
      </c>
      <c r="L211" s="2">
        <v>46063</v>
      </c>
      <c r="M211" t="s">
        <v>7544</v>
      </c>
      <c r="N211" t="s">
        <v>7475</v>
      </c>
      <c r="O211" t="s">
        <v>7773</v>
      </c>
      <c r="P211">
        <f ca="1">IF(tblLog[[#This Row],[Log Date]]="","",TODAY()-tblLog[[#This Row],[Log Date]])</f>
        <v>16</v>
      </c>
      <c r="Q211" t="str">
        <f>IF(tblLog[[#This Row],[Log Date]]="","",IF(TRIM(tblLog[[#This Row],[Cycle Stage]])="Asked to be removed from database","NO","YES"))</f>
        <v>YES</v>
      </c>
      <c r="R2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2" spans="1:18" ht="15" customHeight="1">
      <c r="A212" t="s">
        <v>7775</v>
      </c>
      <c r="B212" t="str">
        <f>IFERROR(_xlfn.XLOOKUP(tblLog[[#This Row],[Unique ID]], tblMaster[Unique ID], tblMaster[First Name], ""), "")</f>
        <v>Enock</v>
      </c>
      <c r="C212" t="str">
        <f>IFERROR(_xlfn.XLOOKUP(tblLog[[#This Row],[Unique ID]], tblMaster[Unique ID], tblMaster[Last Name], ""), "")</f>
        <v>Nganda</v>
      </c>
      <c r="D212" t="str">
        <f>IFERROR(_xlfn.XLOOKUP(tblLog[[#This Row],[Unique ID]], tblMaster[Unique ID], tblMaster[Email_Clean], ""), "")</f>
        <v>ngandaenock17@gmail.com</v>
      </c>
      <c r="E212" t="str">
        <f>IFERROR(_xlfn.XLOOKUP(tblLog[[#This Row],[Unique ID]], tblMaster[Unique ID], tblMaster[Phone], ""), "")</f>
        <v>508-202-8417</v>
      </c>
      <c r="F212" t="str">
        <f>IFERROR(_xlfn.XLOOKUP(tblLog[[#This Row],[Unique ID]], tblMaster[Unique ID], tblMaster[Recruiter], ""), "")</f>
        <v xml:space="preserve">Austin Campos </v>
      </c>
      <c r="G212" t="str">
        <f>IFERROR(_xlfn.XLOOKUP(tblLog[[#This Row],[Unique ID]], tblMaster[Unique ID], tblMaster[Recruitment Cycle], ""), "")</f>
        <v xml:space="preserve">Re-Engagment </v>
      </c>
      <c r="H212" t="s">
        <v>7496</v>
      </c>
      <c r="I212" t="s">
        <v>4</v>
      </c>
      <c r="J212" s="3">
        <v>1</v>
      </c>
      <c r="P212" t="str">
        <f ca="1">IF(tblLog[[#This Row],[Log Date]]="","",TODAY()-tblLog[[#This Row],[Log Date]])</f>
        <v/>
      </c>
      <c r="Q212" t="str">
        <f>IF(tblLog[[#This Row],[Log Date]]="","",IF(TRIM(tblLog[[#This Row],[Cycle Stage]])="Asked to be removed from database","NO","YES"))</f>
        <v/>
      </c>
      <c r="R21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3" spans="1:18" ht="15" customHeight="1">
      <c r="A213" t="s">
        <v>7776</v>
      </c>
      <c r="B213" t="str">
        <f>IFERROR(_xlfn.XLOOKUP(tblLog[[#This Row],[Unique ID]], tblMaster[Unique ID], tblMaster[First Name], ""), "")</f>
        <v>Sernot</v>
      </c>
      <c r="C213" t="str">
        <f>IFERROR(_xlfn.XLOOKUP(tblLog[[#This Row],[Unique ID]], tblMaster[Unique ID], tblMaster[Last Name], ""), "")</f>
        <v>Ceide</v>
      </c>
      <c r="D213" t="str">
        <f>IFERROR(_xlfn.XLOOKUP(tblLog[[#This Row],[Unique ID]], tblMaster[Unique ID], tblMaster[Email_Clean], ""), "")</f>
        <v>seidesernot@gmail.com</v>
      </c>
      <c r="E213" t="str">
        <f>IFERROR(_xlfn.XLOOKUP(tblLog[[#This Row],[Unique ID]], tblMaster[Unique ID], tblMaster[Phone], ""), "")</f>
        <v>908-733-0345</v>
      </c>
      <c r="F213" t="str">
        <f>IFERROR(_xlfn.XLOOKUP(tblLog[[#This Row],[Unique ID]], tblMaster[Unique ID], tblMaster[Recruiter], ""), "")</f>
        <v xml:space="preserve">Austin Campos </v>
      </c>
      <c r="G213" t="str">
        <f>IFERROR(_xlfn.XLOOKUP(tblLog[[#This Row],[Unique ID]], tblMaster[Unique ID], tblMaster[Recruitment Cycle], ""), "")</f>
        <v xml:space="preserve">Re-Engagment </v>
      </c>
      <c r="H213" t="s">
        <v>7496</v>
      </c>
      <c r="I213" t="s">
        <v>4</v>
      </c>
      <c r="J213" s="3">
        <v>1</v>
      </c>
      <c r="P213" t="str">
        <f ca="1">IF(tblLog[[#This Row],[Log Date]]="","",TODAY()-tblLog[[#This Row],[Log Date]])</f>
        <v/>
      </c>
      <c r="Q213" t="str">
        <f>IF(tblLog[[#This Row],[Log Date]]="","",IF(TRIM(tblLog[[#This Row],[Cycle Stage]])="Asked to be removed from database","NO","YES"))</f>
        <v/>
      </c>
      <c r="R21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4" spans="1:18" ht="15" customHeight="1">
      <c r="A214" t="s">
        <v>7777</v>
      </c>
      <c r="B214" t="str">
        <f>IFERROR(_xlfn.XLOOKUP(tblLog[[#This Row],[Unique ID]], tblMaster[Unique ID], tblMaster[First Name], ""), "")</f>
        <v>Tyler</v>
      </c>
      <c r="C214" t="str">
        <f>IFERROR(_xlfn.XLOOKUP(tblLog[[#This Row],[Unique ID]], tblMaster[Unique ID], tblMaster[Last Name], ""), "")</f>
        <v>Foberg</v>
      </c>
      <c r="D214" t="str">
        <f>IFERROR(_xlfn.XLOOKUP(tblLog[[#This Row],[Unique ID]], tblMaster[Unique ID], tblMaster[Email_Clean], ""), "")</f>
        <v>tylerfoberg@gmail.com</v>
      </c>
      <c r="E214" t="str">
        <f>IFERROR(_xlfn.XLOOKUP(tblLog[[#This Row],[Unique ID]], tblMaster[Unique ID], tblMaster[Phone], ""), "")</f>
        <v>(978) 476-2244</v>
      </c>
      <c r="F214" t="str">
        <f>IFERROR(_xlfn.XLOOKUP(tblLog[[#This Row],[Unique ID]], tblMaster[Unique ID], tblMaster[Recruiter], ""), "")</f>
        <v xml:space="preserve">Enrique Ortiz </v>
      </c>
      <c r="G214" t="str">
        <f>IFERROR(_xlfn.XLOOKUP(tblLog[[#This Row],[Unique ID]], tblMaster[Unique ID], tblMaster[Recruitment Cycle], ""), "")</f>
        <v xml:space="preserve">Re-Engagment </v>
      </c>
      <c r="H214" t="s">
        <v>7455</v>
      </c>
      <c r="I214" t="s">
        <v>7494</v>
      </c>
      <c r="J214" s="3">
        <v>3</v>
      </c>
      <c r="K214" t="s">
        <v>7491</v>
      </c>
      <c r="L214" s="2">
        <v>46066</v>
      </c>
      <c r="M214" t="s">
        <v>7508</v>
      </c>
      <c r="N214" t="s">
        <v>7475</v>
      </c>
      <c r="P214">
        <f ca="1">IF(tblLog[[#This Row],[Log Date]]="","",TODAY()-tblLog[[#This Row],[Log Date]])</f>
        <v>13</v>
      </c>
      <c r="Q214" t="str">
        <f>IF(tblLog[[#This Row],[Log Date]]="","",IF(TRIM(tblLog[[#This Row],[Cycle Stage]])="Asked to be removed from database","NO","YES"))</f>
        <v>YES</v>
      </c>
      <c r="R2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5" spans="1:18" ht="15" customHeight="1">
      <c r="A215" t="s">
        <v>7778</v>
      </c>
      <c r="B215" t="str">
        <f>IFERROR(_xlfn.XLOOKUP(tblLog[[#This Row],[Unique ID]], tblMaster[Unique ID], tblMaster[First Name], ""), "")</f>
        <v xml:space="preserve">Hunter </v>
      </c>
      <c r="C215" t="str">
        <f>IFERROR(_xlfn.XLOOKUP(tblLog[[#This Row],[Unique ID]], tblMaster[Unique ID], tblMaster[Last Name], ""), "")</f>
        <v xml:space="preserve">Sicard </v>
      </c>
      <c r="D215" t="str">
        <f>IFERROR(_xlfn.XLOOKUP(tblLog[[#This Row],[Unique ID]], tblMaster[Unique ID], tblMaster[Email_Clean], ""), "")</f>
        <v>huntermarcelsicard@gmail.com</v>
      </c>
      <c r="E215" t="str">
        <f>IFERROR(_xlfn.XLOOKUP(tblLog[[#This Row],[Unique ID]], tblMaster[Unique ID], tblMaster[Phone], ""), "")</f>
        <v>978-400-1303</v>
      </c>
      <c r="F215" t="str">
        <f>IFERROR(_xlfn.XLOOKUP(tblLog[[#This Row],[Unique ID]], tblMaster[Unique ID], tblMaster[Recruiter], ""), "")</f>
        <v xml:space="preserve">Tom Clark </v>
      </c>
      <c r="G215" t="str">
        <f>IFERROR(_xlfn.XLOOKUP(tblLog[[#This Row],[Unique ID]], tblMaster[Unique ID], tblMaster[Recruitment Cycle], ""), "")</f>
        <v xml:space="preserve">New Submission/ Lead </v>
      </c>
      <c r="H215" t="s">
        <v>7529</v>
      </c>
      <c r="I215" t="s">
        <v>7434</v>
      </c>
      <c r="J215" s="3">
        <v>2</v>
      </c>
      <c r="L215" s="2">
        <v>46063</v>
      </c>
      <c r="M215" t="s">
        <v>7452</v>
      </c>
      <c r="P215">
        <f ca="1">IF(tblLog[[#This Row],[Log Date]]="","",TODAY()-tblLog[[#This Row],[Log Date]])</f>
        <v>16</v>
      </c>
      <c r="Q215" t="str">
        <f>IF(tblLog[[#This Row],[Log Date]]="","",IF(TRIM(tblLog[[#This Row],[Cycle Stage]])="Asked to be removed from database","NO","YES"))</f>
        <v>YES</v>
      </c>
      <c r="R2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6" spans="1:18" ht="15" customHeight="1">
      <c r="A216" t="s">
        <v>7779</v>
      </c>
      <c r="B216" t="str">
        <f>IFERROR(_xlfn.XLOOKUP(tblLog[[#This Row],[Unique ID]], tblMaster[Unique ID], tblMaster[First Name], ""), "")</f>
        <v xml:space="preserve">
Ely</v>
      </c>
      <c r="C216" t="str">
        <f>IFERROR(_xlfn.XLOOKUP(tblLog[[#This Row],[Unique ID]], tblMaster[Unique ID], tblMaster[Last Name], ""), "")</f>
        <v>Silvestre</v>
      </c>
      <c r="D216" t="str">
        <f>IFERROR(_xlfn.XLOOKUP(tblLog[[#This Row],[Unique ID]], tblMaster[Unique ID], tblMaster[Email_Clean], ""), "")</f>
        <v>ellisannysilvestre@gmail.com</v>
      </c>
      <c r="E216" s="36" t="str">
        <f>IFERROR(_xlfn.XLOOKUP(tblLog[[#This Row],[Unique ID]], tblMaster[Unique ID], tblMaster[Phone], ""), "")</f>
        <v xml:space="preserve">
(774) 541-0201</v>
      </c>
      <c r="F216" t="str">
        <f>IFERROR(_xlfn.XLOOKUP(tblLog[[#This Row],[Unique ID]], tblMaster[Unique ID], tblMaster[Recruiter], ""), "")</f>
        <v xml:space="preserve">Christopher Servello </v>
      </c>
      <c r="G216" t="str">
        <f>IFERROR(_xlfn.XLOOKUP(tblLog[[#This Row],[Unique ID]], tblMaster[Unique ID], tblMaster[Recruitment Cycle], ""), "")</f>
        <v xml:space="preserve">New Submission/ Lead </v>
      </c>
      <c r="H216" t="s">
        <v>7455</v>
      </c>
      <c r="I216" t="s">
        <v>7530</v>
      </c>
      <c r="J216" s="3">
        <v>3</v>
      </c>
      <c r="K216" t="s">
        <v>7491</v>
      </c>
      <c r="L216" s="2">
        <v>46073</v>
      </c>
      <c r="M216" t="s">
        <v>7452</v>
      </c>
      <c r="N216" t="s">
        <v>7500</v>
      </c>
      <c r="O216" t="s">
        <v>7780</v>
      </c>
      <c r="P216">
        <f ca="1">IF(tblLog[[#This Row],[Log Date]]="","",TODAY()-tblLog[[#This Row],[Log Date]])</f>
        <v>6</v>
      </c>
      <c r="Q216" t="str">
        <f>IF(tblLog[[#This Row],[Log Date]]="","",IF(TRIM(tblLog[[#This Row],[Cycle Stage]])="Asked to be removed from database","NO","YES"))</f>
        <v>YES</v>
      </c>
      <c r="R2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7" spans="1:18" ht="15" customHeight="1">
      <c r="A217" t="s">
        <v>7781</v>
      </c>
      <c r="B217" t="str">
        <f>IFERROR(_xlfn.XLOOKUP(tblLog[[#This Row],[Unique ID]], tblMaster[Unique ID], tblMaster[First Name], ""), "")</f>
        <v xml:space="preserve">
Christopher</v>
      </c>
      <c r="C217" t="str">
        <f>IFERROR(_xlfn.XLOOKUP(tblLog[[#This Row],[Unique ID]], tblMaster[Unique ID], tblMaster[Last Name], ""), "")</f>
        <v>Alphonse</v>
      </c>
      <c r="D217" t="str">
        <f>IFERROR(_xlfn.XLOOKUP(tblLog[[#This Row],[Unique ID]], tblMaster[Unique ID], tblMaster[Email_Clean], ""), "")</f>
        <v>cjalphonse001@gmail.com</v>
      </c>
      <c r="E217" s="36" t="str">
        <f>IFERROR(_xlfn.XLOOKUP(tblLog[[#This Row],[Unique ID]], tblMaster[Unique ID], tblMaster[Phone], ""), "")</f>
        <v xml:space="preserve">
(508) 558-3375</v>
      </c>
      <c r="F217" t="str">
        <f>IFERROR(_xlfn.XLOOKUP(tblLog[[#This Row],[Unique ID]], tblMaster[Unique ID], tblMaster[Recruiter], ""), "")</f>
        <v xml:space="preserve">Christopher Servello </v>
      </c>
      <c r="G217" t="str">
        <f>IFERROR(_xlfn.XLOOKUP(tblLog[[#This Row],[Unique ID]], tblMaster[Unique ID], tblMaster[Recruitment Cycle], ""), "")</f>
        <v xml:space="preserve">New Submission/ Lead </v>
      </c>
      <c r="H217" t="s">
        <v>7455</v>
      </c>
      <c r="I217" t="s">
        <v>7494</v>
      </c>
      <c r="J217" s="3">
        <v>2</v>
      </c>
      <c r="K217" t="s">
        <v>7491</v>
      </c>
      <c r="L217" s="2">
        <v>46063</v>
      </c>
      <c r="M217" t="s">
        <v>7452</v>
      </c>
      <c r="N217" t="s">
        <v>7497</v>
      </c>
      <c r="O217" t="s">
        <v>7782</v>
      </c>
      <c r="P217">
        <f ca="1">IF(tblLog[[#This Row],[Log Date]]="","",TODAY()-tblLog[[#This Row],[Log Date]])</f>
        <v>16</v>
      </c>
      <c r="Q217" t="str">
        <f>IF(tblLog[[#This Row],[Log Date]]="","",IF(TRIM(tblLog[[#This Row],[Cycle Stage]])="Asked to be removed from database","NO","YES"))</f>
        <v>YES</v>
      </c>
      <c r="R2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8" spans="1:18" ht="15" customHeight="1">
      <c r="A218" t="s">
        <v>7783</v>
      </c>
      <c r="B218" t="str">
        <f>IFERROR(_xlfn.XLOOKUP(tblLog[[#This Row],[Unique ID]], tblMaster[Unique ID], tblMaster[First Name], ""), "")</f>
        <v xml:space="preserve">Dalton </v>
      </c>
      <c r="C218" t="str">
        <f>IFERROR(_xlfn.XLOOKUP(tblLog[[#This Row],[Unique ID]], tblMaster[Unique ID], tblMaster[Last Name], ""), "")</f>
        <v xml:space="preserve"> Cox </v>
      </c>
      <c r="D218" t="str">
        <f>IFERROR(_xlfn.XLOOKUP(tblLog[[#This Row],[Unique ID]], tblMaster[Unique ID], tblMaster[Email_Clean], ""), "")</f>
        <v>daltonjcox26@gmail.com</v>
      </c>
      <c r="E218" t="str">
        <f>IFERROR(_xlfn.XLOOKUP(tblLog[[#This Row],[Unique ID]], tblMaster[Unique ID], tblMaster[Phone], ""), "")</f>
        <v xml:space="preserve">781) 835-6624 </v>
      </c>
      <c r="F218" t="str">
        <f>IFERROR(_xlfn.XLOOKUP(tblLog[[#This Row],[Unique ID]], tblMaster[Unique ID], tblMaster[Recruiter], ""), "")</f>
        <v xml:space="preserve">Enrique Ortiz </v>
      </c>
      <c r="G218" t="str">
        <f>IFERROR(_xlfn.XLOOKUP(tblLog[[#This Row],[Unique ID]], tblMaster[Unique ID], tblMaster[Recruitment Cycle], ""), "")</f>
        <v xml:space="preserve">Re-Engagment </v>
      </c>
      <c r="H218" t="s">
        <v>7455</v>
      </c>
      <c r="I218" t="s">
        <v>7494</v>
      </c>
      <c r="J218" s="3">
        <v>3</v>
      </c>
      <c r="K218" t="s">
        <v>7491</v>
      </c>
      <c r="L218" s="2">
        <v>46063</v>
      </c>
      <c r="M218" t="s">
        <v>7508</v>
      </c>
      <c r="N218" t="s">
        <v>7475</v>
      </c>
      <c r="P218">
        <f ca="1">IF(tblLog[[#This Row],[Log Date]]="","",TODAY()-tblLog[[#This Row],[Log Date]])</f>
        <v>16</v>
      </c>
      <c r="Q218" t="str">
        <f>IF(tblLog[[#This Row],[Log Date]]="","",IF(TRIM(tblLog[[#This Row],[Cycle Stage]])="Asked to be removed from database","NO","YES"))</f>
        <v>YES</v>
      </c>
      <c r="R2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19" spans="1:18" ht="15" customHeight="1">
      <c r="A219" t="s">
        <v>7784</v>
      </c>
      <c r="B219" t="str">
        <f>IFERROR(_xlfn.XLOOKUP(tblLog[[#This Row],[Unique ID]], tblMaster[Unique ID], tblMaster[First Name], ""), "")</f>
        <v xml:space="preserve">Elizabeth </v>
      </c>
      <c r="C219" t="str">
        <f>IFERROR(_xlfn.XLOOKUP(tblLog[[#This Row],[Unique ID]], tblMaster[Unique ID], tblMaster[Last Name], ""), "")</f>
        <v>Tuitt</v>
      </c>
      <c r="D219" t="str">
        <f>IFERROR(_xlfn.XLOOKUP(tblLog[[#This Row],[Unique ID]], tblMaster[Unique ID], tblMaster[Email_Clean], ""), "")</f>
        <v>ltuitt@icloud.com</v>
      </c>
      <c r="E219" t="str">
        <f>IFERROR(_xlfn.XLOOKUP(tblLog[[#This Row],[Unique ID]], tblMaster[Unique ID], tblMaster[Phone], ""), "")</f>
        <v>339 212 2962</v>
      </c>
      <c r="F219" t="str">
        <f>IFERROR(_xlfn.XLOOKUP(tblLog[[#This Row],[Unique ID]], tblMaster[Unique ID], tblMaster[Recruiter], ""), "")</f>
        <v xml:space="preserve">Enrique Ortiz </v>
      </c>
      <c r="G219" t="str">
        <f>IFERROR(_xlfn.XLOOKUP(tblLog[[#This Row],[Unique ID]], tblMaster[Unique ID], tblMaster[Recruitment Cycle], ""), "")</f>
        <v xml:space="preserve">Re-Engagment </v>
      </c>
      <c r="H219" t="s">
        <v>7455</v>
      </c>
      <c r="I219" t="s">
        <v>7530</v>
      </c>
      <c r="J219" s="3">
        <v>3</v>
      </c>
      <c r="K219" t="s">
        <v>7435</v>
      </c>
      <c r="L219" s="2">
        <v>46063</v>
      </c>
      <c r="M219" t="s">
        <v>7452</v>
      </c>
      <c r="N219" t="s">
        <v>7475</v>
      </c>
      <c r="P219">
        <f ca="1">IF(tblLog[[#This Row],[Log Date]]="","",TODAY()-tblLog[[#This Row],[Log Date]])</f>
        <v>16</v>
      </c>
      <c r="Q219" t="str">
        <f>IF(tblLog[[#This Row],[Log Date]]="","",IF(TRIM(tblLog[[#This Row],[Cycle Stage]])="Asked to be removed from database","NO","YES"))</f>
        <v>YES</v>
      </c>
      <c r="R2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0" spans="1:18" ht="15" customHeight="1">
      <c r="A220" t="s">
        <v>7785</v>
      </c>
      <c r="B220" t="str">
        <f>IFERROR(_xlfn.XLOOKUP(tblLog[[#This Row],[Unique ID]], tblMaster[Unique ID], tblMaster[First Name], ""), "")</f>
        <v xml:space="preserve">George </v>
      </c>
      <c r="C220" t="str">
        <f>IFERROR(_xlfn.XLOOKUP(tblLog[[#This Row],[Unique ID]], tblMaster[Unique ID], tblMaster[Last Name], ""), "")</f>
        <v xml:space="preserve"> Mensah</v>
      </c>
      <c r="D220" t="str">
        <f>IFERROR(_xlfn.XLOOKUP(tblLog[[#This Row],[Unique ID]], tblMaster[Unique ID], tblMaster[Email_Clean], ""), "")</f>
        <v>gmensah0906@gmail.com</v>
      </c>
      <c r="E220" t="str">
        <f>IFERROR(_xlfn.XLOOKUP(tblLog[[#This Row],[Unique ID]], tblMaster[Unique ID], tblMaster[Phone], ""), "")</f>
        <v>508-762-7578</v>
      </c>
      <c r="F220" t="str">
        <f>IFERROR(_xlfn.XLOOKUP(tblLog[[#This Row],[Unique ID]], tblMaster[Unique ID], tblMaster[Recruiter], ""), "")</f>
        <v xml:space="preserve">Enrique Ortiz </v>
      </c>
      <c r="G220" t="str">
        <f>IFERROR(_xlfn.XLOOKUP(tblLog[[#This Row],[Unique ID]], tblMaster[Unique ID], tblMaster[Recruitment Cycle], ""), "")</f>
        <v xml:space="preserve">Re-Engagment </v>
      </c>
      <c r="H220" t="s">
        <v>7455</v>
      </c>
      <c r="I220" t="s">
        <v>7494</v>
      </c>
      <c r="J220" s="3">
        <v>2</v>
      </c>
      <c r="K220" t="s">
        <v>7491</v>
      </c>
      <c r="L220" s="2">
        <v>46063</v>
      </c>
      <c r="M220" t="s">
        <v>7508</v>
      </c>
      <c r="N220" t="s">
        <v>7475</v>
      </c>
      <c r="P220">
        <f ca="1">IF(tblLog[[#This Row],[Log Date]]="","",TODAY()-tblLog[[#This Row],[Log Date]])</f>
        <v>16</v>
      </c>
      <c r="Q220" t="str">
        <f>IF(tblLog[[#This Row],[Log Date]]="","",IF(TRIM(tblLog[[#This Row],[Cycle Stage]])="Asked to be removed from database","NO","YES"))</f>
        <v>YES</v>
      </c>
      <c r="R2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1" spans="1:18" ht="15" customHeight="1">
      <c r="A221" t="s">
        <v>7786</v>
      </c>
      <c r="B221" t="str">
        <f>IFERROR(_xlfn.XLOOKUP(tblLog[[#This Row],[Unique ID]], tblMaster[Unique ID], tblMaster[First Name], ""), "")</f>
        <v xml:space="preserve">Tanisha </v>
      </c>
      <c r="C221" t="str">
        <f>IFERROR(_xlfn.XLOOKUP(tblLog[[#This Row],[Unique ID]], tblMaster[Unique ID], tblMaster[Last Name], ""), "")</f>
        <v xml:space="preserve"> Carlisle </v>
      </c>
      <c r="D221" t="str">
        <f>IFERROR(_xlfn.XLOOKUP(tblLog[[#This Row],[Unique ID]], tblMaster[Unique ID], tblMaster[Email_Clean], ""), "")</f>
        <v>mamitanisha1@icloud.com</v>
      </c>
      <c r="E221" t="str">
        <f>IFERROR(_xlfn.XLOOKUP(tblLog[[#This Row],[Unique ID]], tblMaster[Unique ID], tblMaster[Phone], ""), "")</f>
        <v xml:space="preserve">(978) 918-0250 </v>
      </c>
      <c r="F221" t="str">
        <f>IFERROR(_xlfn.XLOOKUP(tblLog[[#This Row],[Unique ID]], tblMaster[Unique ID], tblMaster[Recruiter], ""), "")</f>
        <v xml:space="preserve">Enrique Ortiz </v>
      </c>
      <c r="G221" t="str">
        <f>IFERROR(_xlfn.XLOOKUP(tblLog[[#This Row],[Unique ID]], tblMaster[Unique ID], tblMaster[Recruitment Cycle], ""), "")</f>
        <v xml:space="preserve">Re-Engagment </v>
      </c>
      <c r="H221" t="s">
        <v>7455</v>
      </c>
      <c r="I221" t="s">
        <v>4</v>
      </c>
      <c r="J221" s="3">
        <v>1</v>
      </c>
      <c r="K221" t="s">
        <v>7491</v>
      </c>
      <c r="L221" s="2">
        <v>46063</v>
      </c>
      <c r="M221" t="s">
        <v>7508</v>
      </c>
      <c r="N221" t="s">
        <v>7475</v>
      </c>
      <c r="O221" t="s">
        <v>7596</v>
      </c>
      <c r="P221">
        <f ca="1">IF(tblLog[[#This Row],[Log Date]]="","",TODAY()-tblLog[[#This Row],[Log Date]])</f>
        <v>16</v>
      </c>
      <c r="Q221" t="str">
        <f>IF(tblLog[[#This Row],[Log Date]]="","",IF(TRIM(tblLog[[#This Row],[Cycle Stage]])="Asked to be removed from database","NO","YES"))</f>
        <v>YES</v>
      </c>
      <c r="R2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2" spans="1:18" ht="15" customHeight="1">
      <c r="A222" t="s">
        <v>7787</v>
      </c>
      <c r="B222" t="str">
        <f>IFERROR(_xlfn.XLOOKUP(tblLog[[#This Row],[Unique ID]], tblMaster[Unique ID], tblMaster[First Name], ""), "")</f>
        <v>Elijah</v>
      </c>
      <c r="C222" t="str">
        <f>IFERROR(_xlfn.XLOOKUP(tblLog[[#This Row],[Unique ID]], tblMaster[Unique ID], tblMaster[Last Name], ""), "")</f>
        <v xml:space="preserve">Lavoie </v>
      </c>
      <c r="D222" t="str">
        <f>IFERROR(_xlfn.XLOOKUP(tblLog[[#This Row],[Unique ID]], tblMaster[Unique ID], tblMaster[Email_Clean], ""), "")</f>
        <v>elijahlavoie24@gmail.com</v>
      </c>
      <c r="E222" t="str">
        <f>IFERROR(_xlfn.XLOOKUP(tblLog[[#This Row],[Unique ID]], tblMaster[Unique ID], tblMaster[Phone], ""), "")</f>
        <v xml:space="preserve">(401) 416-2649 </v>
      </c>
      <c r="F222" t="str">
        <f>IFERROR(_xlfn.XLOOKUP(tblLog[[#This Row],[Unique ID]], tblMaster[Unique ID], tblMaster[Recruiter], ""), "")</f>
        <v xml:space="preserve">Enrique Ortiz </v>
      </c>
      <c r="G222" t="str">
        <f>IFERROR(_xlfn.XLOOKUP(tblLog[[#This Row],[Unique ID]], tblMaster[Unique ID], tblMaster[Recruitment Cycle], ""), "")</f>
        <v xml:space="preserve">Re-Engagment </v>
      </c>
      <c r="H222" t="s">
        <v>7455</v>
      </c>
      <c r="I222" t="s">
        <v>4</v>
      </c>
      <c r="J222" s="3">
        <v>1</v>
      </c>
      <c r="K222" t="s">
        <v>7491</v>
      </c>
      <c r="L222" s="2">
        <v>46063</v>
      </c>
      <c r="M222" t="s">
        <v>7508</v>
      </c>
      <c r="N222" t="s">
        <v>7475</v>
      </c>
      <c r="O222" t="s">
        <v>7596</v>
      </c>
      <c r="P222">
        <f ca="1">IF(tblLog[[#This Row],[Log Date]]="","",TODAY()-tblLog[[#This Row],[Log Date]])</f>
        <v>16</v>
      </c>
      <c r="Q222" t="str">
        <f>IF(tblLog[[#This Row],[Log Date]]="","",IF(TRIM(tblLog[[#This Row],[Cycle Stage]])="Asked to be removed from database","NO","YES"))</f>
        <v>YES</v>
      </c>
      <c r="R2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3" spans="1:18" ht="15" customHeight="1">
      <c r="A223" t="s">
        <v>7788</v>
      </c>
      <c r="B223" t="str">
        <f>IFERROR(_xlfn.XLOOKUP(tblLog[[#This Row],[Unique ID]], tblMaster[Unique ID], tblMaster[First Name], ""), "")</f>
        <v>Josie</v>
      </c>
      <c r="C223" t="str">
        <f>IFERROR(_xlfn.XLOOKUP(tblLog[[#This Row],[Unique ID]], tblMaster[Unique ID], tblMaster[Last Name], ""), "")</f>
        <v>Desjardins</v>
      </c>
      <c r="D223" t="str">
        <f>IFERROR(_xlfn.XLOOKUP(tblLog[[#This Row],[Unique ID]], tblMaster[Unique ID], tblMaster[Email_Clean], ""), "")</f>
        <v>josiedesjardinsx96@gmail.com</v>
      </c>
      <c r="E223" t="str">
        <f>IFERROR(_xlfn.XLOOKUP(tblLog[[#This Row],[Unique ID]], tblMaster[Unique ID], tblMaster[Phone], ""), "")</f>
        <v>(401) 442-6228</v>
      </c>
      <c r="F223" t="str">
        <f>IFERROR(_xlfn.XLOOKUP(tblLog[[#This Row],[Unique ID]], tblMaster[Unique ID], tblMaster[Recruiter], ""), "")</f>
        <v xml:space="preserve">Tom Clark </v>
      </c>
      <c r="G223" t="str">
        <f>IFERROR(_xlfn.XLOOKUP(tblLog[[#This Row],[Unique ID]], tblMaster[Unique ID], tblMaster[Recruitment Cycle], ""), "")</f>
        <v xml:space="preserve">Re-Engagment </v>
      </c>
      <c r="H223" t="s">
        <v>7439</v>
      </c>
      <c r="I223" t="s">
        <v>7434</v>
      </c>
      <c r="J223" s="3">
        <v>2</v>
      </c>
      <c r="K223" t="s">
        <v>7701</v>
      </c>
      <c r="L223" s="2">
        <v>46063</v>
      </c>
      <c r="M223" t="s">
        <v>7452</v>
      </c>
      <c r="N223" t="s">
        <v>7487</v>
      </c>
      <c r="P223">
        <f ca="1">IF(tblLog[[#This Row],[Log Date]]="","",TODAY()-tblLog[[#This Row],[Log Date]])</f>
        <v>16</v>
      </c>
      <c r="Q223" t="str">
        <f>IF(tblLog[[#This Row],[Log Date]]="","",IF(TRIM(tblLog[[#This Row],[Cycle Stage]])="Asked to be removed from database","NO","YES"))</f>
        <v>YES</v>
      </c>
      <c r="R2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4" spans="1:18" ht="15" customHeight="1">
      <c r="A224" t="s">
        <v>7789</v>
      </c>
      <c r="B224" t="str">
        <f>IFERROR(_xlfn.XLOOKUP(tblLog[[#This Row],[Unique ID]], tblMaster[Unique ID], tblMaster[First Name], ""), "")</f>
        <v>Bobby</v>
      </c>
      <c r="C224" t="str">
        <f>IFERROR(_xlfn.XLOOKUP(tblLog[[#This Row],[Unique ID]], tblMaster[Unique ID], tblMaster[Last Name], ""), "")</f>
        <v xml:space="preserve"> Nelson </v>
      </c>
      <c r="D224" t="str">
        <f>IFERROR(_xlfn.XLOOKUP(tblLog[[#This Row],[Unique ID]], tblMaster[Unique ID], tblMaster[Email_Clean], ""), "")</f>
        <v>tommyjones0001vb@gmail.com</v>
      </c>
      <c r="E224" t="str">
        <f>IFERROR(_xlfn.XLOOKUP(tblLog[[#This Row],[Unique ID]], tblMaster[Unique ID], tblMaster[Phone], ""), "")</f>
        <v>857)343-9072</v>
      </c>
      <c r="F224" t="str">
        <f>IFERROR(_xlfn.XLOOKUP(tblLog[[#This Row],[Unique ID]], tblMaster[Unique ID], tblMaster[Recruiter], ""), "")</f>
        <v xml:space="preserve">Enrique Ortiz </v>
      </c>
      <c r="G224" t="str">
        <f>IFERROR(_xlfn.XLOOKUP(tblLog[[#This Row],[Unique ID]], tblMaster[Unique ID], tblMaster[Recruitment Cycle], ""), "")</f>
        <v xml:space="preserve">Re-Engagment </v>
      </c>
      <c r="H224" t="s">
        <v>7455</v>
      </c>
      <c r="I224" t="s">
        <v>7494</v>
      </c>
      <c r="J224" s="3">
        <v>2</v>
      </c>
      <c r="K224" t="s">
        <v>7491</v>
      </c>
      <c r="L224" s="2">
        <v>46063</v>
      </c>
      <c r="M224" t="s">
        <v>7508</v>
      </c>
      <c r="N224" t="s">
        <v>7475</v>
      </c>
      <c r="P224">
        <f ca="1">IF(tblLog[[#This Row],[Log Date]]="","",TODAY()-tblLog[[#This Row],[Log Date]])</f>
        <v>16</v>
      </c>
      <c r="Q224" t="str">
        <f>IF(tblLog[[#This Row],[Log Date]]="","",IF(TRIM(tblLog[[#This Row],[Cycle Stage]])="Asked to be removed from database","NO","YES"))</f>
        <v>YES</v>
      </c>
      <c r="R2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5" spans="1:18" ht="15" customHeight="1">
      <c r="A225" t="s">
        <v>7790</v>
      </c>
      <c r="B225" t="str">
        <f>IFERROR(_xlfn.XLOOKUP(tblLog[[#This Row],[Unique ID]], tblMaster[Unique ID], tblMaster[First Name], ""), "")</f>
        <v>Nicholas</v>
      </c>
      <c r="C225" t="str">
        <f>IFERROR(_xlfn.XLOOKUP(tblLog[[#This Row],[Unique ID]], tblMaster[Unique ID], tblMaster[Last Name], ""), "")</f>
        <v>Gohson</v>
      </c>
      <c r="D225" t="str">
        <f>IFERROR(_xlfn.XLOOKUP(tblLog[[#This Row],[Unique ID]], tblMaster[Unique ID], tblMaster[Email_Clean], ""), "")</f>
        <v>nicholasgohson@gmail.com</v>
      </c>
      <c r="E225" t="str">
        <f>IFERROR(_xlfn.XLOOKUP(tblLog[[#This Row],[Unique ID]], tblMaster[Unique ID], tblMaster[Phone], ""), "")</f>
        <v xml:space="preserve">720-670-9890 </v>
      </c>
      <c r="F225" t="str">
        <f>IFERROR(_xlfn.XLOOKUP(tblLog[[#This Row],[Unique ID]], tblMaster[Unique ID], tblMaster[Recruiter], ""), "")</f>
        <v xml:space="preserve">Enrique Ortiz </v>
      </c>
      <c r="G225" t="str">
        <f>IFERROR(_xlfn.XLOOKUP(tblLog[[#This Row],[Unique ID]], tblMaster[Unique ID], tblMaster[Recruitment Cycle], ""), "")</f>
        <v xml:space="preserve">Re-Engagment </v>
      </c>
      <c r="H225" t="s">
        <v>7455</v>
      </c>
      <c r="I225" t="s">
        <v>4</v>
      </c>
      <c r="J225" s="3">
        <v>1</v>
      </c>
      <c r="K225" t="s">
        <v>7491</v>
      </c>
      <c r="L225" s="2">
        <v>46063</v>
      </c>
      <c r="M225" t="s">
        <v>7508</v>
      </c>
      <c r="N225" t="s">
        <v>7475</v>
      </c>
      <c r="O225" t="s">
        <v>7791</v>
      </c>
      <c r="P225">
        <f ca="1">IF(tblLog[[#This Row],[Log Date]]="","",TODAY()-tblLog[[#This Row],[Log Date]])</f>
        <v>16</v>
      </c>
      <c r="Q225" t="str">
        <f>IF(tblLog[[#This Row],[Log Date]]="","",IF(TRIM(tblLog[[#This Row],[Cycle Stage]])="Asked to be removed from database","NO","YES"))</f>
        <v>YES</v>
      </c>
      <c r="R2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6" spans="1:18" ht="15" customHeight="1">
      <c r="A226" t="s">
        <v>7792</v>
      </c>
      <c r="B226" t="str">
        <f>IFERROR(_xlfn.XLOOKUP(tblLog[[#This Row],[Unique ID]], tblMaster[Unique ID], tblMaster[First Name], ""), "")</f>
        <v xml:space="preserve">Edward </v>
      </c>
      <c r="C226" t="str">
        <f>IFERROR(_xlfn.XLOOKUP(tblLog[[#This Row],[Unique ID]], tblMaster[Unique ID], tblMaster[Last Name], ""), "")</f>
        <v xml:space="preserve">Frank </v>
      </c>
      <c r="D226" t="str">
        <f>IFERROR(_xlfn.XLOOKUP(tblLog[[#This Row],[Unique ID]], tblMaster[Unique ID], tblMaster[Email_Clean], ""), "")</f>
        <v>frankedward703@gmail.com</v>
      </c>
      <c r="E226" t="str">
        <f>IFERROR(_xlfn.XLOOKUP(tblLog[[#This Row],[Unique ID]], tblMaster[Unique ID], tblMaster[Phone], ""), "")</f>
        <v xml:space="preserve">(774) 329-7464 </v>
      </c>
      <c r="F226" t="str">
        <f>IFERROR(_xlfn.XLOOKUP(tblLog[[#This Row],[Unique ID]], tblMaster[Unique ID], tblMaster[Recruiter], ""), "")</f>
        <v xml:space="preserve">Enrique Ortiz </v>
      </c>
      <c r="G226" t="str">
        <f>IFERROR(_xlfn.XLOOKUP(tblLog[[#This Row],[Unique ID]], tblMaster[Unique ID], tblMaster[Recruitment Cycle], ""), "")</f>
        <v xml:space="preserve">Re-Engagment </v>
      </c>
      <c r="H226" t="s">
        <v>7455</v>
      </c>
      <c r="I226" t="s">
        <v>7434</v>
      </c>
      <c r="J226" s="3">
        <v>2</v>
      </c>
      <c r="K226" t="s">
        <v>7435</v>
      </c>
      <c r="L226" s="2">
        <v>46063</v>
      </c>
      <c r="M226" t="s">
        <v>7508</v>
      </c>
      <c r="N226" t="s">
        <v>7475</v>
      </c>
      <c r="P226">
        <f ca="1">IF(tblLog[[#This Row],[Log Date]]="","",TODAY()-tblLog[[#This Row],[Log Date]])</f>
        <v>16</v>
      </c>
      <c r="Q226" t="str">
        <f>IF(tblLog[[#This Row],[Log Date]]="","",IF(TRIM(tblLog[[#This Row],[Cycle Stage]])="Asked to be removed from database","NO","YES"))</f>
        <v>YES</v>
      </c>
      <c r="R2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7" spans="1:18" ht="15" customHeight="1">
      <c r="A227" t="s">
        <v>7793</v>
      </c>
      <c r="B227" t="str">
        <f>IFERROR(_xlfn.XLOOKUP(tblLog[[#This Row],[Unique ID]], tblMaster[Unique ID], tblMaster[First Name], ""), "")</f>
        <v xml:space="preserve">Hanscard </v>
      </c>
      <c r="C227" t="str">
        <f>IFERROR(_xlfn.XLOOKUP(tblLog[[#This Row],[Unique ID]], tblMaster[Unique ID], tblMaster[Last Name], ""), "")</f>
        <v xml:space="preserve">Dormeus </v>
      </c>
      <c r="D227" t="str">
        <f>IFERROR(_xlfn.XLOOKUP(tblLog[[#This Row],[Unique ID]], tblMaster[Unique ID], tblMaster[Email_Clean], ""), "")</f>
        <v>hanscarddormues@gmail.com</v>
      </c>
      <c r="E227" t="str">
        <f>IFERROR(_xlfn.XLOOKUP(tblLog[[#This Row],[Unique ID]], tblMaster[Unique ID], tblMaster[Phone], ""), "")</f>
        <v xml:space="preserve">617-991-4433 </v>
      </c>
      <c r="F227" t="str">
        <f>IFERROR(_xlfn.XLOOKUP(tblLog[[#This Row],[Unique ID]], tblMaster[Unique ID], tblMaster[Recruiter], ""), "")</f>
        <v xml:space="preserve">Enrique Ortiz </v>
      </c>
      <c r="G227" t="str">
        <f>IFERROR(_xlfn.XLOOKUP(tblLog[[#This Row],[Unique ID]], tblMaster[Unique ID], tblMaster[Recruitment Cycle], ""), "")</f>
        <v xml:space="preserve">New Submission/ Lead </v>
      </c>
      <c r="H227" t="s">
        <v>7455</v>
      </c>
      <c r="I227" t="s">
        <v>4</v>
      </c>
      <c r="J227" s="3">
        <v>2</v>
      </c>
      <c r="K227" t="s">
        <v>7446</v>
      </c>
      <c r="L227" s="2">
        <v>46065</v>
      </c>
      <c r="M227" t="s">
        <v>7452</v>
      </c>
      <c r="N227" t="s">
        <v>7500</v>
      </c>
      <c r="O227" t="s">
        <v>7794</v>
      </c>
      <c r="P227">
        <f ca="1">IF(tblLog[[#This Row],[Log Date]]="","",TODAY()-tblLog[[#This Row],[Log Date]])</f>
        <v>14</v>
      </c>
      <c r="Q227" t="str">
        <f>IF(tblLog[[#This Row],[Log Date]]="","",IF(TRIM(tblLog[[#This Row],[Cycle Stage]])="Asked to be removed from database","NO","YES"))</f>
        <v>YES</v>
      </c>
      <c r="R2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8" spans="1:18" ht="15" customHeight="1">
      <c r="A228" t="s">
        <v>7795</v>
      </c>
      <c r="B228" t="str">
        <f>IFERROR(_xlfn.XLOOKUP(tblLog[[#This Row],[Unique ID]], tblMaster[Unique ID], tblMaster[First Name], ""), "")</f>
        <v xml:space="preserve">Cassidy </v>
      </c>
      <c r="C228" t="str">
        <f>IFERROR(_xlfn.XLOOKUP(tblLog[[#This Row],[Unique ID]], tblMaster[Unique ID], tblMaster[Last Name], ""), "")</f>
        <v xml:space="preserve">Melendez </v>
      </c>
      <c r="D228" t="str">
        <f>IFERROR(_xlfn.XLOOKUP(tblLog[[#This Row],[Unique ID]], tblMaster[Unique ID], tblMaster[Email_Clean], ""), "")</f>
        <v>cassidymelendez413@gmail.com</v>
      </c>
      <c r="E228" t="str">
        <f>IFERROR(_xlfn.XLOOKUP(tblLog[[#This Row],[Unique ID]], tblMaster[Unique ID], tblMaster[Phone], ""), "")</f>
        <v xml:space="preserve">(413) 355-1040 </v>
      </c>
      <c r="F228" t="str">
        <f>IFERROR(_xlfn.XLOOKUP(tblLog[[#This Row],[Unique ID]], tblMaster[Unique ID], tblMaster[Recruiter], ""), "")</f>
        <v xml:space="preserve">Enrique Ortiz </v>
      </c>
      <c r="G228" t="str">
        <f>IFERROR(_xlfn.XLOOKUP(tblLog[[#This Row],[Unique ID]], tblMaster[Unique ID], tblMaster[Recruitment Cycle], ""), "")</f>
        <v xml:space="preserve">Re-Engagment </v>
      </c>
      <c r="H228" t="s">
        <v>7455</v>
      </c>
      <c r="I228" t="s">
        <v>7494</v>
      </c>
      <c r="J228" s="3">
        <v>2</v>
      </c>
      <c r="K228" t="s">
        <v>7491</v>
      </c>
      <c r="L228" s="2">
        <v>46063</v>
      </c>
      <c r="M228" t="s">
        <v>7508</v>
      </c>
      <c r="N228" t="s">
        <v>7475</v>
      </c>
      <c r="P228">
        <f ca="1">IF(tblLog[[#This Row],[Log Date]]="","",TODAY()-tblLog[[#This Row],[Log Date]])</f>
        <v>16</v>
      </c>
      <c r="Q228" t="str">
        <f>IF(tblLog[[#This Row],[Log Date]]="","",IF(TRIM(tblLog[[#This Row],[Cycle Stage]])="Asked to be removed from database","NO","YES"))</f>
        <v>YES</v>
      </c>
      <c r="R2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29" spans="1:18" ht="15" customHeight="1">
      <c r="A229" t="s">
        <v>7796</v>
      </c>
      <c r="B229" t="str">
        <f>IFERROR(_xlfn.XLOOKUP(tblLog[[#This Row],[Unique ID]], tblMaster[Unique ID], tblMaster[First Name], ""), "")</f>
        <v xml:space="preserve">Rosenette </v>
      </c>
      <c r="C229" t="str">
        <f>IFERROR(_xlfn.XLOOKUP(tblLog[[#This Row],[Unique ID]], tblMaster[Unique ID], tblMaster[Last Name], ""), "")</f>
        <v xml:space="preserve"> Mathis </v>
      </c>
      <c r="D229" t="str">
        <f>IFERROR(_xlfn.XLOOKUP(tblLog[[#This Row],[Unique ID]], tblMaster[Unique ID], tblMaster[Email_Clean], ""), "")</f>
        <v>rosiebelizaire@yahoo.fr</v>
      </c>
      <c r="E229" t="str">
        <f>IFERROR(_xlfn.XLOOKUP(tblLog[[#This Row],[Unique ID]], tblMaster[Unique ID], tblMaster[Phone], ""), "")</f>
        <v>774-386-4303</v>
      </c>
      <c r="F229" t="str">
        <f>IFERROR(_xlfn.XLOOKUP(tblLog[[#This Row],[Unique ID]], tblMaster[Unique ID], tblMaster[Recruiter], ""), "")</f>
        <v xml:space="preserve">Enrique Ortiz </v>
      </c>
      <c r="G229" t="str">
        <f>IFERROR(_xlfn.XLOOKUP(tblLog[[#This Row],[Unique ID]], tblMaster[Unique ID], tblMaster[Recruitment Cycle], ""), "")</f>
        <v xml:space="preserve">Re-Engagment </v>
      </c>
      <c r="H229" t="s">
        <v>7455</v>
      </c>
      <c r="I229" t="s">
        <v>7494</v>
      </c>
      <c r="J229" s="3">
        <v>2</v>
      </c>
      <c r="K229" t="s">
        <v>7491</v>
      </c>
      <c r="L229" s="2">
        <v>46063</v>
      </c>
      <c r="M229" t="s">
        <v>7508</v>
      </c>
      <c r="N229" t="s">
        <v>7475</v>
      </c>
      <c r="P229">
        <f ca="1">IF(tblLog[[#This Row],[Log Date]]="","",TODAY()-tblLog[[#This Row],[Log Date]])</f>
        <v>16</v>
      </c>
      <c r="Q229" t="str">
        <f>IF(tblLog[[#This Row],[Log Date]]="","",IF(TRIM(tblLog[[#This Row],[Cycle Stage]])="Asked to be removed from database","NO","YES"))</f>
        <v>YES</v>
      </c>
      <c r="R2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0" spans="1:18" ht="15" customHeight="1">
      <c r="A230" t="s">
        <v>7797</v>
      </c>
      <c r="B230" t="str">
        <f>IFERROR(_xlfn.XLOOKUP(tblLog[[#This Row],[Unique ID]], tblMaster[Unique ID], tblMaster[First Name], ""), "")</f>
        <v xml:space="preserve">Elijah </v>
      </c>
      <c r="C230" t="str">
        <f>IFERROR(_xlfn.XLOOKUP(tblLog[[#This Row],[Unique ID]], tblMaster[Unique ID], tblMaster[Last Name], ""), "")</f>
        <v xml:space="preserve">Foley </v>
      </c>
      <c r="D230" t="str">
        <f>IFERROR(_xlfn.XLOOKUP(tblLog[[#This Row],[Unique ID]], tblMaster[Unique ID], tblMaster[Email_Clean], ""), "")</f>
        <v>elijahfoley@ymail.com</v>
      </c>
      <c r="E230" t="str">
        <f>IFERROR(_xlfn.XLOOKUP(tblLog[[#This Row],[Unique ID]], tblMaster[Unique ID], tblMaster[Phone], ""), "")</f>
        <v xml:space="preserve">(781) 298-5460 </v>
      </c>
      <c r="F230" t="str">
        <f>IFERROR(_xlfn.XLOOKUP(tblLog[[#This Row],[Unique ID]], tblMaster[Unique ID], tblMaster[Recruiter], ""), "")</f>
        <v>Zenon Moses</v>
      </c>
      <c r="G230" t="str">
        <f>IFERROR(_xlfn.XLOOKUP(tblLog[[#This Row],[Unique ID]], tblMaster[Unique ID], tblMaster[Recruitment Cycle], ""), "")</f>
        <v xml:space="preserve">New Submission/ Lead </v>
      </c>
      <c r="H230" t="s">
        <v>7455</v>
      </c>
      <c r="I230" t="s">
        <v>4</v>
      </c>
      <c r="J230" s="3">
        <v>2</v>
      </c>
      <c r="K230" t="s">
        <v>7491</v>
      </c>
      <c r="L230" s="2">
        <v>46063</v>
      </c>
      <c r="M230" t="s">
        <v>7452</v>
      </c>
      <c r="N230" t="s">
        <v>7500</v>
      </c>
      <c r="P230">
        <f ca="1">IF(tblLog[[#This Row],[Log Date]]="","",TODAY()-tblLog[[#This Row],[Log Date]])</f>
        <v>16</v>
      </c>
      <c r="Q230" t="str">
        <f>IF(tblLog[[#This Row],[Log Date]]="","",IF(TRIM(tblLog[[#This Row],[Cycle Stage]])="Asked to be removed from database","NO","YES"))</f>
        <v>YES</v>
      </c>
      <c r="R2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1" spans="1:18" ht="15" customHeight="1">
      <c r="A231" t="s">
        <v>7798</v>
      </c>
      <c r="B231" t="str">
        <f>IFERROR(_xlfn.XLOOKUP(tblLog[[#This Row],[Unique ID]], tblMaster[Unique ID], tblMaster[First Name], ""), "")</f>
        <v>Christiana</v>
      </c>
      <c r="C231" t="str">
        <f>IFERROR(_xlfn.XLOOKUP(tblLog[[#This Row],[Unique ID]], tblMaster[Unique ID], tblMaster[Last Name], ""), "")</f>
        <v>Kyeraa</v>
      </c>
      <c r="D231" t="str">
        <f>IFERROR(_xlfn.XLOOKUP(tblLog[[#This Row],[Unique ID]], tblMaster[Unique ID], tblMaster[Email_Clean], ""), "")</f>
        <v>kyeraachristiana24@gmail.com</v>
      </c>
      <c r="E231">
        <f>IFERROR(_xlfn.XLOOKUP(tblLog[[#This Row],[Unique ID]], tblMaster[Unique ID], tblMaster[Phone], ""), "")</f>
        <v>0</v>
      </c>
      <c r="F231" t="str">
        <f>IFERROR(_xlfn.XLOOKUP(tblLog[[#This Row],[Unique ID]], tblMaster[Unique ID], tblMaster[Recruiter], ""), "")</f>
        <v>Zenon Moses</v>
      </c>
      <c r="G231" t="str">
        <f>IFERROR(_xlfn.XLOOKUP(tblLog[[#This Row],[Unique ID]], tblMaster[Unique ID], tblMaster[Recruitment Cycle], ""), "")</f>
        <v xml:space="preserve">New Submission/ Lead </v>
      </c>
      <c r="H231" t="s">
        <v>7496</v>
      </c>
      <c r="I231" t="s">
        <v>4</v>
      </c>
      <c r="J231" s="3">
        <v>3</v>
      </c>
      <c r="K231" t="s">
        <v>7491</v>
      </c>
      <c r="L231" s="2">
        <v>46073</v>
      </c>
      <c r="M231" t="s">
        <v>7452</v>
      </c>
      <c r="N231" t="s">
        <v>7481</v>
      </c>
      <c r="O231" t="s">
        <v>7799</v>
      </c>
      <c r="P231">
        <f ca="1">IF(tblLog[[#This Row],[Log Date]]="","",TODAY()-tblLog[[#This Row],[Log Date]])</f>
        <v>6</v>
      </c>
      <c r="Q231" t="str">
        <f>IF(tblLog[[#This Row],[Log Date]]="","",IF(TRIM(tblLog[[#This Row],[Cycle Stage]])="Asked to be removed from database","NO","YES"))</f>
        <v>YES</v>
      </c>
      <c r="R2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2" spans="1:18" ht="15" customHeight="1">
      <c r="A232" t="s">
        <v>7800</v>
      </c>
      <c r="B232" t="str">
        <f>IFERROR(_xlfn.XLOOKUP(tblLog[[#This Row],[Unique ID]], tblMaster[Unique ID], tblMaster[First Name], ""), "")</f>
        <v xml:space="preserve">Brandon </v>
      </c>
      <c r="C232" t="str">
        <f>IFERROR(_xlfn.XLOOKUP(tblLog[[#This Row],[Unique ID]], tblMaster[Unique ID], tblMaster[Last Name], ""), "")</f>
        <v>Carignan</v>
      </c>
      <c r="D232" t="str">
        <f>IFERROR(_xlfn.XLOOKUP(tblLog[[#This Row],[Unique ID]], tblMaster[Unique ID], tblMaster[Email_Clean], ""), "")</f>
        <v>blitzgodilforno@gmail.com</v>
      </c>
      <c r="E232" t="str">
        <f>IFERROR(_xlfn.XLOOKUP(tblLog[[#This Row],[Unique ID]], tblMaster[Unique ID], tblMaster[Phone], ""), "")</f>
        <v>978-488-8101</v>
      </c>
      <c r="F232" t="str">
        <f>IFERROR(_xlfn.XLOOKUP(tblLog[[#This Row],[Unique ID]], tblMaster[Unique ID], tblMaster[Recruiter], ""), "")</f>
        <v>Zenon Moses</v>
      </c>
      <c r="G232" t="str">
        <f>IFERROR(_xlfn.XLOOKUP(tblLog[[#This Row],[Unique ID]], tblMaster[Unique ID], tblMaster[Recruitment Cycle], ""), "")</f>
        <v xml:space="preserve">Re-Engagment </v>
      </c>
      <c r="H232" t="s">
        <v>7455</v>
      </c>
      <c r="I232" t="s">
        <v>7434</v>
      </c>
      <c r="J232" s="3">
        <v>2</v>
      </c>
      <c r="K232" t="s">
        <v>7435</v>
      </c>
      <c r="L232" s="2">
        <v>46063</v>
      </c>
      <c r="M232" t="s">
        <v>7508</v>
      </c>
      <c r="N232" t="s">
        <v>7487</v>
      </c>
      <c r="P232">
        <f ca="1">IF(tblLog[[#This Row],[Log Date]]="","",TODAY()-tblLog[[#This Row],[Log Date]])</f>
        <v>16</v>
      </c>
      <c r="Q232" t="str">
        <f>IF(tblLog[[#This Row],[Log Date]]="","",IF(TRIM(tblLog[[#This Row],[Cycle Stage]])="Asked to be removed from database","NO","YES"))</f>
        <v>YES</v>
      </c>
      <c r="R2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3" spans="1:18" ht="15" customHeight="1">
      <c r="A233" t="s">
        <v>7801</v>
      </c>
      <c r="B233" t="str">
        <f>IFERROR(_xlfn.XLOOKUP(tblLog[[#This Row],[Unique ID]], tblMaster[Unique ID], tblMaster[First Name], ""), "")</f>
        <v xml:space="preserve">Gavin </v>
      </c>
      <c r="C233" t="str">
        <f>IFERROR(_xlfn.XLOOKUP(tblLog[[#This Row],[Unique ID]], tblMaster[Unique ID], tblMaster[Last Name], ""), "")</f>
        <v xml:space="preserve">Wright </v>
      </c>
      <c r="D233" t="str">
        <f>IFERROR(_xlfn.XLOOKUP(tblLog[[#This Row],[Unique ID]], tblMaster[Unique ID], tblMaster[Email_Clean], ""), "")</f>
        <v>gavinwright875@gmail.com</v>
      </c>
      <c r="E233" t="str">
        <f>IFERROR(_xlfn.XLOOKUP(tblLog[[#This Row],[Unique ID]], tblMaster[Unique ID], tblMaster[Phone], ""), "")</f>
        <v xml:space="preserve">(857) 391-0198 </v>
      </c>
      <c r="F233" t="str">
        <f>IFERROR(_xlfn.XLOOKUP(tblLog[[#This Row],[Unique ID]], tblMaster[Unique ID], tblMaster[Recruiter], ""), "")</f>
        <v>Zenon Moses</v>
      </c>
      <c r="G233" t="str">
        <f>IFERROR(_xlfn.XLOOKUP(tblLog[[#This Row],[Unique ID]], tblMaster[Unique ID], tblMaster[Recruitment Cycle], ""), "")</f>
        <v xml:space="preserve">Re-Engagment </v>
      </c>
      <c r="H233" t="s">
        <v>7455</v>
      </c>
      <c r="I233" t="s">
        <v>7434</v>
      </c>
      <c r="J233" s="3">
        <v>2</v>
      </c>
      <c r="K233" t="s">
        <v>7435</v>
      </c>
      <c r="L233" s="2">
        <v>46063</v>
      </c>
      <c r="M233" t="s">
        <v>7598</v>
      </c>
      <c r="N233" t="s">
        <v>7481</v>
      </c>
      <c r="O233" t="s">
        <v>7802</v>
      </c>
      <c r="P233">
        <f ca="1">IF(tblLog[[#This Row],[Log Date]]="","",TODAY()-tblLog[[#This Row],[Log Date]])</f>
        <v>16</v>
      </c>
      <c r="Q233" t="str">
        <f>IF(tblLog[[#This Row],[Log Date]]="","",IF(TRIM(tblLog[[#This Row],[Cycle Stage]])="Asked to be removed from database","NO","YES"))</f>
        <v>YES</v>
      </c>
      <c r="R2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4" spans="1:18" ht="15" customHeight="1">
      <c r="A234" t="s">
        <v>7803</v>
      </c>
      <c r="B234" t="str">
        <f>IFERROR(_xlfn.XLOOKUP(tblLog[[#This Row],[Unique ID]], tblMaster[Unique ID], tblMaster[First Name], ""), "")</f>
        <v xml:space="preserve">Orlando </v>
      </c>
      <c r="C234" t="str">
        <f>IFERROR(_xlfn.XLOOKUP(tblLog[[#This Row],[Unique ID]], tblMaster[Unique ID], tblMaster[Last Name], ""), "")</f>
        <v xml:space="preserve"> Matos </v>
      </c>
      <c r="D234" t="str">
        <f>IFERROR(_xlfn.XLOOKUP(tblLog[[#This Row],[Unique ID]], tblMaster[Unique ID], tblMaster[Email_Clean], ""), "")</f>
        <v>matosysoo@gmail.com</v>
      </c>
      <c r="E234" t="str">
        <f>IFERROR(_xlfn.XLOOKUP(tblLog[[#This Row],[Unique ID]], tblMaster[Unique ID], tblMaster[Phone], ""), "")</f>
        <v>978 746 4039</v>
      </c>
      <c r="F234" t="str">
        <f>IFERROR(_xlfn.XLOOKUP(tblLog[[#This Row],[Unique ID]], tblMaster[Unique ID], tblMaster[Recruiter], ""), "")</f>
        <v xml:space="preserve">Enrique Ortiz </v>
      </c>
      <c r="G234" t="str">
        <f>IFERROR(_xlfn.XLOOKUP(tblLog[[#This Row],[Unique ID]], tblMaster[Unique ID], tblMaster[Recruitment Cycle], ""), "")</f>
        <v xml:space="preserve">Re-Engagment </v>
      </c>
      <c r="H234" t="s">
        <v>7455</v>
      </c>
      <c r="I234" t="s">
        <v>7494</v>
      </c>
      <c r="J234" s="3">
        <v>2</v>
      </c>
      <c r="K234" t="s">
        <v>7491</v>
      </c>
      <c r="L234" s="2">
        <v>46063</v>
      </c>
      <c r="M234" t="s">
        <v>7508</v>
      </c>
      <c r="N234" t="s">
        <v>7475</v>
      </c>
      <c r="P234">
        <f ca="1">IF(tblLog[[#This Row],[Log Date]]="","",TODAY()-tblLog[[#This Row],[Log Date]])</f>
        <v>16</v>
      </c>
      <c r="Q234" t="str">
        <f>IF(tblLog[[#This Row],[Log Date]]="","",IF(TRIM(tblLog[[#This Row],[Cycle Stage]])="Asked to be removed from database","NO","YES"))</f>
        <v>YES</v>
      </c>
      <c r="R2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5" spans="1:18" ht="15" customHeight="1">
      <c r="A235" t="s">
        <v>7804</v>
      </c>
      <c r="B235" t="str">
        <f>IFERROR(_xlfn.XLOOKUP(tblLog[[#This Row],[Unique ID]], tblMaster[Unique ID], tblMaster[First Name], ""), "")</f>
        <v xml:space="preserve">Darian </v>
      </c>
      <c r="C235" t="str">
        <f>IFERROR(_xlfn.XLOOKUP(tblLog[[#This Row],[Unique ID]], tblMaster[Unique ID], tblMaster[Last Name], ""), "")</f>
        <v xml:space="preserve">Wood </v>
      </c>
      <c r="D235" t="str">
        <f>IFERROR(_xlfn.XLOOKUP(tblLog[[#This Row],[Unique ID]], tblMaster[Unique ID], tblMaster[Email_Clean], ""), "")</f>
        <v>darian.wood8@gmail.com</v>
      </c>
      <c r="E235" t="str">
        <f>IFERROR(_xlfn.XLOOKUP(tblLog[[#This Row],[Unique ID]], tblMaster[Unique ID], tblMaster[Phone], ""), "")</f>
        <v>774 230 5892</v>
      </c>
      <c r="F235" t="str">
        <f>IFERROR(_xlfn.XLOOKUP(tblLog[[#This Row],[Unique ID]], tblMaster[Unique ID], tblMaster[Recruiter], ""), "")</f>
        <v xml:space="preserve">Enrique Ortiz </v>
      </c>
      <c r="G235" t="str">
        <f>IFERROR(_xlfn.XLOOKUP(tblLog[[#This Row],[Unique ID]], tblMaster[Unique ID], tblMaster[Recruitment Cycle], ""), "")</f>
        <v xml:space="preserve">Re-Engagment </v>
      </c>
      <c r="H235" t="s">
        <v>7455</v>
      </c>
      <c r="I235" t="s">
        <v>7494</v>
      </c>
      <c r="J235" s="3">
        <v>2</v>
      </c>
      <c r="K235" t="s">
        <v>7491</v>
      </c>
      <c r="L235" s="2">
        <v>46063</v>
      </c>
      <c r="M235" t="s">
        <v>7508</v>
      </c>
      <c r="N235" t="s">
        <v>7475</v>
      </c>
      <c r="P235">
        <f ca="1">IF(tblLog[[#This Row],[Log Date]]="","",TODAY()-tblLog[[#This Row],[Log Date]])</f>
        <v>16</v>
      </c>
      <c r="Q235" t="str">
        <f>IF(tblLog[[#This Row],[Log Date]]="","",IF(TRIM(tblLog[[#This Row],[Cycle Stage]])="Asked to be removed from database","NO","YES"))</f>
        <v>YES</v>
      </c>
      <c r="R2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6" spans="1:18" ht="15" customHeight="1">
      <c r="A236" t="s">
        <v>7805</v>
      </c>
      <c r="B236" t="str">
        <f>IFERROR(_xlfn.XLOOKUP(tblLog[[#This Row],[Unique ID]], tblMaster[Unique ID], tblMaster[First Name], ""), "")</f>
        <v>Lauren</v>
      </c>
      <c r="C236" t="str">
        <f>IFERROR(_xlfn.XLOOKUP(tblLog[[#This Row],[Unique ID]], tblMaster[Unique ID], tblMaster[Last Name], ""), "")</f>
        <v xml:space="preserve"> Leger </v>
      </c>
      <c r="D236" t="str">
        <f>IFERROR(_xlfn.XLOOKUP(tblLog[[#This Row],[Unique ID]], tblMaster[Unique ID], tblMaster[Email_Clean], ""), "")</f>
        <v>lleger5650@gmail.com</v>
      </c>
      <c r="E236" t="str">
        <f>IFERROR(_xlfn.XLOOKUP(tblLog[[#This Row],[Unique ID]], tblMaster[Unique ID], tblMaster[Phone], ""), "")</f>
        <v xml:space="preserve">(978) 855-4704 </v>
      </c>
      <c r="F236" t="str">
        <f>IFERROR(_xlfn.XLOOKUP(tblLog[[#This Row],[Unique ID]], tblMaster[Unique ID], tblMaster[Recruiter], ""), "")</f>
        <v xml:space="preserve">Enrique Ortiz </v>
      </c>
      <c r="G236" t="str">
        <f>IFERROR(_xlfn.XLOOKUP(tblLog[[#This Row],[Unique ID]], tblMaster[Unique ID], tblMaster[Recruitment Cycle], ""), "")</f>
        <v xml:space="preserve">Re-Engagment </v>
      </c>
      <c r="H236" t="s">
        <v>7455</v>
      </c>
      <c r="I236" t="s">
        <v>7494</v>
      </c>
      <c r="J236" s="3">
        <v>2</v>
      </c>
      <c r="K236" t="s">
        <v>7491</v>
      </c>
      <c r="L236" s="2">
        <v>46063</v>
      </c>
      <c r="M236" t="s">
        <v>7508</v>
      </c>
      <c r="N236" t="s">
        <v>7475</v>
      </c>
      <c r="P236">
        <f ca="1">IF(tblLog[[#This Row],[Log Date]]="","",TODAY()-tblLog[[#This Row],[Log Date]])</f>
        <v>16</v>
      </c>
      <c r="Q236" t="str">
        <f>IF(tblLog[[#This Row],[Log Date]]="","",IF(TRIM(tblLog[[#This Row],[Cycle Stage]])="Asked to be removed from database","NO","YES"))</f>
        <v>YES</v>
      </c>
      <c r="R2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7" spans="1:18" ht="15" customHeight="1">
      <c r="A237" t="s">
        <v>7806</v>
      </c>
      <c r="B237" t="str">
        <f>IFERROR(_xlfn.XLOOKUP(tblLog[[#This Row],[Unique ID]], tblMaster[Unique ID], tblMaster[First Name], ""), "")</f>
        <v xml:space="preserve">Yadriel </v>
      </c>
      <c r="C237" t="str">
        <f>IFERROR(_xlfn.XLOOKUP(tblLog[[#This Row],[Unique ID]], tblMaster[Unique ID], tblMaster[Last Name], ""), "")</f>
        <v xml:space="preserve">Dejesus </v>
      </c>
      <c r="D237" t="str">
        <f>IFERROR(_xlfn.XLOOKUP(tblLog[[#This Row],[Unique ID]], tblMaster[Unique ID], tblMaster[Email_Clean], ""), "")</f>
        <v>yadriel.dj@gmail.com</v>
      </c>
      <c r="E237" t="str">
        <f>IFERROR(_xlfn.XLOOKUP(tblLog[[#This Row],[Unique ID]], tblMaster[Unique ID], tblMaster[Phone], ""), "")</f>
        <v xml:space="preserve">	(978) 375-9054</v>
      </c>
      <c r="F237" t="str">
        <f>IFERROR(_xlfn.XLOOKUP(tblLog[[#This Row],[Unique ID]], tblMaster[Unique ID], tblMaster[Recruiter], ""), "")</f>
        <v xml:space="preserve">Enrique Ortiz </v>
      </c>
      <c r="G237" t="str">
        <f>IFERROR(_xlfn.XLOOKUP(tblLog[[#This Row],[Unique ID]], tblMaster[Unique ID], tblMaster[Recruitment Cycle], ""), "")</f>
        <v xml:space="preserve">Re-Engagment </v>
      </c>
      <c r="H237" t="s">
        <v>7455</v>
      </c>
      <c r="I237" t="s">
        <v>7494</v>
      </c>
      <c r="J237" s="3">
        <v>2</v>
      </c>
      <c r="K237" t="s">
        <v>7491</v>
      </c>
      <c r="L237" s="2">
        <v>46063</v>
      </c>
      <c r="M237" t="s">
        <v>7508</v>
      </c>
      <c r="N237" t="s">
        <v>7475</v>
      </c>
      <c r="P237">
        <f ca="1">IF(tblLog[[#This Row],[Log Date]]="","",TODAY()-tblLog[[#This Row],[Log Date]])</f>
        <v>16</v>
      </c>
      <c r="Q237" t="str">
        <f>IF(tblLog[[#This Row],[Log Date]]="","",IF(TRIM(tblLog[[#This Row],[Cycle Stage]])="Asked to be removed from database","NO","YES"))</f>
        <v>YES</v>
      </c>
      <c r="R2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8" spans="1:18" ht="15" customHeight="1">
      <c r="A238" t="s">
        <v>7807</v>
      </c>
      <c r="B238" t="str">
        <f>IFERROR(_xlfn.XLOOKUP(tblLog[[#This Row],[Unique ID]], tblMaster[Unique ID], tblMaster[First Name], ""), "")</f>
        <v xml:space="preserve">George </v>
      </c>
      <c r="C238" t="str">
        <f>IFERROR(_xlfn.XLOOKUP(tblLog[[#This Row],[Unique ID]], tblMaster[Unique ID], tblMaster[Last Name], ""), "")</f>
        <v xml:space="preserve"> ADOMAKO </v>
      </c>
      <c r="D238" t="str">
        <f>IFERROR(_xlfn.XLOOKUP(tblLog[[#This Row],[Unique ID]], tblMaster[Unique ID], tblMaster[Email_Clean], ""), "")</f>
        <v>adomako_george@yahoo.com</v>
      </c>
      <c r="E238" t="str">
        <f>IFERROR(_xlfn.XLOOKUP(tblLog[[#This Row],[Unique ID]], tblMaster[Unique ID], tblMaster[Phone], ""), "")</f>
        <v xml:space="preserve">508 762 2808 </v>
      </c>
      <c r="F238" t="str">
        <f>IFERROR(_xlfn.XLOOKUP(tblLog[[#This Row],[Unique ID]], tblMaster[Unique ID], tblMaster[Recruiter], ""), "")</f>
        <v xml:space="preserve">Enrique Ortiz </v>
      </c>
      <c r="G238" t="str">
        <f>IFERROR(_xlfn.XLOOKUP(tblLog[[#This Row],[Unique ID]], tblMaster[Unique ID], tblMaster[Recruitment Cycle], ""), "")</f>
        <v xml:space="preserve">Re-Engagment </v>
      </c>
      <c r="H238" t="s">
        <v>7455</v>
      </c>
      <c r="I238" t="s">
        <v>7434</v>
      </c>
      <c r="J238" s="3">
        <v>3</v>
      </c>
      <c r="K238" t="s">
        <v>7435</v>
      </c>
      <c r="L238" s="2">
        <v>46063</v>
      </c>
      <c r="M238" t="s">
        <v>7452</v>
      </c>
      <c r="N238" t="s">
        <v>7475</v>
      </c>
      <c r="P238">
        <f ca="1">IF(tblLog[[#This Row],[Log Date]]="","",TODAY()-tblLog[[#This Row],[Log Date]])</f>
        <v>16</v>
      </c>
      <c r="Q238" t="str">
        <f>IF(tblLog[[#This Row],[Log Date]]="","",IF(TRIM(tblLog[[#This Row],[Cycle Stage]])="Asked to be removed from database","NO","YES"))</f>
        <v>YES</v>
      </c>
      <c r="R2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39" spans="1:18" ht="15" customHeight="1">
      <c r="A239" t="s">
        <v>7808</v>
      </c>
      <c r="B239" t="str">
        <f>IFERROR(_xlfn.XLOOKUP(tblLog[[#This Row],[Unique ID]], tblMaster[Unique ID], tblMaster[First Name], ""), "")</f>
        <v xml:space="preserve">Jared </v>
      </c>
      <c r="C239" t="str">
        <f>IFERROR(_xlfn.XLOOKUP(tblLog[[#This Row],[Unique ID]], tblMaster[Unique ID], tblMaster[Last Name], ""), "")</f>
        <v xml:space="preserve">Nault </v>
      </c>
      <c r="D239" t="str">
        <f>IFERROR(_xlfn.XLOOKUP(tblLog[[#This Row],[Unique ID]], tblMaster[Unique ID], tblMaster[Email_Clean], ""), "")</f>
        <v>jareddavidnault@gmail.com</v>
      </c>
      <c r="E239" t="str">
        <f>IFERROR(_xlfn.XLOOKUP(tblLog[[#This Row],[Unique ID]], tblMaster[Unique ID], tblMaster[Phone], ""), "")</f>
        <v xml:space="preserve"> (603) 858 9658 </v>
      </c>
      <c r="F239" t="str">
        <f>IFERROR(_xlfn.XLOOKUP(tblLog[[#This Row],[Unique ID]], tblMaster[Unique ID], tblMaster[Recruiter], ""), "")</f>
        <v xml:space="preserve">Enrique Ortiz </v>
      </c>
      <c r="G239" t="str">
        <f>IFERROR(_xlfn.XLOOKUP(tblLog[[#This Row],[Unique ID]], tblMaster[Unique ID], tblMaster[Recruitment Cycle], ""), "")</f>
        <v xml:space="preserve">Re-Engagment </v>
      </c>
      <c r="H239" t="s">
        <v>7455</v>
      </c>
      <c r="I239" t="s">
        <v>4</v>
      </c>
      <c r="J239" s="3">
        <v>1</v>
      </c>
      <c r="K239" t="s">
        <v>7491</v>
      </c>
      <c r="L239" s="2">
        <v>46063</v>
      </c>
      <c r="M239" t="s">
        <v>7485</v>
      </c>
      <c r="N239" t="s">
        <v>7475</v>
      </c>
      <c r="O239" t="s">
        <v>7596</v>
      </c>
      <c r="P239">
        <f ca="1">IF(tblLog[[#This Row],[Log Date]]="","",TODAY()-tblLog[[#This Row],[Log Date]])</f>
        <v>16</v>
      </c>
      <c r="Q239" t="str">
        <f>IF(tblLog[[#This Row],[Log Date]]="","",IF(TRIM(tblLog[[#This Row],[Cycle Stage]])="Asked to be removed from database","NO","YES"))</f>
        <v>YES</v>
      </c>
      <c r="R2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0" spans="1:18" ht="15" customHeight="1">
      <c r="A240" t="s">
        <v>7809</v>
      </c>
      <c r="B240" t="str">
        <f>IFERROR(_xlfn.XLOOKUP(tblLog[[#This Row],[Unique ID]], tblMaster[Unique ID], tblMaster[First Name], ""), "")</f>
        <v xml:space="preserve">Alexis </v>
      </c>
      <c r="C240" t="str">
        <f>IFERROR(_xlfn.XLOOKUP(tblLog[[#This Row],[Unique ID]], tblMaster[Unique ID], tblMaster[Last Name], ""), "")</f>
        <v xml:space="preserve"> Jimenez</v>
      </c>
      <c r="D240" t="str">
        <f>IFERROR(_xlfn.XLOOKUP(tblLog[[#This Row],[Unique ID]], tblMaster[Unique ID], tblMaster[Email_Clean], ""), "")</f>
        <v>alexis.j5715@gmail.com</v>
      </c>
      <c r="E240" t="str">
        <f>IFERROR(_xlfn.XLOOKUP(tblLog[[#This Row],[Unique ID]], tblMaster[Unique ID], tblMaster[Phone], ""), "")</f>
        <v>413-210-8533</v>
      </c>
      <c r="F240" t="str">
        <f>IFERROR(_xlfn.XLOOKUP(tblLog[[#This Row],[Unique ID]], tblMaster[Unique ID], tblMaster[Recruiter], ""), "")</f>
        <v xml:space="preserve">Enrique Ortiz </v>
      </c>
      <c r="G240" t="str">
        <f>IFERROR(_xlfn.XLOOKUP(tblLog[[#This Row],[Unique ID]], tblMaster[Unique ID], tblMaster[Recruitment Cycle], ""), "")</f>
        <v xml:space="preserve">Re-Engagment </v>
      </c>
      <c r="H240" t="s">
        <v>7455</v>
      </c>
      <c r="I240" t="s">
        <v>7494</v>
      </c>
      <c r="J240" s="3">
        <v>3</v>
      </c>
      <c r="K240" t="s">
        <v>7491</v>
      </c>
      <c r="L240" s="2">
        <v>46063</v>
      </c>
      <c r="M240" t="s">
        <v>7508</v>
      </c>
      <c r="N240" t="s">
        <v>7475</v>
      </c>
      <c r="P240">
        <f ca="1">IF(tblLog[[#This Row],[Log Date]]="","",TODAY()-tblLog[[#This Row],[Log Date]])</f>
        <v>16</v>
      </c>
      <c r="Q240" t="str">
        <f>IF(tblLog[[#This Row],[Log Date]]="","",IF(TRIM(tblLog[[#This Row],[Cycle Stage]])="Asked to be removed from database","NO","YES"))</f>
        <v>YES</v>
      </c>
      <c r="R2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1" spans="1:18" ht="15" customHeight="1">
      <c r="A241" t="s">
        <v>7810</v>
      </c>
      <c r="B241" t="str">
        <f>IFERROR(_xlfn.XLOOKUP(tblLog[[#This Row],[Unique ID]], tblMaster[Unique ID], tblMaster[First Name], ""), "")</f>
        <v xml:space="preserve">Steven  </v>
      </c>
      <c r="C241" t="str">
        <f>IFERROR(_xlfn.XLOOKUP(tblLog[[#This Row],[Unique ID]], tblMaster[Unique ID], tblMaster[Last Name], ""), "")</f>
        <v xml:space="preserve">Sedivy </v>
      </c>
      <c r="D241" t="str">
        <f>IFERROR(_xlfn.XLOOKUP(tblLog[[#This Row],[Unique ID]], tblMaster[Unique ID], tblMaster[Email_Clean], ""), "")</f>
        <v>ssedivy1149@westfield.ma.edu</v>
      </c>
      <c r="E241" t="str">
        <f>IFERROR(_xlfn.XLOOKUP(tblLog[[#This Row],[Unique ID]], tblMaster[Unique ID], tblMaster[Phone], ""), "")</f>
        <v xml:space="preserve">(925) 430-8340 </v>
      </c>
      <c r="F241" t="str">
        <f>IFERROR(_xlfn.XLOOKUP(tblLog[[#This Row],[Unique ID]], tblMaster[Unique ID], tblMaster[Recruiter], ""), "")</f>
        <v xml:space="preserve">Enrique Ortiz </v>
      </c>
      <c r="G241" t="str">
        <f>IFERROR(_xlfn.XLOOKUP(tblLog[[#This Row],[Unique ID]], tblMaster[Unique ID], tblMaster[Recruitment Cycle], ""), "")</f>
        <v xml:space="preserve">Re-Engagment </v>
      </c>
      <c r="H241" t="s">
        <v>7455</v>
      </c>
      <c r="I241" t="s">
        <v>4</v>
      </c>
      <c r="J241" s="3">
        <v>2</v>
      </c>
      <c r="K241" t="s">
        <v>7491</v>
      </c>
      <c r="L241" s="2">
        <v>46063</v>
      </c>
      <c r="M241" t="s">
        <v>7485</v>
      </c>
      <c r="N241" t="s">
        <v>7475</v>
      </c>
      <c r="O241" t="s">
        <v>7791</v>
      </c>
      <c r="P241">
        <f ca="1">IF(tblLog[[#This Row],[Log Date]]="","",TODAY()-tblLog[[#This Row],[Log Date]])</f>
        <v>16</v>
      </c>
      <c r="Q241" t="str">
        <f>IF(tblLog[[#This Row],[Log Date]]="","",IF(TRIM(tblLog[[#This Row],[Cycle Stage]])="Asked to be removed from database","NO","YES"))</f>
        <v>YES</v>
      </c>
      <c r="R2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2" spans="1:18" ht="15" customHeight="1">
      <c r="A242" t="s">
        <v>7811</v>
      </c>
      <c r="B242" t="str">
        <f>IFERROR(_xlfn.XLOOKUP(tblLog[[#This Row],[Unique ID]], tblMaster[Unique ID], tblMaster[First Name], ""), "")</f>
        <v>Alexander</v>
      </c>
      <c r="C242" t="str">
        <f>IFERROR(_xlfn.XLOOKUP(tblLog[[#This Row],[Unique ID]], tblMaster[Unique ID], tblMaster[Last Name], ""), "")</f>
        <v>Kpodi</v>
      </c>
      <c r="D242" t="str">
        <f>IFERROR(_xlfn.XLOOKUP(tblLog[[#This Row],[Unique ID]], tblMaster[Unique ID], tblMaster[Email_Clean], ""), "")</f>
        <v>wontac_kpodi@yahoo.com</v>
      </c>
      <c r="E242" s="36" t="str">
        <f>IFERROR(_xlfn.XLOOKUP(tblLog[[#This Row],[Unique ID]], tblMaster[Unique ID], tblMaster[Phone], ""), "")</f>
        <v>857-275-2083</v>
      </c>
      <c r="F242" t="str">
        <f>IFERROR(_xlfn.XLOOKUP(tblLog[[#This Row],[Unique ID]], tblMaster[Unique ID], tblMaster[Recruiter], ""), "")</f>
        <v xml:space="preserve">Christopher Servello </v>
      </c>
      <c r="G242" t="str">
        <f>IFERROR(_xlfn.XLOOKUP(tblLog[[#This Row],[Unique ID]], tblMaster[Unique ID], tblMaster[Recruitment Cycle], ""), "")</f>
        <v xml:space="preserve">Re-Engagment </v>
      </c>
      <c r="H242" t="s">
        <v>7455</v>
      </c>
      <c r="I242" t="s">
        <v>7494</v>
      </c>
      <c r="J242" s="3">
        <v>2</v>
      </c>
      <c r="K242" t="s">
        <v>7491</v>
      </c>
      <c r="L242" s="2">
        <v>46063</v>
      </c>
      <c r="M242" t="s">
        <v>7452</v>
      </c>
      <c r="N242" t="s">
        <v>7475</v>
      </c>
      <c r="O242" t="s">
        <v>7782</v>
      </c>
      <c r="P242">
        <f ca="1">IF(tblLog[[#This Row],[Log Date]]="","",TODAY()-tblLog[[#This Row],[Log Date]])</f>
        <v>16</v>
      </c>
      <c r="Q242" t="str">
        <f>IF(tblLog[[#This Row],[Log Date]]="","",IF(TRIM(tblLog[[#This Row],[Cycle Stage]])="Asked to be removed from database","NO","YES"))</f>
        <v>YES</v>
      </c>
      <c r="R2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3" spans="1:18" ht="15" customHeight="1">
      <c r="A243" t="s">
        <v>7812</v>
      </c>
      <c r="B243" t="str">
        <f>IFERROR(_xlfn.XLOOKUP(tblLog[[#This Row],[Unique ID]], tblMaster[Unique ID], tblMaster[First Name], ""), "")</f>
        <v xml:space="preserve">Joseph </v>
      </c>
      <c r="C243" t="str">
        <f>IFERROR(_xlfn.XLOOKUP(tblLog[[#This Row],[Unique ID]], tblMaster[Unique ID], tblMaster[Last Name], ""), "")</f>
        <v xml:space="preserve"> Burton </v>
      </c>
      <c r="D243" t="str">
        <f>IFERROR(_xlfn.XLOOKUP(tblLog[[#This Row],[Unique ID]], tblMaster[Unique ID], tblMaster[Email_Clean], ""), "")</f>
        <v>josephaburton0807@yahoo.com</v>
      </c>
      <c r="E243" t="str">
        <f>IFERROR(_xlfn.XLOOKUP(tblLog[[#This Row],[Unique ID]], tblMaster[Unique ID], tblMaster[Phone], ""), "")</f>
        <v>219 298 2263</v>
      </c>
      <c r="F243" t="str">
        <f>IFERROR(_xlfn.XLOOKUP(tblLog[[#This Row],[Unique ID]], tblMaster[Unique ID], tblMaster[Recruiter], ""), "")</f>
        <v xml:space="preserve">Enrique Ortiz </v>
      </c>
      <c r="G243" t="str">
        <f>IFERROR(_xlfn.XLOOKUP(tblLog[[#This Row],[Unique ID]], tblMaster[Unique ID], tblMaster[Recruitment Cycle], ""), "")</f>
        <v xml:space="preserve">Re-Engagment </v>
      </c>
      <c r="H243" t="s">
        <v>7455</v>
      </c>
      <c r="I243" t="s">
        <v>7434</v>
      </c>
      <c r="J243" s="3">
        <v>3</v>
      </c>
      <c r="K243" t="s">
        <v>7491</v>
      </c>
      <c r="L243" s="2">
        <v>46063</v>
      </c>
      <c r="M243" t="s">
        <v>7508</v>
      </c>
      <c r="N243" t="s">
        <v>7475</v>
      </c>
      <c r="O243" t="s">
        <v>7813</v>
      </c>
      <c r="P243">
        <f ca="1">IF(tblLog[[#This Row],[Log Date]]="","",TODAY()-tblLog[[#This Row],[Log Date]])</f>
        <v>16</v>
      </c>
      <c r="Q243" t="str">
        <f>IF(tblLog[[#This Row],[Log Date]]="","",IF(TRIM(tblLog[[#This Row],[Cycle Stage]])="Asked to be removed from database","NO","YES"))</f>
        <v>YES</v>
      </c>
      <c r="R2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4" spans="1:18" ht="15" customHeight="1">
      <c r="A244" t="s">
        <v>7814</v>
      </c>
      <c r="B244" t="str">
        <f>IFERROR(_xlfn.XLOOKUP(tblLog[[#This Row],[Unique ID]], tblMaster[Unique ID], tblMaster[First Name], ""), "")</f>
        <v>Reagan</v>
      </c>
      <c r="C244" t="str">
        <f>IFERROR(_xlfn.XLOOKUP(tblLog[[#This Row],[Unique ID]], tblMaster[Unique ID], tblMaster[Last Name], ""), "")</f>
        <v xml:space="preserve"> Kerecz </v>
      </c>
      <c r="D244" t="str">
        <f>IFERROR(_xlfn.XLOOKUP(tblLog[[#This Row],[Unique ID]], tblMaster[Unique ID], tblMaster[Email_Clean], ""), "")</f>
        <v>kereczreagan@gmail.com</v>
      </c>
      <c r="E244" t="str">
        <f>IFERROR(_xlfn.XLOOKUP(tblLog[[#This Row],[Unique ID]], tblMaster[Unique ID], tblMaster[Phone], ""), "")</f>
        <v xml:space="preserve">(860) 951-1415 </v>
      </c>
      <c r="F244" t="str">
        <f>IFERROR(_xlfn.XLOOKUP(tblLog[[#This Row],[Unique ID]], tblMaster[Unique ID], tblMaster[Recruiter], ""), "")</f>
        <v xml:space="preserve">Enrique Ortiz </v>
      </c>
      <c r="G244" t="str">
        <f>IFERROR(_xlfn.XLOOKUP(tblLog[[#This Row],[Unique ID]], tblMaster[Unique ID], tblMaster[Recruitment Cycle], ""), "")</f>
        <v xml:space="preserve">Re-Engagment </v>
      </c>
      <c r="H244" t="s">
        <v>7455</v>
      </c>
      <c r="I244" t="s">
        <v>7434</v>
      </c>
      <c r="J244" s="3">
        <v>1</v>
      </c>
      <c r="K244" t="s">
        <v>7491</v>
      </c>
      <c r="L244" s="2">
        <v>46063</v>
      </c>
      <c r="M244" t="s">
        <v>7485</v>
      </c>
      <c r="N244" t="s">
        <v>7475</v>
      </c>
      <c r="O244" t="s">
        <v>7596</v>
      </c>
      <c r="P244">
        <f ca="1">IF(tblLog[[#This Row],[Log Date]]="","",TODAY()-tblLog[[#This Row],[Log Date]])</f>
        <v>16</v>
      </c>
      <c r="Q244" t="str">
        <f>IF(tblLog[[#This Row],[Log Date]]="","",IF(TRIM(tblLog[[#This Row],[Cycle Stage]])="Asked to be removed from database","NO","YES"))</f>
        <v>YES</v>
      </c>
      <c r="R2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5" spans="1:18" ht="15" customHeight="1">
      <c r="A245" t="s">
        <v>7815</v>
      </c>
      <c r="B245" t="str">
        <f>IFERROR(_xlfn.XLOOKUP(tblLog[[#This Row],[Unique ID]], tblMaster[Unique ID], tblMaster[First Name], ""), "")</f>
        <v>Jennifer</v>
      </c>
      <c r="C245" t="str">
        <f>IFERROR(_xlfn.XLOOKUP(tblLog[[#This Row],[Unique ID]], tblMaster[Unique ID], tblMaster[Last Name], ""), "")</f>
        <v>Carrasco</v>
      </c>
      <c r="D245" t="str">
        <f>IFERROR(_xlfn.XLOOKUP(tblLog[[#This Row],[Unique ID]], tblMaster[Unique ID], tblMaster[Email_Clean], ""), "")</f>
        <v>carrascojennifer222@gmail.com</v>
      </c>
      <c r="E245" s="36" t="str">
        <f>IFERROR(_xlfn.XLOOKUP(tblLog[[#This Row],[Unique ID]], tblMaster[Unique ID], tblMaster[Phone], ""), "")</f>
        <v>774-448-9601</v>
      </c>
      <c r="F245" t="str">
        <f>IFERROR(_xlfn.XLOOKUP(tblLog[[#This Row],[Unique ID]], tblMaster[Unique ID], tblMaster[Recruiter], ""), "")</f>
        <v xml:space="preserve">Christopher Servello </v>
      </c>
      <c r="G245" t="str">
        <f>IFERROR(_xlfn.XLOOKUP(tblLog[[#This Row],[Unique ID]], tblMaster[Unique ID], tblMaster[Recruitment Cycle], ""), "")</f>
        <v xml:space="preserve">Re-Engagment </v>
      </c>
      <c r="H245" t="s">
        <v>7455</v>
      </c>
      <c r="I245" t="s">
        <v>7494</v>
      </c>
      <c r="J245" s="3">
        <v>2</v>
      </c>
      <c r="K245" t="s">
        <v>7491</v>
      </c>
      <c r="L245" s="2">
        <v>46063</v>
      </c>
      <c r="M245" t="s">
        <v>7452</v>
      </c>
      <c r="N245" t="s">
        <v>7475</v>
      </c>
      <c r="O245" t="s">
        <v>7782</v>
      </c>
      <c r="P245">
        <f ca="1">IF(tblLog[[#This Row],[Log Date]]="","",TODAY()-tblLog[[#This Row],[Log Date]])</f>
        <v>16</v>
      </c>
      <c r="Q245" t="str">
        <f>IF(tblLog[[#This Row],[Log Date]]="","",IF(TRIM(tblLog[[#This Row],[Cycle Stage]])="Asked to be removed from database","NO","YES"))</f>
        <v>YES</v>
      </c>
      <c r="R2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6" spans="1:18" ht="15" customHeight="1">
      <c r="A246" t="s">
        <v>7816</v>
      </c>
      <c r="B246" t="str">
        <f>IFERROR(_xlfn.XLOOKUP(tblLog[[#This Row],[Unique ID]], tblMaster[Unique ID], tblMaster[First Name], ""), "")</f>
        <v xml:space="preserve">Dwayne </v>
      </c>
      <c r="C246" t="str">
        <f>IFERROR(_xlfn.XLOOKUP(tblLog[[#This Row],[Unique ID]], tblMaster[Unique ID], tblMaster[Last Name], ""), "")</f>
        <v xml:space="preserve">Persons JR </v>
      </c>
      <c r="D246" t="str">
        <f>IFERROR(_xlfn.XLOOKUP(tblLog[[#This Row],[Unique ID]], tblMaster[Unique ID], tblMaster[Email_Clean], ""), "")</f>
        <v>dwayneperson4@gmail.com</v>
      </c>
      <c r="E246" s="36" t="str">
        <f>IFERROR(_xlfn.XLOOKUP(tblLog[[#This Row],[Unique ID]], tblMaster[Unique ID], tblMaster[Phone], ""), "")</f>
        <v>774) 529-2149</v>
      </c>
      <c r="F246" t="str">
        <f>IFERROR(_xlfn.XLOOKUP(tblLog[[#This Row],[Unique ID]], tblMaster[Unique ID], tblMaster[Recruiter], ""), "")</f>
        <v xml:space="preserve">Christopher Servello </v>
      </c>
      <c r="G246" t="str">
        <f>IFERROR(_xlfn.XLOOKUP(tblLog[[#This Row],[Unique ID]], tblMaster[Unique ID], tblMaster[Recruitment Cycle], ""), "")</f>
        <v xml:space="preserve">Re-Engagment </v>
      </c>
      <c r="H246" t="s">
        <v>7455</v>
      </c>
      <c r="I246" t="s">
        <v>7494</v>
      </c>
      <c r="J246" s="3">
        <v>2</v>
      </c>
      <c r="K246" t="s">
        <v>7491</v>
      </c>
      <c r="L246" s="2">
        <v>46063</v>
      </c>
      <c r="M246" t="s">
        <v>7452</v>
      </c>
      <c r="N246" t="s">
        <v>7475</v>
      </c>
      <c r="O246" t="s">
        <v>7782</v>
      </c>
      <c r="P246">
        <f ca="1">IF(tblLog[[#This Row],[Log Date]]="","",TODAY()-tblLog[[#This Row],[Log Date]])</f>
        <v>16</v>
      </c>
      <c r="Q246" t="str">
        <f>IF(tblLog[[#This Row],[Log Date]]="","",IF(TRIM(tblLog[[#This Row],[Cycle Stage]])="Asked to be removed from database","NO","YES"))</f>
        <v>YES</v>
      </c>
      <c r="R2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7" spans="1:18" ht="15" customHeight="1">
      <c r="A247" t="s">
        <v>7817</v>
      </c>
      <c r="B247" t="str">
        <f>IFERROR(_xlfn.XLOOKUP(tblLog[[#This Row],[Unique ID]], tblMaster[Unique ID], tblMaster[First Name], ""), "")</f>
        <v xml:space="preserve">Andres </v>
      </c>
      <c r="C247" t="str">
        <f>IFERROR(_xlfn.XLOOKUP(tblLog[[#This Row],[Unique ID]], tblMaster[Unique ID], tblMaster[Last Name], ""), "")</f>
        <v xml:space="preserve"> Montalvo </v>
      </c>
      <c r="D247" t="str">
        <f>IFERROR(_xlfn.XLOOKUP(tblLog[[#This Row],[Unique ID]], tblMaster[Unique ID], tblMaster[Email_Clean], ""), "")</f>
        <v>sjcdrummer47@gmail.com</v>
      </c>
      <c r="E247" t="str">
        <f>IFERROR(_xlfn.XLOOKUP(tblLog[[#This Row],[Unique ID]], tblMaster[Unique ID], tblMaster[Phone], ""), "")</f>
        <v xml:space="preserve">(508) 536-1535 </v>
      </c>
      <c r="F247" t="str">
        <f>IFERROR(_xlfn.XLOOKUP(tblLog[[#This Row],[Unique ID]], tblMaster[Unique ID], tblMaster[Recruiter], ""), "")</f>
        <v xml:space="preserve">Enrique Ortiz </v>
      </c>
      <c r="G247" t="str">
        <f>IFERROR(_xlfn.XLOOKUP(tblLog[[#This Row],[Unique ID]], tblMaster[Unique ID], tblMaster[Recruitment Cycle], ""), "")</f>
        <v xml:space="preserve">Re-Engagment </v>
      </c>
      <c r="H247" t="s">
        <v>7455</v>
      </c>
      <c r="I247" t="s">
        <v>7494</v>
      </c>
      <c r="J247" s="3">
        <v>3</v>
      </c>
      <c r="K247" t="s">
        <v>7491</v>
      </c>
      <c r="L247" s="2">
        <v>46063</v>
      </c>
      <c r="M247" t="s">
        <v>7508</v>
      </c>
      <c r="N247" t="s">
        <v>7475</v>
      </c>
      <c r="P247">
        <f ca="1">IF(tblLog[[#This Row],[Log Date]]="","",TODAY()-tblLog[[#This Row],[Log Date]])</f>
        <v>16</v>
      </c>
      <c r="Q247" t="str">
        <f>IF(tblLog[[#This Row],[Log Date]]="","",IF(TRIM(tblLog[[#This Row],[Cycle Stage]])="Asked to be removed from database","NO","YES"))</f>
        <v>YES</v>
      </c>
      <c r="R2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8" spans="1:18" ht="15" customHeight="1">
      <c r="A248" t="s">
        <v>7818</v>
      </c>
      <c r="B248" t="str">
        <f>IFERROR(_xlfn.XLOOKUP(tblLog[[#This Row],[Unique ID]], tblMaster[Unique ID], tblMaster[First Name], ""), "")</f>
        <v xml:space="preserve">Daniel </v>
      </c>
      <c r="C248" t="str">
        <f>IFERROR(_xlfn.XLOOKUP(tblLog[[#This Row],[Unique ID]], tblMaster[Unique ID], tblMaster[Last Name], ""), "")</f>
        <v xml:space="preserve">Chan </v>
      </c>
      <c r="D248" t="str">
        <f>IFERROR(_xlfn.XLOOKUP(tblLog[[#This Row],[Unique ID]], tblMaster[Unique ID], tblMaster[Email_Clean], ""), "")</f>
        <v>danchan813@gmail.com</v>
      </c>
      <c r="E248" s="36" t="str">
        <f>IFERROR(_xlfn.XLOOKUP(tblLog[[#This Row],[Unique ID]], tblMaster[Unique ID], tblMaster[Phone], ""), "")</f>
        <v>857-719-3036</v>
      </c>
      <c r="F248" t="str">
        <f>IFERROR(_xlfn.XLOOKUP(tblLog[[#This Row],[Unique ID]], tblMaster[Unique ID], tblMaster[Recruiter], ""), "")</f>
        <v xml:space="preserve">Christopher Servello </v>
      </c>
      <c r="G248" t="str">
        <f>IFERROR(_xlfn.XLOOKUP(tblLog[[#This Row],[Unique ID]], tblMaster[Unique ID], tblMaster[Recruitment Cycle], ""), "")</f>
        <v xml:space="preserve">Re-Engagment </v>
      </c>
      <c r="H248" t="s">
        <v>7455</v>
      </c>
      <c r="I248" t="s">
        <v>7494</v>
      </c>
      <c r="J248" s="3">
        <v>2</v>
      </c>
      <c r="K248" t="s">
        <v>7491</v>
      </c>
      <c r="L248" s="2">
        <v>46063</v>
      </c>
      <c r="M248" t="s">
        <v>7452</v>
      </c>
      <c r="N248" t="s">
        <v>7475</v>
      </c>
      <c r="O248" t="s">
        <v>7782</v>
      </c>
      <c r="P248">
        <f ca="1">IF(tblLog[[#This Row],[Log Date]]="","",TODAY()-tblLog[[#This Row],[Log Date]])</f>
        <v>16</v>
      </c>
      <c r="Q248" t="str">
        <f>IF(tblLog[[#This Row],[Log Date]]="","",IF(TRIM(tblLog[[#This Row],[Cycle Stage]])="Asked to be removed from database","NO","YES"))</f>
        <v>YES</v>
      </c>
      <c r="R2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49" spans="1:18" ht="15" customHeight="1">
      <c r="A249" t="s">
        <v>7819</v>
      </c>
      <c r="B249" t="str">
        <f>IFERROR(_xlfn.XLOOKUP(tblLog[[#This Row],[Unique ID]], tblMaster[Unique ID], tblMaster[First Name], ""), "")</f>
        <v xml:space="preserve">Brendan </v>
      </c>
      <c r="C249" t="str">
        <f>IFERROR(_xlfn.XLOOKUP(tblLog[[#This Row],[Unique ID]], tblMaster[Unique ID], tblMaster[Last Name], ""), "")</f>
        <v>Penttila</v>
      </c>
      <c r="D249" t="str">
        <f>IFERROR(_xlfn.XLOOKUP(tblLog[[#This Row],[Unique ID]], tblMaster[Unique ID], tblMaster[Email_Clean], ""), "")</f>
        <v>penttilab@gmail.com</v>
      </c>
      <c r="E249" t="str">
        <f>IFERROR(_xlfn.XLOOKUP(tblLog[[#This Row],[Unique ID]], tblMaster[Unique ID], tblMaster[Phone], ""), "")</f>
        <v>508-216-3175</v>
      </c>
      <c r="F249">
        <f>IFERROR(_xlfn.XLOOKUP(tblLog[[#This Row],[Unique ID]], tblMaster[Unique ID], tblMaster[Recruiter], ""), "")</f>
        <v>0</v>
      </c>
      <c r="G249" t="str">
        <f>IFERROR(_xlfn.XLOOKUP(tblLog[[#This Row],[Unique ID]], tblMaster[Unique ID], tblMaster[Recruitment Cycle], ""), "")</f>
        <v xml:space="preserve">Re-Engagment/Post Civil Service Exam </v>
      </c>
      <c r="H249" t="s">
        <v>7455</v>
      </c>
      <c r="I249" t="s">
        <v>7494</v>
      </c>
      <c r="J249" s="3">
        <v>3</v>
      </c>
      <c r="K249" t="s">
        <v>7491</v>
      </c>
      <c r="L249" s="2">
        <v>46063</v>
      </c>
      <c r="M249" t="s">
        <v>7508</v>
      </c>
      <c r="N249" t="s">
        <v>7475</v>
      </c>
      <c r="P249">
        <f ca="1">IF(tblLog[[#This Row],[Log Date]]="","",TODAY()-tblLog[[#This Row],[Log Date]])</f>
        <v>16</v>
      </c>
      <c r="Q249" t="str">
        <f>IF(tblLog[[#This Row],[Log Date]]="","",IF(TRIM(tblLog[[#This Row],[Cycle Stage]])="Asked to be removed from database","NO","YES"))</f>
        <v>YES</v>
      </c>
      <c r="R2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0" spans="1:18" ht="15" customHeight="1">
      <c r="A250" t="s">
        <v>7820</v>
      </c>
      <c r="B250" t="str">
        <f>IFERROR(_xlfn.XLOOKUP(tblLog[[#This Row],[Unique ID]], tblMaster[Unique ID], tblMaster[First Name], ""), "")</f>
        <v xml:space="preserve">Patrick </v>
      </c>
      <c r="C250" t="str">
        <f>IFERROR(_xlfn.XLOOKUP(tblLog[[#This Row],[Unique ID]], tblMaster[Unique ID], tblMaster[Last Name], ""), "")</f>
        <v xml:space="preserve"> Cerquozzi </v>
      </c>
      <c r="D250" t="str">
        <f>IFERROR(_xlfn.XLOOKUP(tblLog[[#This Row],[Unique ID]], tblMaster[Unique ID], tblMaster[Email_Clean], ""), "")</f>
        <v>cerquozzi02@outlook.com</v>
      </c>
      <c r="E250" t="str">
        <f>IFERROR(_xlfn.XLOOKUP(tblLog[[#This Row],[Unique ID]], tblMaster[Unique ID], tblMaster[Phone], ""), "")</f>
        <v xml:space="preserve">(719) 980-3318 </v>
      </c>
      <c r="F250" t="str">
        <f>IFERROR(_xlfn.XLOOKUP(tblLog[[#This Row],[Unique ID]], tblMaster[Unique ID], tblMaster[Recruiter], ""), "")</f>
        <v xml:space="preserve">Enrique Ortiz </v>
      </c>
      <c r="G250" t="str">
        <f>IFERROR(_xlfn.XLOOKUP(tblLog[[#This Row],[Unique ID]], tblMaster[Unique ID], tblMaster[Recruitment Cycle], ""), "")</f>
        <v xml:space="preserve">Re-Engagment </v>
      </c>
      <c r="H250" t="s">
        <v>7455</v>
      </c>
      <c r="I250" t="s">
        <v>7434</v>
      </c>
      <c r="J250" s="3">
        <v>2</v>
      </c>
      <c r="K250" t="s">
        <v>7491</v>
      </c>
      <c r="L250" s="2">
        <v>46063</v>
      </c>
      <c r="M250" t="s">
        <v>7485</v>
      </c>
      <c r="N250" t="s">
        <v>7475</v>
      </c>
      <c r="O250" t="s">
        <v>7596</v>
      </c>
      <c r="P250">
        <f ca="1">IF(tblLog[[#This Row],[Log Date]]="","",TODAY()-tblLog[[#This Row],[Log Date]])</f>
        <v>16</v>
      </c>
      <c r="Q250" t="str">
        <f>IF(tblLog[[#This Row],[Log Date]]="","",IF(TRIM(tblLog[[#This Row],[Cycle Stage]])="Asked to be removed from database","NO","YES"))</f>
        <v>YES</v>
      </c>
      <c r="R2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1" spans="1:18" ht="15" customHeight="1">
      <c r="A251" t="s">
        <v>7821</v>
      </c>
      <c r="B251" t="str">
        <f>IFERROR(_xlfn.XLOOKUP(tblLog[[#This Row],[Unique ID]], tblMaster[Unique ID], tblMaster[First Name], ""), "")</f>
        <v xml:space="preserve">Umana </v>
      </c>
      <c r="C251" t="str">
        <f>IFERROR(_xlfn.XLOOKUP(tblLog[[#This Row],[Unique ID]], tblMaster[Unique ID], tblMaster[Last Name], ""), "")</f>
        <v xml:space="preserve"> Yohamy A</v>
      </c>
      <c r="D251" t="str">
        <f>IFERROR(_xlfn.XLOOKUP(tblLog[[#This Row],[Unique ID]], tblMaster[Unique ID], tblMaster[Email_Clean], ""), "")</f>
        <v>ymejiaumana@gmail.com</v>
      </c>
      <c r="E251" s="36" t="str">
        <f>IFERROR(_xlfn.XLOOKUP(tblLog[[#This Row],[Unique ID]], tblMaster[Unique ID], tblMaster[Phone], ""), "")</f>
        <v>781-824-1594</v>
      </c>
      <c r="F251" t="str">
        <f>IFERROR(_xlfn.XLOOKUP(tblLog[[#This Row],[Unique ID]], tblMaster[Unique ID], tblMaster[Recruiter], ""), "")</f>
        <v xml:space="preserve">Christopher Servello </v>
      </c>
      <c r="G251" t="str">
        <f>IFERROR(_xlfn.XLOOKUP(tblLog[[#This Row],[Unique ID]], tblMaster[Unique ID], tblMaster[Recruitment Cycle], ""), "")</f>
        <v xml:space="preserve">Re-Engagment </v>
      </c>
      <c r="H251" t="s">
        <v>7496</v>
      </c>
      <c r="I251" t="s">
        <v>7530</v>
      </c>
      <c r="J251" s="3">
        <v>2</v>
      </c>
      <c r="K251" t="s">
        <v>7530</v>
      </c>
      <c r="L251" s="2">
        <v>46063</v>
      </c>
      <c r="M251" t="s">
        <v>7485</v>
      </c>
      <c r="N251" t="s">
        <v>7475</v>
      </c>
      <c r="O251" t="s">
        <v>7822</v>
      </c>
      <c r="P251">
        <f ca="1">IF(tblLog[[#This Row],[Log Date]]="","",TODAY()-tblLog[[#This Row],[Log Date]])</f>
        <v>16</v>
      </c>
      <c r="Q251" t="str">
        <f>IF(tblLog[[#This Row],[Log Date]]="","",IF(TRIM(tblLog[[#This Row],[Cycle Stage]])="Asked to be removed from database","NO","YES"))</f>
        <v>YES</v>
      </c>
      <c r="R2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2" spans="1:18" ht="15" customHeight="1">
      <c r="A252" t="s">
        <v>7823</v>
      </c>
      <c r="B252" t="str">
        <f>IFERROR(_xlfn.XLOOKUP(tblLog[[#This Row],[Unique ID]], tblMaster[Unique ID], tblMaster[First Name], ""), "")</f>
        <v xml:space="preserve">Joseph </v>
      </c>
      <c r="C252" t="str">
        <f>IFERROR(_xlfn.XLOOKUP(tblLog[[#This Row],[Unique ID]], tblMaster[Unique ID], tblMaster[Last Name], ""), "")</f>
        <v xml:space="preserve"> Allen </v>
      </c>
      <c r="D252" t="str">
        <f>IFERROR(_xlfn.XLOOKUP(tblLog[[#This Row],[Unique ID]], tblMaster[Unique ID], tblMaster[Email_Clean], ""), "")</f>
        <v>gamingemail1987@yahoo.com</v>
      </c>
      <c r="E252" t="str">
        <f>IFERROR(_xlfn.XLOOKUP(tblLog[[#This Row],[Unique ID]], tblMaster[Unique ID], tblMaster[Phone], ""), "")</f>
        <v>781-686-5856</v>
      </c>
      <c r="F252" t="str">
        <f>IFERROR(_xlfn.XLOOKUP(tblLog[[#This Row],[Unique ID]], tblMaster[Unique ID], tblMaster[Recruiter], ""), "")</f>
        <v xml:space="preserve">Enrique Ortiz </v>
      </c>
      <c r="G252" t="str">
        <f>IFERROR(_xlfn.XLOOKUP(tblLog[[#This Row],[Unique ID]], tblMaster[Unique ID], tblMaster[Recruitment Cycle], ""), "")</f>
        <v xml:space="preserve">Re-Engagment </v>
      </c>
      <c r="H252" t="s">
        <v>7455</v>
      </c>
      <c r="I252" t="s">
        <v>7434</v>
      </c>
      <c r="J252" s="3">
        <v>3</v>
      </c>
      <c r="K252" t="s">
        <v>7435</v>
      </c>
      <c r="L252" s="2">
        <v>46063</v>
      </c>
      <c r="M252" t="s">
        <v>7452</v>
      </c>
      <c r="N252" t="s">
        <v>7475</v>
      </c>
      <c r="P252">
        <f ca="1">IF(tblLog[[#This Row],[Log Date]]="","",TODAY()-tblLog[[#This Row],[Log Date]])</f>
        <v>16</v>
      </c>
      <c r="Q252" t="str">
        <f>IF(tblLog[[#This Row],[Log Date]]="","",IF(TRIM(tblLog[[#This Row],[Cycle Stage]])="Asked to be removed from database","NO","YES"))</f>
        <v>YES</v>
      </c>
      <c r="R2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3" spans="1:18" ht="15" customHeight="1">
      <c r="A253" t="s">
        <v>7824</v>
      </c>
      <c r="B253" t="str">
        <f>IFERROR(_xlfn.XLOOKUP(tblLog[[#This Row],[Unique ID]], tblMaster[Unique ID], tblMaster[First Name], ""), "")</f>
        <v xml:space="preserve">Phillip </v>
      </c>
      <c r="C253" t="str">
        <f>IFERROR(_xlfn.XLOOKUP(tblLog[[#This Row],[Unique ID]], tblMaster[Unique ID], tblMaster[Last Name], ""), "")</f>
        <v xml:space="preserve">Smith </v>
      </c>
      <c r="D253" t="str">
        <f>IFERROR(_xlfn.XLOOKUP(tblLog[[#This Row],[Unique ID]], tblMaster[Unique ID], tblMaster[Email_Clean], ""), "")</f>
        <v>philliptsmith12@gmail.com</v>
      </c>
      <c r="E253" t="str">
        <f>IFERROR(_xlfn.XLOOKUP(tblLog[[#This Row],[Unique ID]], tblMaster[Unique ID], tblMaster[Phone], ""), "")</f>
        <v xml:space="preserve">252) 955-7023 </v>
      </c>
      <c r="F253" t="str">
        <f>IFERROR(_xlfn.XLOOKUP(tblLog[[#This Row],[Unique ID]], tblMaster[Unique ID], tblMaster[Recruiter], ""), "")</f>
        <v xml:space="preserve">Enrique Ortiz </v>
      </c>
      <c r="G253" t="str">
        <f>IFERROR(_xlfn.XLOOKUP(tblLog[[#This Row],[Unique ID]], tblMaster[Unique ID], tblMaster[Recruitment Cycle], ""), "")</f>
        <v xml:space="preserve">Re-Engagment </v>
      </c>
      <c r="H253" t="s">
        <v>7455</v>
      </c>
      <c r="I253" t="s">
        <v>7434</v>
      </c>
      <c r="J253" s="3">
        <v>1</v>
      </c>
      <c r="K253" t="s">
        <v>7491</v>
      </c>
      <c r="L253" s="2">
        <v>46063</v>
      </c>
      <c r="M253" t="s">
        <v>7485</v>
      </c>
      <c r="N253" t="s">
        <v>7475</v>
      </c>
      <c r="O253" t="s">
        <v>7596</v>
      </c>
      <c r="P253">
        <f ca="1">IF(tblLog[[#This Row],[Log Date]]="","",TODAY()-tblLog[[#This Row],[Log Date]])</f>
        <v>16</v>
      </c>
      <c r="Q253" t="str">
        <f>IF(tblLog[[#This Row],[Log Date]]="","",IF(TRIM(tblLog[[#This Row],[Cycle Stage]])="Asked to be removed from database","NO","YES"))</f>
        <v>YES</v>
      </c>
      <c r="R2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4" spans="1:18" ht="15" customHeight="1">
      <c r="A254" t="s">
        <v>7825</v>
      </c>
      <c r="B254" t="str">
        <f>IFERROR(_xlfn.XLOOKUP(tblLog[[#This Row],[Unique ID]], tblMaster[Unique ID], tblMaster[First Name], ""), "")</f>
        <v xml:space="preserve">Justin </v>
      </c>
      <c r="C254" t="str">
        <f>IFERROR(_xlfn.XLOOKUP(tblLog[[#This Row],[Unique ID]], tblMaster[Unique ID], tblMaster[Last Name], ""), "")</f>
        <v xml:space="preserve">Atkins </v>
      </c>
      <c r="D254" t="str">
        <f>IFERROR(_xlfn.XLOOKUP(tblLog[[#This Row],[Unique ID]], tblMaster[Unique ID], tblMaster[Email_Clean], ""), "")</f>
        <v>jatkins0284@gmail.com</v>
      </c>
      <c r="E254" t="str">
        <f>IFERROR(_xlfn.XLOOKUP(tblLog[[#This Row],[Unique ID]], tblMaster[Unique ID], tblMaster[Phone], ""), "")</f>
        <v>(774) 520-6733</v>
      </c>
      <c r="F254" t="str">
        <f>IFERROR(_xlfn.XLOOKUP(tblLog[[#This Row],[Unique ID]], tblMaster[Unique ID], tblMaster[Recruiter], ""), "")</f>
        <v xml:space="preserve">Enrique Ortiz </v>
      </c>
      <c r="G254" t="str">
        <f>IFERROR(_xlfn.XLOOKUP(tblLog[[#This Row],[Unique ID]], tblMaster[Unique ID], tblMaster[Recruitment Cycle], ""), "")</f>
        <v xml:space="preserve">Re-Engagment </v>
      </c>
      <c r="H254" t="s">
        <v>7455</v>
      </c>
      <c r="I254" t="s">
        <v>7494</v>
      </c>
      <c r="J254" s="3">
        <v>3</v>
      </c>
      <c r="K254" t="s">
        <v>7491</v>
      </c>
      <c r="L254" s="2">
        <v>46063</v>
      </c>
      <c r="M254" t="s">
        <v>7508</v>
      </c>
      <c r="N254" t="s">
        <v>7475</v>
      </c>
      <c r="P254">
        <f ca="1">IF(tblLog[[#This Row],[Log Date]]="","",TODAY()-tblLog[[#This Row],[Log Date]])</f>
        <v>16</v>
      </c>
      <c r="Q254" t="str">
        <f>IF(tblLog[[#This Row],[Log Date]]="","",IF(TRIM(tblLog[[#This Row],[Cycle Stage]])="Asked to be removed from database","NO","YES"))</f>
        <v>YES</v>
      </c>
      <c r="R2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5" spans="1:18" ht="15" customHeight="1">
      <c r="A255" t="s">
        <v>7826</v>
      </c>
      <c r="B255" t="str">
        <f>IFERROR(_xlfn.XLOOKUP(tblLog[[#This Row],[Unique ID]], tblMaster[Unique ID], tblMaster[First Name], ""), "")</f>
        <v xml:space="preserve">Dina </v>
      </c>
      <c r="C255" t="str">
        <f>IFERROR(_xlfn.XLOOKUP(tblLog[[#This Row],[Unique ID]], tblMaster[Unique ID], tblMaster[Last Name], ""), "")</f>
        <v xml:space="preserve">Goncalves </v>
      </c>
      <c r="D255" t="str">
        <f>IFERROR(_xlfn.XLOOKUP(tblLog[[#This Row],[Unique ID]], tblMaster[Unique ID], tblMaster[Email_Clean], ""), "")</f>
        <v>dinag1863@gmail.com</v>
      </c>
      <c r="E255" t="str">
        <f>IFERROR(_xlfn.XLOOKUP(tblLog[[#This Row],[Unique ID]], tblMaster[Unique ID], tblMaster[Phone], ""), "")</f>
        <v xml:space="preserve">(857) 333-1869 </v>
      </c>
      <c r="F255" t="str">
        <f>IFERROR(_xlfn.XLOOKUP(tblLog[[#This Row],[Unique ID]], tblMaster[Unique ID], tblMaster[Recruiter], ""), "")</f>
        <v xml:space="preserve">Enrique Ortiz </v>
      </c>
      <c r="G255" t="str">
        <f>IFERROR(_xlfn.XLOOKUP(tblLog[[#This Row],[Unique ID]], tblMaster[Unique ID], tblMaster[Recruitment Cycle], ""), "")</f>
        <v xml:space="preserve">Re-Engagment </v>
      </c>
      <c r="H255" t="s">
        <v>7455</v>
      </c>
      <c r="I255" t="s">
        <v>7434</v>
      </c>
      <c r="J255" s="3">
        <v>3</v>
      </c>
      <c r="K255" t="s">
        <v>7435</v>
      </c>
      <c r="L255" s="2">
        <v>46063</v>
      </c>
      <c r="M255" t="s">
        <v>7452</v>
      </c>
      <c r="N255" t="s">
        <v>7475</v>
      </c>
      <c r="P255">
        <f ca="1">IF(tblLog[[#This Row],[Log Date]]="","",TODAY()-tblLog[[#This Row],[Log Date]])</f>
        <v>16</v>
      </c>
      <c r="Q255" t="str">
        <f>IF(tblLog[[#This Row],[Log Date]]="","",IF(TRIM(tblLog[[#This Row],[Cycle Stage]])="Asked to be removed from database","NO","YES"))</f>
        <v>YES</v>
      </c>
      <c r="R2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6" spans="1:18" ht="15" customHeight="1">
      <c r="A256" t="s">
        <v>7827</v>
      </c>
      <c r="B256" t="str">
        <f>IFERROR(_xlfn.XLOOKUP(tblLog[[#This Row],[Unique ID]], tblMaster[Unique ID], tblMaster[First Name], ""), "")</f>
        <v xml:space="preserve">Vickyana </v>
      </c>
      <c r="C256" t="str">
        <f>IFERROR(_xlfn.XLOOKUP(tblLog[[#This Row],[Unique ID]], tblMaster[Unique ID], tblMaster[Last Name], ""), "")</f>
        <v xml:space="preserve">Jones </v>
      </c>
      <c r="D256" t="str">
        <f>IFERROR(_xlfn.XLOOKUP(tblLog[[#This Row],[Unique ID]], tblMaster[Unique ID], tblMaster[Email_Clean], ""), "")</f>
        <v>jvickyana@gmail.com</v>
      </c>
      <c r="E256" t="str">
        <f>IFERROR(_xlfn.XLOOKUP(tblLog[[#This Row],[Unique ID]], tblMaster[Unique ID], tblMaster[Phone], ""), "")</f>
        <v>339-368-9299</v>
      </c>
      <c r="F256" t="str">
        <f>IFERROR(_xlfn.XLOOKUP(tblLog[[#This Row],[Unique ID]], tblMaster[Unique ID], tblMaster[Recruiter], ""), "")</f>
        <v xml:space="preserve">Enrique Ortiz </v>
      </c>
      <c r="G256" t="str">
        <f>IFERROR(_xlfn.XLOOKUP(tblLog[[#This Row],[Unique ID]], tblMaster[Unique ID], tblMaster[Recruitment Cycle], ""), "")</f>
        <v xml:space="preserve">Re-Engagment </v>
      </c>
      <c r="H256" t="s">
        <v>7455</v>
      </c>
      <c r="I256" t="s">
        <v>7494</v>
      </c>
      <c r="J256" s="3">
        <v>3</v>
      </c>
      <c r="K256" t="s">
        <v>7491</v>
      </c>
      <c r="L256" s="2">
        <v>46063</v>
      </c>
      <c r="M256" t="s">
        <v>7452</v>
      </c>
      <c r="N256" t="s">
        <v>7475</v>
      </c>
      <c r="P256">
        <f ca="1">IF(tblLog[[#This Row],[Log Date]]="","",TODAY()-tblLog[[#This Row],[Log Date]])</f>
        <v>16</v>
      </c>
      <c r="Q256" t="str">
        <f>IF(tblLog[[#This Row],[Log Date]]="","",IF(TRIM(tblLog[[#This Row],[Cycle Stage]])="Asked to be removed from database","NO","YES"))</f>
        <v>YES</v>
      </c>
      <c r="R2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7" spans="1:18" ht="15" customHeight="1">
      <c r="A257" t="s">
        <v>7828</v>
      </c>
      <c r="B257" t="str">
        <f>IFERROR(_xlfn.XLOOKUP(tblLog[[#This Row],[Unique ID]], tblMaster[Unique ID], tblMaster[First Name], ""), "")</f>
        <v>Shane</v>
      </c>
      <c r="C257" t="str">
        <f>IFERROR(_xlfn.XLOOKUP(tblLog[[#This Row],[Unique ID]], tblMaster[Unique ID], tblMaster[Last Name], ""), "")</f>
        <v>Detres</v>
      </c>
      <c r="D257" t="str">
        <f>IFERROR(_xlfn.XLOOKUP(tblLog[[#This Row],[Unique ID]], tblMaster[Unique ID], tblMaster[Email_Clean], ""), "")</f>
        <v>shanedetres12@outlook.com</v>
      </c>
      <c r="E257" t="str">
        <f>IFERROR(_xlfn.XLOOKUP(tblLog[[#This Row],[Unique ID]], tblMaster[Unique ID], tblMaster[Phone], ""), "")</f>
        <v>941-226-5676</v>
      </c>
      <c r="F257" t="str">
        <f>IFERROR(_xlfn.XLOOKUP(tblLog[[#This Row],[Unique ID]], tblMaster[Unique ID], tblMaster[Recruiter], ""), "")</f>
        <v xml:space="preserve">Enrique Ortiz </v>
      </c>
      <c r="G257" t="str">
        <f>IFERROR(_xlfn.XLOOKUP(tblLog[[#This Row],[Unique ID]], tblMaster[Unique ID], tblMaster[Recruitment Cycle], ""), "")</f>
        <v xml:space="preserve">Re-Engagment </v>
      </c>
      <c r="H257" t="s">
        <v>7455</v>
      </c>
      <c r="I257" t="s">
        <v>7434</v>
      </c>
      <c r="J257" s="3">
        <v>1</v>
      </c>
      <c r="K257" t="s">
        <v>7491</v>
      </c>
      <c r="L257" s="2">
        <v>46063</v>
      </c>
      <c r="M257" t="s">
        <v>7485</v>
      </c>
      <c r="N257" t="s">
        <v>7475</v>
      </c>
      <c r="O257" t="s">
        <v>7596</v>
      </c>
      <c r="P257">
        <f ca="1">IF(tblLog[[#This Row],[Log Date]]="","",TODAY()-tblLog[[#This Row],[Log Date]])</f>
        <v>16</v>
      </c>
      <c r="Q257" t="str">
        <f>IF(tblLog[[#This Row],[Log Date]]="","",IF(TRIM(tblLog[[#This Row],[Cycle Stage]])="Asked to be removed from database","NO","YES"))</f>
        <v>YES</v>
      </c>
      <c r="R2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8" spans="1:18" ht="15" customHeight="1">
      <c r="A258" t="s">
        <v>7829</v>
      </c>
      <c r="B258" t="str">
        <f>IFERROR(_xlfn.XLOOKUP(tblLog[[#This Row],[Unique ID]], tblMaster[Unique ID], tblMaster[First Name], ""), "")</f>
        <v>Kwesi</v>
      </c>
      <c r="C258" t="str">
        <f>IFERROR(_xlfn.XLOOKUP(tblLog[[#This Row],[Unique ID]], tblMaster[Unique ID], tblMaster[Last Name], ""), "")</f>
        <v xml:space="preserve">Donkor </v>
      </c>
      <c r="D258" t="str">
        <f>IFERROR(_xlfn.XLOOKUP(tblLog[[#This Row],[Unique ID]], tblMaster[Unique ID], tblMaster[Email_Clean], ""), "")</f>
        <v>odurodonkor2@gmail.com</v>
      </c>
      <c r="E258" s="36" t="str">
        <f>IFERROR(_xlfn.XLOOKUP(tblLog[[#This Row],[Unique ID]], tblMaster[Unique ID], tblMaster[Phone], ""), "")</f>
        <v xml:space="preserve">(508) 502-0174 </v>
      </c>
      <c r="F258" t="str">
        <f>IFERROR(_xlfn.XLOOKUP(tblLog[[#This Row],[Unique ID]], tblMaster[Unique ID], tblMaster[Recruiter], ""), "")</f>
        <v xml:space="preserve">Christopher Servello </v>
      </c>
      <c r="G258" t="str">
        <f>IFERROR(_xlfn.XLOOKUP(tblLog[[#This Row],[Unique ID]], tblMaster[Unique ID], tblMaster[Recruitment Cycle], ""), "")</f>
        <v xml:space="preserve">Re-Engagment </v>
      </c>
      <c r="H258" t="s">
        <v>7496</v>
      </c>
      <c r="I258" t="s">
        <v>4</v>
      </c>
      <c r="J258" s="3">
        <v>2</v>
      </c>
      <c r="L258" s="2">
        <v>46063</v>
      </c>
      <c r="M258" t="s">
        <v>7452</v>
      </c>
      <c r="N258" t="s">
        <v>7475</v>
      </c>
      <c r="O258" t="s">
        <v>7830</v>
      </c>
      <c r="P258">
        <f ca="1">IF(tblLog[[#This Row],[Log Date]]="","",TODAY()-tblLog[[#This Row],[Log Date]])</f>
        <v>16</v>
      </c>
      <c r="Q258" t="str">
        <f>IF(tblLog[[#This Row],[Log Date]]="","",IF(TRIM(tblLog[[#This Row],[Cycle Stage]])="Asked to be removed from database","NO","YES"))</f>
        <v>YES</v>
      </c>
      <c r="R2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59" spans="1:18" ht="15" customHeight="1">
      <c r="A259" t="s">
        <v>7831</v>
      </c>
      <c r="B259" t="str">
        <f>IFERROR(_xlfn.XLOOKUP(tblLog[[#This Row],[Unique ID]], tblMaster[Unique ID], tblMaster[First Name], ""), "")</f>
        <v xml:space="preserve">Brandon </v>
      </c>
      <c r="C259" t="str">
        <f>IFERROR(_xlfn.XLOOKUP(tblLog[[#This Row],[Unique ID]], tblMaster[Unique ID], tblMaster[Last Name], ""), "")</f>
        <v>Gray</v>
      </c>
      <c r="D259" t="str">
        <f>IFERROR(_xlfn.XLOOKUP(tblLog[[#This Row],[Unique ID]], tblMaster[Unique ID], tblMaster[Email_Clean], ""), "")</f>
        <v>brandongray@outlook.com</v>
      </c>
      <c r="E259" t="str">
        <f>IFERROR(_xlfn.XLOOKUP(tblLog[[#This Row],[Unique ID]], tblMaster[Unique ID], tblMaster[Phone], ""), "")</f>
        <v>401-332-7449</v>
      </c>
      <c r="F259" t="str">
        <f>IFERROR(_xlfn.XLOOKUP(tblLog[[#This Row],[Unique ID]], tblMaster[Unique ID], tblMaster[Recruiter], ""), "")</f>
        <v xml:space="preserve">Enrique Ortiz </v>
      </c>
      <c r="G259" t="str">
        <f>IFERROR(_xlfn.XLOOKUP(tblLog[[#This Row],[Unique ID]], tblMaster[Unique ID], tblMaster[Recruitment Cycle], ""), "")</f>
        <v xml:space="preserve">Re-Engagment </v>
      </c>
      <c r="H259" t="s">
        <v>7455</v>
      </c>
      <c r="I259" t="s">
        <v>7434</v>
      </c>
      <c r="J259" s="3">
        <v>1</v>
      </c>
      <c r="K259" t="s">
        <v>7491</v>
      </c>
      <c r="L259" s="2">
        <v>46063</v>
      </c>
      <c r="M259" t="s">
        <v>7485</v>
      </c>
      <c r="N259" t="s">
        <v>7475</v>
      </c>
      <c r="O259" t="s">
        <v>7596</v>
      </c>
      <c r="P259">
        <f ca="1">IF(tblLog[[#This Row],[Log Date]]="","",TODAY()-tblLog[[#This Row],[Log Date]])</f>
        <v>16</v>
      </c>
      <c r="Q259" t="str">
        <f>IF(tblLog[[#This Row],[Log Date]]="","",IF(TRIM(tblLog[[#This Row],[Cycle Stage]])="Asked to be removed from database","NO","YES"))</f>
        <v>YES</v>
      </c>
      <c r="R2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0" spans="1:18" ht="15" customHeight="1">
      <c r="A260" t="s">
        <v>7832</v>
      </c>
      <c r="B260" t="str">
        <f>IFERROR(_xlfn.XLOOKUP(tblLog[[#This Row],[Unique ID]], tblMaster[Unique ID], tblMaster[First Name], ""), "")</f>
        <v xml:space="preserve">Mauricea </v>
      </c>
      <c r="C260" t="str">
        <f>IFERROR(_xlfn.XLOOKUP(tblLog[[#This Row],[Unique ID]], tblMaster[Unique ID], tblMaster[Last Name], ""), "")</f>
        <v xml:space="preserve">Francis </v>
      </c>
      <c r="D260" t="str">
        <f>IFERROR(_xlfn.XLOOKUP(tblLog[[#This Row],[Unique ID]], tblMaster[Unique ID], tblMaster[Email_Clean], ""), "")</f>
        <v>mauriceafrancis82@gmail.com</v>
      </c>
      <c r="E260" t="str">
        <f>IFERROR(_xlfn.XLOOKUP(tblLog[[#This Row],[Unique ID]], tblMaster[Unique ID], tblMaster[Phone], ""), "")</f>
        <v xml:space="preserve">860-965-5349 </v>
      </c>
      <c r="F260" t="str">
        <f>IFERROR(_xlfn.XLOOKUP(tblLog[[#This Row],[Unique ID]], tblMaster[Unique ID], tblMaster[Recruiter], ""), "")</f>
        <v xml:space="preserve">Enrique Ortiz </v>
      </c>
      <c r="G260" t="str">
        <f>IFERROR(_xlfn.XLOOKUP(tblLog[[#This Row],[Unique ID]], tblMaster[Unique ID], tblMaster[Recruitment Cycle], ""), "")</f>
        <v xml:space="preserve">Re-Engagment </v>
      </c>
      <c r="H260" t="s">
        <v>7455</v>
      </c>
      <c r="I260" t="s">
        <v>7434</v>
      </c>
      <c r="J260" s="3">
        <v>1</v>
      </c>
      <c r="K260" t="s">
        <v>7491</v>
      </c>
      <c r="L260" s="2">
        <v>46063</v>
      </c>
      <c r="M260" t="s">
        <v>7485</v>
      </c>
      <c r="N260" t="s">
        <v>7475</v>
      </c>
      <c r="O260" t="s">
        <v>7596</v>
      </c>
      <c r="P260">
        <f ca="1">IF(tblLog[[#This Row],[Log Date]]="","",TODAY()-tblLog[[#This Row],[Log Date]])</f>
        <v>16</v>
      </c>
      <c r="Q260" t="str">
        <f>IF(tblLog[[#This Row],[Log Date]]="","",IF(TRIM(tblLog[[#This Row],[Cycle Stage]])="Asked to be removed from database","NO","YES"))</f>
        <v>YES</v>
      </c>
      <c r="R2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1" spans="1:18" ht="15" customHeight="1">
      <c r="A261" t="s">
        <v>7833</v>
      </c>
      <c r="B261" t="str">
        <f>IFERROR(_xlfn.XLOOKUP(tblLog[[#This Row],[Unique ID]], tblMaster[Unique ID], tblMaster[First Name], ""), "")</f>
        <v>Xashairys</v>
      </c>
      <c r="C261" t="str">
        <f>IFERROR(_xlfn.XLOOKUP(tblLog[[#This Row],[Unique ID]], tblMaster[Unique ID], tblMaster[Last Name], ""), "")</f>
        <v xml:space="preserve"> Gonzalez</v>
      </c>
      <c r="D261" t="str">
        <f>IFERROR(_xlfn.XLOOKUP(tblLog[[#This Row],[Unique ID]], tblMaster[Unique ID], tblMaster[Email_Clean], ""), "")</f>
        <v>xashy160@gmail.com</v>
      </c>
      <c r="E261" t="str">
        <f>IFERROR(_xlfn.XLOOKUP(tblLog[[#This Row],[Unique ID]], tblMaster[Unique ID], tblMaster[Phone], ""), "")</f>
        <v>978 424 7312</v>
      </c>
      <c r="F261" t="str">
        <f>IFERROR(_xlfn.XLOOKUP(tblLog[[#This Row],[Unique ID]], tblMaster[Unique ID], tblMaster[Recruiter], ""), "")</f>
        <v xml:space="preserve">Enrique Ortiz </v>
      </c>
      <c r="G261" t="str">
        <f>IFERROR(_xlfn.XLOOKUP(tblLog[[#This Row],[Unique ID]], tblMaster[Unique ID], tblMaster[Recruitment Cycle], ""), "")</f>
        <v xml:space="preserve">Re-Engagment </v>
      </c>
      <c r="H261" t="s">
        <v>7455</v>
      </c>
      <c r="I261" t="s">
        <v>7494</v>
      </c>
      <c r="J261" s="3">
        <v>3</v>
      </c>
      <c r="K261" t="s">
        <v>7491</v>
      </c>
      <c r="L261" s="2">
        <v>46063</v>
      </c>
      <c r="M261" t="s">
        <v>7452</v>
      </c>
      <c r="N261" t="s">
        <v>7475</v>
      </c>
      <c r="P261">
        <f ca="1">IF(tblLog[[#This Row],[Log Date]]="","",TODAY()-tblLog[[#This Row],[Log Date]])</f>
        <v>16</v>
      </c>
      <c r="Q261" t="str">
        <f>IF(tblLog[[#This Row],[Log Date]]="","",IF(TRIM(tblLog[[#This Row],[Cycle Stage]])="Asked to be removed from database","NO","YES"))</f>
        <v>YES</v>
      </c>
      <c r="R2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2" spans="1:18" ht="15" customHeight="1">
      <c r="A262" t="s">
        <v>7834</v>
      </c>
      <c r="B262" t="str">
        <f>IFERROR(_xlfn.XLOOKUP(tblLog[[#This Row],[Unique ID]], tblMaster[Unique ID], tblMaster[First Name], ""), "")</f>
        <v xml:space="preserve">William </v>
      </c>
      <c r="C262" t="str">
        <f>IFERROR(_xlfn.XLOOKUP(tblLog[[#This Row],[Unique ID]], tblMaster[Unique ID], tblMaster[Last Name], ""), "")</f>
        <v>Nogueira</v>
      </c>
      <c r="D262" t="str">
        <f>IFERROR(_xlfn.XLOOKUP(tblLog[[#This Row],[Unique ID]], tblMaster[Unique ID], tblMaster[Email_Clean], ""), "")</f>
        <v>willysanu20@gmail.com</v>
      </c>
      <c r="E262" t="str">
        <f>IFERROR(_xlfn.XLOOKUP(tblLog[[#This Row],[Unique ID]], tblMaster[Unique ID], tblMaster[Phone], ""), "")</f>
        <v>774-380-0743</v>
      </c>
      <c r="F262" t="str">
        <f>IFERROR(_xlfn.XLOOKUP(tblLog[[#This Row],[Unique ID]], tblMaster[Unique ID], tblMaster[Recruiter], ""), "")</f>
        <v xml:space="preserve">Enrique Ortiz </v>
      </c>
      <c r="G262" t="str">
        <f>IFERROR(_xlfn.XLOOKUP(tblLog[[#This Row],[Unique ID]], tblMaster[Unique ID], tblMaster[Recruitment Cycle], ""), "")</f>
        <v xml:space="preserve">Re-Engagment </v>
      </c>
      <c r="H262" t="s">
        <v>7455</v>
      </c>
      <c r="I262" t="s">
        <v>7434</v>
      </c>
      <c r="J262" s="3">
        <v>1</v>
      </c>
      <c r="K262" t="s">
        <v>7472</v>
      </c>
      <c r="L262" s="2">
        <v>46063</v>
      </c>
      <c r="M262" t="s">
        <v>7615</v>
      </c>
      <c r="P262">
        <f ca="1">IF(tblLog[[#This Row],[Log Date]]="","",TODAY()-tblLog[[#This Row],[Log Date]])</f>
        <v>16</v>
      </c>
      <c r="Q262" t="str">
        <f>IF(tblLog[[#This Row],[Log Date]]="","",IF(TRIM(tblLog[[#This Row],[Cycle Stage]])="Asked to be removed from database","NO","YES"))</f>
        <v>YES</v>
      </c>
      <c r="R2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3" spans="1:18" ht="15" customHeight="1">
      <c r="A263" t="s">
        <v>7835</v>
      </c>
      <c r="B263" t="str">
        <f>IFERROR(_xlfn.XLOOKUP(tblLog[[#This Row],[Unique ID]], tblMaster[Unique ID], tblMaster[First Name], ""), "")</f>
        <v xml:space="preserve">Christopher </v>
      </c>
      <c r="C263" t="str">
        <f>IFERROR(_xlfn.XLOOKUP(tblLog[[#This Row],[Unique ID]], tblMaster[Unique ID], tblMaster[Last Name], ""), "")</f>
        <v>Morales</v>
      </c>
      <c r="D263" t="str">
        <f>IFERROR(_xlfn.XLOOKUP(tblLog[[#This Row],[Unique ID]], tblMaster[Unique ID], tblMaster[Email_Clean], ""), "")</f>
        <v>chrix.m2003@gmail.com</v>
      </c>
      <c r="E263" t="str">
        <f>IFERROR(_xlfn.XLOOKUP(tblLog[[#This Row],[Unique ID]], tblMaster[Unique ID], tblMaster[Phone], ""), "")</f>
        <v>860-777-0029</v>
      </c>
      <c r="F263" t="str">
        <f>IFERROR(_xlfn.XLOOKUP(tblLog[[#This Row],[Unique ID]], tblMaster[Unique ID], tblMaster[Recruiter], ""), "")</f>
        <v xml:space="preserve">Enrique Ortiz </v>
      </c>
      <c r="G263" t="str">
        <f>IFERROR(_xlfn.XLOOKUP(tblLog[[#This Row],[Unique ID]], tblMaster[Unique ID], tblMaster[Recruitment Cycle], ""), "")</f>
        <v xml:space="preserve">Re-Engagment </v>
      </c>
      <c r="H263" t="s">
        <v>7455</v>
      </c>
      <c r="I263" t="s">
        <v>7434</v>
      </c>
      <c r="J263" s="3">
        <v>2</v>
      </c>
      <c r="K263" t="s">
        <v>7491</v>
      </c>
      <c r="L263" s="2">
        <v>46063</v>
      </c>
      <c r="M263" t="s">
        <v>7485</v>
      </c>
      <c r="N263" t="s">
        <v>7475</v>
      </c>
      <c r="O263" t="s">
        <v>7596</v>
      </c>
      <c r="P263">
        <f ca="1">IF(tblLog[[#This Row],[Log Date]]="","",TODAY()-tblLog[[#This Row],[Log Date]])</f>
        <v>16</v>
      </c>
      <c r="Q263" t="str">
        <f>IF(tblLog[[#This Row],[Log Date]]="","",IF(TRIM(tblLog[[#This Row],[Cycle Stage]])="Asked to be removed from database","NO","YES"))</f>
        <v>YES</v>
      </c>
      <c r="R2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4" spans="1:18" ht="15" customHeight="1">
      <c r="A264" t="s">
        <v>7836</v>
      </c>
      <c r="B264" t="str">
        <f>IFERROR(_xlfn.XLOOKUP(tblLog[[#This Row],[Unique ID]], tblMaster[Unique ID], tblMaster[First Name], ""), "")</f>
        <v>Rene</v>
      </c>
      <c r="C264" t="str">
        <f>IFERROR(_xlfn.XLOOKUP(tblLog[[#This Row],[Unique ID]], tblMaster[Unique ID], tblMaster[Last Name], ""), "")</f>
        <v>Mendes</v>
      </c>
      <c r="D264" t="str">
        <f>IFERROR(_xlfn.XLOOKUP(tblLog[[#This Row],[Unique ID]], tblMaster[Unique ID], tblMaster[Email_Clean], ""), "")</f>
        <v>rayslove2001@gmail.com</v>
      </c>
      <c r="E264" t="str">
        <f>IFERROR(_xlfn.XLOOKUP(tblLog[[#This Row],[Unique ID]], tblMaster[Unique ID], tblMaster[Phone], ""), "")</f>
        <v>(617)-869-6162</v>
      </c>
      <c r="F264" t="str">
        <f>IFERROR(_xlfn.XLOOKUP(tblLog[[#This Row],[Unique ID]], tblMaster[Unique ID], tblMaster[Recruiter], ""), "")</f>
        <v xml:space="preserve">Jevon Brown Simpson </v>
      </c>
      <c r="G264" t="str">
        <f>IFERROR(_xlfn.XLOOKUP(tblLog[[#This Row],[Unique ID]], tblMaster[Unique ID], tblMaster[Recruitment Cycle], ""), "")</f>
        <v xml:space="preserve">New Submission/ Lead </v>
      </c>
      <c r="H264" t="s">
        <v>7445</v>
      </c>
      <c r="I264" t="s">
        <v>7434</v>
      </c>
      <c r="J264" s="3">
        <v>2</v>
      </c>
      <c r="K264" t="s">
        <v>7435</v>
      </c>
      <c r="L264" s="2">
        <v>46071</v>
      </c>
      <c r="M264" t="s">
        <v>7508</v>
      </c>
      <c r="N264" t="s">
        <v>7475</v>
      </c>
      <c r="O264" t="s">
        <v>7837</v>
      </c>
      <c r="P264">
        <f ca="1">IF(tblLog[[#This Row],[Log Date]]="","",TODAY()-tblLog[[#This Row],[Log Date]])</f>
        <v>8</v>
      </c>
      <c r="Q264" t="str">
        <f>IF(tblLog[[#This Row],[Log Date]]="","",IF(TRIM(tblLog[[#This Row],[Cycle Stage]])="Asked to be removed from database","NO","YES"))</f>
        <v>YES</v>
      </c>
      <c r="R2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5" spans="1:18" ht="15" customHeight="1">
      <c r="A265" t="s">
        <v>7838</v>
      </c>
      <c r="B265" t="str">
        <f>IFERROR(_xlfn.XLOOKUP(tblLog[[#This Row],[Unique ID]], tblMaster[Unique ID], tblMaster[First Name], ""), "")</f>
        <v xml:space="preserve">Aidan </v>
      </c>
      <c r="C265" t="str">
        <f>IFERROR(_xlfn.XLOOKUP(tblLog[[#This Row],[Unique ID]], tblMaster[Unique ID], tblMaster[Last Name], ""), "")</f>
        <v xml:space="preserve">Ponder </v>
      </c>
      <c r="D265" t="str">
        <f>IFERROR(_xlfn.XLOOKUP(tblLog[[#This Row],[Unique ID]], tblMaster[Unique ID], tblMaster[Email_Clean], ""), "")</f>
        <v>amp1248@plymouth.edu</v>
      </c>
      <c r="E265" t="str">
        <f>IFERROR(_xlfn.XLOOKUP(tblLog[[#This Row],[Unique ID]], tblMaster[Unique ID], tblMaster[Phone], ""), "")</f>
        <v xml:space="preserve">603) 303-0928 </v>
      </c>
      <c r="F265" t="str">
        <f>IFERROR(_xlfn.XLOOKUP(tblLog[[#This Row],[Unique ID]], tblMaster[Unique ID], tblMaster[Recruiter], ""), "")</f>
        <v xml:space="preserve">Enrique Ortiz </v>
      </c>
      <c r="G265" t="str">
        <f>IFERROR(_xlfn.XLOOKUP(tblLog[[#This Row],[Unique ID]], tblMaster[Unique ID], tblMaster[Recruitment Cycle], ""), "")</f>
        <v xml:space="preserve">Re-Engagment </v>
      </c>
      <c r="H265" t="s">
        <v>7455</v>
      </c>
      <c r="I265" t="s">
        <v>7434</v>
      </c>
      <c r="J265" s="3">
        <v>2</v>
      </c>
      <c r="K265" t="s">
        <v>7491</v>
      </c>
      <c r="L265" s="2">
        <v>46063</v>
      </c>
      <c r="M265" t="s">
        <v>7485</v>
      </c>
      <c r="N265" t="s">
        <v>7475</v>
      </c>
      <c r="O265" t="s">
        <v>7596</v>
      </c>
      <c r="P265">
        <f ca="1">IF(tblLog[[#This Row],[Log Date]]="","",TODAY()-tblLog[[#This Row],[Log Date]])</f>
        <v>16</v>
      </c>
      <c r="Q265" t="str">
        <f>IF(tblLog[[#This Row],[Log Date]]="","",IF(TRIM(tblLog[[#This Row],[Cycle Stage]])="Asked to be removed from database","NO","YES"))</f>
        <v>YES</v>
      </c>
      <c r="R2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6" spans="1:18" ht="15" customHeight="1">
      <c r="A266" t="s">
        <v>7839</v>
      </c>
      <c r="B266" t="str">
        <f>IFERROR(_xlfn.XLOOKUP(tblLog[[#This Row],[Unique ID]], tblMaster[Unique ID], tblMaster[First Name], ""), "")</f>
        <v xml:space="preserve">Emily </v>
      </c>
      <c r="C266" t="str">
        <f>IFERROR(_xlfn.XLOOKUP(tblLog[[#This Row],[Unique ID]], tblMaster[Unique ID], tblMaster[Last Name], ""), "")</f>
        <v xml:space="preserve">Collins </v>
      </c>
      <c r="D266" t="str">
        <f>IFERROR(_xlfn.XLOOKUP(tblLog[[#This Row],[Unique ID]], tblMaster[Unique ID], tblMaster[Email_Clean], ""), "")</f>
        <v>shireling1380@gmail.com</v>
      </c>
      <c r="E266" t="str">
        <f>IFERROR(_xlfn.XLOOKUP(tblLog[[#This Row],[Unique ID]], tblMaster[Unique ID], tblMaster[Phone], ""), "")</f>
        <v>(781) 630-0298</v>
      </c>
      <c r="F266" t="str">
        <f>IFERROR(_xlfn.XLOOKUP(tblLog[[#This Row],[Unique ID]], tblMaster[Unique ID], tblMaster[Recruiter], ""), "")</f>
        <v xml:space="preserve">Enrique Ortiz </v>
      </c>
      <c r="G266" t="str">
        <f>IFERROR(_xlfn.XLOOKUP(tblLog[[#This Row],[Unique ID]], tblMaster[Unique ID], tblMaster[Recruitment Cycle], ""), "")</f>
        <v xml:space="preserve">Re-Engagment </v>
      </c>
      <c r="H266" t="s">
        <v>7455</v>
      </c>
      <c r="I266" t="s">
        <v>7434</v>
      </c>
      <c r="J266" s="3">
        <v>3</v>
      </c>
      <c r="K266" t="s">
        <v>7435</v>
      </c>
      <c r="L266" s="2">
        <v>46063</v>
      </c>
      <c r="M266" t="s">
        <v>7452</v>
      </c>
      <c r="N266" t="s">
        <v>7475</v>
      </c>
      <c r="P266">
        <f ca="1">IF(tblLog[[#This Row],[Log Date]]="","",TODAY()-tblLog[[#This Row],[Log Date]])</f>
        <v>16</v>
      </c>
      <c r="Q266" t="str">
        <f>IF(tblLog[[#This Row],[Log Date]]="","",IF(TRIM(tblLog[[#This Row],[Cycle Stage]])="Asked to be removed from database","NO","YES"))</f>
        <v>YES</v>
      </c>
      <c r="R2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7" spans="1:18" ht="15" customHeight="1">
      <c r="A267" t="s">
        <v>7840</v>
      </c>
      <c r="B267" t="str">
        <f>IFERROR(_xlfn.XLOOKUP(tblLog[[#This Row],[Unique ID]], tblMaster[Unique ID], tblMaster[First Name], ""), "")</f>
        <v xml:space="preserve">Jaime </v>
      </c>
      <c r="C267" t="str">
        <f>IFERROR(_xlfn.XLOOKUP(tblLog[[#This Row],[Unique ID]], tblMaster[Unique ID], tblMaster[Last Name], ""), "")</f>
        <v xml:space="preserve">Hurtado Morato </v>
      </c>
      <c r="D267" t="str">
        <f>IFERROR(_xlfn.XLOOKUP(tblLog[[#This Row],[Unique ID]], tblMaster[Unique ID], tblMaster[Email_Clean], ""), "")</f>
        <v>jahurtado.m@outlook.com</v>
      </c>
      <c r="E267" t="str">
        <f>IFERROR(_xlfn.XLOOKUP(tblLog[[#This Row],[Unique ID]], tblMaster[Unique ID], tblMaster[Phone], ""), "")</f>
        <v>774 808 1421</v>
      </c>
      <c r="F267" t="str">
        <f>IFERROR(_xlfn.XLOOKUP(tblLog[[#This Row],[Unique ID]], tblMaster[Unique ID], tblMaster[Recruiter], ""), "")</f>
        <v xml:space="preserve">Enrique Ortiz </v>
      </c>
      <c r="G267" t="str">
        <f>IFERROR(_xlfn.XLOOKUP(tblLog[[#This Row],[Unique ID]], tblMaster[Unique ID], tblMaster[Recruitment Cycle], ""), "")</f>
        <v xml:space="preserve">Re-Engagment </v>
      </c>
      <c r="H267" t="s">
        <v>7455</v>
      </c>
      <c r="I267" t="s">
        <v>7434</v>
      </c>
      <c r="J267" s="3">
        <v>3</v>
      </c>
      <c r="K267" t="s">
        <v>7491</v>
      </c>
      <c r="L267" s="2">
        <v>46063</v>
      </c>
      <c r="M267" t="s">
        <v>7508</v>
      </c>
      <c r="N267" t="s">
        <v>7475</v>
      </c>
      <c r="P267">
        <f ca="1">IF(tblLog[[#This Row],[Log Date]]="","",TODAY()-tblLog[[#This Row],[Log Date]])</f>
        <v>16</v>
      </c>
      <c r="Q267" t="str">
        <f>IF(tblLog[[#This Row],[Log Date]]="","",IF(TRIM(tblLog[[#This Row],[Cycle Stage]])="Asked to be removed from database","NO","YES"))</f>
        <v>YES</v>
      </c>
      <c r="R2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8" spans="1:18" ht="15" customHeight="1">
      <c r="A268" t="s">
        <v>7841</v>
      </c>
      <c r="B268" t="str">
        <f>IFERROR(_xlfn.XLOOKUP(tblLog[[#This Row],[Unique ID]], tblMaster[Unique ID], tblMaster[First Name], ""), "")</f>
        <v xml:space="preserve">George </v>
      </c>
      <c r="C268" t="str">
        <f>IFERROR(_xlfn.XLOOKUP(tblLog[[#This Row],[Unique ID]], tblMaster[Unique ID], tblMaster[Last Name], ""), "")</f>
        <v xml:space="preserve">Ekwere </v>
      </c>
      <c r="D268" t="str">
        <f>IFERROR(_xlfn.XLOOKUP(tblLog[[#This Row],[Unique ID]], tblMaster[Unique ID], tblMaster[Email_Clean], ""), "")</f>
        <v>petitbabo@gmail.com</v>
      </c>
      <c r="E268" t="str">
        <f>IFERROR(_xlfn.XLOOKUP(tblLog[[#This Row],[Unique ID]], tblMaster[Unique ID], tblMaster[Phone], ""), "")</f>
        <v>857) 261-0273</v>
      </c>
      <c r="F268" t="str">
        <f>IFERROR(_xlfn.XLOOKUP(tblLog[[#This Row],[Unique ID]], tblMaster[Unique ID], tblMaster[Recruiter], ""), "")</f>
        <v xml:space="preserve">Jevon Brown Simpson </v>
      </c>
      <c r="G268" t="str">
        <f>IFERROR(_xlfn.XLOOKUP(tblLog[[#This Row],[Unique ID]], tblMaster[Unique ID], tblMaster[Recruitment Cycle], ""), "")</f>
        <v xml:space="preserve">New Submission/ Lead </v>
      </c>
      <c r="H268" t="s">
        <v>7496</v>
      </c>
      <c r="I268" t="s">
        <v>7434</v>
      </c>
      <c r="J268" s="3">
        <v>1</v>
      </c>
      <c r="K268" t="s">
        <v>7435</v>
      </c>
      <c r="L268" s="2">
        <v>46063</v>
      </c>
      <c r="M268" t="s">
        <v>7508</v>
      </c>
      <c r="N268" t="s">
        <v>7475</v>
      </c>
      <c r="O268" t="s">
        <v>7842</v>
      </c>
      <c r="P268">
        <f ca="1">IF(tblLog[[#This Row],[Log Date]]="","",TODAY()-tblLog[[#This Row],[Log Date]])</f>
        <v>16</v>
      </c>
      <c r="Q268" t="str">
        <f>IF(tblLog[[#This Row],[Log Date]]="","",IF(TRIM(tblLog[[#This Row],[Cycle Stage]])="Asked to be removed from database","NO","YES"))</f>
        <v>YES</v>
      </c>
      <c r="R2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69" spans="1:18" ht="15" customHeight="1">
      <c r="A269" t="s">
        <v>7843</v>
      </c>
      <c r="B269" t="str">
        <f>IFERROR(_xlfn.XLOOKUP(tblLog[[#This Row],[Unique ID]], tblMaster[Unique ID], tblMaster[First Name], ""), "")</f>
        <v xml:space="preserve">Henry </v>
      </c>
      <c r="C269" t="str">
        <f>IFERROR(_xlfn.XLOOKUP(tblLog[[#This Row],[Unique ID]], tblMaster[Unique ID], tblMaster[Last Name], ""), "")</f>
        <v xml:space="preserve">Flores </v>
      </c>
      <c r="D269" t="str">
        <f>IFERROR(_xlfn.XLOOKUP(tblLog[[#This Row],[Unique ID]], tblMaster[Unique ID], tblMaster[Email_Clean], ""), "")</f>
        <v>henryflores97@gmail.com</v>
      </c>
      <c r="E269" t="str">
        <f>IFERROR(_xlfn.XLOOKUP(tblLog[[#This Row],[Unique ID]], tblMaster[Unique ID], tblMaster[Phone], ""), "")</f>
        <v xml:space="preserve">857) 334-9026 </v>
      </c>
      <c r="F269" t="str">
        <f>IFERROR(_xlfn.XLOOKUP(tblLog[[#This Row],[Unique ID]], tblMaster[Unique ID], tblMaster[Recruiter], ""), "")</f>
        <v xml:space="preserve">Enrique Ortiz </v>
      </c>
      <c r="G269" t="str">
        <f>IFERROR(_xlfn.XLOOKUP(tblLog[[#This Row],[Unique ID]], tblMaster[Unique ID], tblMaster[Recruitment Cycle], ""), "")</f>
        <v xml:space="preserve">Re-Engagment </v>
      </c>
      <c r="H269" t="s">
        <v>7455</v>
      </c>
      <c r="I269" t="s">
        <v>7494</v>
      </c>
      <c r="J269" s="3">
        <v>3</v>
      </c>
      <c r="K269" t="s">
        <v>7491</v>
      </c>
      <c r="L269" s="2">
        <v>46063</v>
      </c>
      <c r="M269" t="s">
        <v>7508</v>
      </c>
      <c r="N269" t="s">
        <v>7475</v>
      </c>
      <c r="P269">
        <f ca="1">IF(tblLog[[#This Row],[Log Date]]="","",TODAY()-tblLog[[#This Row],[Log Date]])</f>
        <v>16</v>
      </c>
      <c r="Q269" t="str">
        <f>IF(tblLog[[#This Row],[Log Date]]="","",IF(TRIM(tblLog[[#This Row],[Cycle Stage]])="Asked to be removed from database","NO","YES"))</f>
        <v>YES</v>
      </c>
      <c r="R2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0" spans="1:18" ht="15" customHeight="1">
      <c r="A270" t="s">
        <v>7844</v>
      </c>
      <c r="B270" t="str">
        <f>IFERROR(_xlfn.XLOOKUP(tblLog[[#This Row],[Unique ID]], tblMaster[Unique ID], tblMaster[First Name], ""), "")</f>
        <v xml:space="preserve">Faith </v>
      </c>
      <c r="C270" t="str">
        <f>IFERROR(_xlfn.XLOOKUP(tblLog[[#This Row],[Unique ID]], tblMaster[Unique ID], tblMaster[Last Name], ""), "")</f>
        <v xml:space="preserve">Jackson </v>
      </c>
      <c r="D270" t="str">
        <f>IFERROR(_xlfn.XLOOKUP(tblLog[[#This Row],[Unique ID]], tblMaster[Unique ID], tblMaster[Email_Clean], ""), "")</f>
        <v>faithjackson1004@gmail.con</v>
      </c>
      <c r="E270" t="str">
        <f>IFERROR(_xlfn.XLOOKUP(tblLog[[#This Row],[Unique ID]], tblMaster[Unique ID], tblMaster[Phone], ""), "")</f>
        <v xml:space="preserve">774) 823-9200 </v>
      </c>
      <c r="F270" t="str">
        <f>IFERROR(_xlfn.XLOOKUP(tblLog[[#This Row],[Unique ID]], tblMaster[Unique ID], tblMaster[Recruiter], ""), "")</f>
        <v xml:space="preserve">Enrique Ortiz </v>
      </c>
      <c r="G270" t="str">
        <f>IFERROR(_xlfn.XLOOKUP(tblLog[[#This Row],[Unique ID]], tblMaster[Unique ID], tblMaster[Recruitment Cycle], ""), "")</f>
        <v xml:space="preserve">Re-Engagment </v>
      </c>
      <c r="H270" t="s">
        <v>7455</v>
      </c>
      <c r="I270" t="s">
        <v>7434</v>
      </c>
      <c r="J270" s="3">
        <v>3</v>
      </c>
      <c r="K270" t="s">
        <v>7435</v>
      </c>
      <c r="L270" s="2">
        <v>46063</v>
      </c>
      <c r="M270" t="s">
        <v>7452</v>
      </c>
      <c r="N270" t="s">
        <v>7475</v>
      </c>
      <c r="P270">
        <f ca="1">IF(tblLog[[#This Row],[Log Date]]="","",TODAY()-tblLog[[#This Row],[Log Date]])</f>
        <v>16</v>
      </c>
      <c r="Q270" t="str">
        <f>IF(tblLog[[#This Row],[Log Date]]="","",IF(TRIM(tblLog[[#This Row],[Cycle Stage]])="Asked to be removed from database","NO","YES"))</f>
        <v>YES</v>
      </c>
      <c r="R2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1" spans="1:18" ht="15" customHeight="1">
      <c r="A271" t="s">
        <v>7845</v>
      </c>
      <c r="B271" t="str">
        <f>IFERROR(_xlfn.XLOOKUP(tblLog[[#This Row],[Unique ID]], tblMaster[Unique ID], tblMaster[First Name], ""), "")</f>
        <v>Chantel</v>
      </c>
      <c r="C271" t="str">
        <f>IFERROR(_xlfn.XLOOKUP(tblLog[[#This Row],[Unique ID]], tblMaster[Unique ID], tblMaster[Last Name], ""), "")</f>
        <v>Jones</v>
      </c>
      <c r="D271" t="str">
        <f>IFERROR(_xlfn.XLOOKUP(tblLog[[#This Row],[Unique ID]], tblMaster[Unique ID], tblMaster[Email_Clean], ""), "")</f>
        <v>joneschantel14@gmail.com</v>
      </c>
      <c r="E271" s="36">
        <f>IFERROR(_xlfn.XLOOKUP(tblLog[[#This Row],[Unique ID]], tblMaster[Unique ID], tblMaster[Phone], ""), "")</f>
        <v>7742712110</v>
      </c>
      <c r="F271" t="str">
        <f>IFERROR(_xlfn.XLOOKUP(tblLog[[#This Row],[Unique ID]], tblMaster[Unique ID], tblMaster[Recruiter], ""), "")</f>
        <v xml:space="preserve">Christopher Servello </v>
      </c>
      <c r="G271" t="str">
        <f>IFERROR(_xlfn.XLOOKUP(tblLog[[#This Row],[Unique ID]], tblMaster[Unique ID], tblMaster[Recruitment Cycle], ""), "")</f>
        <v xml:space="preserve">New Submission/ Lead </v>
      </c>
      <c r="H271" t="s">
        <v>7455</v>
      </c>
      <c r="I271" t="s">
        <v>7530</v>
      </c>
      <c r="J271" s="3">
        <v>3</v>
      </c>
      <c r="K271" t="s">
        <v>7435</v>
      </c>
      <c r="L271" s="2">
        <v>46063</v>
      </c>
      <c r="M271" t="s">
        <v>7452</v>
      </c>
      <c r="N271" t="s">
        <v>7475</v>
      </c>
      <c r="O271" t="s">
        <v>7846</v>
      </c>
      <c r="P271">
        <f ca="1">IF(tblLog[[#This Row],[Log Date]]="","",TODAY()-tblLog[[#This Row],[Log Date]])</f>
        <v>16</v>
      </c>
      <c r="Q271" t="str">
        <f>IF(tblLog[[#This Row],[Log Date]]="","",IF(TRIM(tblLog[[#This Row],[Cycle Stage]])="Asked to be removed from database","NO","YES"))</f>
        <v>YES</v>
      </c>
      <c r="R2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2" spans="1:18" ht="15" customHeight="1">
      <c r="A272" t="s">
        <v>7847</v>
      </c>
      <c r="B272" t="str">
        <f>IFERROR(_xlfn.XLOOKUP(tblLog[[#This Row],[Unique ID]], tblMaster[Unique ID], tblMaster[First Name], ""), "")</f>
        <v>Kenyn</v>
      </c>
      <c r="C272" t="str">
        <f>IFERROR(_xlfn.XLOOKUP(tblLog[[#This Row],[Unique ID]], tblMaster[Unique ID], tblMaster[Last Name], ""), "")</f>
        <v>Araujo</v>
      </c>
      <c r="D272" t="str">
        <f>IFERROR(_xlfn.XLOOKUP(tblLog[[#This Row],[Unique ID]], tblMaster[Unique ID], tblMaster[Email_Clean], ""), "")</f>
        <v>kevynpersonal@gmail.com</v>
      </c>
      <c r="E272" s="36">
        <f>IFERROR(_xlfn.XLOOKUP(tblLog[[#This Row],[Unique ID]], tblMaster[Unique ID], tblMaster[Phone], ""), "")</f>
        <v>17815022904</v>
      </c>
      <c r="F272" t="str">
        <f>IFERROR(_xlfn.XLOOKUP(tblLog[[#This Row],[Unique ID]], tblMaster[Unique ID], tblMaster[Recruiter], ""), "")</f>
        <v xml:space="preserve">Christopher Servello </v>
      </c>
      <c r="G272" t="str">
        <f>IFERROR(_xlfn.XLOOKUP(tblLog[[#This Row],[Unique ID]], tblMaster[Unique ID], tblMaster[Recruitment Cycle], ""), "")</f>
        <v xml:space="preserve">New Submission/ Lead </v>
      </c>
      <c r="H272" t="s">
        <v>7455</v>
      </c>
      <c r="I272" t="s">
        <v>7494</v>
      </c>
      <c r="J272" s="3">
        <v>3</v>
      </c>
      <c r="K272" t="s">
        <v>7491</v>
      </c>
      <c r="L272" s="2">
        <v>46063</v>
      </c>
      <c r="M272" t="s">
        <v>7452</v>
      </c>
      <c r="N272" t="s">
        <v>7475</v>
      </c>
      <c r="O272" t="s">
        <v>7627</v>
      </c>
      <c r="P272">
        <f ca="1">IF(tblLog[[#This Row],[Log Date]]="","",TODAY()-tblLog[[#This Row],[Log Date]])</f>
        <v>16</v>
      </c>
      <c r="Q272" t="str">
        <f>IF(tblLog[[#This Row],[Log Date]]="","",IF(TRIM(tblLog[[#This Row],[Cycle Stage]])="Asked to be removed from database","NO","YES"))</f>
        <v>YES</v>
      </c>
      <c r="R2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3" spans="1:18" ht="15" customHeight="1">
      <c r="A273" t="s">
        <v>7848</v>
      </c>
      <c r="B273" t="str">
        <f>IFERROR(_xlfn.XLOOKUP(tblLog[[#This Row],[Unique ID]], tblMaster[Unique ID], tblMaster[First Name], ""), "")</f>
        <v xml:space="preserve">Sarah </v>
      </c>
      <c r="C273" t="str">
        <f>IFERROR(_xlfn.XLOOKUP(tblLog[[#This Row],[Unique ID]], tblMaster[Unique ID], tblMaster[Last Name], ""), "")</f>
        <v xml:space="preserve">Ostrom </v>
      </c>
      <c r="D273" t="str">
        <f>IFERROR(_xlfn.XLOOKUP(tblLog[[#This Row],[Unique ID]], tblMaster[Unique ID], tblMaster[Email_Clean], ""), "")</f>
        <v>sarahrathburn@hotmail.com</v>
      </c>
      <c r="E273" t="str">
        <f>IFERROR(_xlfn.XLOOKUP(tblLog[[#This Row],[Unique ID]], tblMaster[Unique ID], tblMaster[Phone], ""), "")</f>
        <v>978 350 3613</v>
      </c>
      <c r="F273" t="str">
        <f>IFERROR(_xlfn.XLOOKUP(tblLog[[#This Row],[Unique ID]], tblMaster[Unique ID], tblMaster[Recruiter], ""), "")</f>
        <v xml:space="preserve">Enrique Ortiz </v>
      </c>
      <c r="G273" t="str">
        <f>IFERROR(_xlfn.XLOOKUP(tblLog[[#This Row],[Unique ID]], tblMaster[Unique ID], tblMaster[Recruitment Cycle], ""), "")</f>
        <v xml:space="preserve">Re-Engagment </v>
      </c>
      <c r="H273" t="s">
        <v>7455</v>
      </c>
      <c r="I273" t="s">
        <v>7434</v>
      </c>
      <c r="J273" s="3">
        <v>2</v>
      </c>
      <c r="K273" t="s">
        <v>7435</v>
      </c>
      <c r="L273" s="2">
        <v>46063</v>
      </c>
      <c r="M273" t="s">
        <v>7452</v>
      </c>
      <c r="N273" t="s">
        <v>7487</v>
      </c>
      <c r="O273" t="s">
        <v>7849</v>
      </c>
      <c r="P273">
        <f ca="1">IF(tblLog[[#This Row],[Log Date]]="","",TODAY()-tblLog[[#This Row],[Log Date]])</f>
        <v>16</v>
      </c>
      <c r="Q273" t="str">
        <f>IF(tblLog[[#This Row],[Log Date]]="","",IF(TRIM(tblLog[[#This Row],[Cycle Stage]])="Asked to be removed from database","NO","YES"))</f>
        <v>YES</v>
      </c>
      <c r="R2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4" spans="1:18" ht="15" customHeight="1">
      <c r="A274" t="s">
        <v>7850</v>
      </c>
      <c r="B274" t="str">
        <f>IFERROR(_xlfn.XLOOKUP(tblLog[[#This Row],[Unique ID]], tblMaster[Unique ID], tblMaster[First Name], ""), "")</f>
        <v>Ryan</v>
      </c>
      <c r="C274" t="str">
        <f>IFERROR(_xlfn.XLOOKUP(tblLog[[#This Row],[Unique ID]], tblMaster[Unique ID], tblMaster[Last Name], ""), "")</f>
        <v>Evens</v>
      </c>
      <c r="D274" t="str">
        <f>IFERROR(_xlfn.XLOOKUP(tblLog[[#This Row],[Unique ID]], tblMaster[Unique ID], tblMaster[Email_Clean], ""), "")</f>
        <v>evansr1917@gmail.com</v>
      </c>
      <c r="E274" t="str">
        <f>IFERROR(_xlfn.XLOOKUP(tblLog[[#This Row],[Unique ID]], tblMaster[Unique ID], tblMaster[Phone], ""), "")</f>
        <v>978-235-8451</v>
      </c>
      <c r="F274" t="str">
        <f>IFERROR(_xlfn.XLOOKUP(tblLog[[#This Row],[Unique ID]], tblMaster[Unique ID], tblMaster[Recruiter], ""), "")</f>
        <v xml:space="preserve">Enrique Ortiz </v>
      </c>
      <c r="G274" t="str">
        <f>IFERROR(_xlfn.XLOOKUP(tblLog[[#This Row],[Unique ID]], tblMaster[Unique ID], tblMaster[Recruitment Cycle], ""), "")</f>
        <v xml:space="preserve">Re-Engagment </v>
      </c>
      <c r="H274" t="s">
        <v>7455</v>
      </c>
      <c r="I274" t="s">
        <v>7494</v>
      </c>
      <c r="J274" s="3">
        <v>3</v>
      </c>
      <c r="K274" t="s">
        <v>7491</v>
      </c>
      <c r="L274" s="2">
        <v>46063</v>
      </c>
      <c r="M274" t="s">
        <v>7508</v>
      </c>
      <c r="N274" t="s">
        <v>7475</v>
      </c>
      <c r="P274">
        <f ca="1">IF(tblLog[[#This Row],[Log Date]]="","",TODAY()-tblLog[[#This Row],[Log Date]])</f>
        <v>16</v>
      </c>
      <c r="Q274" t="str">
        <f>IF(tblLog[[#This Row],[Log Date]]="","",IF(TRIM(tblLog[[#This Row],[Cycle Stage]])="Asked to be removed from database","NO","YES"))</f>
        <v>YES</v>
      </c>
      <c r="R2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5" spans="1:18" ht="15" customHeight="1">
      <c r="A275" t="s">
        <v>7851</v>
      </c>
      <c r="B275" t="str">
        <f>IFERROR(_xlfn.XLOOKUP(tblLog[[#This Row],[Unique ID]], tblMaster[Unique ID], tblMaster[First Name], ""), "")</f>
        <v xml:space="preserve">Oscar  </v>
      </c>
      <c r="C275" t="str">
        <f>IFERROR(_xlfn.XLOOKUP(tblLog[[#This Row],[Unique ID]], tblMaster[Unique ID], tblMaster[Last Name], ""), "")</f>
        <v xml:space="preserve">Gomez Gonzalez </v>
      </c>
      <c r="D275" t="str">
        <f>IFERROR(_xlfn.XLOOKUP(tblLog[[#This Row],[Unique ID]], tblMaster[Unique ID], tblMaster[Email_Clean], ""), "")</f>
        <v>willowm0207@icloud.com</v>
      </c>
      <c r="E275" t="str">
        <f>IFERROR(_xlfn.XLOOKUP(tblLog[[#This Row],[Unique ID]], tblMaster[Unique ID], tblMaster[Phone], ""), "")</f>
        <v>978-877-2293</v>
      </c>
      <c r="F275" t="str">
        <f>IFERROR(_xlfn.XLOOKUP(tblLog[[#This Row],[Unique ID]], tblMaster[Unique ID], tblMaster[Recruiter], ""), "")</f>
        <v xml:space="preserve">Enrique Ortiz </v>
      </c>
      <c r="G275" t="str">
        <f>IFERROR(_xlfn.XLOOKUP(tblLog[[#This Row],[Unique ID]], tblMaster[Unique ID], tblMaster[Recruitment Cycle], ""), "")</f>
        <v xml:space="preserve">Re-Engagment </v>
      </c>
      <c r="H275" t="s">
        <v>7455</v>
      </c>
      <c r="I275" t="s">
        <v>4</v>
      </c>
      <c r="J275" s="3">
        <v>2</v>
      </c>
      <c r="K275" t="s">
        <v>7491</v>
      </c>
      <c r="L275" s="2">
        <v>46063</v>
      </c>
      <c r="M275" t="s">
        <v>7508</v>
      </c>
      <c r="N275" t="s">
        <v>7475</v>
      </c>
      <c r="P275">
        <f ca="1">IF(tblLog[[#This Row],[Log Date]]="","",TODAY()-tblLog[[#This Row],[Log Date]])</f>
        <v>16</v>
      </c>
      <c r="Q275" t="str">
        <f>IF(tblLog[[#This Row],[Log Date]]="","",IF(TRIM(tblLog[[#This Row],[Cycle Stage]])="Asked to be removed from database","NO","YES"))</f>
        <v>YES</v>
      </c>
      <c r="R2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6" spans="1:18" ht="15" customHeight="1">
      <c r="A276" t="s">
        <v>7852</v>
      </c>
      <c r="B276" t="str">
        <f>IFERROR(_xlfn.XLOOKUP(tblLog[[#This Row],[Unique ID]], tblMaster[Unique ID], tblMaster[First Name], ""), "")</f>
        <v xml:space="preserve">Jessie </v>
      </c>
      <c r="C276" t="str">
        <f>IFERROR(_xlfn.XLOOKUP(tblLog[[#This Row],[Unique ID]], tblMaster[Unique ID], tblMaster[Last Name], ""), "")</f>
        <v xml:space="preserve"> Ford </v>
      </c>
      <c r="D276" t="str">
        <f>IFERROR(_xlfn.XLOOKUP(tblLog[[#This Row],[Unique ID]], tblMaster[Unique ID], tblMaster[Email_Clean], ""), "")</f>
        <v>yishaiw7@gmail.com</v>
      </c>
      <c r="E276" t="str">
        <f>IFERROR(_xlfn.XLOOKUP(tblLog[[#This Row],[Unique ID]], tblMaster[Unique ID], tblMaster[Phone], ""), "")</f>
        <v xml:space="preserve">978 401 7222 </v>
      </c>
      <c r="F276" t="str">
        <f>IFERROR(_xlfn.XLOOKUP(tblLog[[#This Row],[Unique ID]], tblMaster[Unique ID], tblMaster[Recruiter], ""), "")</f>
        <v xml:space="preserve">Enrique Ortiz </v>
      </c>
      <c r="G276" t="str">
        <f>IFERROR(_xlfn.XLOOKUP(tblLog[[#This Row],[Unique ID]], tblMaster[Unique ID], tblMaster[Recruitment Cycle], ""), "")</f>
        <v xml:space="preserve">Re-Engagment </v>
      </c>
      <c r="H276" t="s">
        <v>7455</v>
      </c>
      <c r="I276" t="s">
        <v>7494</v>
      </c>
      <c r="J276" s="3">
        <v>3</v>
      </c>
      <c r="K276" t="s">
        <v>7491</v>
      </c>
      <c r="L276" s="2">
        <v>46063</v>
      </c>
      <c r="M276" t="s">
        <v>7508</v>
      </c>
      <c r="N276" t="s">
        <v>7475</v>
      </c>
      <c r="P276">
        <f ca="1">IF(tblLog[[#This Row],[Log Date]]="","",TODAY()-tblLog[[#This Row],[Log Date]])</f>
        <v>16</v>
      </c>
      <c r="Q276" t="str">
        <f>IF(tblLog[[#This Row],[Log Date]]="","",IF(TRIM(tblLog[[#This Row],[Cycle Stage]])="Asked to be removed from database","NO","YES"))</f>
        <v>YES</v>
      </c>
      <c r="R2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7" spans="1:18" ht="15" customHeight="1">
      <c r="A277" t="s">
        <v>7853</v>
      </c>
      <c r="B277" t="str">
        <f>IFERROR(_xlfn.XLOOKUP(tblLog[[#This Row],[Unique ID]], tblMaster[Unique ID], tblMaster[First Name], ""), "")</f>
        <v xml:space="preserve">Patrick </v>
      </c>
      <c r="C277" t="str">
        <f>IFERROR(_xlfn.XLOOKUP(tblLog[[#This Row],[Unique ID]], tblMaster[Unique ID], tblMaster[Last Name], ""), "")</f>
        <v xml:space="preserve"> Kelley </v>
      </c>
      <c r="D277" t="str">
        <f>IFERROR(_xlfn.XLOOKUP(tblLog[[#This Row],[Unique ID]], tblMaster[Unique ID], tblMaster[Email_Clean], ""), "")</f>
        <v>patrick.kelley93@icloud.com</v>
      </c>
      <c r="E277" t="str">
        <f>IFERROR(_xlfn.XLOOKUP(tblLog[[#This Row],[Unique ID]], tblMaster[Unique ID], tblMaster[Phone], ""), "")</f>
        <v xml:space="preserve">(774) 242-0666 </v>
      </c>
      <c r="F277" t="str">
        <f>IFERROR(_xlfn.XLOOKUP(tblLog[[#This Row],[Unique ID]], tblMaster[Unique ID], tblMaster[Recruiter], ""), "")</f>
        <v xml:space="preserve">Enrique Ortiz </v>
      </c>
      <c r="G277" t="str">
        <f>IFERROR(_xlfn.XLOOKUP(tblLog[[#This Row],[Unique ID]], tblMaster[Unique ID], tblMaster[Recruitment Cycle], ""), "")</f>
        <v xml:space="preserve">Re-Engagment </v>
      </c>
      <c r="H277" t="s">
        <v>7455</v>
      </c>
      <c r="I277" t="s">
        <v>7494</v>
      </c>
      <c r="J277" s="3">
        <v>3</v>
      </c>
      <c r="K277" t="s">
        <v>7491</v>
      </c>
      <c r="L277" s="2">
        <v>46063</v>
      </c>
      <c r="M277" t="s">
        <v>7508</v>
      </c>
      <c r="N277" t="s">
        <v>7475</v>
      </c>
      <c r="P277">
        <f ca="1">IF(tblLog[[#This Row],[Log Date]]="","",TODAY()-tblLog[[#This Row],[Log Date]])</f>
        <v>16</v>
      </c>
      <c r="Q277" t="str">
        <f>IF(tblLog[[#This Row],[Log Date]]="","",IF(TRIM(tblLog[[#This Row],[Cycle Stage]])="Asked to be removed from database","NO","YES"))</f>
        <v>YES</v>
      </c>
      <c r="R2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8" spans="1:18" ht="15" customHeight="1">
      <c r="A278" t="s">
        <v>7854</v>
      </c>
      <c r="B278" t="str">
        <f>IFERROR(_xlfn.XLOOKUP(tblLog[[#This Row],[Unique ID]], tblMaster[Unique ID], tblMaster[First Name], ""), "")</f>
        <v xml:space="preserve">James </v>
      </c>
      <c r="C278" t="str">
        <f>IFERROR(_xlfn.XLOOKUP(tblLog[[#This Row],[Unique ID]], tblMaster[Unique ID], tblMaster[Last Name], ""), "")</f>
        <v xml:space="preserve">Wilson </v>
      </c>
      <c r="D278" t="str">
        <f>IFERROR(_xlfn.XLOOKUP(tblLog[[#This Row],[Unique ID]], tblMaster[Unique ID], tblMaster[Email_Clean], ""), "")</f>
        <v>jimbilly@live.com</v>
      </c>
      <c r="E278" t="str">
        <f>IFERROR(_xlfn.XLOOKUP(tblLog[[#This Row],[Unique ID]], tblMaster[Unique ID], tblMaster[Phone], ""), "")</f>
        <v>805-717-9326</v>
      </c>
      <c r="F278" t="str">
        <f>IFERROR(_xlfn.XLOOKUP(tblLog[[#This Row],[Unique ID]], tblMaster[Unique ID], tblMaster[Recruiter], ""), "")</f>
        <v xml:space="preserve">Enrique Ortiz </v>
      </c>
      <c r="G278" t="str">
        <f>IFERROR(_xlfn.XLOOKUP(tblLog[[#This Row],[Unique ID]], tblMaster[Unique ID], tblMaster[Recruitment Cycle], ""), "")</f>
        <v xml:space="preserve">Re-Engagment </v>
      </c>
      <c r="H278" t="s">
        <v>7455</v>
      </c>
      <c r="I278" t="s">
        <v>7434</v>
      </c>
      <c r="J278" s="3">
        <v>2</v>
      </c>
      <c r="K278" t="s">
        <v>7491</v>
      </c>
      <c r="L278" s="2">
        <v>46063</v>
      </c>
      <c r="M278" t="s">
        <v>7485</v>
      </c>
      <c r="N278" t="s">
        <v>7475</v>
      </c>
      <c r="O278" t="s">
        <v>7596</v>
      </c>
      <c r="P278">
        <f ca="1">IF(tblLog[[#This Row],[Log Date]]="","",TODAY()-tblLog[[#This Row],[Log Date]])</f>
        <v>16</v>
      </c>
      <c r="Q278" t="str">
        <f>IF(tblLog[[#This Row],[Log Date]]="","",IF(TRIM(tblLog[[#This Row],[Cycle Stage]])="Asked to be removed from database","NO","YES"))</f>
        <v>YES</v>
      </c>
      <c r="R2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79" spans="1:18" ht="15" customHeight="1">
      <c r="A279" t="s">
        <v>7855</v>
      </c>
      <c r="B279" t="str">
        <f>IFERROR(_xlfn.XLOOKUP(tblLog[[#This Row],[Unique ID]], tblMaster[Unique ID], tblMaster[First Name], ""), "")</f>
        <v>Reggiani</v>
      </c>
      <c r="C279" t="str">
        <f>IFERROR(_xlfn.XLOOKUP(tblLog[[#This Row],[Unique ID]], tblMaster[Unique ID], tblMaster[Last Name], ""), "")</f>
        <v>Apollon</v>
      </c>
      <c r="D279" t="str">
        <f>IFERROR(_xlfn.XLOOKUP(tblLog[[#This Row],[Unique ID]], tblMaster[Unique ID], tblMaster[Email_Clean], ""), "")</f>
        <v>apollon.reggiani@icloud.com</v>
      </c>
      <c r="E279" t="str">
        <f>IFERROR(_xlfn.XLOOKUP(tblLog[[#This Row],[Unique ID]], tblMaster[Unique ID], tblMaster[Phone], ""), "")</f>
        <v xml:space="preserve">(774) 339-1836 </v>
      </c>
      <c r="F279" t="str">
        <f>IFERROR(_xlfn.XLOOKUP(tblLog[[#This Row],[Unique ID]], tblMaster[Unique ID], tblMaster[Recruiter], ""), "")</f>
        <v xml:space="preserve">Jevon Brown Simpson </v>
      </c>
      <c r="G279" t="str">
        <f>IFERROR(_xlfn.XLOOKUP(tblLog[[#This Row],[Unique ID]], tblMaster[Unique ID], tblMaster[Recruitment Cycle], ""), "")</f>
        <v xml:space="preserve">New Submission/ Lead </v>
      </c>
      <c r="H279" t="s">
        <v>7496</v>
      </c>
      <c r="I279" t="s">
        <v>7530</v>
      </c>
      <c r="J279" s="3">
        <v>1</v>
      </c>
      <c r="K279" t="s">
        <v>7491</v>
      </c>
      <c r="L279" s="2">
        <v>46063</v>
      </c>
      <c r="M279" t="s">
        <v>7598</v>
      </c>
      <c r="N279" t="s">
        <v>7475</v>
      </c>
      <c r="O279" t="s">
        <v>7856</v>
      </c>
      <c r="P279">
        <f ca="1">IF(tblLog[[#This Row],[Log Date]]="","",TODAY()-tblLog[[#This Row],[Log Date]])</f>
        <v>16</v>
      </c>
      <c r="Q279" t="str">
        <f>IF(tblLog[[#This Row],[Log Date]]="","",IF(TRIM(tblLog[[#This Row],[Cycle Stage]])="Asked to be removed from database","NO","YES"))</f>
        <v>YES</v>
      </c>
      <c r="R2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0" spans="1:18" ht="15" customHeight="1">
      <c r="A280" t="s">
        <v>7857</v>
      </c>
      <c r="B280" t="str">
        <f>IFERROR(_xlfn.XLOOKUP(tblLog[[#This Row],[Unique ID]], tblMaster[Unique ID], tblMaster[First Name], ""), "")</f>
        <v>Ruthel</v>
      </c>
      <c r="C280" t="str">
        <f>IFERROR(_xlfn.XLOOKUP(tblLog[[#This Row],[Unique ID]], tblMaster[Unique ID], tblMaster[Last Name], ""), "")</f>
        <v xml:space="preserve">Queen </v>
      </c>
      <c r="D280" t="str">
        <f>IFERROR(_xlfn.XLOOKUP(tblLog[[#This Row],[Unique ID]], tblMaster[Unique ID], tblMaster[Email_Clean], ""), "")</f>
        <v>ruthelqueen113@gmail.com</v>
      </c>
      <c r="E280" t="str">
        <f>IFERROR(_xlfn.XLOOKUP(tblLog[[#This Row],[Unique ID]], tblMaster[Unique ID], tblMaster[Phone], ""), "")</f>
        <v xml:space="preserve">(617) 515-3058 </v>
      </c>
      <c r="F280" t="str">
        <f>IFERROR(_xlfn.XLOOKUP(tblLog[[#This Row],[Unique ID]], tblMaster[Unique ID], tblMaster[Recruiter], ""), "")</f>
        <v>Zenon Moses</v>
      </c>
      <c r="G280" t="str">
        <f>IFERROR(_xlfn.XLOOKUP(tblLog[[#This Row],[Unique ID]], tblMaster[Unique ID], tblMaster[Recruitment Cycle], ""), "")</f>
        <v xml:space="preserve">New Submission/ Lead </v>
      </c>
      <c r="H280" t="s">
        <v>7455</v>
      </c>
      <c r="I280" t="s">
        <v>7494</v>
      </c>
      <c r="J280" s="3">
        <v>2</v>
      </c>
      <c r="K280" t="s">
        <v>7491</v>
      </c>
      <c r="L280" s="2">
        <v>46064</v>
      </c>
      <c r="M280" t="s">
        <v>7556</v>
      </c>
      <c r="N280" t="s">
        <v>7500</v>
      </c>
      <c r="P280">
        <f ca="1">IF(tblLog[[#This Row],[Log Date]]="","",TODAY()-tblLog[[#This Row],[Log Date]])</f>
        <v>15</v>
      </c>
      <c r="Q280" t="str">
        <f>IF(tblLog[[#This Row],[Log Date]]="","",IF(TRIM(tblLog[[#This Row],[Cycle Stage]])="Asked to be removed from database","NO","YES"))</f>
        <v>YES</v>
      </c>
      <c r="R2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1" spans="1:18" ht="15" customHeight="1">
      <c r="A281" t="s">
        <v>7858</v>
      </c>
      <c r="B281" t="str">
        <f>IFERROR(_xlfn.XLOOKUP(tblLog[[#This Row],[Unique ID]], tblMaster[Unique ID], tblMaster[First Name], ""), "")</f>
        <v xml:space="preserve">Moses </v>
      </c>
      <c r="C281" t="str">
        <f>IFERROR(_xlfn.XLOOKUP(tblLog[[#This Row],[Unique ID]], tblMaster[Unique ID], tblMaster[Last Name], ""), "")</f>
        <v xml:space="preserve"> Brisson </v>
      </c>
      <c r="D281" t="str">
        <f>IFERROR(_xlfn.XLOOKUP(tblLog[[#This Row],[Unique ID]], tblMaster[Unique ID], tblMaster[Email_Clean], ""), "")</f>
        <v>mosesbrisson@icloud.com</v>
      </c>
      <c r="E281" t="str">
        <f>IFERROR(_xlfn.XLOOKUP(tblLog[[#This Row],[Unique ID]], tblMaster[Unique ID], tblMaster[Phone], ""), "")</f>
        <v>(781) 706-5069</v>
      </c>
      <c r="F281" t="str">
        <f>IFERROR(_xlfn.XLOOKUP(tblLog[[#This Row],[Unique ID]], tblMaster[Unique ID], tblMaster[Recruiter], ""), "")</f>
        <v xml:space="preserve">Enrique Ortiz </v>
      </c>
      <c r="G281" t="str">
        <f>IFERROR(_xlfn.XLOOKUP(tblLog[[#This Row],[Unique ID]], tblMaster[Unique ID], tblMaster[Recruitment Cycle], ""), "")</f>
        <v xml:space="preserve">Re-Engagment/Post Civil Service Exam </v>
      </c>
      <c r="H281" t="s">
        <v>7455</v>
      </c>
      <c r="I281" t="s">
        <v>4</v>
      </c>
      <c r="J281" s="3">
        <v>1</v>
      </c>
      <c r="K281" t="s">
        <v>7491</v>
      </c>
      <c r="L281" s="2">
        <v>46064</v>
      </c>
      <c r="M281" t="s">
        <v>7508</v>
      </c>
      <c r="N281" t="s">
        <v>7497</v>
      </c>
      <c r="P281">
        <f ca="1">IF(tblLog[[#This Row],[Log Date]]="","",TODAY()-tblLog[[#This Row],[Log Date]])</f>
        <v>15</v>
      </c>
      <c r="Q281" t="str">
        <f>IF(tblLog[[#This Row],[Log Date]]="","",IF(TRIM(tblLog[[#This Row],[Cycle Stage]])="Asked to be removed from database","NO","YES"))</f>
        <v>YES</v>
      </c>
      <c r="R2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2" spans="1:18" ht="15" customHeight="1">
      <c r="A282" t="s">
        <v>7859</v>
      </c>
      <c r="B282" t="str">
        <f>IFERROR(_xlfn.XLOOKUP(tblLog[[#This Row],[Unique ID]], tblMaster[Unique ID], tblMaster[First Name], ""), "")</f>
        <v>Jacey</v>
      </c>
      <c r="C282" t="str">
        <f>IFERROR(_xlfn.XLOOKUP(tblLog[[#This Row],[Unique ID]], tblMaster[Unique ID], tblMaster[Last Name], ""), "")</f>
        <v>Smith</v>
      </c>
      <c r="D282" t="str">
        <f>IFERROR(_xlfn.XLOOKUP(tblLog[[#This Row],[Unique ID]], tblMaster[Unique ID], tblMaster[Email_Clean], ""), "")</f>
        <v>smithjacey20@gmail.com</v>
      </c>
      <c r="E282" t="str">
        <f>IFERROR(_xlfn.XLOOKUP(tblLog[[#This Row],[Unique ID]], tblMaster[Unique ID], tblMaster[Phone], ""), "")</f>
        <v>857-385-6414</v>
      </c>
      <c r="F282" t="str">
        <f>IFERROR(_xlfn.XLOOKUP(tblLog[[#This Row],[Unique ID]], tblMaster[Unique ID], tblMaster[Recruiter], ""), "")</f>
        <v xml:space="preserve">Austin Campos </v>
      </c>
      <c r="G282" t="str">
        <f>IFERROR(_xlfn.XLOOKUP(tblLog[[#This Row],[Unique ID]], tblMaster[Unique ID], tblMaster[Recruitment Cycle], ""), "")</f>
        <v xml:space="preserve">Re-Engagment/Post Civil Service Exam </v>
      </c>
      <c r="H282" t="s">
        <v>7455</v>
      </c>
      <c r="I282" t="s">
        <v>4</v>
      </c>
      <c r="J282" s="3">
        <v>1</v>
      </c>
      <c r="K282" t="s">
        <v>7491</v>
      </c>
      <c r="L282" s="2">
        <v>46064</v>
      </c>
      <c r="N282" t="s">
        <v>7497</v>
      </c>
      <c r="P282">
        <f ca="1">IF(tblLog[[#This Row],[Log Date]]="","",TODAY()-tblLog[[#This Row],[Log Date]])</f>
        <v>15</v>
      </c>
      <c r="Q282" t="str">
        <f>IF(tblLog[[#This Row],[Log Date]]="","",IF(TRIM(tblLog[[#This Row],[Cycle Stage]])="Asked to be removed from database","NO","YES"))</f>
        <v>YES</v>
      </c>
      <c r="R2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3" spans="1:18" ht="15" customHeight="1">
      <c r="A283" t="s">
        <v>7860</v>
      </c>
      <c r="B283" t="str">
        <f>IFERROR(_xlfn.XLOOKUP(tblLog[[#This Row],[Unique ID]], tblMaster[Unique ID], tblMaster[First Name], ""), "")</f>
        <v xml:space="preserve">MAURICIO </v>
      </c>
      <c r="C283" t="str">
        <f>IFERROR(_xlfn.XLOOKUP(tblLog[[#This Row],[Unique ID]], tblMaster[Unique ID], tblMaster[Last Name], ""), "")</f>
        <v xml:space="preserve"> PERALTA</v>
      </c>
      <c r="D283" t="str">
        <f>IFERROR(_xlfn.XLOOKUP(tblLog[[#This Row],[Unique ID]], tblMaster[Unique ID], tblMaster[Email_Clean], ""), "")</f>
        <v>mauricio_peralta32@hotmail.com</v>
      </c>
      <c r="E283" t="str">
        <f>IFERROR(_xlfn.XLOOKUP(tblLog[[#This Row],[Unique ID]], tblMaster[Unique ID], tblMaster[Phone], ""), "")</f>
        <v>978) 907-0370</v>
      </c>
      <c r="F283" t="str">
        <f>IFERROR(_xlfn.XLOOKUP(tblLog[[#This Row],[Unique ID]], tblMaster[Unique ID], tblMaster[Recruiter], ""), "")</f>
        <v xml:space="preserve">Austin Campos </v>
      </c>
      <c r="G283" t="str">
        <f>IFERROR(_xlfn.XLOOKUP(tblLog[[#This Row],[Unique ID]], tblMaster[Unique ID], tblMaster[Recruitment Cycle], ""), "")</f>
        <v xml:space="preserve">Re-Engagment/Post Civil Service Exam </v>
      </c>
      <c r="H283" t="s">
        <v>7455</v>
      </c>
      <c r="I283" t="s">
        <v>4</v>
      </c>
      <c r="J283" s="3">
        <v>1</v>
      </c>
      <c r="K283" t="s">
        <v>7491</v>
      </c>
      <c r="L283" s="2">
        <v>46064</v>
      </c>
      <c r="N283" t="s">
        <v>7497</v>
      </c>
      <c r="P283">
        <f ca="1">IF(tblLog[[#This Row],[Log Date]]="","",TODAY()-tblLog[[#This Row],[Log Date]])</f>
        <v>15</v>
      </c>
      <c r="Q283" t="str">
        <f>IF(tblLog[[#This Row],[Log Date]]="","",IF(TRIM(tblLog[[#This Row],[Cycle Stage]])="Asked to be removed from database","NO","YES"))</f>
        <v>YES</v>
      </c>
      <c r="R2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4" spans="1:18" ht="15" customHeight="1">
      <c r="A284" t="s">
        <v>7861</v>
      </c>
      <c r="B284" t="str">
        <f>IFERROR(_xlfn.XLOOKUP(tblLog[[#This Row],[Unique ID]], tblMaster[Unique ID], tblMaster[First Name], ""), "")</f>
        <v xml:space="preserve">Jakhyia </v>
      </c>
      <c r="C284" t="str">
        <f>IFERROR(_xlfn.XLOOKUP(tblLog[[#This Row],[Unique ID]], tblMaster[Unique ID], tblMaster[Last Name], ""), "")</f>
        <v xml:space="preserve">Stokes-Thompson </v>
      </c>
      <c r="D284" t="str">
        <f>IFERROR(_xlfn.XLOOKUP(tblLog[[#This Row],[Unique ID]], tblMaster[Unique ID], tblMaster[Email_Clean], ""), "")</f>
        <v>jay.benzzzz1@gmail.com</v>
      </c>
      <c r="E284" t="str">
        <f>IFERROR(_xlfn.XLOOKUP(tblLog[[#This Row],[Unique ID]], tblMaster[Unique ID], tblMaster[Phone], ""), "")</f>
        <v xml:space="preserve">(401) 998-7957 </v>
      </c>
      <c r="F284" t="str">
        <f>IFERROR(_xlfn.XLOOKUP(tblLog[[#This Row],[Unique ID]], tblMaster[Unique ID], tblMaster[Recruiter], ""), "")</f>
        <v xml:space="preserve">Austin Campos </v>
      </c>
      <c r="G284" t="str">
        <f>IFERROR(_xlfn.XLOOKUP(tblLog[[#This Row],[Unique ID]], tblMaster[Unique ID], tblMaster[Recruitment Cycle], ""), "")</f>
        <v xml:space="preserve">New Submission/ Lead </v>
      </c>
      <c r="H284" t="s">
        <v>7455</v>
      </c>
      <c r="I284" t="s">
        <v>4</v>
      </c>
      <c r="J284" s="3">
        <v>1</v>
      </c>
      <c r="K284" t="s">
        <v>7491</v>
      </c>
      <c r="L284" s="2">
        <v>46064</v>
      </c>
      <c r="N284" t="s">
        <v>7497</v>
      </c>
      <c r="P284">
        <f ca="1">IF(tblLog[[#This Row],[Log Date]]="","",TODAY()-tblLog[[#This Row],[Log Date]])</f>
        <v>15</v>
      </c>
      <c r="Q284" t="str">
        <f>IF(tblLog[[#This Row],[Log Date]]="","",IF(TRIM(tblLog[[#This Row],[Cycle Stage]])="Asked to be removed from database","NO","YES"))</f>
        <v>YES</v>
      </c>
      <c r="R2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5" spans="1:18" ht="15" customHeight="1">
      <c r="A285" t="s">
        <v>7862</v>
      </c>
      <c r="B285" t="str">
        <f>IFERROR(_xlfn.XLOOKUP(tblLog[[#This Row],[Unique ID]], tblMaster[Unique ID], tblMaster[First Name], ""), "")</f>
        <v xml:space="preserve">Jeane </v>
      </c>
      <c r="C285" t="str">
        <f>IFERROR(_xlfn.XLOOKUP(tblLog[[#This Row],[Unique ID]], tblMaster[Unique ID], tblMaster[Last Name], ""), "")</f>
        <v xml:space="preserve">LaPointe </v>
      </c>
      <c r="D285" t="str">
        <f>IFERROR(_xlfn.XLOOKUP(tblLog[[#This Row],[Unique ID]], tblMaster[Unique ID], tblMaster[Email_Clean], ""), "")</f>
        <v>jeanelapointe@gmail.com</v>
      </c>
      <c r="E285" t="str">
        <f>IFERROR(_xlfn.XLOOKUP(tblLog[[#This Row],[Unique ID]], tblMaster[Unique ID], tblMaster[Phone], ""), "")</f>
        <v xml:space="preserve">(978) 645-7434 </v>
      </c>
      <c r="F285" t="str">
        <f>IFERROR(_xlfn.XLOOKUP(tblLog[[#This Row],[Unique ID]], tblMaster[Unique ID], tblMaster[Recruiter], ""), "")</f>
        <v xml:space="preserve">Austin Campos </v>
      </c>
      <c r="G285" t="str">
        <f>IFERROR(_xlfn.XLOOKUP(tblLog[[#This Row],[Unique ID]], tblMaster[Unique ID], tblMaster[Recruitment Cycle], ""), "")</f>
        <v xml:space="preserve">New Submission/ Lead </v>
      </c>
      <c r="H285" t="s">
        <v>7455</v>
      </c>
      <c r="I285" t="s">
        <v>4</v>
      </c>
      <c r="J285" s="3">
        <v>1</v>
      </c>
      <c r="K285" t="s">
        <v>7491</v>
      </c>
      <c r="L285" s="2">
        <v>46064</v>
      </c>
      <c r="N285" t="s">
        <v>7497</v>
      </c>
      <c r="P285">
        <f ca="1">IF(tblLog[[#This Row],[Log Date]]="","",TODAY()-tblLog[[#This Row],[Log Date]])</f>
        <v>15</v>
      </c>
      <c r="Q285" t="str">
        <f>IF(tblLog[[#This Row],[Log Date]]="","",IF(TRIM(tblLog[[#This Row],[Cycle Stage]])="Asked to be removed from database","NO","YES"))</f>
        <v>YES</v>
      </c>
      <c r="R2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6" spans="1:18" ht="15" customHeight="1">
      <c r="A286" t="s">
        <v>7863</v>
      </c>
      <c r="B286" t="str">
        <f>IFERROR(_xlfn.XLOOKUP(tblLog[[#This Row],[Unique ID]], tblMaster[Unique ID], tblMaster[First Name], ""), "")</f>
        <v>Ivana</v>
      </c>
      <c r="C286" t="str">
        <f>IFERROR(_xlfn.XLOOKUP(tblLog[[#This Row],[Unique ID]], tblMaster[Unique ID], tblMaster[Last Name], ""), "")</f>
        <v>Buenopena</v>
      </c>
      <c r="D286" t="str">
        <f>IFERROR(_xlfn.XLOOKUP(tblLog[[#This Row],[Unique ID]], tblMaster[Unique ID], tblMaster[Email_Clean], ""), "")</f>
        <v>ivana2199@yahoo.com</v>
      </c>
      <c r="E286" t="str">
        <f>IFERROR(_xlfn.XLOOKUP(tblLog[[#This Row],[Unique ID]], tblMaster[Unique ID], tblMaster[Phone], ""), "")</f>
        <v>(978)-857-6648</v>
      </c>
      <c r="F286" t="str">
        <f>IFERROR(_xlfn.XLOOKUP(tblLog[[#This Row],[Unique ID]], tblMaster[Unique ID], tblMaster[Recruiter], ""), "")</f>
        <v xml:space="preserve">Austin Campos </v>
      </c>
      <c r="G286" t="str">
        <f>IFERROR(_xlfn.XLOOKUP(tblLog[[#This Row],[Unique ID]], tblMaster[Unique ID], tblMaster[Recruitment Cycle], ""), "")</f>
        <v xml:space="preserve">New Submission/ Lead </v>
      </c>
      <c r="H286" t="s">
        <v>7455</v>
      </c>
      <c r="I286" t="s">
        <v>4</v>
      </c>
      <c r="J286" s="3">
        <v>1</v>
      </c>
      <c r="K286" t="s">
        <v>7491</v>
      </c>
      <c r="L286" s="2">
        <v>46064</v>
      </c>
      <c r="N286" t="s">
        <v>7497</v>
      </c>
      <c r="P286">
        <f ca="1">IF(tblLog[[#This Row],[Log Date]]="","",TODAY()-tblLog[[#This Row],[Log Date]])</f>
        <v>15</v>
      </c>
      <c r="Q286" t="str">
        <f>IF(tblLog[[#This Row],[Log Date]]="","",IF(TRIM(tblLog[[#This Row],[Cycle Stage]])="Asked to be removed from database","NO","YES"))</f>
        <v>YES</v>
      </c>
      <c r="R2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7" spans="1:18" ht="15" customHeight="1">
      <c r="A287" t="s">
        <v>7864</v>
      </c>
      <c r="B287" t="str">
        <f>IFERROR(_xlfn.XLOOKUP(tblLog[[#This Row],[Unique ID]], tblMaster[Unique ID], tblMaster[First Name], ""), "")</f>
        <v xml:space="preserve">Michael </v>
      </c>
      <c r="C287" t="str">
        <f>IFERROR(_xlfn.XLOOKUP(tblLog[[#This Row],[Unique ID]], tblMaster[Unique ID], tblMaster[Last Name], ""), "")</f>
        <v xml:space="preserve">Ryan </v>
      </c>
      <c r="D287" t="str">
        <f>IFERROR(_xlfn.XLOOKUP(tblLog[[#This Row],[Unique ID]], tblMaster[Unique ID], tblMaster[Email_Clean], ""), "")</f>
        <v>mryan881@yahoo.com</v>
      </c>
      <c r="E287" t="str">
        <f>IFERROR(_xlfn.XLOOKUP(tblLog[[#This Row],[Unique ID]], tblMaster[Unique ID], tblMaster[Phone], ""), "")</f>
        <v>978-799-5176</v>
      </c>
      <c r="F287" t="str">
        <f>IFERROR(_xlfn.XLOOKUP(tblLog[[#This Row],[Unique ID]], tblMaster[Unique ID], tblMaster[Recruiter], ""), "")</f>
        <v xml:space="preserve">Enrique Ortiz </v>
      </c>
      <c r="G287" t="str">
        <f>IFERROR(_xlfn.XLOOKUP(tblLog[[#This Row],[Unique ID]], tblMaster[Unique ID], tblMaster[Recruitment Cycle], ""), "")</f>
        <v xml:space="preserve">Re-Engagment/Post Civil Service Exam </v>
      </c>
      <c r="H287" t="s">
        <v>7455</v>
      </c>
      <c r="I287" t="s">
        <v>4</v>
      </c>
      <c r="J287" s="3">
        <v>1</v>
      </c>
      <c r="K287" t="s">
        <v>7491</v>
      </c>
      <c r="L287" s="2">
        <v>46064</v>
      </c>
      <c r="M287" t="s">
        <v>7508</v>
      </c>
      <c r="N287" t="s">
        <v>7497</v>
      </c>
      <c r="P287">
        <f ca="1">IF(tblLog[[#This Row],[Log Date]]="","",TODAY()-tblLog[[#This Row],[Log Date]])</f>
        <v>15</v>
      </c>
      <c r="Q287" t="str">
        <f>IF(tblLog[[#This Row],[Log Date]]="","",IF(TRIM(tblLog[[#This Row],[Cycle Stage]])="Asked to be removed from database","NO","YES"))</f>
        <v>YES</v>
      </c>
      <c r="R2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8" spans="1:18" ht="15" customHeight="1">
      <c r="A288" t="s">
        <v>7865</v>
      </c>
      <c r="B288" t="str">
        <f>IFERROR(_xlfn.XLOOKUP(tblLog[[#This Row],[Unique ID]], tblMaster[Unique ID], tblMaster[First Name], ""), "")</f>
        <v xml:space="preserve">Seth </v>
      </c>
      <c r="C288" t="str">
        <f>IFERROR(_xlfn.XLOOKUP(tblLog[[#This Row],[Unique ID]], tblMaster[Unique ID], tblMaster[Last Name], ""), "")</f>
        <v xml:space="preserve">Finnessey </v>
      </c>
      <c r="D288" t="str">
        <f>IFERROR(_xlfn.XLOOKUP(tblLog[[#This Row],[Unique ID]], tblMaster[Unique ID], tblMaster[Email_Clean], ""), "")</f>
        <v>sfinnessey8753@westfield.ma.edu</v>
      </c>
      <c r="E288" t="str">
        <f>IFERROR(_xlfn.XLOOKUP(tblLog[[#This Row],[Unique ID]], tblMaster[Unique ID], tblMaster[Phone], ""), "")</f>
        <v>413-362-2560</v>
      </c>
      <c r="F288" t="str">
        <f>IFERROR(_xlfn.XLOOKUP(tblLog[[#This Row],[Unique ID]], tblMaster[Unique ID], tblMaster[Recruiter], ""), "")</f>
        <v xml:space="preserve">Enrique Ortiz </v>
      </c>
      <c r="G288" t="str">
        <f>IFERROR(_xlfn.XLOOKUP(tblLog[[#This Row],[Unique ID]], tblMaster[Unique ID], tblMaster[Recruitment Cycle], ""), "")</f>
        <v xml:space="preserve">Re-Engagment/Post Civil Service Exam </v>
      </c>
      <c r="H288" t="s">
        <v>7455</v>
      </c>
      <c r="I288" t="s">
        <v>4</v>
      </c>
      <c r="J288" s="3">
        <v>1</v>
      </c>
      <c r="K288" t="s">
        <v>7472</v>
      </c>
      <c r="L288" s="2">
        <v>46064</v>
      </c>
      <c r="M288" t="s">
        <v>7615</v>
      </c>
      <c r="P288">
        <f ca="1">IF(tblLog[[#This Row],[Log Date]]="","",TODAY()-tblLog[[#This Row],[Log Date]])</f>
        <v>15</v>
      </c>
      <c r="Q288" t="str">
        <f>IF(tblLog[[#This Row],[Log Date]]="","",IF(TRIM(tblLog[[#This Row],[Cycle Stage]])="Asked to be removed from database","NO","YES"))</f>
        <v>YES</v>
      </c>
      <c r="R2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89" spans="1:18" ht="15" customHeight="1">
      <c r="A289" t="s">
        <v>7866</v>
      </c>
      <c r="B289" t="str">
        <f>IFERROR(_xlfn.XLOOKUP(tblLog[[#This Row],[Unique ID]], tblMaster[Unique ID], tblMaster[First Name], ""), "")</f>
        <v>Valdir</v>
      </c>
      <c r="C289" t="str">
        <f>IFERROR(_xlfn.XLOOKUP(tblLog[[#This Row],[Unique ID]], tblMaster[Unique ID], tblMaster[Last Name], ""), "")</f>
        <v>Docanto</v>
      </c>
      <c r="D289" t="str">
        <f>IFERROR(_xlfn.XLOOKUP(tblLog[[#This Row],[Unique ID]], tblMaster[Unique ID], tblMaster[Email_Clean], ""), "")</f>
        <v>valdir3423@yahoo.com</v>
      </c>
      <c r="E289" t="str">
        <f>IFERROR(_xlfn.XLOOKUP(tblLog[[#This Row],[Unique ID]], tblMaster[Unique ID], tblMaster[Phone], ""), "")</f>
        <v>617-334-4785</v>
      </c>
      <c r="F289" t="str">
        <f>IFERROR(_xlfn.XLOOKUP(tblLog[[#This Row],[Unique ID]], tblMaster[Unique ID], tblMaster[Recruiter], ""), "")</f>
        <v xml:space="preserve">Enrique Ortiz </v>
      </c>
      <c r="G289" t="str">
        <f>IFERROR(_xlfn.XLOOKUP(tblLog[[#This Row],[Unique ID]], tblMaster[Unique ID], tblMaster[Recruitment Cycle], ""), "")</f>
        <v xml:space="preserve">Re-Engagment/Post Civil Service Exam </v>
      </c>
      <c r="H289" t="s">
        <v>7455</v>
      </c>
      <c r="I289" t="s">
        <v>4</v>
      </c>
      <c r="J289" s="3">
        <v>1</v>
      </c>
      <c r="K289" t="s">
        <v>7491</v>
      </c>
      <c r="L289" s="2">
        <v>46064</v>
      </c>
      <c r="M289" t="s">
        <v>7508</v>
      </c>
      <c r="N289" t="s">
        <v>7497</v>
      </c>
      <c r="P289">
        <f ca="1">IF(tblLog[[#This Row],[Log Date]]="","",TODAY()-tblLog[[#This Row],[Log Date]])</f>
        <v>15</v>
      </c>
      <c r="Q289" t="str">
        <f>IF(tblLog[[#This Row],[Log Date]]="","",IF(TRIM(tblLog[[#This Row],[Cycle Stage]])="Asked to be removed from database","NO","YES"))</f>
        <v>YES</v>
      </c>
      <c r="R2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0" spans="1:18" ht="15" customHeight="1">
      <c r="A290" t="s">
        <v>7867</v>
      </c>
      <c r="B290" t="str">
        <f>IFERROR(_xlfn.XLOOKUP(tblLog[[#This Row],[Unique ID]], tblMaster[Unique ID], tblMaster[First Name], ""), "")</f>
        <v xml:space="preserve">Samantha </v>
      </c>
      <c r="C290" t="str">
        <f>IFERROR(_xlfn.XLOOKUP(tblLog[[#This Row],[Unique ID]], tblMaster[Unique ID], tblMaster[Last Name], ""), "")</f>
        <v xml:space="preserve">Dumais </v>
      </c>
      <c r="D290" t="str">
        <f>IFERROR(_xlfn.XLOOKUP(tblLog[[#This Row],[Unique ID]], tblMaster[Unique ID], tblMaster[Email_Clean], ""), "")</f>
        <v>samantha.dumais1225@gmail.com</v>
      </c>
      <c r="E290" t="str">
        <f>IFERROR(_xlfn.XLOOKUP(tblLog[[#This Row],[Unique ID]], tblMaster[Unique ID], tblMaster[Phone], ""), "")</f>
        <v xml:space="preserve">(774) 275-9376 </v>
      </c>
      <c r="F290" t="str">
        <f>IFERROR(_xlfn.XLOOKUP(tblLog[[#This Row],[Unique ID]], tblMaster[Unique ID], tblMaster[Recruiter], ""), "")</f>
        <v xml:space="preserve">Enrique Ortiz </v>
      </c>
      <c r="G290" t="str">
        <f>IFERROR(_xlfn.XLOOKUP(tblLog[[#This Row],[Unique ID]], tblMaster[Unique ID], tblMaster[Recruitment Cycle], ""), "")</f>
        <v xml:space="preserve">Re-Engagment/Post Civil Service Exam </v>
      </c>
      <c r="H290" t="s">
        <v>7455</v>
      </c>
      <c r="I290" t="s">
        <v>4</v>
      </c>
      <c r="J290" s="3">
        <v>1</v>
      </c>
      <c r="K290" t="s">
        <v>7491</v>
      </c>
      <c r="L290" s="2">
        <v>46064</v>
      </c>
      <c r="M290" t="s">
        <v>7508</v>
      </c>
      <c r="N290" t="s">
        <v>7497</v>
      </c>
      <c r="P290">
        <f ca="1">IF(tblLog[[#This Row],[Log Date]]="","",TODAY()-tblLog[[#This Row],[Log Date]])</f>
        <v>15</v>
      </c>
      <c r="Q290" t="str">
        <f>IF(tblLog[[#This Row],[Log Date]]="","",IF(TRIM(tblLog[[#This Row],[Cycle Stage]])="Asked to be removed from database","NO","YES"))</f>
        <v>YES</v>
      </c>
      <c r="R2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1" spans="1:18" ht="15" customHeight="1">
      <c r="A291" t="s">
        <v>7868</v>
      </c>
      <c r="B291" t="str">
        <f>IFERROR(_xlfn.XLOOKUP(tblLog[[#This Row],[Unique ID]], tblMaster[Unique ID], tblMaster[First Name], ""), "")</f>
        <v xml:space="preserve">Randy </v>
      </c>
      <c r="C291" t="str">
        <f>IFERROR(_xlfn.XLOOKUP(tblLog[[#This Row],[Unique ID]], tblMaster[Unique ID], tblMaster[Last Name], ""), "")</f>
        <v xml:space="preserve">Veras </v>
      </c>
      <c r="D291" t="str">
        <f>IFERROR(_xlfn.XLOOKUP(tblLog[[#This Row],[Unique ID]], tblMaster[Unique ID], tblMaster[Email_Clean], ""), "")</f>
        <v>randyv24@gmail.com</v>
      </c>
      <c r="E291" t="str">
        <f>IFERROR(_xlfn.XLOOKUP(tblLog[[#This Row],[Unique ID]], tblMaster[Unique ID], tblMaster[Phone], ""), "")</f>
        <v xml:space="preserve">(978) 390-2283 </v>
      </c>
      <c r="F291" t="str">
        <f>IFERROR(_xlfn.XLOOKUP(tblLog[[#This Row],[Unique ID]], tblMaster[Unique ID], tblMaster[Recruiter], ""), "")</f>
        <v xml:space="preserve">Enrique Ortiz </v>
      </c>
      <c r="G291" t="str">
        <f>IFERROR(_xlfn.XLOOKUP(tblLog[[#This Row],[Unique ID]], tblMaster[Unique ID], tblMaster[Recruitment Cycle], ""), "")</f>
        <v xml:space="preserve">Re-Engagment/Post Civil Service Exam </v>
      </c>
      <c r="H291" t="s">
        <v>7455</v>
      </c>
      <c r="I291" t="s">
        <v>4</v>
      </c>
      <c r="J291" s="3">
        <v>1</v>
      </c>
      <c r="K291" t="s">
        <v>7491</v>
      </c>
      <c r="L291" s="2">
        <v>46064</v>
      </c>
      <c r="M291" t="s">
        <v>7508</v>
      </c>
      <c r="N291" t="s">
        <v>7497</v>
      </c>
      <c r="P291">
        <f ca="1">IF(tblLog[[#This Row],[Log Date]]="","",TODAY()-tblLog[[#This Row],[Log Date]])</f>
        <v>15</v>
      </c>
      <c r="Q291" t="str">
        <f>IF(tblLog[[#This Row],[Log Date]]="","",IF(TRIM(tblLog[[#This Row],[Cycle Stage]])="Asked to be removed from database","NO","YES"))</f>
        <v>YES</v>
      </c>
      <c r="R2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2" spans="1:18" ht="15" customHeight="1">
      <c r="A292" t="s">
        <v>7869</v>
      </c>
      <c r="B292" t="str">
        <f>IFERROR(_xlfn.XLOOKUP(tblLog[[#This Row],[Unique ID]], tblMaster[Unique ID], tblMaster[First Name], ""), "")</f>
        <v xml:space="preserve">Alexandria </v>
      </c>
      <c r="C292" t="str">
        <f>IFERROR(_xlfn.XLOOKUP(tblLog[[#This Row],[Unique ID]], tblMaster[Unique ID], tblMaster[Last Name], ""), "")</f>
        <v>Gomes</v>
      </c>
      <c r="D292" t="str">
        <f>IFERROR(_xlfn.XLOOKUP(tblLog[[#This Row],[Unique ID]], tblMaster[Unique ID], tblMaster[Email_Clean], ""), "")</f>
        <v>allygomes4@gmail.com</v>
      </c>
      <c r="E292" t="str">
        <f>IFERROR(_xlfn.XLOOKUP(tblLog[[#This Row],[Unique ID]], tblMaster[Unique ID], tblMaster[Phone], ""), "")</f>
        <v>(774)-558-7151</v>
      </c>
      <c r="F292" t="str">
        <f>IFERROR(_xlfn.XLOOKUP(tblLog[[#This Row],[Unique ID]], tblMaster[Unique ID], tblMaster[Recruiter], ""), "")</f>
        <v xml:space="preserve">Tom Clark </v>
      </c>
      <c r="G292" t="str">
        <f>IFERROR(_xlfn.XLOOKUP(tblLog[[#This Row],[Unique ID]], tblMaster[Unique ID], tblMaster[Recruitment Cycle], ""), "")</f>
        <v xml:space="preserve">Re-Engagment </v>
      </c>
      <c r="H292" t="s">
        <v>7455</v>
      </c>
      <c r="I292" t="s">
        <v>7434</v>
      </c>
      <c r="J292" s="3">
        <v>1</v>
      </c>
      <c r="K292" t="s">
        <v>7435</v>
      </c>
      <c r="L292" s="2">
        <v>46064</v>
      </c>
      <c r="M292" t="s">
        <v>7452</v>
      </c>
      <c r="O292" t="s">
        <v>7870</v>
      </c>
      <c r="P292">
        <f ca="1">IF(tblLog[[#This Row],[Log Date]]="","",TODAY()-tblLog[[#This Row],[Log Date]])</f>
        <v>15</v>
      </c>
      <c r="Q292" t="str">
        <f>IF(tblLog[[#This Row],[Log Date]]="","",IF(TRIM(tblLog[[#This Row],[Cycle Stage]])="Asked to be removed from database","NO","YES"))</f>
        <v>YES</v>
      </c>
      <c r="R2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3" spans="1:18" ht="15" customHeight="1">
      <c r="A293" t="s">
        <v>7871</v>
      </c>
      <c r="B293" t="str">
        <f>IFERROR(_xlfn.XLOOKUP(tblLog[[#This Row],[Unique ID]], tblMaster[Unique ID], tblMaster[First Name], ""), "")</f>
        <v xml:space="preserve">Kayla </v>
      </c>
      <c r="C293" t="str">
        <f>IFERROR(_xlfn.XLOOKUP(tblLog[[#This Row],[Unique ID]], tblMaster[Unique ID], tblMaster[Last Name], ""), "")</f>
        <v xml:space="preserve">Drillis </v>
      </c>
      <c r="D293" t="str">
        <f>IFERROR(_xlfn.XLOOKUP(tblLog[[#This Row],[Unique ID]], tblMaster[Unique ID], tblMaster[Email_Clean], ""), "")</f>
        <v>drilliskayla@gmail.com</v>
      </c>
      <c r="E293" t="str">
        <f>IFERROR(_xlfn.XLOOKUP(tblLog[[#This Row],[Unique ID]], tblMaster[Unique ID], tblMaster[Phone], ""), "")</f>
        <v xml:space="preserve">(857) 354-9447 </v>
      </c>
      <c r="F293" t="str">
        <f>IFERROR(_xlfn.XLOOKUP(tblLog[[#This Row],[Unique ID]], tblMaster[Unique ID], tblMaster[Recruiter], ""), "")</f>
        <v xml:space="preserve">Enrique Ortiz </v>
      </c>
      <c r="G293" t="str">
        <f>IFERROR(_xlfn.XLOOKUP(tblLog[[#This Row],[Unique ID]], tblMaster[Unique ID], tblMaster[Recruitment Cycle], ""), "")</f>
        <v xml:space="preserve">Re-Engagment </v>
      </c>
      <c r="H293" t="s">
        <v>7455</v>
      </c>
      <c r="I293" t="s">
        <v>7434</v>
      </c>
      <c r="J293" s="3">
        <v>2</v>
      </c>
      <c r="K293" t="s">
        <v>7491</v>
      </c>
      <c r="L293" s="2">
        <v>46064</v>
      </c>
      <c r="M293" t="s">
        <v>7485</v>
      </c>
      <c r="N293" t="s">
        <v>7475</v>
      </c>
      <c r="P293">
        <f ca="1">IF(tblLog[[#This Row],[Log Date]]="","",TODAY()-tblLog[[#This Row],[Log Date]])</f>
        <v>15</v>
      </c>
      <c r="Q293" t="str">
        <f>IF(tblLog[[#This Row],[Log Date]]="","",IF(TRIM(tblLog[[#This Row],[Cycle Stage]])="Asked to be removed from database","NO","YES"))</f>
        <v>YES</v>
      </c>
      <c r="R2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4" spans="1:18" ht="15" customHeight="1">
      <c r="A294" t="s">
        <v>7872</v>
      </c>
      <c r="B294" t="str">
        <f>IFERROR(_xlfn.XLOOKUP(tblLog[[#This Row],[Unique ID]], tblMaster[Unique ID], tblMaster[First Name], ""), "")</f>
        <v xml:space="preserve">Luckensia </v>
      </c>
      <c r="C294" t="str">
        <f>IFERROR(_xlfn.XLOOKUP(tblLog[[#This Row],[Unique ID]], tblMaster[Unique ID], tblMaster[Last Name], ""), "")</f>
        <v xml:space="preserve"> Chevalier</v>
      </c>
      <c r="D294" t="str">
        <f>IFERROR(_xlfn.XLOOKUP(tblLog[[#This Row],[Unique ID]], tblMaster[Unique ID], tblMaster[Email_Clean], ""), "")</f>
        <v>lucken03@hotmail.com</v>
      </c>
      <c r="E294" t="str">
        <f>IFERROR(_xlfn.XLOOKUP(tblLog[[#This Row],[Unique ID]], tblMaster[Unique ID], tblMaster[Phone], ""), "")</f>
        <v>786-961-3637</v>
      </c>
      <c r="F294" t="str">
        <f>IFERROR(_xlfn.XLOOKUP(tblLog[[#This Row],[Unique ID]], tblMaster[Unique ID], tblMaster[Recruiter], ""), "")</f>
        <v xml:space="preserve">Enrique Ortiz </v>
      </c>
      <c r="G294" t="str">
        <f>IFERROR(_xlfn.XLOOKUP(tblLog[[#This Row],[Unique ID]], tblMaster[Unique ID], tblMaster[Recruitment Cycle], ""), "")</f>
        <v xml:space="preserve">Re-Engagment </v>
      </c>
      <c r="H294" t="s">
        <v>7455</v>
      </c>
      <c r="I294" t="s">
        <v>4</v>
      </c>
      <c r="J294" s="3">
        <v>2</v>
      </c>
      <c r="K294" t="s">
        <v>7491</v>
      </c>
      <c r="L294" s="2">
        <v>46064</v>
      </c>
      <c r="M294" t="s">
        <v>7485</v>
      </c>
      <c r="N294" t="s">
        <v>7475</v>
      </c>
      <c r="O294" t="s">
        <v>7596</v>
      </c>
      <c r="P294">
        <f ca="1">IF(tblLog[[#This Row],[Log Date]]="","",TODAY()-tblLog[[#This Row],[Log Date]])</f>
        <v>15</v>
      </c>
      <c r="Q294" t="str">
        <f>IF(tblLog[[#This Row],[Log Date]]="","",IF(TRIM(tblLog[[#This Row],[Cycle Stage]])="Asked to be removed from database","NO","YES"))</f>
        <v>YES</v>
      </c>
      <c r="R2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5" spans="1:18" ht="15" customHeight="1">
      <c r="A295" t="s">
        <v>7873</v>
      </c>
      <c r="B295" t="str">
        <f>IFERROR(_xlfn.XLOOKUP(tblLog[[#This Row],[Unique ID]], tblMaster[Unique ID], tblMaster[First Name], ""), "")</f>
        <v xml:space="preserve">Ricardo </v>
      </c>
      <c r="C295" t="str">
        <f>IFERROR(_xlfn.XLOOKUP(tblLog[[#This Row],[Unique ID]], tblMaster[Unique ID], tblMaster[Last Name], ""), "")</f>
        <v xml:space="preserve">Guity </v>
      </c>
      <c r="D295" t="str">
        <f>IFERROR(_xlfn.XLOOKUP(tblLog[[#This Row],[Unique ID]], tblMaster[Unique ID], tblMaster[Email_Clean], ""), "")</f>
        <v>ricardog3615@gmail.com</v>
      </c>
      <c r="E295" t="str">
        <f>IFERROR(_xlfn.XLOOKUP(tblLog[[#This Row],[Unique ID]], tblMaster[Unique ID], tblMaster[Phone], ""), "")</f>
        <v xml:space="preserve">(617) 642-8515 </v>
      </c>
      <c r="F295" t="str">
        <f>IFERROR(_xlfn.XLOOKUP(tblLog[[#This Row],[Unique ID]], tblMaster[Unique ID], tblMaster[Recruiter], ""), "")</f>
        <v xml:space="preserve">Enrique Ortiz </v>
      </c>
      <c r="G295" t="str">
        <f>IFERROR(_xlfn.XLOOKUP(tblLog[[#This Row],[Unique ID]], tblMaster[Unique ID], tblMaster[Recruitment Cycle], ""), "")</f>
        <v xml:space="preserve">Re-Engagment </v>
      </c>
      <c r="H295" t="s">
        <v>7455</v>
      </c>
      <c r="I295" t="s">
        <v>7494</v>
      </c>
      <c r="J295" s="3">
        <v>3</v>
      </c>
      <c r="K295" t="s">
        <v>7491</v>
      </c>
      <c r="L295" s="2">
        <v>46064</v>
      </c>
      <c r="M295" t="s">
        <v>7508</v>
      </c>
      <c r="N295" t="s">
        <v>7475</v>
      </c>
      <c r="P295">
        <f ca="1">IF(tblLog[[#This Row],[Log Date]]="","",TODAY()-tblLog[[#This Row],[Log Date]])</f>
        <v>15</v>
      </c>
      <c r="Q295" t="str">
        <f>IF(tblLog[[#This Row],[Log Date]]="","",IF(TRIM(tblLog[[#This Row],[Cycle Stage]])="Asked to be removed from database","NO","YES"))</f>
        <v>YES</v>
      </c>
      <c r="R2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6" spans="1:18" ht="15" customHeight="1">
      <c r="A296" t="s">
        <v>7874</v>
      </c>
      <c r="B296" t="str">
        <f>IFERROR(_xlfn.XLOOKUP(tblLog[[#This Row],[Unique ID]], tblMaster[Unique ID], tblMaster[First Name], ""), "")</f>
        <v>Rickey</v>
      </c>
      <c r="C296" t="str">
        <f>IFERROR(_xlfn.XLOOKUP(tblLog[[#This Row],[Unique ID]], tblMaster[Unique ID], tblMaster[Last Name], ""), "")</f>
        <v>Wilcox</v>
      </c>
      <c r="D296" t="str">
        <f>IFERROR(_xlfn.XLOOKUP(tblLog[[#This Row],[Unique ID]], tblMaster[Unique ID], tblMaster[Email_Clean], ""), "")</f>
        <v>rickeylw04fl@gmail.com</v>
      </c>
      <c r="E296" t="str">
        <f>IFERROR(_xlfn.XLOOKUP(tblLog[[#This Row],[Unique ID]], tblMaster[Unique ID], tblMaster[Phone], ""), "")</f>
        <v>904-671-2049</v>
      </c>
      <c r="F296" t="str">
        <f>IFERROR(_xlfn.XLOOKUP(tblLog[[#This Row],[Unique ID]], tblMaster[Unique ID], tblMaster[Recruiter], ""), "")</f>
        <v xml:space="preserve">Enrique Ortiz </v>
      </c>
      <c r="G296" t="str">
        <f>IFERROR(_xlfn.XLOOKUP(tblLog[[#This Row],[Unique ID]], tblMaster[Unique ID], tblMaster[Recruitment Cycle], ""), "")</f>
        <v xml:space="preserve">Re-Engagment </v>
      </c>
      <c r="H296" t="s">
        <v>7455</v>
      </c>
      <c r="I296" t="s">
        <v>7434</v>
      </c>
      <c r="J296" s="3">
        <v>1</v>
      </c>
      <c r="K296" t="s">
        <v>7491</v>
      </c>
      <c r="L296" s="2">
        <v>46064</v>
      </c>
      <c r="M296" t="s">
        <v>7485</v>
      </c>
      <c r="N296" t="s">
        <v>7475</v>
      </c>
      <c r="O296" t="s">
        <v>7596</v>
      </c>
      <c r="P296">
        <f ca="1">IF(tblLog[[#This Row],[Log Date]]="","",TODAY()-tblLog[[#This Row],[Log Date]])</f>
        <v>15</v>
      </c>
      <c r="Q296" t="str">
        <f>IF(tblLog[[#This Row],[Log Date]]="","",IF(TRIM(tblLog[[#This Row],[Cycle Stage]])="Asked to be removed from database","NO","YES"))</f>
        <v>YES</v>
      </c>
      <c r="R2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7" spans="1:18" ht="15" customHeight="1">
      <c r="A297" t="s">
        <v>7875</v>
      </c>
      <c r="B297" t="str">
        <f>IFERROR(_xlfn.XLOOKUP(tblLog[[#This Row],[Unique ID]], tblMaster[Unique ID], tblMaster[First Name], ""), "")</f>
        <v xml:space="preserve">Amanda </v>
      </c>
      <c r="C297" t="str">
        <f>IFERROR(_xlfn.XLOOKUP(tblLog[[#This Row],[Unique ID]], tblMaster[Unique ID], tblMaster[Last Name], ""), "")</f>
        <v xml:space="preserve">Dwyer </v>
      </c>
      <c r="D297" t="str">
        <f>IFERROR(_xlfn.XLOOKUP(tblLog[[#This Row],[Unique ID]], tblMaster[Unique ID], tblMaster[Email_Clean], ""), "")</f>
        <v>amandaedwyer119@gmail.com</v>
      </c>
      <c r="E297" t="str">
        <f>IFERROR(_xlfn.XLOOKUP(tblLog[[#This Row],[Unique ID]], tblMaster[Unique ID], tblMaster[Phone], ""), "")</f>
        <v>978-490-6134</v>
      </c>
      <c r="F297" t="str">
        <f>IFERROR(_xlfn.XLOOKUP(tblLog[[#This Row],[Unique ID]], tblMaster[Unique ID], tblMaster[Recruiter], ""), "")</f>
        <v xml:space="preserve">Enrique Ortiz </v>
      </c>
      <c r="G297" t="str">
        <f>IFERROR(_xlfn.XLOOKUP(tblLog[[#This Row],[Unique ID]], tblMaster[Unique ID], tblMaster[Recruitment Cycle], ""), "")</f>
        <v xml:space="preserve">Re-Engagment </v>
      </c>
      <c r="H297" t="s">
        <v>7455</v>
      </c>
      <c r="I297" t="s">
        <v>7494</v>
      </c>
      <c r="J297" s="3">
        <v>2</v>
      </c>
      <c r="K297" t="s">
        <v>7491</v>
      </c>
      <c r="L297" s="2">
        <v>46064</v>
      </c>
      <c r="M297" t="s">
        <v>7508</v>
      </c>
      <c r="N297" t="s">
        <v>7475</v>
      </c>
      <c r="P297">
        <f ca="1">IF(tblLog[[#This Row],[Log Date]]="","",TODAY()-tblLog[[#This Row],[Log Date]])</f>
        <v>15</v>
      </c>
      <c r="Q297" t="str">
        <f>IF(tblLog[[#This Row],[Log Date]]="","",IF(TRIM(tblLog[[#This Row],[Cycle Stage]])="Asked to be removed from database","NO","YES"))</f>
        <v>YES</v>
      </c>
      <c r="R2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8" spans="1:18" ht="15" customHeight="1">
      <c r="A298" t="s">
        <v>7876</v>
      </c>
      <c r="B298" t="str">
        <f>IFERROR(_xlfn.XLOOKUP(tblLog[[#This Row],[Unique ID]], tblMaster[Unique ID], tblMaster[First Name], ""), "")</f>
        <v>Tasos</v>
      </c>
      <c r="C298" t="str">
        <f>IFERROR(_xlfn.XLOOKUP(tblLog[[#This Row],[Unique ID]], tblMaster[Unique ID], tblMaster[Last Name], ""), "")</f>
        <v>Apostle</v>
      </c>
      <c r="D298" t="str">
        <f>IFERROR(_xlfn.XLOOKUP(tblLog[[#This Row],[Unique ID]], tblMaster[Unique ID], tblMaster[Email_Clean], ""), "")</f>
        <v>tasosapostle57@gmail.com</v>
      </c>
      <c r="E298" t="str">
        <f>IFERROR(_xlfn.XLOOKUP(tblLog[[#This Row],[Unique ID]], tblMaster[Unique ID], tblMaster[Phone], ""), "")</f>
        <v>9786065602</v>
      </c>
      <c r="F298" t="str">
        <f>IFERROR(_xlfn.XLOOKUP(tblLog[[#This Row],[Unique ID]], tblMaster[Unique ID], tblMaster[Recruiter], ""), "")</f>
        <v xml:space="preserve">Enrique Ortiz </v>
      </c>
      <c r="G298" t="str">
        <f>IFERROR(_xlfn.XLOOKUP(tblLog[[#This Row],[Unique ID]], tblMaster[Unique ID], tblMaster[Recruitment Cycle], ""), "")</f>
        <v xml:space="preserve">New Submission/ Lead </v>
      </c>
      <c r="H298" t="s">
        <v>7455</v>
      </c>
      <c r="I298" t="s">
        <v>7434</v>
      </c>
      <c r="J298" s="3">
        <v>2</v>
      </c>
      <c r="K298" t="s">
        <v>7435</v>
      </c>
      <c r="L298" s="2">
        <v>46064</v>
      </c>
      <c r="M298" t="s">
        <v>7452</v>
      </c>
      <c r="N298" t="s">
        <v>7487</v>
      </c>
      <c r="P298">
        <f ca="1">IF(tblLog[[#This Row],[Log Date]]="","",TODAY()-tblLog[[#This Row],[Log Date]])</f>
        <v>15</v>
      </c>
      <c r="Q298" t="str">
        <f>IF(tblLog[[#This Row],[Log Date]]="","",IF(TRIM(tblLog[[#This Row],[Cycle Stage]])="Asked to be removed from database","NO","YES"))</f>
        <v>YES</v>
      </c>
      <c r="R2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299" spans="1:18" ht="15" customHeight="1">
      <c r="A299" t="s">
        <v>7877</v>
      </c>
      <c r="B299" t="str">
        <f>IFERROR(_xlfn.XLOOKUP(tblLog[[#This Row],[Unique ID]], tblMaster[Unique ID], tblMaster[First Name], ""), "")</f>
        <v>Kyle</v>
      </c>
      <c r="C299" t="str">
        <f>IFERROR(_xlfn.XLOOKUP(tblLog[[#This Row],[Unique ID]], tblMaster[Unique ID], tblMaster[Last Name], ""), "")</f>
        <v xml:space="preserve">Russell </v>
      </c>
      <c r="D299" t="str">
        <f>IFERROR(_xlfn.XLOOKUP(tblLog[[#This Row],[Unique ID]], tblMaster[Unique ID], tblMaster[Email_Clean], ""), "")</f>
        <v>russellkyle2002@gmail.com</v>
      </c>
      <c r="E299" t="str">
        <f>IFERROR(_xlfn.XLOOKUP(tblLog[[#This Row],[Unique ID]], tblMaster[Unique ID], tblMaster[Phone], ""), "")</f>
        <v>(508) 685-4060</v>
      </c>
      <c r="F299" t="str">
        <f>IFERROR(_xlfn.XLOOKUP(tblLog[[#This Row],[Unique ID]], tblMaster[Unique ID], tblMaster[Recruiter], ""), "")</f>
        <v xml:space="preserve">Enrique Ortiz </v>
      </c>
      <c r="G299" t="str">
        <f>IFERROR(_xlfn.XLOOKUP(tblLog[[#This Row],[Unique ID]], tblMaster[Unique ID], tblMaster[Recruitment Cycle], ""), "")</f>
        <v xml:space="preserve">New Submission/ Lead </v>
      </c>
      <c r="H299" t="s">
        <v>7455</v>
      </c>
      <c r="I299" t="s">
        <v>7494</v>
      </c>
      <c r="J299" s="3">
        <v>3</v>
      </c>
      <c r="K299" t="s">
        <v>7446</v>
      </c>
      <c r="L299" s="2">
        <v>46064</v>
      </c>
      <c r="M299" t="s">
        <v>7452</v>
      </c>
      <c r="O299" t="s">
        <v>7878</v>
      </c>
      <c r="P299">
        <f ca="1">IF(tblLog[[#This Row],[Log Date]]="","",TODAY()-tblLog[[#This Row],[Log Date]])</f>
        <v>15</v>
      </c>
      <c r="Q299" t="str">
        <f>IF(tblLog[[#This Row],[Log Date]]="","",IF(TRIM(tblLog[[#This Row],[Cycle Stage]])="Asked to be removed from database","NO","YES"))</f>
        <v>YES</v>
      </c>
      <c r="R2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0" spans="1:18" ht="15" customHeight="1">
      <c r="A300" t="s">
        <v>7879</v>
      </c>
      <c r="B300" t="str">
        <f>IFERROR(_xlfn.XLOOKUP(tblLog[[#This Row],[Unique ID]], tblMaster[Unique ID], tblMaster[First Name], ""), "")</f>
        <v xml:space="preserve">Zane </v>
      </c>
      <c r="C300" t="str">
        <f>IFERROR(_xlfn.XLOOKUP(tblLog[[#This Row],[Unique ID]], tblMaster[Unique ID], tblMaster[Last Name], ""), "")</f>
        <v xml:space="preserve"> Vetter </v>
      </c>
      <c r="D300" t="str">
        <f>IFERROR(_xlfn.XLOOKUP(tblLog[[#This Row],[Unique ID]], tblMaster[Unique ID], tblMaster[Email_Clean], ""), "")</f>
        <v>zvetter715@gmail.com</v>
      </c>
      <c r="E300" t="str">
        <f>IFERROR(_xlfn.XLOOKUP(tblLog[[#This Row],[Unique ID]], tblMaster[Unique ID], tblMaster[Phone], ""), "")</f>
        <v xml:space="preserve">(860) 713-8449 </v>
      </c>
      <c r="F300" t="str">
        <f>IFERROR(_xlfn.XLOOKUP(tblLog[[#This Row],[Unique ID]], tblMaster[Unique ID], tblMaster[Recruiter], ""), "")</f>
        <v xml:space="preserve">Jevon Brown Simpson </v>
      </c>
      <c r="G300" t="str">
        <f>IFERROR(_xlfn.XLOOKUP(tblLog[[#This Row],[Unique ID]], tblMaster[Unique ID], tblMaster[Recruitment Cycle], ""), "")</f>
        <v xml:space="preserve">New Submission/ Lead </v>
      </c>
      <c r="H300" t="s">
        <v>7463</v>
      </c>
      <c r="I300" t="s">
        <v>4</v>
      </c>
      <c r="J300" s="3">
        <v>3</v>
      </c>
      <c r="K300" t="s">
        <v>7435</v>
      </c>
      <c r="L300" s="2">
        <v>46071</v>
      </c>
      <c r="M300" t="s">
        <v>7452</v>
      </c>
      <c r="N300" t="s">
        <v>7475</v>
      </c>
      <c r="O300" t="s">
        <v>7880</v>
      </c>
      <c r="P300">
        <f ca="1">IF(tblLog[[#This Row],[Log Date]]="","",TODAY()-tblLog[[#This Row],[Log Date]])</f>
        <v>8</v>
      </c>
      <c r="Q300" t="str">
        <f>IF(tblLog[[#This Row],[Log Date]]="","",IF(TRIM(tblLog[[#This Row],[Cycle Stage]])="Asked to be removed from database","NO","YES"))</f>
        <v>YES</v>
      </c>
      <c r="R3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1" spans="1:18" ht="15" customHeight="1">
      <c r="A301" t="s">
        <v>7881</v>
      </c>
      <c r="B301" t="str">
        <f>IFERROR(_xlfn.XLOOKUP(tblLog[[#This Row],[Unique ID]], tblMaster[Unique ID], tblMaster[First Name], ""), "")</f>
        <v xml:space="preserve">	Aaron</v>
      </c>
      <c r="C301" t="str">
        <f>IFERROR(_xlfn.XLOOKUP(tblLog[[#This Row],[Unique ID]], tblMaster[Unique ID], tblMaster[Last Name], ""), "")</f>
        <v>Atherton</v>
      </c>
      <c r="D301" t="str">
        <f>IFERROR(_xlfn.XLOOKUP(tblLog[[#This Row],[Unique ID]], tblMaster[Unique ID], tblMaster[Email_Clean], ""), "")</f>
        <v>aaronatherton2@gmail.com</v>
      </c>
      <c r="E301" t="str">
        <f>IFERROR(_xlfn.XLOOKUP(tblLog[[#This Row],[Unique ID]], tblMaster[Unique ID], tblMaster[Phone], ""), "")</f>
        <v>(508) 493-7158</v>
      </c>
      <c r="F301" t="str">
        <f>IFERROR(_xlfn.XLOOKUP(tblLog[[#This Row],[Unique ID]], tblMaster[Unique ID], tblMaster[Recruiter], ""), "")</f>
        <v xml:space="preserve">Jevon Brown Simpson </v>
      </c>
      <c r="G301" t="str">
        <f>IFERROR(_xlfn.XLOOKUP(tblLog[[#This Row],[Unique ID]], tblMaster[Unique ID], tblMaster[Recruitment Cycle], ""), "")</f>
        <v xml:space="preserve">Re-Engagment </v>
      </c>
      <c r="H301" t="s">
        <v>7496</v>
      </c>
      <c r="I301" t="s">
        <v>4</v>
      </c>
      <c r="J301" s="3">
        <v>3</v>
      </c>
      <c r="K301" t="s">
        <v>7530</v>
      </c>
      <c r="L301" s="2">
        <v>46066</v>
      </c>
      <c r="M301" t="s">
        <v>7508</v>
      </c>
      <c r="P301">
        <f ca="1">IF(tblLog[[#This Row],[Log Date]]="","",TODAY()-tblLog[[#This Row],[Log Date]])</f>
        <v>13</v>
      </c>
      <c r="Q301" t="str">
        <f>IF(tblLog[[#This Row],[Log Date]]="","",IF(TRIM(tblLog[[#This Row],[Cycle Stage]])="Asked to be removed from database","NO","YES"))</f>
        <v>YES</v>
      </c>
      <c r="R3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2" spans="1:18" ht="15" customHeight="1">
      <c r="A302" t="s">
        <v>7882</v>
      </c>
      <c r="B302" t="str">
        <f>IFERROR(_xlfn.XLOOKUP(tblLog[[#This Row],[Unique ID]], tblMaster[Unique ID], tblMaster[First Name], ""), "")</f>
        <v xml:space="preserve">Roddrick </v>
      </c>
      <c r="C302" t="str">
        <f>IFERROR(_xlfn.XLOOKUP(tblLog[[#This Row],[Unique ID]], tblMaster[Unique ID], tblMaster[Last Name], ""), "")</f>
        <v xml:space="preserve">Harris </v>
      </c>
      <c r="D302" t="str">
        <f>IFERROR(_xlfn.XLOOKUP(tblLog[[#This Row],[Unique ID]], tblMaster[Unique ID], tblMaster[Email_Clean], ""), "")</f>
        <v>roderickharrisiii@gmail.com</v>
      </c>
      <c r="E302" t="str">
        <f>IFERROR(_xlfn.XLOOKUP(tblLog[[#This Row],[Unique ID]], tblMaster[Unique ID], tblMaster[Phone], ""), "")</f>
        <v>781-521-5801</v>
      </c>
      <c r="F302" t="str">
        <f>IFERROR(_xlfn.XLOOKUP(tblLog[[#This Row],[Unique ID]], tblMaster[Unique ID], tblMaster[Recruiter], ""), "")</f>
        <v xml:space="preserve">Enrique Ortiz </v>
      </c>
      <c r="G302" t="str">
        <f>IFERROR(_xlfn.XLOOKUP(tblLog[[#This Row],[Unique ID]], tblMaster[Unique ID], tblMaster[Recruitment Cycle], ""), "")</f>
        <v xml:space="preserve">New Submission/ Lead </v>
      </c>
      <c r="J302" s="3"/>
      <c r="P302" t="str">
        <f ca="1">IF(tblLog[[#This Row],[Log Date]]="","",TODAY()-tblLog[[#This Row],[Log Date]])</f>
        <v/>
      </c>
      <c r="Q302" t="str">
        <f>IF(tblLog[[#This Row],[Log Date]]="","",IF(TRIM(tblLog[[#This Row],[Cycle Stage]])="Asked to be removed from database","NO","YES"))</f>
        <v/>
      </c>
      <c r="R30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3" spans="1:18" ht="15" customHeight="1">
      <c r="A303" t="s">
        <v>7883</v>
      </c>
      <c r="B303" t="str">
        <f>IFERROR(_xlfn.XLOOKUP(tblLog[[#This Row],[Unique ID]], tblMaster[Unique ID], tblMaster[First Name], ""), "")</f>
        <v>Alexander</v>
      </c>
      <c r="C303" t="str">
        <f>IFERROR(_xlfn.XLOOKUP(tblLog[[#This Row],[Unique ID]], tblMaster[Unique ID], tblMaster[Last Name], ""), "")</f>
        <v xml:space="preserve"> Andon </v>
      </c>
      <c r="D303" t="str">
        <f>IFERROR(_xlfn.XLOOKUP(tblLog[[#This Row],[Unique ID]], tblMaster[Unique ID], tblMaster[Email_Clean], ""), "")</f>
        <v>alexandon81392@gmail.com</v>
      </c>
      <c r="E303" t="str">
        <f>IFERROR(_xlfn.XLOOKUP(tblLog[[#This Row],[Unique ID]], tblMaster[Unique ID], tblMaster[Phone], ""), "")</f>
        <v xml:space="preserve">(617) 285-6233 </v>
      </c>
      <c r="F303" t="str">
        <f>IFERROR(_xlfn.XLOOKUP(tblLog[[#This Row],[Unique ID]], tblMaster[Unique ID], tblMaster[Recruiter], ""), "")</f>
        <v xml:space="preserve">Jevon Brown Simpson </v>
      </c>
      <c r="G303" t="str">
        <f>IFERROR(_xlfn.XLOOKUP(tblLog[[#This Row],[Unique ID]], tblMaster[Unique ID], tblMaster[Recruitment Cycle], ""), "")</f>
        <v xml:space="preserve">New Submission/ Lead </v>
      </c>
      <c r="H303" t="s">
        <v>7496</v>
      </c>
      <c r="I303" t="s">
        <v>7494</v>
      </c>
      <c r="J303" s="3">
        <v>1</v>
      </c>
      <c r="K303" t="s">
        <v>7491</v>
      </c>
      <c r="L303" s="2">
        <v>46064</v>
      </c>
      <c r="M303" t="s">
        <v>7544</v>
      </c>
      <c r="P303">
        <f ca="1">IF(tblLog[[#This Row],[Log Date]]="","",TODAY()-tblLog[[#This Row],[Log Date]])</f>
        <v>15</v>
      </c>
      <c r="Q303" t="str">
        <f>IF(tblLog[[#This Row],[Log Date]]="","",IF(TRIM(tblLog[[#This Row],[Cycle Stage]])="Asked to be removed from database","NO","YES"))</f>
        <v>YES</v>
      </c>
      <c r="R3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4" spans="1:18" ht="15" customHeight="1">
      <c r="A304" t="s">
        <v>7884</v>
      </c>
      <c r="B304" t="str">
        <f>IFERROR(_xlfn.XLOOKUP(tblLog[[#This Row],[Unique ID]], tblMaster[Unique ID], tblMaster[First Name], ""), "")</f>
        <v>Ernest</v>
      </c>
      <c r="C304" t="str">
        <f>IFERROR(_xlfn.XLOOKUP(tblLog[[#This Row],[Unique ID]], tblMaster[Unique ID], tblMaster[Last Name], ""), "")</f>
        <v xml:space="preserve">Antwi </v>
      </c>
      <c r="D304" t="str">
        <f>IFERROR(_xlfn.XLOOKUP(tblLog[[#This Row],[Unique ID]], tblMaster[Unique ID], tblMaster[Email_Clean], ""), "")</f>
        <v>ernerstoh.eak@gmail.com</v>
      </c>
      <c r="E304" t="str">
        <f>IFERROR(_xlfn.XLOOKUP(tblLog[[#This Row],[Unique ID]], tblMaster[Unique ID], tblMaster[Phone], ""), "")</f>
        <v xml:space="preserve">(571) 250-9444 </v>
      </c>
      <c r="F304" t="str">
        <f>IFERROR(_xlfn.XLOOKUP(tblLog[[#This Row],[Unique ID]], tblMaster[Unique ID], tblMaster[Recruiter], ""), "")</f>
        <v xml:space="preserve">Enrique Ortiz </v>
      </c>
      <c r="G304" t="str">
        <f>IFERROR(_xlfn.XLOOKUP(tblLog[[#This Row],[Unique ID]], tblMaster[Unique ID], tblMaster[Recruitment Cycle], ""), "")</f>
        <v xml:space="preserve">New Submission/ Lead </v>
      </c>
      <c r="H304" t="s">
        <v>7455</v>
      </c>
      <c r="I304" t="s">
        <v>4</v>
      </c>
      <c r="J304" s="3">
        <v>1</v>
      </c>
      <c r="K304" t="s">
        <v>7491</v>
      </c>
      <c r="L304" s="2">
        <v>46064</v>
      </c>
      <c r="M304" t="s">
        <v>7485</v>
      </c>
      <c r="N304" t="s">
        <v>7475</v>
      </c>
      <c r="O304" t="s">
        <v>7791</v>
      </c>
      <c r="P304">
        <f ca="1">IF(tblLog[[#This Row],[Log Date]]="","",TODAY()-tblLog[[#This Row],[Log Date]])</f>
        <v>15</v>
      </c>
      <c r="Q304" t="str">
        <f>IF(tblLog[[#This Row],[Log Date]]="","",IF(TRIM(tblLog[[#This Row],[Cycle Stage]])="Asked to be removed from database","NO","YES"))</f>
        <v>YES</v>
      </c>
      <c r="R3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5" spans="1:18" ht="15" customHeight="1">
      <c r="A305" t="s">
        <v>7885</v>
      </c>
      <c r="B305" t="str">
        <f>IFERROR(_xlfn.XLOOKUP(tblLog[[#This Row],[Unique ID]], tblMaster[Unique ID], tblMaster[First Name], ""), "")</f>
        <v>Christopher</v>
      </c>
      <c r="C305" t="str">
        <f>IFERROR(_xlfn.XLOOKUP(tblLog[[#This Row],[Unique ID]], tblMaster[Unique ID], tblMaster[Last Name], ""), "")</f>
        <v xml:space="preserve"> Rickard </v>
      </c>
      <c r="D305" t="str">
        <f>IFERROR(_xlfn.XLOOKUP(tblLog[[#This Row],[Unique ID]], tblMaster[Unique ID], tblMaster[Email_Clean], ""), "")</f>
        <v>cj_rickard@yahoo.com</v>
      </c>
      <c r="E305" t="str">
        <f>IFERROR(_xlfn.XLOOKUP(tblLog[[#This Row],[Unique ID]], tblMaster[Unique ID], tblMaster[Phone], ""), "")</f>
        <v xml:space="preserve">781) 460-0075 </v>
      </c>
      <c r="F305" t="str">
        <f>IFERROR(_xlfn.XLOOKUP(tblLog[[#This Row],[Unique ID]], tblMaster[Unique ID], tblMaster[Recruiter], ""), "")</f>
        <v xml:space="preserve">Jevon Brown Simpson </v>
      </c>
      <c r="G305" t="str">
        <f>IFERROR(_xlfn.XLOOKUP(tblLog[[#This Row],[Unique ID]], tblMaster[Unique ID], tblMaster[Recruitment Cycle], ""), "")</f>
        <v xml:space="preserve">New Submission/ Lead </v>
      </c>
      <c r="H305" t="s">
        <v>7496</v>
      </c>
      <c r="I305" t="s">
        <v>7434</v>
      </c>
      <c r="J305" s="3">
        <v>1</v>
      </c>
      <c r="K305" t="s">
        <v>7435</v>
      </c>
      <c r="L305" s="2">
        <v>46064</v>
      </c>
      <c r="M305" t="s">
        <v>7508</v>
      </c>
      <c r="N305" t="s">
        <v>7475</v>
      </c>
      <c r="O305" t="s">
        <v>7886</v>
      </c>
      <c r="P305">
        <f ca="1">IF(tblLog[[#This Row],[Log Date]]="","",TODAY()-tblLog[[#This Row],[Log Date]])</f>
        <v>15</v>
      </c>
      <c r="Q305" t="str">
        <f>IF(tblLog[[#This Row],[Log Date]]="","",IF(TRIM(tblLog[[#This Row],[Cycle Stage]])="Asked to be removed from database","NO","YES"))</f>
        <v>YES</v>
      </c>
      <c r="R3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6" spans="1:18" ht="15" customHeight="1">
      <c r="A306" t="s">
        <v>7887</v>
      </c>
      <c r="B306" t="str">
        <f>IFERROR(_xlfn.XLOOKUP(tblLog[[#This Row],[Unique ID]], tblMaster[Unique ID], tblMaster[First Name], ""), "")</f>
        <v>Lauanny</v>
      </c>
      <c r="C306" t="str">
        <f>IFERROR(_xlfn.XLOOKUP(tblLog[[#This Row],[Unique ID]], tblMaster[Unique ID], tblMaster[Last Name], ""), "")</f>
        <v>Dos Santos</v>
      </c>
      <c r="D306" t="str">
        <f>IFERROR(_xlfn.XLOOKUP(tblLog[[#This Row],[Unique ID]], tblMaster[Unique ID], tblMaster[Email_Clean], ""), "")</f>
        <v>lauannydutradossantos34@gmail.com</v>
      </c>
      <c r="E306" t="str">
        <f>IFERROR(_xlfn.XLOOKUP(tblLog[[#This Row],[Unique ID]], tblMaster[Unique ID], tblMaster[Phone], ""), "")</f>
        <v>(774) 946-3953</v>
      </c>
      <c r="F306" t="str">
        <f>IFERROR(_xlfn.XLOOKUP(tblLog[[#This Row],[Unique ID]], tblMaster[Unique ID], tblMaster[Recruiter], ""), "")</f>
        <v xml:space="preserve">Enrique Ortiz </v>
      </c>
      <c r="G306" t="str">
        <f>IFERROR(_xlfn.XLOOKUP(tblLog[[#This Row],[Unique ID]], tblMaster[Unique ID], tblMaster[Recruitment Cycle], ""), "")</f>
        <v xml:space="preserve">New Submission/ Lead </v>
      </c>
      <c r="H306" t="s">
        <v>7463</v>
      </c>
      <c r="I306" t="s">
        <v>4</v>
      </c>
      <c r="J306" s="3">
        <v>3</v>
      </c>
      <c r="K306" t="s">
        <v>7446</v>
      </c>
      <c r="L306" s="2">
        <v>46064</v>
      </c>
      <c r="M306" t="s">
        <v>7452</v>
      </c>
      <c r="N306" t="s">
        <v>7475</v>
      </c>
      <c r="P306">
        <f ca="1">IF(tblLog[[#This Row],[Log Date]]="","",TODAY()-tblLog[[#This Row],[Log Date]])</f>
        <v>15</v>
      </c>
      <c r="Q306" t="str">
        <f>IF(tblLog[[#This Row],[Log Date]]="","",IF(TRIM(tblLog[[#This Row],[Cycle Stage]])="Asked to be removed from database","NO","YES"))</f>
        <v>YES</v>
      </c>
      <c r="R3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7" spans="1:18" ht="15" customHeight="1">
      <c r="A307" t="s">
        <v>7888</v>
      </c>
      <c r="B307" t="str">
        <f>IFERROR(_xlfn.XLOOKUP(tblLog[[#This Row],[Unique ID]], tblMaster[Unique ID], tblMaster[First Name], ""), "")</f>
        <v>JOEL</v>
      </c>
      <c r="C307" t="str">
        <f>IFERROR(_xlfn.XLOOKUP(tblLog[[#This Row],[Unique ID]], tblMaster[Unique ID], tblMaster[Last Name], ""), "")</f>
        <v>AGUILA LUGO</v>
      </c>
      <c r="D307" t="str">
        <f>IFERROR(_xlfn.XLOOKUP(tblLog[[#This Row],[Unique ID]], tblMaster[Unique ID], tblMaster[Email_Clean], ""), "")</f>
        <v>aguila75joel@gmail.com</v>
      </c>
      <c r="E307" t="str">
        <f>IFERROR(_xlfn.XLOOKUP(tblLog[[#This Row],[Unique ID]], tblMaster[Unique ID], tblMaster[Phone], ""), "")</f>
        <v>407-547-0576</v>
      </c>
      <c r="F307" t="str">
        <f>IFERROR(_xlfn.XLOOKUP(tblLog[[#This Row],[Unique ID]], tblMaster[Unique ID], tblMaster[Recruiter], ""), "")</f>
        <v xml:space="preserve">Enrique Ortiz </v>
      </c>
      <c r="G307" t="str">
        <f>IFERROR(_xlfn.XLOOKUP(tblLog[[#This Row],[Unique ID]], tblMaster[Unique ID], tblMaster[Recruitment Cycle], ""), "")</f>
        <v xml:space="preserve">New Submission/ Lead </v>
      </c>
      <c r="H307" t="s">
        <v>7455</v>
      </c>
      <c r="I307" t="s">
        <v>7434</v>
      </c>
      <c r="J307" s="3">
        <v>2</v>
      </c>
      <c r="K307" t="s">
        <v>7491</v>
      </c>
      <c r="L307" s="2">
        <v>46064</v>
      </c>
      <c r="M307" t="s">
        <v>7485</v>
      </c>
      <c r="N307" t="s">
        <v>7475</v>
      </c>
      <c r="O307" t="s">
        <v>7596</v>
      </c>
      <c r="P307">
        <f ca="1">IF(tblLog[[#This Row],[Log Date]]="","",TODAY()-tblLog[[#This Row],[Log Date]])</f>
        <v>15</v>
      </c>
      <c r="Q307" t="str">
        <f>IF(tblLog[[#This Row],[Log Date]]="","",IF(TRIM(tblLog[[#This Row],[Cycle Stage]])="Asked to be removed from database","NO","YES"))</f>
        <v>YES</v>
      </c>
      <c r="R3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8" spans="1:18" ht="15" customHeight="1">
      <c r="A308" t="s">
        <v>7889</v>
      </c>
      <c r="B308" t="str">
        <f>IFERROR(_xlfn.XLOOKUP(tblLog[[#This Row],[Unique ID]], tblMaster[Unique ID], tblMaster[First Name], ""), "")</f>
        <v xml:space="preserve">Christopher </v>
      </c>
      <c r="C308" t="str">
        <f>IFERROR(_xlfn.XLOOKUP(tblLog[[#This Row],[Unique ID]], tblMaster[Unique ID], tblMaster[Last Name], ""), "")</f>
        <v xml:space="preserve"> Oakes </v>
      </c>
      <c r="D308" t="str">
        <f>IFERROR(_xlfn.XLOOKUP(tblLog[[#This Row],[Unique ID]], tblMaster[Unique ID], tblMaster[Email_Clean], ""), "")</f>
        <v>cjoakes@comcast.net</v>
      </c>
      <c r="E308" t="str">
        <f>IFERROR(_xlfn.XLOOKUP(tblLog[[#This Row],[Unique ID]], tblMaster[Unique ID], tblMaster[Phone], ""), "")</f>
        <v xml:space="preserve">(781) 290-8677 </v>
      </c>
      <c r="F308" t="str">
        <f>IFERROR(_xlfn.XLOOKUP(tblLog[[#This Row],[Unique ID]], tblMaster[Unique ID], tblMaster[Recruiter], ""), "")</f>
        <v xml:space="preserve">Jevon Brown Simpson </v>
      </c>
      <c r="G308" t="str">
        <f>IFERROR(_xlfn.XLOOKUP(tblLog[[#This Row],[Unique ID]], tblMaster[Unique ID], tblMaster[Recruitment Cycle], ""), "")</f>
        <v xml:space="preserve">New Submission/ Lead </v>
      </c>
      <c r="H308" t="s">
        <v>7496</v>
      </c>
      <c r="I308" t="s">
        <v>7494</v>
      </c>
      <c r="J308" s="3">
        <v>1</v>
      </c>
      <c r="K308" t="s">
        <v>7491</v>
      </c>
      <c r="L308" s="2">
        <v>46064</v>
      </c>
      <c r="M308" t="s">
        <v>7544</v>
      </c>
      <c r="P308">
        <f ca="1">IF(tblLog[[#This Row],[Log Date]]="","",TODAY()-tblLog[[#This Row],[Log Date]])</f>
        <v>15</v>
      </c>
      <c r="Q308" t="str">
        <f>IF(tblLog[[#This Row],[Log Date]]="","",IF(TRIM(tblLog[[#This Row],[Cycle Stage]])="Asked to be removed from database","NO","YES"))</f>
        <v>YES</v>
      </c>
      <c r="R3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09" spans="1:18" ht="15" customHeight="1">
      <c r="A309" t="s">
        <v>7890</v>
      </c>
      <c r="B309" t="str">
        <f>IFERROR(_xlfn.XLOOKUP(tblLog[[#This Row],[Unique ID]], tblMaster[Unique ID], tblMaster[First Name], ""), "")</f>
        <v>Kervens</v>
      </c>
      <c r="C309" t="str">
        <f>IFERROR(_xlfn.XLOOKUP(tblLog[[#This Row],[Unique ID]], tblMaster[Unique ID], tblMaster[Last Name], ""), "")</f>
        <v xml:space="preserve"> Georges </v>
      </c>
      <c r="D309" t="str">
        <f>IFERROR(_xlfn.XLOOKUP(tblLog[[#This Row],[Unique ID]], tblMaster[Unique ID], tblMaster[Email_Clean], ""), "")</f>
        <v>kgcreative23@gmail.com</v>
      </c>
      <c r="E309" t="str">
        <f>IFERROR(_xlfn.XLOOKUP(tblLog[[#This Row],[Unique ID]], tblMaster[Unique ID], tblMaster[Phone], ""), "")</f>
        <v xml:space="preserve">(857) 258-9810 </v>
      </c>
      <c r="F309" t="str">
        <f>IFERROR(_xlfn.XLOOKUP(tblLog[[#This Row],[Unique ID]], tblMaster[Unique ID], tblMaster[Recruiter], ""), "")</f>
        <v xml:space="preserve">Jevon Brown Simpson </v>
      </c>
      <c r="G309" t="str">
        <f>IFERROR(_xlfn.XLOOKUP(tblLog[[#This Row],[Unique ID]], tblMaster[Unique ID], tblMaster[Recruitment Cycle], ""), "")</f>
        <v xml:space="preserve">New Submission/ Lead </v>
      </c>
      <c r="H309" t="s">
        <v>7496</v>
      </c>
      <c r="I309" t="s">
        <v>7434</v>
      </c>
      <c r="J309" s="3">
        <v>1</v>
      </c>
      <c r="K309" t="s">
        <v>7435</v>
      </c>
      <c r="L309" s="2">
        <v>46064</v>
      </c>
      <c r="M309" t="s">
        <v>7485</v>
      </c>
      <c r="N309" t="s">
        <v>7475</v>
      </c>
      <c r="P309">
        <f ca="1">IF(tblLog[[#This Row],[Log Date]]="","",TODAY()-tblLog[[#This Row],[Log Date]])</f>
        <v>15</v>
      </c>
      <c r="Q309" t="str">
        <f>IF(tblLog[[#This Row],[Log Date]]="","",IF(TRIM(tblLog[[#This Row],[Cycle Stage]])="Asked to be removed from database","NO","YES"))</f>
        <v>YES</v>
      </c>
      <c r="R3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0" spans="1:18" ht="15" customHeight="1">
      <c r="A310" t="s">
        <v>7891</v>
      </c>
      <c r="B310" t="str">
        <f>IFERROR(_xlfn.XLOOKUP(tblLog[[#This Row],[Unique ID]], tblMaster[Unique ID], tblMaster[First Name], ""), "")</f>
        <v xml:space="preserve">Lea </v>
      </c>
      <c r="C310" t="str">
        <f>IFERROR(_xlfn.XLOOKUP(tblLog[[#This Row],[Unique ID]], tblMaster[Unique ID], tblMaster[Last Name], ""), "")</f>
        <v>Lea MacLean</v>
      </c>
      <c r="D310" t="str">
        <f>IFERROR(_xlfn.XLOOKUP(tblLog[[#This Row],[Unique ID]], tblMaster[Unique ID], tblMaster[Email_Clean], ""), "")</f>
        <v>lea@leamaclean.com</v>
      </c>
      <c r="E310" t="str">
        <f>IFERROR(_xlfn.XLOOKUP(tblLog[[#This Row],[Unique ID]], tblMaster[Unique ID], tblMaster[Phone], ""), "")</f>
        <v>774-666-0016</v>
      </c>
      <c r="F310" t="str">
        <f>IFERROR(_xlfn.XLOOKUP(tblLog[[#This Row],[Unique ID]], tblMaster[Unique ID], tblMaster[Recruiter], ""), "")</f>
        <v xml:space="preserve">Enrique Ortiz </v>
      </c>
      <c r="G310" t="str">
        <f>IFERROR(_xlfn.XLOOKUP(tblLog[[#This Row],[Unique ID]], tblMaster[Unique ID], tblMaster[Recruitment Cycle], ""), "")</f>
        <v xml:space="preserve">New Submission/ Lead </v>
      </c>
      <c r="H310" t="s">
        <v>7455</v>
      </c>
      <c r="I310" t="s">
        <v>7434</v>
      </c>
      <c r="J310" s="3">
        <v>2</v>
      </c>
      <c r="K310" t="s">
        <v>7446</v>
      </c>
      <c r="L310" s="2">
        <v>46064</v>
      </c>
      <c r="M310" t="s">
        <v>7452</v>
      </c>
      <c r="N310" t="s">
        <v>7487</v>
      </c>
      <c r="O310" t="s">
        <v>7892</v>
      </c>
      <c r="P310">
        <f ca="1">IF(tblLog[[#This Row],[Log Date]]="","",TODAY()-tblLog[[#This Row],[Log Date]])</f>
        <v>15</v>
      </c>
      <c r="Q310" t="str">
        <f>IF(tblLog[[#This Row],[Log Date]]="","",IF(TRIM(tblLog[[#This Row],[Cycle Stage]])="Asked to be removed from database","NO","YES"))</f>
        <v>YES</v>
      </c>
      <c r="R3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1" spans="1:18" ht="15" customHeight="1">
      <c r="A311" t="s">
        <v>7893</v>
      </c>
      <c r="B311" t="str">
        <f>IFERROR(_xlfn.XLOOKUP(tblLog[[#This Row],[Unique ID]], tblMaster[Unique ID], tblMaster[First Name], ""), "")</f>
        <v>Mahira</v>
      </c>
      <c r="C311" t="str">
        <f>IFERROR(_xlfn.XLOOKUP(tblLog[[#This Row],[Unique ID]], tblMaster[Unique ID], tblMaster[Last Name], ""), "")</f>
        <v>Mukhtarova</v>
      </c>
      <c r="D311" t="str">
        <f>IFERROR(_xlfn.XLOOKUP(tblLog[[#This Row],[Unique ID]], tblMaster[Unique ID], tblMaster[Email_Clean], ""), "")</f>
        <v>mahira.mukhtarova@outlook.com</v>
      </c>
      <c r="E311" t="str">
        <f>IFERROR(_xlfn.XLOOKUP(tblLog[[#This Row],[Unique ID]], tblMaster[Unique ID], tblMaster[Phone], ""), "")</f>
        <v xml:space="preserve">	(857) 421-3710</v>
      </c>
      <c r="F311" t="str">
        <f>IFERROR(_xlfn.XLOOKUP(tblLog[[#This Row],[Unique ID]], tblMaster[Unique ID], tblMaster[Recruiter], ""), "")</f>
        <v xml:space="preserve">Jevon Brown Simpson </v>
      </c>
      <c r="G311" t="str">
        <f>IFERROR(_xlfn.XLOOKUP(tblLog[[#This Row],[Unique ID]], tblMaster[Unique ID], tblMaster[Recruitment Cycle], ""), "")</f>
        <v xml:space="preserve">New Submission/ Lead </v>
      </c>
      <c r="H311" t="s">
        <v>7496</v>
      </c>
      <c r="I311" t="s">
        <v>7434</v>
      </c>
      <c r="J311" s="3">
        <v>1</v>
      </c>
      <c r="K311" t="s">
        <v>7435</v>
      </c>
      <c r="L311" s="2">
        <v>46064</v>
      </c>
      <c r="M311" t="s">
        <v>7485</v>
      </c>
      <c r="P311">
        <f ca="1">IF(tblLog[[#This Row],[Log Date]]="","",TODAY()-tblLog[[#This Row],[Log Date]])</f>
        <v>15</v>
      </c>
      <c r="Q311" t="str">
        <f>IF(tblLog[[#This Row],[Log Date]]="","",IF(TRIM(tblLog[[#This Row],[Cycle Stage]])="Asked to be removed from database","NO","YES"))</f>
        <v>YES</v>
      </c>
      <c r="R3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2" spans="1:18" ht="15" customHeight="1">
      <c r="A312" t="s">
        <v>7894</v>
      </c>
      <c r="B312" t="str">
        <f>IFERROR(_xlfn.XLOOKUP(tblLog[[#This Row],[Unique ID]], tblMaster[Unique ID], tblMaster[First Name], ""), "")</f>
        <v>Eliza</v>
      </c>
      <c r="C312" t="str">
        <f>IFERROR(_xlfn.XLOOKUP(tblLog[[#This Row],[Unique ID]], tblMaster[Unique ID], tblMaster[Last Name], ""), "")</f>
        <v xml:space="preserve"> Tripp </v>
      </c>
      <c r="D312" t="str">
        <f>IFERROR(_xlfn.XLOOKUP(tblLog[[#This Row],[Unique ID]], tblMaster[Unique ID], tblMaster[Email_Clean], ""), "")</f>
        <v>elizatripp01@gmail.com</v>
      </c>
      <c r="E312" t="str">
        <f>IFERROR(_xlfn.XLOOKUP(tblLog[[#This Row],[Unique ID]], tblMaster[Unique ID], tblMaster[Phone], ""), "")</f>
        <v xml:space="preserve">774) 208-3429 </v>
      </c>
      <c r="F312" t="str">
        <f>IFERROR(_xlfn.XLOOKUP(tblLog[[#This Row],[Unique ID]], tblMaster[Unique ID], tblMaster[Recruiter], ""), "")</f>
        <v xml:space="preserve">Jevon Brown Simpson </v>
      </c>
      <c r="G312" t="str">
        <f>IFERROR(_xlfn.XLOOKUP(tblLog[[#This Row],[Unique ID]], tblMaster[Unique ID], tblMaster[Recruitment Cycle], ""), "")</f>
        <v xml:space="preserve">Re-Engagment/Post Civil Service Exam </v>
      </c>
      <c r="H312" t="s">
        <v>7529</v>
      </c>
      <c r="I312" t="s">
        <v>7494</v>
      </c>
      <c r="J312" s="3">
        <v>1</v>
      </c>
      <c r="K312" t="s">
        <v>7491</v>
      </c>
      <c r="L312" s="2">
        <v>46064</v>
      </c>
      <c r="M312" t="s">
        <v>7544</v>
      </c>
      <c r="P312">
        <f ca="1">IF(tblLog[[#This Row],[Log Date]]="","",TODAY()-tblLog[[#This Row],[Log Date]])</f>
        <v>15</v>
      </c>
      <c r="Q312" t="str">
        <f>IF(tblLog[[#This Row],[Log Date]]="","",IF(TRIM(tblLog[[#This Row],[Cycle Stage]])="Asked to be removed from database","NO","YES"))</f>
        <v>YES</v>
      </c>
      <c r="R3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3" spans="1:18" ht="15" customHeight="1">
      <c r="A313" t="s">
        <v>7895</v>
      </c>
      <c r="B313" t="str">
        <f>IFERROR(_xlfn.XLOOKUP(tblLog[[#This Row],[Unique ID]], tblMaster[Unique ID], tblMaster[First Name], ""), "")</f>
        <v xml:space="preserve">Elvin </v>
      </c>
      <c r="C313" t="str">
        <f>IFERROR(_xlfn.XLOOKUP(tblLog[[#This Row],[Unique ID]], tblMaster[Unique ID], tblMaster[Last Name], ""), "")</f>
        <v>Ochoa</v>
      </c>
      <c r="D313" t="str">
        <f>IFERROR(_xlfn.XLOOKUP(tblLog[[#This Row],[Unique ID]], tblMaster[Unique ID], tblMaster[Email_Clean], ""), "")</f>
        <v>elvinlaparra@icloud.com</v>
      </c>
      <c r="E313" t="str">
        <f>IFERROR(_xlfn.XLOOKUP(tblLog[[#This Row],[Unique ID]], tblMaster[Unique ID], tblMaster[Phone], ""), "")</f>
        <v>617-583-0143</v>
      </c>
      <c r="F313" t="str">
        <f>IFERROR(_xlfn.XLOOKUP(tblLog[[#This Row],[Unique ID]], tblMaster[Unique ID], tblMaster[Recruiter], ""), "")</f>
        <v xml:space="preserve">Jevon Brown Simpson </v>
      </c>
      <c r="G313" t="str">
        <f>IFERROR(_xlfn.XLOOKUP(tblLog[[#This Row],[Unique ID]], tblMaster[Unique ID], tblMaster[Recruitment Cycle], ""), "")</f>
        <v xml:space="preserve">New Submission/ Lead </v>
      </c>
      <c r="H313" t="s">
        <v>7496</v>
      </c>
      <c r="I313" t="s">
        <v>7494</v>
      </c>
      <c r="J313" s="3">
        <v>1</v>
      </c>
      <c r="K313" t="s">
        <v>7491</v>
      </c>
      <c r="L313" s="2">
        <v>46064</v>
      </c>
      <c r="M313" t="s">
        <v>7508</v>
      </c>
      <c r="N313" t="s">
        <v>7475</v>
      </c>
      <c r="O313" t="s">
        <v>7896</v>
      </c>
      <c r="P313">
        <f ca="1">IF(tblLog[[#This Row],[Log Date]]="","",TODAY()-tblLog[[#This Row],[Log Date]])</f>
        <v>15</v>
      </c>
      <c r="Q313" t="str">
        <f>IF(tblLog[[#This Row],[Log Date]]="","",IF(TRIM(tblLog[[#This Row],[Cycle Stage]])="Asked to be removed from database","NO","YES"))</f>
        <v>YES</v>
      </c>
      <c r="R3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4" spans="1:18" ht="15" customHeight="1">
      <c r="A314" t="s">
        <v>7897</v>
      </c>
      <c r="B314" t="str">
        <f>IFERROR(_xlfn.XLOOKUP(tblLog[[#This Row],[Unique ID]], tblMaster[Unique ID], tblMaster[First Name], ""), "")</f>
        <v xml:space="preserve">Anthony </v>
      </c>
      <c r="C314" t="str">
        <f>IFERROR(_xlfn.XLOOKUP(tblLog[[#This Row],[Unique ID]], tblMaster[Unique ID], tblMaster[Last Name], ""), "")</f>
        <v>N Palmieri</v>
      </c>
      <c r="D314" t="str">
        <f>IFERROR(_xlfn.XLOOKUP(tblLog[[#This Row],[Unique ID]], tblMaster[Unique ID], tblMaster[Email_Clean], ""), "")</f>
        <v>anthonynpalmieri1@gmail.com</v>
      </c>
      <c r="E314" t="str">
        <f>IFERROR(_xlfn.XLOOKUP(tblLog[[#This Row],[Unique ID]], tblMaster[Unique ID], tblMaster[Phone], ""), "")</f>
        <v>781-835-7534</v>
      </c>
      <c r="F314" t="str">
        <f>IFERROR(_xlfn.XLOOKUP(tblLog[[#This Row],[Unique ID]], tblMaster[Unique ID], tblMaster[Recruiter], ""), "")</f>
        <v xml:space="preserve">Enrique Ortiz </v>
      </c>
      <c r="G314" t="str">
        <f>IFERROR(_xlfn.XLOOKUP(tblLog[[#This Row],[Unique ID]], tblMaster[Unique ID], tblMaster[Recruitment Cycle], ""), "")</f>
        <v xml:space="preserve">Re-Engagment </v>
      </c>
      <c r="H314" t="s">
        <v>7455</v>
      </c>
      <c r="I314" t="s">
        <v>7434</v>
      </c>
      <c r="J314" s="3">
        <v>1</v>
      </c>
      <c r="K314" t="s">
        <v>7472</v>
      </c>
      <c r="L314" s="2">
        <v>46064</v>
      </c>
      <c r="M314" t="s">
        <v>7615</v>
      </c>
      <c r="P314">
        <f ca="1">IF(tblLog[[#This Row],[Log Date]]="","",TODAY()-tblLog[[#This Row],[Log Date]])</f>
        <v>15</v>
      </c>
      <c r="Q314" t="str">
        <f>IF(tblLog[[#This Row],[Log Date]]="","",IF(TRIM(tblLog[[#This Row],[Cycle Stage]])="Asked to be removed from database","NO","YES"))</f>
        <v>YES</v>
      </c>
      <c r="R3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5" spans="1:18" ht="15" customHeight="1">
      <c r="A315" t="s">
        <v>7898</v>
      </c>
      <c r="B315" t="str">
        <f>IFERROR(_xlfn.XLOOKUP(tblLog[[#This Row],[Unique ID]], tblMaster[Unique ID], tblMaster[First Name], ""), "")</f>
        <v xml:space="preserve">Dukens </v>
      </c>
      <c r="C315" t="str">
        <f>IFERROR(_xlfn.XLOOKUP(tblLog[[#This Row],[Unique ID]], tblMaster[Unique ID], tblMaster[Last Name], ""), "")</f>
        <v>Kernizan</v>
      </c>
      <c r="D315" t="str">
        <f>IFERROR(_xlfn.XLOOKUP(tblLog[[#This Row],[Unique ID]], tblMaster[Unique ID], tblMaster[Email_Clean], ""), "")</f>
        <v>kernikens@gmail.com</v>
      </c>
      <c r="E315" t="str">
        <f>IFERROR(_xlfn.XLOOKUP(tblLog[[#This Row],[Unique ID]], tblMaster[Unique ID], tblMaster[Phone], ""), "")</f>
        <v>857 266 6116</v>
      </c>
      <c r="F315" t="str">
        <f>IFERROR(_xlfn.XLOOKUP(tblLog[[#This Row],[Unique ID]], tblMaster[Unique ID], tblMaster[Recruiter], ""), "")</f>
        <v xml:space="preserve">Enrique Ortiz </v>
      </c>
      <c r="G315" t="str">
        <f>IFERROR(_xlfn.XLOOKUP(tblLog[[#This Row],[Unique ID]], tblMaster[Unique ID], tblMaster[Recruitment Cycle], ""), "")</f>
        <v xml:space="preserve">Re-Engagment </v>
      </c>
      <c r="H315" t="s">
        <v>7455</v>
      </c>
      <c r="I315" t="s">
        <v>7434</v>
      </c>
      <c r="J315" s="3">
        <v>3</v>
      </c>
      <c r="K315" t="s">
        <v>7435</v>
      </c>
      <c r="L315" s="2">
        <v>46064</v>
      </c>
      <c r="M315" t="s">
        <v>7452</v>
      </c>
      <c r="N315" t="s">
        <v>7475</v>
      </c>
      <c r="P315">
        <f ca="1">IF(tblLog[[#This Row],[Log Date]]="","",TODAY()-tblLog[[#This Row],[Log Date]])</f>
        <v>15</v>
      </c>
      <c r="Q315" t="str">
        <f>IF(tblLog[[#This Row],[Log Date]]="","",IF(TRIM(tblLog[[#This Row],[Cycle Stage]])="Asked to be removed from database","NO","YES"))</f>
        <v>YES</v>
      </c>
      <c r="R3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6" spans="1:18" ht="15" customHeight="1">
      <c r="A316" t="s">
        <v>7899</v>
      </c>
      <c r="B316" t="str">
        <f>IFERROR(_xlfn.XLOOKUP(tblLog[[#This Row],[Unique ID]], tblMaster[Unique ID], tblMaster[First Name], ""), "")</f>
        <v xml:space="preserve">Garrett </v>
      </c>
      <c r="C316" t="str">
        <f>IFERROR(_xlfn.XLOOKUP(tblLog[[#This Row],[Unique ID]], tblMaster[Unique ID], tblMaster[Last Name], ""), "")</f>
        <v xml:space="preserve">Rainey </v>
      </c>
      <c r="D316" t="str">
        <f>IFERROR(_xlfn.XLOOKUP(tblLog[[#This Row],[Unique ID]], tblMaster[Unique ID], tblMaster[Email_Clean], ""), "")</f>
        <v>garrett.rainey0411@gmail.com</v>
      </c>
      <c r="E316" t="str">
        <f>IFERROR(_xlfn.XLOOKUP(tblLog[[#This Row],[Unique ID]], tblMaster[Unique ID], tblMaster[Phone], ""), "")</f>
        <v xml:space="preserve">774) 226-5974 </v>
      </c>
      <c r="F316" t="str">
        <f>IFERROR(_xlfn.XLOOKUP(tblLog[[#This Row],[Unique ID]], tblMaster[Unique ID], tblMaster[Recruiter], ""), "")</f>
        <v xml:space="preserve">Tom Clark </v>
      </c>
      <c r="G316" t="str">
        <f>IFERROR(_xlfn.XLOOKUP(tblLog[[#This Row],[Unique ID]], tblMaster[Unique ID], tblMaster[Recruitment Cycle], ""), "")</f>
        <v xml:space="preserve">Re-Engagment </v>
      </c>
      <c r="H316" t="s">
        <v>7455</v>
      </c>
      <c r="I316" t="s">
        <v>7434</v>
      </c>
      <c r="J316" s="3">
        <v>1</v>
      </c>
      <c r="K316" t="s">
        <v>7435</v>
      </c>
      <c r="L316" s="2">
        <v>46064</v>
      </c>
      <c r="M316" t="s">
        <v>7452</v>
      </c>
      <c r="O316" t="s">
        <v>7900</v>
      </c>
      <c r="P316">
        <f ca="1">IF(tblLog[[#This Row],[Log Date]]="","",TODAY()-tblLog[[#This Row],[Log Date]])</f>
        <v>15</v>
      </c>
      <c r="Q316" t="str">
        <f>IF(tblLog[[#This Row],[Log Date]]="","",IF(TRIM(tblLog[[#This Row],[Cycle Stage]])="Asked to be removed from database","NO","YES"))</f>
        <v>YES</v>
      </c>
      <c r="R3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7" spans="1:18" ht="15" customHeight="1">
      <c r="A317" t="s">
        <v>7901</v>
      </c>
      <c r="B317" t="str">
        <f>IFERROR(_xlfn.XLOOKUP(tblLog[[#This Row],[Unique ID]], tblMaster[Unique ID], tblMaster[First Name], ""), "")</f>
        <v>Deborah</v>
      </c>
      <c r="C317" t="str">
        <f>IFERROR(_xlfn.XLOOKUP(tblLog[[#This Row],[Unique ID]], tblMaster[Unique ID], tblMaster[Last Name], ""), "")</f>
        <v>Dias</v>
      </c>
      <c r="D317" t="str">
        <f>IFERROR(_xlfn.XLOOKUP(tblLog[[#This Row],[Unique ID]], tblMaster[Unique ID], tblMaster[Email_Clean], ""), "")</f>
        <v>d.diasphc@comcast.net</v>
      </c>
      <c r="E317" t="str">
        <f>IFERROR(_xlfn.XLOOKUP(tblLog[[#This Row],[Unique ID]], tblMaster[Unique ID], tblMaster[Phone], ""), "")</f>
        <v xml:space="preserve"> 	(978) 758-5356</v>
      </c>
      <c r="F317" t="str">
        <f>IFERROR(_xlfn.XLOOKUP(tblLog[[#This Row],[Unique ID]], tblMaster[Unique ID], tblMaster[Recruiter], ""), "")</f>
        <v>Zenon Moses</v>
      </c>
      <c r="G317" t="str">
        <f>IFERROR(_xlfn.XLOOKUP(tblLog[[#This Row],[Unique ID]], tblMaster[Unique ID], tblMaster[Recruitment Cycle], ""), "")</f>
        <v xml:space="preserve">New Submission/ Lead </v>
      </c>
      <c r="H317" t="s">
        <v>7455</v>
      </c>
      <c r="I317" t="s">
        <v>7434</v>
      </c>
      <c r="J317" s="3">
        <v>1</v>
      </c>
      <c r="K317" t="s">
        <v>7435</v>
      </c>
      <c r="L317" s="2">
        <v>46064</v>
      </c>
      <c r="M317" t="s">
        <v>7615</v>
      </c>
      <c r="N317" t="s">
        <v>7481</v>
      </c>
      <c r="O317" t="s">
        <v>7902</v>
      </c>
      <c r="P317">
        <f ca="1">IF(tblLog[[#This Row],[Log Date]]="","",TODAY()-tblLog[[#This Row],[Log Date]])</f>
        <v>15</v>
      </c>
      <c r="Q317" t="str">
        <f>IF(tblLog[[#This Row],[Log Date]]="","",IF(TRIM(tblLog[[#This Row],[Cycle Stage]])="Asked to be removed from database","NO","YES"))</f>
        <v>YES</v>
      </c>
      <c r="R3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8" spans="1:18" ht="15" customHeight="1">
      <c r="A318" t="s">
        <v>7903</v>
      </c>
      <c r="B318" t="str">
        <f>IFERROR(_xlfn.XLOOKUP(tblLog[[#This Row],[Unique ID]], tblMaster[Unique ID], tblMaster[First Name], ""), "")</f>
        <v xml:space="preserve">Daniel </v>
      </c>
      <c r="C318" t="str">
        <f>IFERROR(_xlfn.XLOOKUP(tblLog[[#This Row],[Unique ID]], tblMaster[Unique ID], tblMaster[Last Name], ""), "")</f>
        <v>Mckay</v>
      </c>
      <c r="D318" t="str">
        <f>IFERROR(_xlfn.XLOOKUP(tblLog[[#This Row],[Unique ID]], tblMaster[Unique ID], tblMaster[Email_Clean], ""), "")</f>
        <v>danielmckay79@yahoo.com</v>
      </c>
      <c r="E318" t="str">
        <f>IFERROR(_xlfn.XLOOKUP(tblLog[[#This Row],[Unique ID]], tblMaster[Unique ID], tblMaster[Phone], ""), "")</f>
        <v>617 877 4221</v>
      </c>
      <c r="F318" t="str">
        <f>IFERROR(_xlfn.XLOOKUP(tblLog[[#This Row],[Unique ID]], tblMaster[Unique ID], tblMaster[Recruiter], ""), "")</f>
        <v xml:space="preserve">Enrique Ortiz </v>
      </c>
      <c r="G318" t="str">
        <f>IFERROR(_xlfn.XLOOKUP(tblLog[[#This Row],[Unique ID]], tblMaster[Unique ID], tblMaster[Recruitment Cycle], ""), "")</f>
        <v xml:space="preserve">Re-Engagment </v>
      </c>
      <c r="H318" t="s">
        <v>7455</v>
      </c>
      <c r="I318" t="s">
        <v>7434</v>
      </c>
      <c r="J318" s="3">
        <v>3</v>
      </c>
      <c r="K318" t="s">
        <v>7435</v>
      </c>
      <c r="L318" s="2">
        <v>46064</v>
      </c>
      <c r="M318" t="s">
        <v>7452</v>
      </c>
      <c r="N318" t="s">
        <v>7475</v>
      </c>
      <c r="P318">
        <f ca="1">IF(tblLog[[#This Row],[Log Date]]="","",TODAY()-tblLog[[#This Row],[Log Date]])</f>
        <v>15</v>
      </c>
      <c r="Q318" t="str">
        <f>IF(tblLog[[#This Row],[Log Date]]="","",IF(TRIM(tblLog[[#This Row],[Cycle Stage]])="Asked to be removed from database","NO","YES"))</f>
        <v>YES</v>
      </c>
      <c r="R31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19" spans="1:18" ht="15" customHeight="1">
      <c r="A319" t="s">
        <v>7904</v>
      </c>
      <c r="B319" t="str">
        <f>IFERROR(_xlfn.XLOOKUP(tblLog[[#This Row],[Unique ID]], tblMaster[Unique ID], tblMaster[First Name], ""), "")</f>
        <v xml:space="preserve">Vincent </v>
      </c>
      <c r="C319" t="str">
        <f>IFERROR(_xlfn.XLOOKUP(tblLog[[#This Row],[Unique ID]], tblMaster[Unique ID], tblMaster[Last Name], ""), "")</f>
        <v xml:space="preserve"> Amegbor </v>
      </c>
      <c r="D319" t="str">
        <f>IFERROR(_xlfn.XLOOKUP(tblLog[[#This Row],[Unique ID]], tblMaster[Unique ID], tblMaster[Email_Clean], ""), "")</f>
        <v>vincentferrer15@yahoo.com</v>
      </c>
      <c r="E319" t="str">
        <f>IFERROR(_xlfn.XLOOKUP(tblLog[[#This Row],[Unique ID]], tblMaster[Unique ID], tblMaster[Phone], ""), "")</f>
        <v xml:space="preserve">(774) 502-9590 </v>
      </c>
      <c r="F319" t="str">
        <f>IFERROR(_xlfn.XLOOKUP(tblLog[[#This Row],[Unique ID]], tblMaster[Unique ID], tblMaster[Recruiter], ""), "")</f>
        <v xml:space="preserve">Enrique Ortiz </v>
      </c>
      <c r="G319" t="str">
        <f>IFERROR(_xlfn.XLOOKUP(tblLog[[#This Row],[Unique ID]], tblMaster[Unique ID], tblMaster[Recruitment Cycle], ""), "")</f>
        <v xml:space="preserve">Re-Engagment/Post Civil Service Exam </v>
      </c>
      <c r="H319" t="s">
        <v>7455</v>
      </c>
      <c r="I319" t="s">
        <v>7434</v>
      </c>
      <c r="J319" s="3">
        <v>2</v>
      </c>
      <c r="K319" t="s">
        <v>7491</v>
      </c>
      <c r="L319" s="2">
        <v>46064</v>
      </c>
      <c r="M319" t="s">
        <v>7508</v>
      </c>
      <c r="N319" t="s">
        <v>7475</v>
      </c>
      <c r="P319">
        <f ca="1">IF(tblLog[[#This Row],[Log Date]]="","",TODAY()-tblLog[[#This Row],[Log Date]])</f>
        <v>15</v>
      </c>
      <c r="Q319" t="str">
        <f>IF(tblLog[[#This Row],[Log Date]]="","",IF(TRIM(tblLog[[#This Row],[Cycle Stage]])="Asked to be removed from database","NO","YES"))</f>
        <v>YES</v>
      </c>
      <c r="R3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0" spans="1:18" ht="15" customHeight="1">
      <c r="A320" t="s">
        <v>7905</v>
      </c>
      <c r="B320" t="str">
        <f>IFERROR(_xlfn.XLOOKUP(tblLog[[#This Row],[Unique ID]], tblMaster[Unique ID], tblMaster[First Name], ""), "")</f>
        <v>Jacob</v>
      </c>
      <c r="C320" t="str">
        <f>IFERROR(_xlfn.XLOOKUP(tblLog[[#This Row],[Unique ID]], tblMaster[Unique ID], tblMaster[Last Name], ""), "")</f>
        <v>Cordeiro</v>
      </c>
      <c r="D320" t="str">
        <f>IFERROR(_xlfn.XLOOKUP(tblLog[[#This Row],[Unique ID]], tblMaster[Unique ID], tblMaster[Email_Clean], ""), "")</f>
        <v>jakecordeiro88@gmail.com</v>
      </c>
      <c r="E320" t="str">
        <f>IFERROR(_xlfn.XLOOKUP(tblLog[[#This Row],[Unique ID]], tblMaster[Unique ID], tblMaster[Phone], ""), "")</f>
        <v xml:space="preserve">
(401) 316-9557</v>
      </c>
      <c r="F320" t="str">
        <f>IFERROR(_xlfn.XLOOKUP(tblLog[[#This Row],[Unique ID]], tblMaster[Unique ID], tblMaster[Recruiter], ""), "")</f>
        <v>Zenon Moses</v>
      </c>
      <c r="G320" t="str">
        <f>IFERROR(_xlfn.XLOOKUP(tblLog[[#This Row],[Unique ID]], tblMaster[Unique ID], tblMaster[Recruitment Cycle], ""), "")</f>
        <v xml:space="preserve">New Submission/ Lead </v>
      </c>
      <c r="H320" t="s">
        <v>7455</v>
      </c>
      <c r="I320" t="s">
        <v>7434</v>
      </c>
      <c r="J320" s="3">
        <v>2</v>
      </c>
      <c r="K320" t="s">
        <v>7491</v>
      </c>
      <c r="L320" s="2">
        <v>46064</v>
      </c>
      <c r="M320" t="s">
        <v>7452</v>
      </c>
      <c r="N320" t="s">
        <v>7500</v>
      </c>
      <c r="O320" t="s">
        <v>7906</v>
      </c>
      <c r="P320">
        <f ca="1">IF(tblLog[[#This Row],[Log Date]]="","",TODAY()-tblLog[[#This Row],[Log Date]])</f>
        <v>15</v>
      </c>
      <c r="Q320" t="str">
        <f>IF(tblLog[[#This Row],[Log Date]]="","",IF(TRIM(tblLog[[#This Row],[Cycle Stage]])="Asked to be removed from database","NO","YES"))</f>
        <v>YES</v>
      </c>
      <c r="R3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1" spans="1:18" ht="15" customHeight="1">
      <c r="A321" t="s">
        <v>7907</v>
      </c>
      <c r="B321" t="str">
        <f>IFERROR(_xlfn.XLOOKUP(tblLog[[#This Row],[Unique ID]], tblMaster[Unique ID], tblMaster[First Name], ""), "")</f>
        <v xml:space="preserve">Makai </v>
      </c>
      <c r="C321" t="str">
        <f>IFERROR(_xlfn.XLOOKUP(tblLog[[#This Row],[Unique ID]], tblMaster[Unique ID], tblMaster[Last Name], ""), "")</f>
        <v>Blake</v>
      </c>
      <c r="D321" t="str">
        <f>IFERROR(_xlfn.XLOOKUP(tblLog[[#This Row],[Unique ID]], tblMaster[Unique ID], tblMaster[Email_Clean], ""), "")</f>
        <v>bufffff@gmail.com</v>
      </c>
      <c r="E321" t="str">
        <f>IFERROR(_xlfn.XLOOKUP(tblLog[[#This Row],[Unique ID]], tblMaster[Unique ID], tblMaster[Phone], ""), "")</f>
        <v>617 610 5476</v>
      </c>
      <c r="F321" t="str">
        <f>IFERROR(_xlfn.XLOOKUP(tblLog[[#This Row],[Unique ID]], tblMaster[Unique ID], tblMaster[Recruiter], ""), "")</f>
        <v xml:space="preserve">Enrique Ortiz </v>
      </c>
      <c r="G321" t="str">
        <f>IFERROR(_xlfn.XLOOKUP(tblLog[[#This Row],[Unique ID]], tblMaster[Unique ID], tblMaster[Recruitment Cycle], ""), "")</f>
        <v xml:space="preserve">Re-Engagment </v>
      </c>
      <c r="H321" t="s">
        <v>7455</v>
      </c>
      <c r="I321" t="s">
        <v>7434</v>
      </c>
      <c r="J321" s="3">
        <v>2</v>
      </c>
      <c r="K321" t="s">
        <v>7491</v>
      </c>
      <c r="L321" s="2">
        <v>46064</v>
      </c>
      <c r="M321" t="s">
        <v>7508</v>
      </c>
      <c r="N321" t="s">
        <v>7475</v>
      </c>
      <c r="P321">
        <f ca="1">IF(tblLog[[#This Row],[Log Date]]="","",TODAY()-tblLog[[#This Row],[Log Date]])</f>
        <v>15</v>
      </c>
      <c r="Q321" t="str">
        <f>IF(tblLog[[#This Row],[Log Date]]="","",IF(TRIM(tblLog[[#This Row],[Cycle Stage]])="Asked to be removed from database","NO","YES"))</f>
        <v>YES</v>
      </c>
      <c r="R3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2" spans="1:18" ht="15" customHeight="1">
      <c r="A322" t="s">
        <v>7908</v>
      </c>
      <c r="B322" t="str">
        <f>IFERROR(_xlfn.XLOOKUP(tblLog[[#This Row],[Unique ID]], tblMaster[Unique ID], tblMaster[First Name], ""), "")</f>
        <v xml:space="preserve">Ronald </v>
      </c>
      <c r="C322" t="str">
        <f>IFERROR(_xlfn.XLOOKUP(tblLog[[#This Row],[Unique ID]], tblMaster[Unique ID], tblMaster[Last Name], ""), "")</f>
        <v xml:space="preserve"> Benn  </v>
      </c>
      <c r="D322" t="str">
        <f>IFERROR(_xlfn.XLOOKUP(tblLog[[#This Row],[Unique ID]], tblMaster[Unique ID], tblMaster[Email_Clean], ""), "")</f>
        <v>ronaldbenn99@gmail.con</v>
      </c>
      <c r="E322" t="str">
        <f>IFERROR(_xlfn.XLOOKUP(tblLog[[#This Row],[Unique ID]], tblMaster[Unique ID], tblMaster[Phone], ""), "")</f>
        <v xml:space="preserve">(978) 396-1150 </v>
      </c>
      <c r="F322" t="str">
        <f>IFERROR(_xlfn.XLOOKUP(tblLog[[#This Row],[Unique ID]], tblMaster[Unique ID], tblMaster[Recruiter], ""), "")</f>
        <v xml:space="preserve">Enrique Ortiz </v>
      </c>
      <c r="G322" t="str">
        <f>IFERROR(_xlfn.XLOOKUP(tblLog[[#This Row],[Unique ID]], tblMaster[Unique ID], tblMaster[Recruitment Cycle], ""), "")</f>
        <v xml:space="preserve">Re-Engagment </v>
      </c>
      <c r="H322" t="s">
        <v>7455</v>
      </c>
      <c r="I322" t="s">
        <v>7434</v>
      </c>
      <c r="J322" s="3">
        <v>3</v>
      </c>
      <c r="K322" t="s">
        <v>7491</v>
      </c>
      <c r="L322" s="2">
        <v>46064</v>
      </c>
      <c r="M322" t="s">
        <v>7508</v>
      </c>
      <c r="N322" t="s">
        <v>7475</v>
      </c>
      <c r="P322">
        <f ca="1">IF(tblLog[[#This Row],[Log Date]]="","",TODAY()-tblLog[[#This Row],[Log Date]])</f>
        <v>15</v>
      </c>
      <c r="Q322" t="str">
        <f>IF(tblLog[[#This Row],[Log Date]]="","",IF(TRIM(tblLog[[#This Row],[Cycle Stage]])="Asked to be removed from database","NO","YES"))</f>
        <v>YES</v>
      </c>
      <c r="R3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3" spans="1:18" ht="15" customHeight="1">
      <c r="A323" t="s">
        <v>7909</v>
      </c>
      <c r="B323" t="str">
        <f>IFERROR(_xlfn.XLOOKUP(tblLog[[#This Row],[Unique ID]], tblMaster[Unique ID], tblMaster[First Name], ""), "")</f>
        <v xml:space="preserve">Othoniel </v>
      </c>
      <c r="C323" t="str">
        <f>IFERROR(_xlfn.XLOOKUP(tblLog[[#This Row],[Unique ID]], tblMaster[Unique ID], tblMaster[Last Name], ""), "")</f>
        <v>Medina</v>
      </c>
      <c r="D323" t="str">
        <f>IFERROR(_xlfn.XLOOKUP(tblLog[[#This Row],[Unique ID]], tblMaster[Unique ID], tblMaster[Email_Clean], ""), "")</f>
        <v>tmtito@gmail.com</v>
      </c>
      <c r="E323" t="str">
        <f>IFERROR(_xlfn.XLOOKUP(tblLog[[#This Row],[Unique ID]], tblMaster[Unique ID], tblMaster[Phone], ""), "")</f>
        <v>774 433 0022</v>
      </c>
      <c r="F323" t="str">
        <f>IFERROR(_xlfn.XLOOKUP(tblLog[[#This Row],[Unique ID]], tblMaster[Unique ID], tblMaster[Recruiter], ""), "")</f>
        <v>Zenon Moses</v>
      </c>
      <c r="G323" t="str">
        <f>IFERROR(_xlfn.XLOOKUP(tblLog[[#This Row],[Unique ID]], tblMaster[Unique ID], tblMaster[Recruitment Cycle], ""), "")</f>
        <v xml:space="preserve">New Submission/ Lead </v>
      </c>
      <c r="J323" s="3"/>
      <c r="P323" t="str">
        <f ca="1">IF(tblLog[[#This Row],[Log Date]]="","",TODAY()-tblLog[[#This Row],[Log Date]])</f>
        <v/>
      </c>
      <c r="Q323" t="str">
        <f>IF(tblLog[[#This Row],[Log Date]]="","",IF(TRIM(tblLog[[#This Row],[Cycle Stage]])="Asked to be removed from database","NO","YES"))</f>
        <v/>
      </c>
      <c r="R323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4" spans="1:18" ht="15" customHeight="1">
      <c r="A324" t="s">
        <v>7910</v>
      </c>
      <c r="B324" t="str">
        <f>IFERROR(_xlfn.XLOOKUP(tblLog[[#This Row],[Unique ID]], tblMaster[Unique ID], tblMaster[First Name], ""), "")</f>
        <v xml:space="preserve">Junior  </v>
      </c>
      <c r="C324" t="str">
        <f>IFERROR(_xlfn.XLOOKUP(tblLog[[#This Row],[Unique ID]], tblMaster[Unique ID], tblMaster[Last Name], ""), "")</f>
        <v xml:space="preserve"> Lopes Gomes </v>
      </c>
      <c r="D324" t="str">
        <f>IFERROR(_xlfn.XLOOKUP(tblLog[[#This Row],[Unique ID]], tblMaster[Unique ID], tblMaster[Email_Clean], ""), "")</f>
        <v>juniorlopesgomes063@gmail.com</v>
      </c>
      <c r="E324" t="str">
        <f>IFERROR(_xlfn.XLOOKUP(tblLog[[#This Row],[Unique ID]], tblMaster[Unique ID], tblMaster[Phone], ""), "")</f>
        <v xml:space="preserve">508) 663-7633 </v>
      </c>
      <c r="F324" t="str">
        <f>IFERROR(_xlfn.XLOOKUP(tblLog[[#This Row],[Unique ID]], tblMaster[Unique ID], tblMaster[Recruiter], ""), "")</f>
        <v xml:space="preserve">Enrique Ortiz </v>
      </c>
      <c r="G324" t="str">
        <f>IFERROR(_xlfn.XLOOKUP(tblLog[[#This Row],[Unique ID]], tblMaster[Unique ID], tblMaster[Recruitment Cycle], ""), "")</f>
        <v xml:space="preserve">Re-Engagment </v>
      </c>
      <c r="H324" t="s">
        <v>7455</v>
      </c>
      <c r="I324" t="s">
        <v>7434</v>
      </c>
      <c r="J324" s="3">
        <v>1</v>
      </c>
      <c r="K324" t="s">
        <v>7472</v>
      </c>
      <c r="L324" s="2">
        <v>46064</v>
      </c>
      <c r="M324" t="s">
        <v>7615</v>
      </c>
      <c r="O324" t="s">
        <v>7911</v>
      </c>
      <c r="P324">
        <f ca="1">IF(tblLog[[#This Row],[Log Date]]="","",TODAY()-tblLog[[#This Row],[Log Date]])</f>
        <v>15</v>
      </c>
      <c r="Q324" t="str">
        <f>IF(tblLog[[#This Row],[Log Date]]="","",IF(TRIM(tblLog[[#This Row],[Cycle Stage]])="Asked to be removed from database","NO","YES"))</f>
        <v>YES</v>
      </c>
      <c r="R3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5" spans="1:18" ht="15" customHeight="1">
      <c r="A325" t="s">
        <v>7912</v>
      </c>
      <c r="B325" t="str">
        <f>IFERROR(_xlfn.XLOOKUP(tblLog[[#This Row],[Unique ID]], tblMaster[Unique ID], tblMaster[First Name], ""), "")</f>
        <v xml:space="preserve">Kathy </v>
      </c>
      <c r="C325" t="str">
        <f>IFERROR(_xlfn.XLOOKUP(tblLog[[#This Row],[Unique ID]], tblMaster[Unique ID], tblMaster[Last Name], ""), "")</f>
        <v xml:space="preserve">Gaito </v>
      </c>
      <c r="D325" t="str">
        <f>IFERROR(_xlfn.XLOOKUP(tblLog[[#This Row],[Unique ID]], tblMaster[Unique ID], tblMaster[Email_Clean], ""), "")</f>
        <v>kathygaito36@gmail.com</v>
      </c>
      <c r="E325" t="str">
        <f>IFERROR(_xlfn.XLOOKUP(tblLog[[#This Row],[Unique ID]], tblMaster[Unique ID], tblMaster[Phone], ""), "")</f>
        <v>508 269 9479</v>
      </c>
      <c r="F325" t="str">
        <f>IFERROR(_xlfn.XLOOKUP(tblLog[[#This Row],[Unique ID]], tblMaster[Unique ID], tblMaster[Recruiter], ""), "")</f>
        <v xml:space="preserve">Enrique Ortiz </v>
      </c>
      <c r="G325" t="str">
        <f>IFERROR(_xlfn.XLOOKUP(tblLog[[#This Row],[Unique ID]], tblMaster[Unique ID], tblMaster[Recruitment Cycle], ""), "")</f>
        <v xml:space="preserve">Re-Engagment </v>
      </c>
      <c r="H325" t="s">
        <v>7455</v>
      </c>
      <c r="I325" t="s">
        <v>7434</v>
      </c>
      <c r="J325" s="3">
        <v>1</v>
      </c>
      <c r="K325" t="s">
        <v>7435</v>
      </c>
      <c r="L325" s="2">
        <v>46064</v>
      </c>
      <c r="M325" t="s">
        <v>7598</v>
      </c>
      <c r="P325">
        <f ca="1">IF(tblLog[[#This Row],[Log Date]]="","",TODAY()-tblLog[[#This Row],[Log Date]])</f>
        <v>15</v>
      </c>
      <c r="Q325" t="str">
        <f>IF(tblLog[[#This Row],[Log Date]]="","",IF(TRIM(tblLog[[#This Row],[Cycle Stage]])="Asked to be removed from database","NO","YES"))</f>
        <v>YES</v>
      </c>
      <c r="R3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6" spans="1:18" ht="15" customHeight="1">
      <c r="A326" t="s">
        <v>7913</v>
      </c>
      <c r="B326" t="str">
        <f>IFERROR(_xlfn.XLOOKUP(tblLog[[#This Row],[Unique ID]], tblMaster[Unique ID], tblMaster[First Name], ""), "")</f>
        <v xml:space="preserve">Seth </v>
      </c>
      <c r="C326" t="str">
        <f>IFERROR(_xlfn.XLOOKUP(tblLog[[#This Row],[Unique ID]], tblMaster[Unique ID], tblMaster[Last Name], ""), "")</f>
        <v xml:space="preserve"> Alexander </v>
      </c>
      <c r="D326" t="str">
        <f>IFERROR(_xlfn.XLOOKUP(tblLog[[#This Row],[Unique ID]], tblMaster[Unique ID], tblMaster[Email_Clean], ""), "")</f>
        <v>zander1812@yahoo.com</v>
      </c>
      <c r="E326" t="str">
        <f>IFERROR(_xlfn.XLOOKUP(tblLog[[#This Row],[Unique ID]], tblMaster[Unique ID], tblMaster[Phone], ""), "")</f>
        <v xml:space="preserve">(413) 281-2383 </v>
      </c>
      <c r="F326" t="str">
        <f>IFERROR(_xlfn.XLOOKUP(tblLog[[#This Row],[Unique ID]], tblMaster[Unique ID], tblMaster[Recruiter], ""), "")</f>
        <v xml:space="preserve">Tom Clark </v>
      </c>
      <c r="G326" t="str">
        <f>IFERROR(_xlfn.XLOOKUP(tblLog[[#This Row],[Unique ID]], tblMaster[Unique ID], tblMaster[Recruitment Cycle], ""), "")</f>
        <v xml:space="preserve">Re-Engagment </v>
      </c>
      <c r="H326" t="s">
        <v>7455</v>
      </c>
      <c r="I326" t="s">
        <v>7434</v>
      </c>
      <c r="J326" s="3">
        <v>1</v>
      </c>
      <c r="K326" t="s">
        <v>7435</v>
      </c>
      <c r="L326" s="2">
        <v>46075</v>
      </c>
      <c r="M326" t="s">
        <v>7452</v>
      </c>
      <c r="P326">
        <f ca="1">IF(tblLog[[#This Row],[Log Date]]="","",TODAY()-tblLog[[#This Row],[Log Date]])</f>
        <v>4</v>
      </c>
      <c r="Q326" t="str">
        <f>IF(tblLog[[#This Row],[Log Date]]="","",IF(TRIM(tblLog[[#This Row],[Cycle Stage]])="Asked to be removed from database","NO","YES"))</f>
        <v>YES</v>
      </c>
      <c r="R3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7" spans="1:18" ht="15" customHeight="1">
      <c r="A327" t="s">
        <v>7914</v>
      </c>
      <c r="B327" t="str">
        <f>IFERROR(_xlfn.XLOOKUP(tblLog[[#This Row],[Unique ID]], tblMaster[Unique ID], tblMaster[First Name], ""), "")</f>
        <v xml:space="preserve">Samantha </v>
      </c>
      <c r="C327" t="str">
        <f>IFERROR(_xlfn.XLOOKUP(tblLog[[#This Row],[Unique ID]], tblMaster[Unique ID], tblMaster[Last Name], ""), "")</f>
        <v>Malandrino</v>
      </c>
      <c r="D327" t="str">
        <f>IFERROR(_xlfn.XLOOKUP(tblLog[[#This Row],[Unique ID]], tblMaster[Unique ID], tblMaster[Email_Clean], ""), "")</f>
        <v>smalandrino99@gmail.com</v>
      </c>
      <c r="E327" t="str">
        <f>IFERROR(_xlfn.XLOOKUP(tblLog[[#This Row],[Unique ID]], tblMaster[Unique ID], tblMaster[Phone], ""), "")</f>
        <v>914 625 0658</v>
      </c>
      <c r="F327" t="str">
        <f>IFERROR(_xlfn.XLOOKUP(tblLog[[#This Row],[Unique ID]], tblMaster[Unique ID], tblMaster[Recruiter], ""), "")</f>
        <v xml:space="preserve">Enrique Ortiz </v>
      </c>
      <c r="G327" t="str">
        <f>IFERROR(_xlfn.XLOOKUP(tblLog[[#This Row],[Unique ID]], tblMaster[Unique ID], tblMaster[Recruitment Cycle], ""), "")</f>
        <v xml:space="preserve">Re-Engagment </v>
      </c>
      <c r="H327" t="s">
        <v>7455</v>
      </c>
      <c r="I327" t="s">
        <v>7434</v>
      </c>
      <c r="J327" s="3">
        <v>2</v>
      </c>
      <c r="K327" t="s">
        <v>7491</v>
      </c>
      <c r="L327" s="2">
        <v>46064</v>
      </c>
      <c r="M327" t="s">
        <v>7485</v>
      </c>
      <c r="N327" t="s">
        <v>7475</v>
      </c>
      <c r="O327" t="s">
        <v>7791</v>
      </c>
      <c r="P327">
        <f ca="1">IF(tblLog[[#This Row],[Log Date]]="","",TODAY()-tblLog[[#This Row],[Log Date]])</f>
        <v>15</v>
      </c>
      <c r="Q327" t="str">
        <f>IF(tblLog[[#This Row],[Log Date]]="","",IF(TRIM(tblLog[[#This Row],[Cycle Stage]])="Asked to be removed from database","NO","YES"))</f>
        <v>YES</v>
      </c>
      <c r="R3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8" spans="1:18" ht="15" customHeight="1">
      <c r="A328" t="s">
        <v>7915</v>
      </c>
      <c r="B328" t="str">
        <f>IFERROR(_xlfn.XLOOKUP(tblLog[[#This Row],[Unique ID]], tblMaster[Unique ID], tblMaster[First Name], ""), "")</f>
        <v xml:space="preserve">Berlic </v>
      </c>
      <c r="C328" t="str">
        <f>IFERROR(_xlfn.XLOOKUP(tblLog[[#This Row],[Unique ID]], tblMaster[Unique ID], tblMaster[Last Name], ""), "")</f>
        <v xml:space="preserve"> Espinal </v>
      </c>
      <c r="D328" t="str">
        <f>IFERROR(_xlfn.XLOOKUP(tblLog[[#This Row],[Unique ID]], tblMaster[Unique ID], tblMaster[Email_Clean], ""), "")</f>
        <v>espinal.lpz@gmail.com</v>
      </c>
      <c r="E328" t="str">
        <f>IFERROR(_xlfn.XLOOKUP(tblLog[[#This Row],[Unique ID]], tblMaster[Unique ID], tblMaster[Phone], ""), "")</f>
        <v xml:space="preserve">508 410 0685 </v>
      </c>
      <c r="F328" t="str">
        <f>IFERROR(_xlfn.XLOOKUP(tblLog[[#This Row],[Unique ID]], tblMaster[Unique ID], tblMaster[Recruiter], ""), "")</f>
        <v xml:space="preserve">Enrique Ortiz </v>
      </c>
      <c r="G328" t="str">
        <f>IFERROR(_xlfn.XLOOKUP(tblLog[[#This Row],[Unique ID]], tblMaster[Unique ID], tblMaster[Recruitment Cycle], ""), "")</f>
        <v xml:space="preserve">Re-Engagment </v>
      </c>
      <c r="H328" t="s">
        <v>7455</v>
      </c>
      <c r="I328" t="s">
        <v>7494</v>
      </c>
      <c r="J328" s="3">
        <v>2</v>
      </c>
      <c r="K328" t="s">
        <v>7491</v>
      </c>
      <c r="L328" s="2">
        <v>46064</v>
      </c>
      <c r="M328" t="s">
        <v>7508</v>
      </c>
      <c r="N328" t="s">
        <v>7475</v>
      </c>
      <c r="P328">
        <f ca="1">IF(tblLog[[#This Row],[Log Date]]="","",TODAY()-tblLog[[#This Row],[Log Date]])</f>
        <v>15</v>
      </c>
      <c r="Q328" t="str">
        <f>IF(tblLog[[#This Row],[Log Date]]="","",IF(TRIM(tblLog[[#This Row],[Cycle Stage]])="Asked to be removed from database","NO","YES"))</f>
        <v>YES</v>
      </c>
      <c r="R3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29" spans="1:18" ht="15" customHeight="1">
      <c r="A329" t="s">
        <v>7916</v>
      </c>
      <c r="B329" t="str">
        <f>IFERROR(_xlfn.XLOOKUP(tblLog[[#This Row],[Unique ID]], tblMaster[Unique ID], tblMaster[First Name], ""), "")</f>
        <v xml:space="preserve">Skyler </v>
      </c>
      <c r="C329" t="str">
        <f>IFERROR(_xlfn.XLOOKUP(tblLog[[#This Row],[Unique ID]], tblMaster[Unique ID], tblMaster[Last Name], ""), "")</f>
        <v xml:space="preserve"> Blackinton</v>
      </c>
      <c r="D329" t="str">
        <f>IFERROR(_xlfn.XLOOKUP(tblLog[[#This Row],[Unique ID]], tblMaster[Unique ID], tblMaster[Email_Clean], ""), "")</f>
        <v>skylerjblackinton@gmail.com</v>
      </c>
      <c r="E329" t="str">
        <f>IFERROR(_xlfn.XLOOKUP(tblLog[[#This Row],[Unique ID]], tblMaster[Unique ID], tblMaster[Phone], ""), "")</f>
        <v xml:space="preserve"> 860-560-3310 </v>
      </c>
      <c r="F329" t="str">
        <f>IFERROR(_xlfn.XLOOKUP(tblLog[[#This Row],[Unique ID]], tblMaster[Unique ID], tblMaster[Recruiter], ""), "")</f>
        <v xml:space="preserve">Enrique Ortiz </v>
      </c>
      <c r="G329" t="str">
        <f>IFERROR(_xlfn.XLOOKUP(tblLog[[#This Row],[Unique ID]], tblMaster[Unique ID], tblMaster[Recruitment Cycle], ""), "")</f>
        <v xml:space="preserve">Re-Engagment </v>
      </c>
      <c r="H329" t="s">
        <v>7455</v>
      </c>
      <c r="I329" t="s">
        <v>7434</v>
      </c>
      <c r="J329" s="3">
        <v>1</v>
      </c>
      <c r="K329" t="s">
        <v>7491</v>
      </c>
      <c r="L329" s="2">
        <v>46064</v>
      </c>
      <c r="M329" t="s">
        <v>7485</v>
      </c>
      <c r="N329" t="s">
        <v>7475</v>
      </c>
      <c r="O329" t="s">
        <v>7791</v>
      </c>
      <c r="P329">
        <f ca="1">IF(tblLog[[#This Row],[Log Date]]="","",TODAY()-tblLog[[#This Row],[Log Date]])</f>
        <v>15</v>
      </c>
      <c r="Q329" t="str">
        <f>IF(tblLog[[#This Row],[Log Date]]="","",IF(TRIM(tblLog[[#This Row],[Cycle Stage]])="Asked to be removed from database","NO","YES"))</f>
        <v>YES</v>
      </c>
      <c r="R3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0" spans="1:18" ht="15" customHeight="1">
      <c r="A330" t="s">
        <v>7917</v>
      </c>
      <c r="B330" t="str">
        <f>IFERROR(_xlfn.XLOOKUP(tblLog[[#This Row],[Unique ID]], tblMaster[Unique ID], tblMaster[First Name], ""), "")</f>
        <v xml:space="preserve">Cinthia </v>
      </c>
      <c r="C330" t="str">
        <f>IFERROR(_xlfn.XLOOKUP(tblLog[[#This Row],[Unique ID]], tblMaster[Unique ID], tblMaster[Last Name], ""), "")</f>
        <v xml:space="preserve">Perez </v>
      </c>
      <c r="D330" t="str">
        <f>IFERROR(_xlfn.XLOOKUP(tblLog[[#This Row],[Unique ID]], tblMaster[Unique ID], tblMaster[Email_Clean], ""), "")</f>
        <v>cinthiasuastegui30@gmail.com</v>
      </c>
      <c r="E330" t="str">
        <f>IFERROR(_xlfn.XLOOKUP(tblLog[[#This Row],[Unique ID]], tblMaster[Unique ID], tblMaster[Phone], ""), "")</f>
        <v xml:space="preserve">(413) 292-5139 </v>
      </c>
      <c r="F330" t="str">
        <f>IFERROR(_xlfn.XLOOKUP(tblLog[[#This Row],[Unique ID]], tblMaster[Unique ID], tblMaster[Recruiter], ""), "")</f>
        <v xml:space="preserve">Enrique Ortiz </v>
      </c>
      <c r="G330" t="str">
        <f>IFERROR(_xlfn.XLOOKUP(tblLog[[#This Row],[Unique ID]], tblMaster[Unique ID], tblMaster[Recruitment Cycle], ""), "")</f>
        <v xml:space="preserve">Re-Engagment </v>
      </c>
      <c r="H330" t="s">
        <v>7455</v>
      </c>
      <c r="I330" t="s">
        <v>4</v>
      </c>
      <c r="J330" s="3">
        <v>1</v>
      </c>
      <c r="K330" t="s">
        <v>7491</v>
      </c>
      <c r="L330" s="2">
        <v>46064</v>
      </c>
      <c r="M330" t="s">
        <v>7485</v>
      </c>
      <c r="N330" t="s">
        <v>7475</v>
      </c>
      <c r="P330">
        <f ca="1">IF(tblLog[[#This Row],[Log Date]]="","",TODAY()-tblLog[[#This Row],[Log Date]])</f>
        <v>15</v>
      </c>
      <c r="Q330" t="str">
        <f>IF(tblLog[[#This Row],[Log Date]]="","",IF(TRIM(tblLog[[#This Row],[Cycle Stage]])="Asked to be removed from database","NO","YES"))</f>
        <v>YES</v>
      </c>
      <c r="R3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1" spans="1:18" ht="15" customHeight="1">
      <c r="A331" t="s">
        <v>7918</v>
      </c>
      <c r="B331" t="str">
        <f>IFERROR(_xlfn.XLOOKUP(tblLog[[#This Row],[Unique ID]], tblMaster[Unique ID], tblMaster[First Name], ""), "")</f>
        <v xml:space="preserve">Jaime </v>
      </c>
      <c r="C331" t="str">
        <f>IFERROR(_xlfn.XLOOKUP(tblLog[[#This Row],[Unique ID]], tblMaster[Unique ID], tblMaster[Last Name], ""), "")</f>
        <v>Taborda</v>
      </c>
      <c r="D331" t="str">
        <f>IFERROR(_xlfn.XLOOKUP(tblLog[[#This Row],[Unique ID]], tblMaster[Unique ID], tblMaster[Email_Clean], ""), "")</f>
        <v>jaimetaborda38@gmail.com</v>
      </c>
      <c r="E331" t="str">
        <f>IFERROR(_xlfn.XLOOKUP(tblLog[[#This Row],[Unique ID]], tblMaster[Unique ID], tblMaster[Phone], ""), "")</f>
        <v>617 447 6487</v>
      </c>
      <c r="F331" t="str">
        <f>IFERROR(_xlfn.XLOOKUP(tblLog[[#This Row],[Unique ID]], tblMaster[Unique ID], tblMaster[Recruiter], ""), "")</f>
        <v xml:space="preserve">Enrique Ortiz </v>
      </c>
      <c r="G331" t="str">
        <f>IFERROR(_xlfn.XLOOKUP(tblLog[[#This Row],[Unique ID]], tblMaster[Unique ID], tblMaster[Recruitment Cycle], ""), "")</f>
        <v xml:space="preserve">Re-Engagment </v>
      </c>
      <c r="H331" t="s">
        <v>7455</v>
      </c>
      <c r="I331" t="s">
        <v>7494</v>
      </c>
      <c r="J331" s="3">
        <v>2</v>
      </c>
      <c r="K331" t="s">
        <v>7491</v>
      </c>
      <c r="L331" s="2">
        <v>46064</v>
      </c>
      <c r="M331" t="s">
        <v>7508</v>
      </c>
      <c r="N331" t="s">
        <v>7475</v>
      </c>
      <c r="P331">
        <f ca="1">IF(tblLog[[#This Row],[Log Date]]="","",TODAY()-tblLog[[#This Row],[Log Date]])</f>
        <v>15</v>
      </c>
      <c r="Q331" t="str">
        <f>IF(tblLog[[#This Row],[Log Date]]="","",IF(TRIM(tblLog[[#This Row],[Cycle Stage]])="Asked to be removed from database","NO","YES"))</f>
        <v>YES</v>
      </c>
      <c r="R3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2" spans="1:18" ht="15" customHeight="1">
      <c r="A332" t="s">
        <v>7919</v>
      </c>
      <c r="B332" t="str">
        <f>IFERROR(_xlfn.XLOOKUP(tblLog[[#This Row],[Unique ID]], tblMaster[Unique ID], tblMaster[First Name], ""), "")</f>
        <v>Georgia</v>
      </c>
      <c r="C332" t="str">
        <f>IFERROR(_xlfn.XLOOKUP(tblLog[[#This Row],[Unique ID]], tblMaster[Unique ID], tblMaster[Last Name], ""), "")</f>
        <v xml:space="preserve">Silv </v>
      </c>
      <c r="D332" t="str">
        <f>IFERROR(_xlfn.XLOOKUP(tblLog[[#This Row],[Unique ID]], tblMaster[Unique ID], tblMaster[Email_Clean], ""), "")</f>
        <v>georgiasarai@hotmail.com</v>
      </c>
      <c r="E332" t="str">
        <f>IFERROR(_xlfn.XLOOKUP(tblLog[[#This Row],[Unique ID]], tblMaster[Unique ID], tblMaster[Phone], ""), "")</f>
        <v xml:space="preserve">857) 346-8037 </v>
      </c>
      <c r="F332" t="str">
        <f>IFERROR(_xlfn.XLOOKUP(tblLog[[#This Row],[Unique ID]], tblMaster[Unique ID], tblMaster[Recruiter], ""), "")</f>
        <v xml:space="preserve">Enrique Ortiz </v>
      </c>
      <c r="G332" t="str">
        <f>IFERROR(_xlfn.XLOOKUP(tblLog[[#This Row],[Unique ID]], tblMaster[Unique ID], tblMaster[Recruitment Cycle], ""), "")</f>
        <v xml:space="preserve">Re-Engagment </v>
      </c>
      <c r="H332" t="s">
        <v>7455</v>
      </c>
      <c r="I332" t="s">
        <v>7434</v>
      </c>
      <c r="J332" s="3">
        <v>1</v>
      </c>
      <c r="K332" t="s">
        <v>7435</v>
      </c>
      <c r="L332" s="2">
        <v>46064</v>
      </c>
      <c r="M332" t="s">
        <v>7452</v>
      </c>
      <c r="O332" t="s">
        <v>7920</v>
      </c>
      <c r="P332">
        <f ca="1">IF(tblLog[[#This Row],[Log Date]]="","",TODAY()-tblLog[[#This Row],[Log Date]])</f>
        <v>15</v>
      </c>
      <c r="Q332" t="str">
        <f>IF(tblLog[[#This Row],[Log Date]]="","",IF(TRIM(tblLog[[#This Row],[Cycle Stage]])="Asked to be removed from database","NO","YES"))</f>
        <v>YES</v>
      </c>
      <c r="R3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3" spans="1:18" ht="15" customHeight="1">
      <c r="A333" t="s">
        <v>7921</v>
      </c>
      <c r="B333" t="str">
        <f>IFERROR(_xlfn.XLOOKUP(tblLog[[#This Row],[Unique ID]], tblMaster[Unique ID], tblMaster[First Name], ""), "")</f>
        <v xml:space="preserve">Enrique </v>
      </c>
      <c r="C333" t="str">
        <f>IFERROR(_xlfn.XLOOKUP(tblLog[[#This Row],[Unique ID]], tblMaster[Unique ID], tblMaster[Last Name], ""), "")</f>
        <v xml:space="preserve">LaBounty </v>
      </c>
      <c r="D333" t="str">
        <f>IFERROR(_xlfn.XLOOKUP(tblLog[[#This Row],[Unique ID]], tblMaster[Unique ID], tblMaster[Email_Clean], ""), "")</f>
        <v>enriquelabounty@gmail.com</v>
      </c>
      <c r="E333" t="str">
        <f>IFERROR(_xlfn.XLOOKUP(tblLog[[#This Row],[Unique ID]], tblMaster[Unique ID], tblMaster[Phone], ""), "")</f>
        <v xml:space="preserve">(978) 868-7651 </v>
      </c>
      <c r="F333" t="str">
        <f>IFERROR(_xlfn.XLOOKUP(tblLog[[#This Row],[Unique ID]], tblMaster[Unique ID], tblMaster[Recruiter], ""), "")</f>
        <v xml:space="preserve">Enrique Ortiz </v>
      </c>
      <c r="G333" t="str">
        <f>IFERROR(_xlfn.XLOOKUP(tblLog[[#This Row],[Unique ID]], tblMaster[Unique ID], tblMaster[Recruitment Cycle], ""), "")</f>
        <v xml:space="preserve">Re-Engagment </v>
      </c>
      <c r="H333" t="s">
        <v>7455</v>
      </c>
      <c r="I333" t="s">
        <v>7494</v>
      </c>
      <c r="J333" s="3">
        <v>3</v>
      </c>
      <c r="K333" t="s">
        <v>7491</v>
      </c>
      <c r="L333" s="2">
        <v>46064</v>
      </c>
      <c r="M333" t="s">
        <v>7508</v>
      </c>
      <c r="N333" t="s">
        <v>7475</v>
      </c>
      <c r="P333">
        <f ca="1">IF(tblLog[[#This Row],[Log Date]]="","",TODAY()-tblLog[[#This Row],[Log Date]])</f>
        <v>15</v>
      </c>
      <c r="Q333" t="str">
        <f>IF(tblLog[[#This Row],[Log Date]]="","",IF(TRIM(tblLog[[#This Row],[Cycle Stage]])="Asked to be removed from database","NO","YES"))</f>
        <v>YES</v>
      </c>
      <c r="R3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4" spans="1:18" ht="15" customHeight="1">
      <c r="A334" t="s">
        <v>7922</v>
      </c>
      <c r="B334" t="str">
        <f>IFERROR(_xlfn.XLOOKUP(tblLog[[#This Row],[Unique ID]], tblMaster[Unique ID], tblMaster[First Name], ""), "")</f>
        <v>Roberta</v>
      </c>
      <c r="C334" t="str">
        <f>IFERROR(_xlfn.XLOOKUP(tblLog[[#This Row],[Unique ID]], tblMaster[Unique ID], tblMaster[Last Name], ""), "")</f>
        <v>Dos Santos Lopes</v>
      </c>
      <c r="D334" t="str">
        <f>IFERROR(_xlfn.XLOOKUP(tblLog[[#This Row],[Unique ID]], tblMaster[Unique ID], tblMaster[Email_Clean], ""), "")</f>
        <v>robertalopes62@hotmail.com</v>
      </c>
      <c r="E334" t="str">
        <f>IFERROR(_xlfn.XLOOKUP(tblLog[[#This Row],[Unique ID]], tblMaster[Unique ID], tblMaster[Phone], ""), "")</f>
        <v>774-206-0582</v>
      </c>
      <c r="F334" t="str">
        <f>IFERROR(_xlfn.XLOOKUP(tblLog[[#This Row],[Unique ID]], tblMaster[Unique ID], tblMaster[Recruiter], ""), "")</f>
        <v xml:space="preserve">Enrique Ortiz </v>
      </c>
      <c r="G334" t="str">
        <f>IFERROR(_xlfn.XLOOKUP(tblLog[[#This Row],[Unique ID]], tblMaster[Unique ID], tblMaster[Recruitment Cycle], ""), "")</f>
        <v xml:space="preserve">Re-Engagment </v>
      </c>
      <c r="H334" t="s">
        <v>7455</v>
      </c>
      <c r="I334" t="s">
        <v>7494</v>
      </c>
      <c r="J334" s="3">
        <v>3</v>
      </c>
      <c r="K334" t="s">
        <v>7491</v>
      </c>
      <c r="L334" s="2">
        <v>46064</v>
      </c>
      <c r="M334" t="s">
        <v>7508</v>
      </c>
      <c r="N334" t="s">
        <v>7475</v>
      </c>
      <c r="P334">
        <f ca="1">IF(tblLog[[#This Row],[Log Date]]="","",TODAY()-tblLog[[#This Row],[Log Date]])</f>
        <v>15</v>
      </c>
      <c r="Q334" t="str">
        <f>IF(tblLog[[#This Row],[Log Date]]="","",IF(TRIM(tblLog[[#This Row],[Cycle Stage]])="Asked to be removed from database","NO","YES"))</f>
        <v>YES</v>
      </c>
      <c r="R3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5" spans="1:18" ht="15" customHeight="1">
      <c r="A335" t="s">
        <v>7923</v>
      </c>
      <c r="B335" t="str">
        <f>IFERROR(_xlfn.XLOOKUP(tblLog[[#This Row],[Unique ID]], tblMaster[Unique ID], tblMaster[First Name], ""), "")</f>
        <v xml:space="preserve">Traiquan </v>
      </c>
      <c r="C335" t="str">
        <f>IFERROR(_xlfn.XLOOKUP(tblLog[[#This Row],[Unique ID]], tblMaster[Unique ID], tblMaster[Last Name], ""), "")</f>
        <v xml:space="preserve"> Menter </v>
      </c>
      <c r="D335" t="str">
        <f>IFERROR(_xlfn.XLOOKUP(tblLog[[#This Row],[Unique ID]], tblMaster[Unique ID], tblMaster[Email_Clean], ""), "")</f>
        <v>trai_menter@icloud.com</v>
      </c>
      <c r="E335" t="str">
        <f>IFERROR(_xlfn.XLOOKUP(tblLog[[#This Row],[Unique ID]], tblMaster[Unique ID], tblMaster[Phone], ""), "")</f>
        <v xml:space="preserve">781) 500-1872 </v>
      </c>
      <c r="F335" t="str">
        <f>IFERROR(_xlfn.XLOOKUP(tblLog[[#This Row],[Unique ID]], tblMaster[Unique ID], tblMaster[Recruiter], ""), "")</f>
        <v xml:space="preserve">Enrique Ortiz </v>
      </c>
      <c r="G335" t="str">
        <f>IFERROR(_xlfn.XLOOKUP(tblLog[[#This Row],[Unique ID]], tblMaster[Unique ID], tblMaster[Recruitment Cycle], ""), "")</f>
        <v xml:space="preserve">Re-Engagment </v>
      </c>
      <c r="H335" t="s">
        <v>7455</v>
      </c>
      <c r="I335" t="s">
        <v>7434</v>
      </c>
      <c r="J335" s="3">
        <v>2</v>
      </c>
      <c r="K335" t="s">
        <v>7472</v>
      </c>
      <c r="L335" s="2">
        <v>46064</v>
      </c>
      <c r="M335" t="s">
        <v>7615</v>
      </c>
      <c r="N335" t="s">
        <v>7475</v>
      </c>
      <c r="P335">
        <f ca="1">IF(tblLog[[#This Row],[Log Date]]="","",TODAY()-tblLog[[#This Row],[Log Date]])</f>
        <v>15</v>
      </c>
      <c r="Q335" t="str">
        <f>IF(tblLog[[#This Row],[Log Date]]="","",IF(TRIM(tblLog[[#This Row],[Cycle Stage]])="Asked to be removed from database","NO","YES"))</f>
        <v>YES</v>
      </c>
      <c r="R3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6" spans="1:18" ht="15" customHeight="1">
      <c r="A336" t="s">
        <v>7924</v>
      </c>
      <c r="B336" t="str">
        <f>IFERROR(_xlfn.XLOOKUP(tblLog[[#This Row],[Unique ID]], tblMaster[Unique ID], tblMaster[First Name], ""), "")</f>
        <v>Kayla</v>
      </c>
      <c r="C336" t="str">
        <f>IFERROR(_xlfn.XLOOKUP(tblLog[[#This Row],[Unique ID]], tblMaster[Unique ID], tblMaster[Last Name], ""), "")</f>
        <v>Magnone</v>
      </c>
      <c r="D336" t="str">
        <f>IFERROR(_xlfn.XLOOKUP(tblLog[[#This Row],[Unique ID]], tblMaster[Unique ID], tblMaster[Email_Clean], ""), "")</f>
        <v>kaylamagnone@gmail.com</v>
      </c>
      <c r="E336" t="str">
        <f>IFERROR(_xlfn.XLOOKUP(tblLog[[#This Row],[Unique ID]], tblMaster[Unique ID], tblMaster[Phone], ""), "")</f>
        <v>774-393-1126</v>
      </c>
      <c r="F336" t="str">
        <f>IFERROR(_xlfn.XLOOKUP(tblLog[[#This Row],[Unique ID]], tblMaster[Unique ID], tblMaster[Recruiter], ""), "")</f>
        <v xml:space="preserve">Enrique Ortiz </v>
      </c>
      <c r="G336" t="str">
        <f>IFERROR(_xlfn.XLOOKUP(tblLog[[#This Row],[Unique ID]], tblMaster[Unique ID], tblMaster[Recruitment Cycle], ""), "")</f>
        <v xml:space="preserve">Re-Engagment </v>
      </c>
      <c r="H336" t="s">
        <v>7455</v>
      </c>
      <c r="I336" t="s">
        <v>7434</v>
      </c>
      <c r="J336" s="3">
        <v>2</v>
      </c>
      <c r="K336" t="s">
        <v>7491</v>
      </c>
      <c r="L336" s="2">
        <v>46064</v>
      </c>
      <c r="M336" t="s">
        <v>7508</v>
      </c>
      <c r="N336" t="s">
        <v>7475</v>
      </c>
      <c r="P336">
        <f ca="1">IF(tblLog[[#This Row],[Log Date]]="","",TODAY()-tblLog[[#This Row],[Log Date]])</f>
        <v>15</v>
      </c>
      <c r="Q336" t="str">
        <f>IF(tblLog[[#This Row],[Log Date]]="","",IF(TRIM(tblLog[[#This Row],[Cycle Stage]])="Asked to be removed from database","NO","YES"))</f>
        <v>YES</v>
      </c>
      <c r="R3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7" spans="1:18" ht="15" customHeight="1">
      <c r="A337" t="s">
        <v>7925</v>
      </c>
      <c r="B337" t="str">
        <f>IFERROR(_xlfn.XLOOKUP(tblLog[[#This Row],[Unique ID]], tblMaster[Unique ID], tblMaster[First Name], ""), "")</f>
        <v xml:space="preserve">Joshua </v>
      </c>
      <c r="C337" t="str">
        <f>IFERROR(_xlfn.XLOOKUP(tblLog[[#This Row],[Unique ID]], tblMaster[Unique ID], tblMaster[Last Name], ""), "")</f>
        <v xml:space="preserve"> Esielionis </v>
      </c>
      <c r="D337" t="str">
        <f>IFERROR(_xlfn.XLOOKUP(tblLog[[#This Row],[Unique ID]], tblMaster[Unique ID], tblMaster[Email_Clean], ""), "")</f>
        <v>jesielionis23@aol.com</v>
      </c>
      <c r="E337" t="str">
        <f>IFERROR(_xlfn.XLOOKUP(tblLog[[#This Row],[Unique ID]], tblMaster[Unique ID], tblMaster[Phone], ""), "")</f>
        <v xml:space="preserve">978) 855-9902 </v>
      </c>
      <c r="F337" t="str">
        <f>IFERROR(_xlfn.XLOOKUP(tblLog[[#This Row],[Unique ID]], tblMaster[Unique ID], tblMaster[Recruiter], ""), "")</f>
        <v xml:space="preserve">Enrique Ortiz </v>
      </c>
      <c r="G337" t="str">
        <f>IFERROR(_xlfn.XLOOKUP(tblLog[[#This Row],[Unique ID]], tblMaster[Unique ID], tblMaster[Recruitment Cycle], ""), "")</f>
        <v xml:space="preserve">Re-Engagment </v>
      </c>
      <c r="H337" t="s">
        <v>7455</v>
      </c>
      <c r="I337" t="s">
        <v>7434</v>
      </c>
      <c r="J337" s="3">
        <v>3</v>
      </c>
      <c r="K337" t="s">
        <v>7491</v>
      </c>
      <c r="L337" s="2">
        <v>46064</v>
      </c>
      <c r="M337" t="s">
        <v>7615</v>
      </c>
      <c r="N337" t="s">
        <v>7475</v>
      </c>
      <c r="O337" t="s">
        <v>7926</v>
      </c>
      <c r="P337">
        <f ca="1">IF(tblLog[[#This Row],[Log Date]]="","",TODAY()-tblLog[[#This Row],[Log Date]])</f>
        <v>15</v>
      </c>
      <c r="Q337" t="str">
        <f>IF(tblLog[[#This Row],[Log Date]]="","",IF(TRIM(tblLog[[#This Row],[Cycle Stage]])="Asked to be removed from database","NO","YES"))</f>
        <v>YES</v>
      </c>
      <c r="R3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8" spans="1:18" ht="15" customHeight="1">
      <c r="A338" t="s">
        <v>7927</v>
      </c>
      <c r="B338" t="str">
        <f>IFERROR(_xlfn.XLOOKUP(tblLog[[#This Row],[Unique ID]], tblMaster[Unique ID], tblMaster[First Name], ""), "")</f>
        <v>Enrico </v>
      </c>
      <c r="C338" t="str">
        <f>IFERROR(_xlfn.XLOOKUP(tblLog[[#This Row],[Unique ID]], tblMaster[Unique ID], tblMaster[Last Name], ""), "")</f>
        <v>Lecce</v>
      </c>
      <c r="D338" t="str">
        <f>IFERROR(_xlfn.XLOOKUP(tblLog[[#This Row],[Unique ID]], tblMaster[Unique ID], tblMaster[Email_Clean], ""), "")</f>
        <v>elecce66@gmail.com</v>
      </c>
      <c r="E338" t="str">
        <f>IFERROR(_xlfn.XLOOKUP(tblLog[[#This Row],[Unique ID]], tblMaster[Unique ID], tblMaster[Phone], ""), "")</f>
        <v>617 818-2023 </v>
      </c>
      <c r="F338" t="str">
        <f>IFERROR(_xlfn.XLOOKUP(tblLog[[#This Row],[Unique ID]], tblMaster[Unique ID], tblMaster[Recruiter], ""), "")</f>
        <v xml:space="preserve">Jevon Brown Simpson </v>
      </c>
      <c r="G338" t="str">
        <f>IFERROR(_xlfn.XLOOKUP(tblLog[[#This Row],[Unique ID]], tblMaster[Unique ID], tblMaster[Recruitment Cycle], ""), "")</f>
        <v xml:space="preserve">Re-Engagment/Post Civil Service Exam </v>
      </c>
      <c r="H338" t="s">
        <v>7529</v>
      </c>
      <c r="I338" t="s">
        <v>7494</v>
      </c>
      <c r="J338" s="3">
        <v>1</v>
      </c>
      <c r="K338" t="s">
        <v>7491</v>
      </c>
      <c r="L338" s="2">
        <v>46064</v>
      </c>
      <c r="M338" t="s">
        <v>7544</v>
      </c>
      <c r="P338">
        <f ca="1">IF(tblLog[[#This Row],[Log Date]]="","",TODAY()-tblLog[[#This Row],[Log Date]])</f>
        <v>15</v>
      </c>
      <c r="Q338" t="str">
        <f>IF(tblLog[[#This Row],[Log Date]]="","",IF(TRIM(tblLog[[#This Row],[Cycle Stage]])="Asked to be removed from database","NO","YES"))</f>
        <v>YES</v>
      </c>
      <c r="R3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39" spans="1:18" ht="15" customHeight="1">
      <c r="A339" t="s">
        <v>7928</v>
      </c>
      <c r="B339" t="str">
        <f>IFERROR(_xlfn.XLOOKUP(tblLog[[#This Row],[Unique ID]], tblMaster[Unique ID], tblMaster[First Name], ""), "")</f>
        <v xml:space="preserve">Raymond </v>
      </c>
      <c r="C339" t="str">
        <f>IFERROR(_xlfn.XLOOKUP(tblLog[[#This Row],[Unique ID]], tblMaster[Unique ID], tblMaster[Last Name], ""), "")</f>
        <v>JJUUKO</v>
      </c>
      <c r="D339" t="str">
        <f>IFERROR(_xlfn.XLOOKUP(tblLog[[#This Row],[Unique ID]], tblMaster[Unique ID], tblMaster[Email_Clean], ""), "")</f>
        <v>rjjuuko281@gmail.com</v>
      </c>
      <c r="E339" t="str">
        <f>IFERROR(_xlfn.XLOOKUP(tblLog[[#This Row],[Unique ID]], tblMaster[Unique ID], tblMaster[Phone], ""), "")</f>
        <v>781 215 3595</v>
      </c>
      <c r="F339" t="str">
        <f>IFERROR(_xlfn.XLOOKUP(tblLog[[#This Row],[Unique ID]], tblMaster[Unique ID], tblMaster[Recruiter], ""), "")</f>
        <v xml:space="preserve">Enrique Ortiz </v>
      </c>
      <c r="G339" t="str">
        <f>IFERROR(_xlfn.XLOOKUP(tblLog[[#This Row],[Unique ID]], tblMaster[Unique ID], tblMaster[Recruitment Cycle], ""), "")</f>
        <v xml:space="preserve">Re-Engagment </v>
      </c>
      <c r="H339" t="s">
        <v>7455</v>
      </c>
      <c r="I339" t="s">
        <v>7434</v>
      </c>
      <c r="J339" s="3">
        <v>3</v>
      </c>
      <c r="K339" t="s">
        <v>7435</v>
      </c>
      <c r="L339" s="2">
        <v>46064</v>
      </c>
      <c r="M339" t="s">
        <v>7508</v>
      </c>
      <c r="N339" t="s">
        <v>7475</v>
      </c>
      <c r="P339">
        <f ca="1">IF(tblLog[[#This Row],[Log Date]]="","",TODAY()-tblLog[[#This Row],[Log Date]])</f>
        <v>15</v>
      </c>
      <c r="Q339" t="str">
        <f>IF(tblLog[[#This Row],[Log Date]]="","",IF(TRIM(tblLog[[#This Row],[Cycle Stage]])="Asked to be removed from database","NO","YES"))</f>
        <v>YES</v>
      </c>
      <c r="R3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0" spans="1:18" ht="15" customHeight="1">
      <c r="A340" t="s">
        <v>7929</v>
      </c>
      <c r="B340" t="str">
        <f>IFERROR(_xlfn.XLOOKUP(tblLog[[#This Row],[Unique ID]], tblMaster[Unique ID], tblMaster[First Name], ""), "")</f>
        <v>Samuel</v>
      </c>
      <c r="C340" t="str">
        <f>IFERROR(_xlfn.XLOOKUP(tblLog[[#This Row],[Unique ID]], tblMaster[Unique ID], tblMaster[Last Name], ""), "")</f>
        <v>Handrick</v>
      </c>
      <c r="D340" t="str">
        <f>IFERROR(_xlfn.XLOOKUP(tblLog[[#This Row],[Unique ID]], tblMaster[Unique ID], tblMaster[Email_Clean], ""), "")</f>
        <v>yeseagulls@outlook.com</v>
      </c>
      <c r="E340" t="str">
        <f>IFERROR(_xlfn.XLOOKUP(tblLog[[#This Row],[Unique ID]], tblMaster[Unique ID], tblMaster[Phone], ""), "")</f>
        <v>978-760-8404 </v>
      </c>
      <c r="F340" t="str">
        <f>IFERROR(_xlfn.XLOOKUP(tblLog[[#This Row],[Unique ID]], tblMaster[Unique ID], tblMaster[Recruiter], ""), "")</f>
        <v xml:space="preserve">Jevon Brown Simpson </v>
      </c>
      <c r="G340" t="str">
        <f>IFERROR(_xlfn.XLOOKUP(tblLog[[#This Row],[Unique ID]], tblMaster[Unique ID], tblMaster[Recruitment Cycle], ""), "")</f>
        <v xml:space="preserve">Re-Engagment/Post Civil Service Exam </v>
      </c>
      <c r="H340" t="s">
        <v>7529</v>
      </c>
      <c r="I340" t="s">
        <v>7494</v>
      </c>
      <c r="J340" s="3">
        <v>1</v>
      </c>
      <c r="K340" t="s">
        <v>7491</v>
      </c>
      <c r="L340" s="2">
        <v>46064</v>
      </c>
      <c r="M340" t="s">
        <v>7544</v>
      </c>
      <c r="P340">
        <f ca="1">IF(tblLog[[#This Row],[Log Date]]="","",TODAY()-tblLog[[#This Row],[Log Date]])</f>
        <v>15</v>
      </c>
      <c r="Q340" t="str">
        <f>IF(tblLog[[#This Row],[Log Date]]="","",IF(TRIM(tblLog[[#This Row],[Cycle Stage]])="Asked to be removed from database","NO","YES"))</f>
        <v>YES</v>
      </c>
      <c r="R3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1" spans="1:18" ht="15" customHeight="1">
      <c r="A341" t="s">
        <v>7930</v>
      </c>
      <c r="B341" t="str">
        <f>IFERROR(_xlfn.XLOOKUP(tblLog[[#This Row],[Unique ID]], tblMaster[Unique ID], tblMaster[First Name], ""), "")</f>
        <v>Eh shanti</v>
      </c>
      <c r="C341" t="str">
        <f>IFERROR(_xlfn.XLOOKUP(tblLog[[#This Row],[Unique ID]], tblMaster[Unique ID], tblMaster[Last Name], ""), "")</f>
        <v>Bey</v>
      </c>
      <c r="D341" t="str">
        <f>IFERROR(_xlfn.XLOOKUP(tblLog[[#This Row],[Unique ID]], tblMaster[Unique ID], tblMaster[Email_Clean], ""), "")</f>
        <v>ehshanti99@yahoo.com</v>
      </c>
      <c r="E341" t="str">
        <f>IFERROR(_xlfn.XLOOKUP(tblLog[[#This Row],[Unique ID]], tblMaster[Unique ID], tblMaster[Phone], ""), "")</f>
        <v>781-805-0208</v>
      </c>
      <c r="F341" t="str">
        <f>IFERROR(_xlfn.XLOOKUP(tblLog[[#This Row],[Unique ID]], tblMaster[Unique ID], tblMaster[Recruiter], ""), "")</f>
        <v xml:space="preserve">Jevon Brown Simpson </v>
      </c>
      <c r="G341" t="str">
        <f>IFERROR(_xlfn.XLOOKUP(tblLog[[#This Row],[Unique ID]], tblMaster[Unique ID], tblMaster[Recruitment Cycle], ""), "")</f>
        <v xml:space="preserve">Re-Engagment/Post Civil Service Exam </v>
      </c>
      <c r="H341" t="s">
        <v>7529</v>
      </c>
      <c r="I341" t="s">
        <v>7434</v>
      </c>
      <c r="J341" s="3">
        <v>1</v>
      </c>
      <c r="K341" t="s">
        <v>7435</v>
      </c>
      <c r="L341" s="2">
        <v>46064</v>
      </c>
      <c r="M341" t="s">
        <v>7615</v>
      </c>
      <c r="O341" t="s">
        <v>7931</v>
      </c>
      <c r="P341">
        <f ca="1">IF(tblLog[[#This Row],[Log Date]]="","",TODAY()-tblLog[[#This Row],[Log Date]])</f>
        <v>15</v>
      </c>
      <c r="Q341" t="str">
        <f>IF(tblLog[[#This Row],[Log Date]]="","",IF(TRIM(tblLog[[#This Row],[Cycle Stage]])="Asked to be removed from database","NO","YES"))</f>
        <v>YES</v>
      </c>
      <c r="R3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2" spans="1:18" ht="15" customHeight="1">
      <c r="A342" t="s">
        <v>7932</v>
      </c>
      <c r="B342" t="str">
        <f>IFERROR(_xlfn.XLOOKUP(tblLog[[#This Row],[Unique ID]], tblMaster[Unique ID], tblMaster[First Name], ""), "")</f>
        <v>Jason</v>
      </c>
      <c r="C342" t="str">
        <f>IFERROR(_xlfn.XLOOKUP(tblLog[[#This Row],[Unique ID]], tblMaster[Unique ID], tblMaster[Last Name], ""), "")</f>
        <v>Uccello</v>
      </c>
      <c r="D342" t="str">
        <f>IFERROR(_xlfn.XLOOKUP(tblLog[[#This Row],[Unique ID]], tblMaster[Unique ID], tblMaster[Email_Clean], ""), "")</f>
        <v>jaydog7714@gmail.com</v>
      </c>
      <c r="E342" t="str">
        <f>IFERROR(_xlfn.XLOOKUP(tblLog[[#This Row],[Unique ID]], tblMaster[Unique ID], tblMaster[Phone], ""), "")</f>
        <v>978 942 1835</v>
      </c>
      <c r="F342" t="str">
        <f>IFERROR(_xlfn.XLOOKUP(tblLog[[#This Row],[Unique ID]], tblMaster[Unique ID], tblMaster[Recruiter], ""), "")</f>
        <v xml:space="preserve">Enrique Ortiz </v>
      </c>
      <c r="G342" t="str">
        <f>IFERROR(_xlfn.XLOOKUP(tblLog[[#This Row],[Unique ID]], tblMaster[Unique ID], tblMaster[Recruitment Cycle], ""), "")</f>
        <v xml:space="preserve">Re-Engagment </v>
      </c>
      <c r="H342" t="s">
        <v>7455</v>
      </c>
      <c r="I342" t="s">
        <v>7494</v>
      </c>
      <c r="J342" s="3">
        <v>2</v>
      </c>
      <c r="K342" t="s">
        <v>7491</v>
      </c>
      <c r="L342" s="2">
        <v>46064</v>
      </c>
      <c r="M342" t="s">
        <v>7508</v>
      </c>
      <c r="N342" t="s">
        <v>7475</v>
      </c>
      <c r="P342">
        <f ca="1">IF(tblLog[[#This Row],[Log Date]]="","",TODAY()-tblLog[[#This Row],[Log Date]])</f>
        <v>15</v>
      </c>
      <c r="Q342" t="str">
        <f>IF(tblLog[[#This Row],[Log Date]]="","",IF(TRIM(tblLog[[#This Row],[Cycle Stage]])="Asked to be removed from database","NO","YES"))</f>
        <v>YES</v>
      </c>
      <c r="R3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3" spans="1:18" ht="15" customHeight="1">
      <c r="A343" t="s">
        <v>7933</v>
      </c>
      <c r="B343" t="str">
        <f>IFERROR(_xlfn.XLOOKUP(tblLog[[#This Row],[Unique ID]], tblMaster[Unique ID], tblMaster[First Name], ""), "")</f>
        <v>Wesly</v>
      </c>
      <c r="C343" t="str">
        <f>IFERROR(_xlfn.XLOOKUP(tblLog[[#This Row],[Unique ID]], tblMaster[Unique ID], tblMaster[Last Name], ""), "")</f>
        <v>Delvoix</v>
      </c>
      <c r="D343" t="str">
        <f>IFERROR(_xlfn.XLOOKUP(tblLog[[#This Row],[Unique ID]], tblMaster[Unique ID], tblMaster[Email_Clean], ""), "")</f>
        <v>delvoixwesly@gmail.com</v>
      </c>
      <c r="E343" t="str">
        <f>IFERROR(_xlfn.XLOOKUP(tblLog[[#This Row],[Unique ID]], tblMaster[Unique ID], tblMaster[Phone], ""), "")</f>
        <v>(857) 492-2977</v>
      </c>
      <c r="F343" t="str">
        <f>IFERROR(_xlfn.XLOOKUP(tblLog[[#This Row],[Unique ID]], tblMaster[Unique ID], tblMaster[Recruiter], ""), "")</f>
        <v xml:space="preserve">Enrique Ortiz </v>
      </c>
      <c r="G343" t="str">
        <f>IFERROR(_xlfn.XLOOKUP(tblLog[[#This Row],[Unique ID]], tblMaster[Unique ID], tblMaster[Recruitment Cycle], ""), "")</f>
        <v xml:space="preserve">Re-Engagment </v>
      </c>
      <c r="H343" t="s">
        <v>7455</v>
      </c>
      <c r="I343" t="s">
        <v>7494</v>
      </c>
      <c r="J343" s="3">
        <v>2</v>
      </c>
      <c r="K343" t="s">
        <v>7491</v>
      </c>
      <c r="L343" s="2">
        <v>46064</v>
      </c>
      <c r="M343" t="s">
        <v>7508</v>
      </c>
      <c r="N343" t="s">
        <v>7475</v>
      </c>
      <c r="P343">
        <f ca="1">IF(tblLog[[#This Row],[Log Date]]="","",TODAY()-tblLog[[#This Row],[Log Date]])</f>
        <v>15</v>
      </c>
      <c r="Q343" t="str">
        <f>IF(tblLog[[#This Row],[Log Date]]="","",IF(TRIM(tblLog[[#This Row],[Cycle Stage]])="Asked to be removed from database","NO","YES"))</f>
        <v>YES</v>
      </c>
      <c r="R3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4" spans="1:18" ht="15" customHeight="1">
      <c r="A344" t="s">
        <v>7934</v>
      </c>
      <c r="B344" t="str">
        <f>IFERROR(_xlfn.XLOOKUP(tblLog[[#This Row],[Unique ID]], tblMaster[Unique ID], tblMaster[First Name], ""), "")</f>
        <v xml:space="preserve">Nathan </v>
      </c>
      <c r="C344" t="str">
        <f>IFERROR(_xlfn.XLOOKUP(tblLog[[#This Row],[Unique ID]], tblMaster[Unique ID], tblMaster[Last Name], ""), "")</f>
        <v xml:space="preserve">Martian </v>
      </c>
      <c r="D344" t="str">
        <f>IFERROR(_xlfn.XLOOKUP(tblLog[[#This Row],[Unique ID]], tblMaster[Unique ID], tblMaster[Email_Clean], ""), "")</f>
        <v>nathanmartin377@gmail.com</v>
      </c>
      <c r="E344" t="str">
        <f>IFERROR(_xlfn.XLOOKUP(tblLog[[#This Row],[Unique ID]], tblMaster[Unique ID], tblMaster[Phone], ""), "")</f>
        <v>(978) 501-5373</v>
      </c>
      <c r="F344" t="str">
        <f>IFERROR(_xlfn.XLOOKUP(tblLog[[#This Row],[Unique ID]], tblMaster[Unique ID], tblMaster[Recruiter], ""), "")</f>
        <v xml:space="preserve">Enrique Ortiz </v>
      </c>
      <c r="G344" t="str">
        <f>IFERROR(_xlfn.XLOOKUP(tblLog[[#This Row],[Unique ID]], tblMaster[Unique ID], tblMaster[Recruitment Cycle], ""), "")</f>
        <v xml:space="preserve">Re-Engagment </v>
      </c>
      <c r="H344" t="s">
        <v>7455</v>
      </c>
      <c r="I344" t="s">
        <v>7434</v>
      </c>
      <c r="J344" s="3">
        <v>1</v>
      </c>
      <c r="K344" t="s">
        <v>7472</v>
      </c>
      <c r="L344" s="2">
        <v>46064</v>
      </c>
      <c r="M344" t="s">
        <v>7615</v>
      </c>
      <c r="N344" t="s">
        <v>7475</v>
      </c>
      <c r="O344" t="s">
        <v>7911</v>
      </c>
      <c r="P344">
        <f ca="1">IF(tblLog[[#This Row],[Log Date]]="","",TODAY()-tblLog[[#This Row],[Log Date]])</f>
        <v>15</v>
      </c>
      <c r="Q344" t="str">
        <f>IF(tblLog[[#This Row],[Log Date]]="","",IF(TRIM(tblLog[[#This Row],[Cycle Stage]])="Asked to be removed from database","NO","YES"))</f>
        <v>YES</v>
      </c>
      <c r="R3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5" spans="1:18" ht="15" customHeight="1">
      <c r="A345" t="s">
        <v>7935</v>
      </c>
      <c r="B345" t="str">
        <f>IFERROR(_xlfn.XLOOKUP(tblLog[[#This Row],[Unique ID]], tblMaster[Unique ID], tblMaster[First Name], ""), "")</f>
        <v xml:space="preserve">Nelvin </v>
      </c>
      <c r="C345" t="str">
        <f>IFERROR(_xlfn.XLOOKUP(tblLog[[#This Row],[Unique ID]], tblMaster[Unique ID], tblMaster[Last Name], ""), "")</f>
        <v xml:space="preserve">Medina </v>
      </c>
      <c r="D345" t="str">
        <f>IFERROR(_xlfn.XLOOKUP(tblLog[[#This Row],[Unique ID]], tblMaster[Unique ID], tblMaster[Email_Clean], ""), "")</f>
        <v>nelvinmedina88@gmail.com</v>
      </c>
      <c r="E345" t="str">
        <f>IFERROR(_xlfn.XLOOKUP(tblLog[[#This Row],[Unique ID]], tblMaster[Unique ID], tblMaster[Phone], ""), "")</f>
        <v xml:space="preserve">413-231-2782 </v>
      </c>
      <c r="F345" t="str">
        <f>IFERROR(_xlfn.XLOOKUP(tblLog[[#This Row],[Unique ID]], tblMaster[Unique ID], tblMaster[Recruiter], ""), "")</f>
        <v xml:space="preserve">Jevon Brown Simpson </v>
      </c>
      <c r="G345" t="str">
        <f>IFERROR(_xlfn.XLOOKUP(tblLog[[#This Row],[Unique ID]], tblMaster[Unique ID], tblMaster[Recruitment Cycle], ""), "")</f>
        <v xml:space="preserve">Re-Engagment/Post Civil Service Exam </v>
      </c>
      <c r="H345" t="s">
        <v>7455</v>
      </c>
      <c r="I345" t="s">
        <v>4</v>
      </c>
      <c r="J345" s="3">
        <v>4</v>
      </c>
      <c r="K345" t="s">
        <v>7435</v>
      </c>
      <c r="L345" s="2">
        <v>46073</v>
      </c>
      <c r="M345" t="s">
        <v>7508</v>
      </c>
      <c r="N345" t="s">
        <v>7500</v>
      </c>
      <c r="P345">
        <f ca="1">IF(tblLog[[#This Row],[Log Date]]="","",TODAY()-tblLog[[#This Row],[Log Date]])</f>
        <v>6</v>
      </c>
      <c r="Q345" t="str">
        <f>IF(tblLog[[#This Row],[Log Date]]="","",IF(TRIM(tblLog[[#This Row],[Cycle Stage]])="Asked to be removed from database","NO","YES"))</f>
        <v>YES</v>
      </c>
      <c r="R3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6" spans="1:18" ht="15" customHeight="1">
      <c r="A346" t="s">
        <v>7936</v>
      </c>
      <c r="B346" t="str">
        <f>IFERROR(_xlfn.XLOOKUP(tblLog[[#This Row],[Unique ID]], tblMaster[Unique ID], tblMaster[First Name], ""), "")</f>
        <v xml:space="preserve">Dennis </v>
      </c>
      <c r="C346" t="str">
        <f>IFERROR(_xlfn.XLOOKUP(tblLog[[#This Row],[Unique ID]], tblMaster[Unique ID], tblMaster[Last Name], ""), "")</f>
        <v>Dagoumas</v>
      </c>
      <c r="D346" t="str">
        <f>IFERROR(_xlfn.XLOOKUP(tblLog[[#This Row],[Unique ID]], tblMaster[Unique ID], tblMaster[Email_Clean], ""), "")</f>
        <v>dennisdagoumas@gmail.com</v>
      </c>
      <c r="E346" t="str">
        <f>IFERROR(_xlfn.XLOOKUP(tblLog[[#This Row],[Unique ID]], tblMaster[Unique ID], tblMaster[Phone], ""), "")</f>
        <v>347-796-0751</v>
      </c>
      <c r="F346" t="str">
        <f>IFERROR(_xlfn.XLOOKUP(tblLog[[#This Row],[Unique ID]], tblMaster[Unique ID], tblMaster[Recruiter], ""), "")</f>
        <v xml:space="preserve">Jevon Brown Simpson </v>
      </c>
      <c r="G346" t="str">
        <f>IFERROR(_xlfn.XLOOKUP(tblLog[[#This Row],[Unique ID]], tblMaster[Unique ID], tblMaster[Recruitment Cycle], ""), "")</f>
        <v xml:space="preserve">Re-Engagment/Post Civil Service Exam </v>
      </c>
      <c r="H346" t="s">
        <v>7529</v>
      </c>
      <c r="I346" t="s">
        <v>7494</v>
      </c>
      <c r="J346" s="3">
        <v>1</v>
      </c>
      <c r="K346" t="s">
        <v>7491</v>
      </c>
      <c r="L346" s="2">
        <v>46064</v>
      </c>
      <c r="M346" t="s">
        <v>7544</v>
      </c>
      <c r="P346">
        <f ca="1">IF(tblLog[[#This Row],[Log Date]]="","",TODAY()-tblLog[[#This Row],[Log Date]])</f>
        <v>15</v>
      </c>
      <c r="Q346" t="str">
        <f>IF(tblLog[[#This Row],[Log Date]]="","",IF(TRIM(tblLog[[#This Row],[Cycle Stage]])="Asked to be removed from database","NO","YES"))</f>
        <v>YES</v>
      </c>
      <c r="R3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7" spans="1:18" ht="15" customHeight="1">
      <c r="A347" t="s">
        <v>7937</v>
      </c>
      <c r="B347" t="str">
        <f>IFERROR(_xlfn.XLOOKUP(tblLog[[#This Row],[Unique ID]], tblMaster[Unique ID], tblMaster[First Name], ""), "")</f>
        <v>Christian</v>
      </c>
      <c r="C347" t="str">
        <f>IFERROR(_xlfn.XLOOKUP(tblLog[[#This Row],[Unique ID]], tblMaster[Unique ID], tblMaster[Last Name], ""), "")</f>
        <v xml:space="preserve"> Smith</v>
      </c>
      <c r="D347" t="str">
        <f>IFERROR(_xlfn.XLOOKUP(tblLog[[#This Row],[Unique ID]], tblMaster[Unique ID], tblMaster[Email_Clean], ""), "")</f>
        <v>christian.smith41@yahoo.com</v>
      </c>
      <c r="E347" t="str">
        <f>IFERROR(_xlfn.XLOOKUP(tblLog[[#This Row],[Unique ID]], tblMaster[Unique ID], tblMaster[Phone], ""), "")</f>
        <v>413-325-7411</v>
      </c>
      <c r="F347" t="str">
        <f>IFERROR(_xlfn.XLOOKUP(tblLog[[#This Row],[Unique ID]], tblMaster[Unique ID], tblMaster[Recruiter], ""), "")</f>
        <v xml:space="preserve">Jevon Brown Simpson </v>
      </c>
      <c r="G347" t="str">
        <f>IFERROR(_xlfn.XLOOKUP(tblLog[[#This Row],[Unique ID]], tblMaster[Unique ID], tblMaster[Recruitment Cycle], ""), "")</f>
        <v xml:space="preserve">Re-Engagment/Post Civil Service Exam </v>
      </c>
      <c r="H347" t="s">
        <v>7529</v>
      </c>
      <c r="I347" t="s">
        <v>7494</v>
      </c>
      <c r="J347" s="3">
        <v>1</v>
      </c>
      <c r="K347" t="s">
        <v>7491</v>
      </c>
      <c r="L347" s="2">
        <v>46064</v>
      </c>
      <c r="M347" t="s">
        <v>7544</v>
      </c>
      <c r="P347">
        <f ca="1">IF(tblLog[[#This Row],[Log Date]]="","",TODAY()-tblLog[[#This Row],[Log Date]])</f>
        <v>15</v>
      </c>
      <c r="Q347" t="str">
        <f>IF(tblLog[[#This Row],[Log Date]]="","",IF(TRIM(tblLog[[#This Row],[Cycle Stage]])="Asked to be removed from database","NO","YES"))</f>
        <v>YES</v>
      </c>
      <c r="R3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8" spans="1:18" ht="15" customHeight="1">
      <c r="A348" t="s">
        <v>7938</v>
      </c>
      <c r="B348" t="str">
        <f>IFERROR(_xlfn.XLOOKUP(tblLog[[#This Row],[Unique ID]], tblMaster[Unique ID], tblMaster[First Name], ""), "")</f>
        <v xml:space="preserve">Renel </v>
      </c>
      <c r="C348" t="str">
        <f>IFERROR(_xlfn.XLOOKUP(tblLog[[#This Row],[Unique ID]], tblMaster[Unique ID], tblMaster[Last Name], ""), "")</f>
        <v xml:space="preserve">Marcelin </v>
      </c>
      <c r="D348" t="str">
        <f>IFERROR(_xlfn.XLOOKUP(tblLog[[#This Row],[Unique ID]], tblMaster[Unique ID], tblMaster[Email_Clean], ""), "")</f>
        <v>padovaniknoll@gmail.com</v>
      </c>
      <c r="E348" t="str">
        <f>IFERROR(_xlfn.XLOOKUP(tblLog[[#This Row],[Unique ID]], tblMaster[Unique ID], tblMaster[Phone], ""), "")</f>
        <v xml:space="preserve">(845) 213-5552 </v>
      </c>
      <c r="F348" t="str">
        <f>IFERROR(_xlfn.XLOOKUP(tblLog[[#This Row],[Unique ID]], tblMaster[Unique ID], tblMaster[Recruiter], ""), "")</f>
        <v xml:space="preserve">Jevon Brown Simpson </v>
      </c>
      <c r="G348" t="str">
        <f>IFERROR(_xlfn.XLOOKUP(tblLog[[#This Row],[Unique ID]], tblMaster[Unique ID], tblMaster[Recruitment Cycle], ""), "")</f>
        <v xml:space="preserve">Re-Engagment/Post Civil Service Exam </v>
      </c>
      <c r="H348" t="s">
        <v>7529</v>
      </c>
      <c r="I348" t="s">
        <v>7494</v>
      </c>
      <c r="J348" s="3">
        <v>1</v>
      </c>
      <c r="K348" t="s">
        <v>7491</v>
      </c>
      <c r="L348" s="2">
        <v>46064</v>
      </c>
      <c r="M348" t="s">
        <v>7544</v>
      </c>
      <c r="P348">
        <f ca="1">IF(tblLog[[#This Row],[Log Date]]="","",TODAY()-tblLog[[#This Row],[Log Date]])</f>
        <v>15</v>
      </c>
      <c r="Q348" t="str">
        <f>IF(tblLog[[#This Row],[Log Date]]="","",IF(TRIM(tblLog[[#This Row],[Cycle Stage]])="Asked to be removed from database","NO","YES"))</f>
        <v>YES</v>
      </c>
      <c r="R3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49" spans="1:18" ht="15" customHeight="1">
      <c r="A349" t="s">
        <v>7939</v>
      </c>
      <c r="B349" t="str">
        <f>IFERROR(_xlfn.XLOOKUP(tblLog[[#This Row],[Unique ID]], tblMaster[Unique ID], tblMaster[First Name], ""), "")</f>
        <v xml:space="preserve">Wesley </v>
      </c>
      <c r="C349" t="str">
        <f>IFERROR(_xlfn.XLOOKUP(tblLog[[#This Row],[Unique ID]], tblMaster[Unique ID], tblMaster[Last Name], ""), "")</f>
        <v>Curry</v>
      </c>
      <c r="D349" t="str">
        <f>IFERROR(_xlfn.XLOOKUP(tblLog[[#This Row],[Unique ID]], tblMaster[Unique ID], tblMaster[Email_Clean], ""), "")</f>
        <v>wesley.curry@comcast.net</v>
      </c>
      <c r="E349" t="str">
        <f>IFERROR(_xlfn.XLOOKUP(tblLog[[#This Row],[Unique ID]], tblMaster[Unique ID], tblMaster[Phone], ""), "")</f>
        <v>978-501-9334</v>
      </c>
      <c r="F349" t="str">
        <f>IFERROR(_xlfn.XLOOKUP(tblLog[[#This Row],[Unique ID]], tblMaster[Unique ID], tblMaster[Recruiter], ""), "")</f>
        <v>Zenon Moses</v>
      </c>
      <c r="G349" t="str">
        <f>IFERROR(_xlfn.XLOOKUP(tblLog[[#This Row],[Unique ID]], tblMaster[Unique ID], tblMaster[Recruitment Cycle], ""), "")</f>
        <v xml:space="preserve">New Submission/ Lead </v>
      </c>
      <c r="H349" t="s">
        <v>7455</v>
      </c>
      <c r="I349" t="s">
        <v>7530</v>
      </c>
      <c r="J349" s="3">
        <v>2</v>
      </c>
      <c r="K349" t="s">
        <v>7435</v>
      </c>
      <c r="L349" s="2">
        <v>46064</v>
      </c>
      <c r="M349" t="s">
        <v>7598</v>
      </c>
      <c r="N349" t="s">
        <v>7481</v>
      </c>
      <c r="O349" t="s">
        <v>7940</v>
      </c>
      <c r="P349">
        <f ca="1">IF(tblLog[[#This Row],[Log Date]]="","",TODAY()-tblLog[[#This Row],[Log Date]])</f>
        <v>15</v>
      </c>
      <c r="Q349" t="str">
        <f>IF(tblLog[[#This Row],[Log Date]]="","",IF(TRIM(tblLog[[#This Row],[Cycle Stage]])="Asked to be removed from database","NO","YES"))</f>
        <v>YES</v>
      </c>
      <c r="R3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0" spans="1:18" ht="15" customHeight="1">
      <c r="A350" t="s">
        <v>7941</v>
      </c>
      <c r="B350" t="str">
        <f>IFERROR(_xlfn.XLOOKUP(tblLog[[#This Row],[Unique ID]], tblMaster[Unique ID], tblMaster[First Name], ""), "")</f>
        <v xml:space="preserve">Clayton </v>
      </c>
      <c r="C350" t="str">
        <f>IFERROR(_xlfn.XLOOKUP(tblLog[[#This Row],[Unique ID]], tblMaster[Unique ID], tblMaster[Last Name], ""), "")</f>
        <v xml:space="preserve"> lemos-Martin </v>
      </c>
      <c r="D350" t="str">
        <f>IFERROR(_xlfn.XLOOKUP(tblLog[[#This Row],[Unique ID]], tblMaster[Unique ID], tblMaster[Email_Clean], ""), "")</f>
        <v>lemosmartin6524@gmail.com</v>
      </c>
      <c r="E350" t="str">
        <f>IFERROR(_xlfn.XLOOKUP(tblLog[[#This Row],[Unique ID]], tblMaster[Unique ID], tblMaster[Phone], ""), "")</f>
        <v xml:space="preserve">(774) 438-2011 </v>
      </c>
      <c r="F350" t="str">
        <f>IFERROR(_xlfn.XLOOKUP(tblLog[[#This Row],[Unique ID]], tblMaster[Unique ID], tblMaster[Recruiter], ""), "")</f>
        <v xml:space="preserve">Jevon Brown Simpson </v>
      </c>
      <c r="G350" t="str">
        <f>IFERROR(_xlfn.XLOOKUP(tblLog[[#This Row],[Unique ID]], tblMaster[Unique ID], tblMaster[Recruitment Cycle], ""), "")</f>
        <v xml:space="preserve">Re-Engagment/Post Civil Service Exam </v>
      </c>
      <c r="H350" t="s">
        <v>7543</v>
      </c>
      <c r="I350" t="s">
        <v>4</v>
      </c>
      <c r="J350" s="3">
        <v>4</v>
      </c>
      <c r="K350" t="s">
        <v>7451</v>
      </c>
      <c r="L350" s="2">
        <v>46071</v>
      </c>
      <c r="M350" t="s">
        <v>7452</v>
      </c>
      <c r="N350" t="s">
        <v>7500</v>
      </c>
      <c r="P350">
        <f ca="1">IF(tblLog[[#This Row],[Log Date]]="","",TODAY()-tblLog[[#This Row],[Log Date]])</f>
        <v>8</v>
      </c>
      <c r="Q350" t="str">
        <f>IF(tblLog[[#This Row],[Log Date]]="","",IF(TRIM(tblLog[[#This Row],[Cycle Stage]])="Asked to be removed from database","NO","YES"))</f>
        <v>YES</v>
      </c>
      <c r="R3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1" spans="1:18" ht="15" customHeight="1">
      <c r="A351" t="s">
        <v>7942</v>
      </c>
      <c r="B351" t="str">
        <f>IFERROR(_xlfn.XLOOKUP(tblLog[[#This Row],[Unique ID]], tblMaster[Unique ID], tblMaster[First Name], ""), "")</f>
        <v xml:space="preserve">Luis </v>
      </c>
      <c r="C351" t="str">
        <f>IFERROR(_xlfn.XLOOKUP(tblLog[[#This Row],[Unique ID]], tblMaster[Unique ID], tblMaster[Last Name], ""), "")</f>
        <v>Garcia</v>
      </c>
      <c r="D351" t="str">
        <f>IFERROR(_xlfn.XLOOKUP(tblLog[[#This Row],[Unique ID]], tblMaster[Unique ID], tblMaster[Email_Clean], ""), "")</f>
        <v>luiscanton128@icloud.com</v>
      </c>
      <c r="E351" t="str">
        <f>IFERROR(_xlfn.XLOOKUP(tblLog[[#This Row],[Unique ID]], tblMaster[Unique ID], tblMaster[Phone], ""), "")</f>
        <v>508-963-3448</v>
      </c>
      <c r="F351" t="str">
        <f>IFERROR(_xlfn.XLOOKUP(tblLog[[#This Row],[Unique ID]], tblMaster[Unique ID], tblMaster[Recruiter], ""), "")</f>
        <v xml:space="preserve">Jevon Brown Simpson </v>
      </c>
      <c r="G351" t="str">
        <f>IFERROR(_xlfn.XLOOKUP(tblLog[[#This Row],[Unique ID]], tblMaster[Unique ID], tblMaster[Recruitment Cycle], ""), "")</f>
        <v xml:space="preserve">Re-Engagment/Post Civil Service Exam </v>
      </c>
      <c r="H351" t="s">
        <v>7529</v>
      </c>
      <c r="I351" t="s">
        <v>7494</v>
      </c>
      <c r="J351" s="3">
        <v>1</v>
      </c>
      <c r="K351" t="s">
        <v>7491</v>
      </c>
      <c r="L351" s="2">
        <v>46064</v>
      </c>
      <c r="M351" t="s">
        <v>7544</v>
      </c>
      <c r="P351">
        <f ca="1">IF(tblLog[[#This Row],[Log Date]]="","",TODAY()-tblLog[[#This Row],[Log Date]])</f>
        <v>15</v>
      </c>
      <c r="Q351" t="str">
        <f>IF(tblLog[[#This Row],[Log Date]]="","",IF(TRIM(tblLog[[#This Row],[Cycle Stage]])="Asked to be removed from database","NO","YES"))</f>
        <v>YES</v>
      </c>
      <c r="R3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2" spans="1:18" ht="15" customHeight="1">
      <c r="A352" t="s">
        <v>7943</v>
      </c>
      <c r="B352" t="str">
        <f>IFERROR(_xlfn.XLOOKUP(tblLog[[#This Row],[Unique ID]], tblMaster[Unique ID], tblMaster[First Name], ""), "")</f>
        <v xml:space="preserve">Jaethen </v>
      </c>
      <c r="C352" t="str">
        <f>IFERROR(_xlfn.XLOOKUP(tblLog[[#This Row],[Unique ID]], tblMaster[Unique ID], tblMaster[Last Name], ""), "")</f>
        <v xml:space="preserve">Ramos </v>
      </c>
      <c r="D352" t="str">
        <f>IFERROR(_xlfn.XLOOKUP(tblLog[[#This Row],[Unique ID]], tblMaster[Unique ID], tblMaster[Email_Clean], ""), "")</f>
        <v>jaethen1@icloud.com</v>
      </c>
      <c r="E352" t="str">
        <f>IFERROR(_xlfn.XLOOKUP(tblLog[[#This Row],[Unique ID]], tblMaster[Unique ID], tblMaster[Phone], ""), "")</f>
        <v>774-633-7970</v>
      </c>
      <c r="F352" t="str">
        <f>IFERROR(_xlfn.XLOOKUP(tblLog[[#This Row],[Unique ID]], tblMaster[Unique ID], tblMaster[Recruiter], ""), "")</f>
        <v xml:space="preserve">Jevon Brown Simpson </v>
      </c>
      <c r="G352" t="str">
        <f>IFERROR(_xlfn.XLOOKUP(tblLog[[#This Row],[Unique ID]], tblMaster[Unique ID], tblMaster[Recruitment Cycle], ""), "")</f>
        <v xml:space="preserve">Re-Engagment/Post Civil Service Exam </v>
      </c>
      <c r="J352" s="3"/>
      <c r="P352" t="str">
        <f ca="1">IF(tblLog[[#This Row],[Log Date]]="","",TODAY()-tblLog[[#This Row],[Log Date]])</f>
        <v/>
      </c>
      <c r="Q352" t="str">
        <f>IF(tblLog[[#This Row],[Log Date]]="","",IF(TRIM(tblLog[[#This Row],[Cycle Stage]])="Asked to be removed from database","NO","YES"))</f>
        <v/>
      </c>
      <c r="R352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3" spans="1:18" ht="15" customHeight="1">
      <c r="A353" t="s">
        <v>7944</v>
      </c>
      <c r="B353" t="str">
        <f>IFERROR(_xlfn.XLOOKUP(tblLog[[#This Row],[Unique ID]], tblMaster[Unique ID], tblMaster[First Name], ""), "")</f>
        <v>Kendra</v>
      </c>
      <c r="C353" t="str">
        <f>IFERROR(_xlfn.XLOOKUP(tblLog[[#This Row],[Unique ID]], tblMaster[Unique ID], tblMaster[Last Name], ""), "")</f>
        <v xml:space="preserve"> Luibrand </v>
      </c>
      <c r="D353" t="str">
        <f>IFERROR(_xlfn.XLOOKUP(tblLog[[#This Row],[Unique ID]], tblMaster[Unique ID], tblMaster[Email_Clean], ""), "")</f>
        <v>kendraluibrand17@gmail.com</v>
      </c>
      <c r="E353" t="str">
        <f>IFERROR(_xlfn.XLOOKUP(tblLog[[#This Row],[Unique ID]], tblMaster[Unique ID], tblMaster[Phone], ""), "")</f>
        <v xml:space="preserve">518) 221-5312 </v>
      </c>
      <c r="F353" t="str">
        <f>IFERROR(_xlfn.XLOOKUP(tblLog[[#This Row],[Unique ID]], tblMaster[Unique ID], tblMaster[Recruiter], ""), "")</f>
        <v xml:space="preserve">Enrique Ortiz </v>
      </c>
      <c r="G353" t="str">
        <f>IFERROR(_xlfn.XLOOKUP(tblLog[[#This Row],[Unique ID]], tblMaster[Unique ID], tblMaster[Recruitment Cycle], ""), "")</f>
        <v xml:space="preserve">Re-Engagment </v>
      </c>
      <c r="H353" t="s">
        <v>7455</v>
      </c>
      <c r="I353" t="s">
        <v>7434</v>
      </c>
      <c r="J353" s="3">
        <v>2</v>
      </c>
      <c r="K353" t="s">
        <v>7491</v>
      </c>
      <c r="L353" s="2">
        <v>46065</v>
      </c>
      <c r="M353" t="s">
        <v>7485</v>
      </c>
      <c r="N353" t="s">
        <v>7475</v>
      </c>
      <c r="O353" t="s">
        <v>7596</v>
      </c>
      <c r="P353">
        <f ca="1">IF(tblLog[[#This Row],[Log Date]]="","",TODAY()-tblLog[[#This Row],[Log Date]])</f>
        <v>14</v>
      </c>
      <c r="Q353" t="str">
        <f>IF(tblLog[[#This Row],[Log Date]]="","",IF(TRIM(tblLog[[#This Row],[Cycle Stage]])="Asked to be removed from database","NO","YES"))</f>
        <v>YES</v>
      </c>
      <c r="R3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4" spans="1:18" ht="15" customHeight="1">
      <c r="A354" t="s">
        <v>7945</v>
      </c>
      <c r="B354" t="str">
        <f>IFERROR(_xlfn.XLOOKUP(tblLog[[#This Row],[Unique ID]], tblMaster[Unique ID], tblMaster[First Name], ""), "")</f>
        <v xml:space="preserve">Joshua </v>
      </c>
      <c r="C354" t="str">
        <f>IFERROR(_xlfn.XLOOKUP(tblLog[[#This Row],[Unique ID]], tblMaster[Unique ID], tblMaster[Last Name], ""), "")</f>
        <v>Brantman</v>
      </c>
      <c r="D354" t="str">
        <f>IFERROR(_xlfn.XLOOKUP(tblLog[[#This Row],[Unique ID]], tblMaster[Unique ID], tblMaster[Email_Clean], ""), "")</f>
        <v>joshuab.93@icloud.com</v>
      </c>
      <c r="E354" t="str">
        <f>IFERROR(_xlfn.XLOOKUP(tblLog[[#This Row],[Unique ID]], tblMaster[Unique ID], tblMaster[Phone], ""), "")</f>
        <v>845-391-6405</v>
      </c>
      <c r="F354" t="str">
        <f>IFERROR(_xlfn.XLOOKUP(tblLog[[#This Row],[Unique ID]], tblMaster[Unique ID], tblMaster[Recruiter], ""), "")</f>
        <v xml:space="preserve">Enrique Ortiz </v>
      </c>
      <c r="G354" t="str">
        <f>IFERROR(_xlfn.XLOOKUP(tblLog[[#This Row],[Unique ID]], tblMaster[Unique ID], tblMaster[Recruitment Cycle], ""), "")</f>
        <v xml:space="preserve">Re-Engagment </v>
      </c>
      <c r="H354" t="s">
        <v>7455</v>
      </c>
      <c r="I354" t="s">
        <v>7434</v>
      </c>
      <c r="J354" s="3">
        <v>2</v>
      </c>
      <c r="K354" t="s">
        <v>7491</v>
      </c>
      <c r="L354" s="2">
        <v>46065</v>
      </c>
      <c r="M354" t="s">
        <v>7485</v>
      </c>
      <c r="N354" t="s">
        <v>7475</v>
      </c>
      <c r="O354" t="s">
        <v>7596</v>
      </c>
      <c r="P354">
        <f ca="1">IF(tblLog[[#This Row],[Log Date]]="","",TODAY()-tblLog[[#This Row],[Log Date]])</f>
        <v>14</v>
      </c>
      <c r="Q354" t="str">
        <f>IF(tblLog[[#This Row],[Log Date]]="","",IF(TRIM(tblLog[[#This Row],[Cycle Stage]])="Asked to be removed from database","NO","YES"))</f>
        <v>YES</v>
      </c>
      <c r="R3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5" spans="1:18" ht="15" customHeight="1">
      <c r="A355" t="s">
        <v>7946</v>
      </c>
      <c r="B355" t="str">
        <f>IFERROR(_xlfn.XLOOKUP(tblLog[[#This Row],[Unique ID]], tblMaster[Unique ID], tblMaster[First Name], ""), "")</f>
        <v xml:space="preserve">Shamara </v>
      </c>
      <c r="C355" t="str">
        <f>IFERROR(_xlfn.XLOOKUP(tblLog[[#This Row],[Unique ID]], tblMaster[Unique ID], tblMaster[Last Name], ""), "")</f>
        <v xml:space="preserve"> Grate </v>
      </c>
      <c r="D355" t="str">
        <f>IFERROR(_xlfn.XLOOKUP(tblLog[[#This Row],[Unique ID]], tblMaster[Unique ID], tblMaster[Email_Clean], ""), "")</f>
        <v>shamaragrate22@gmail.com</v>
      </c>
      <c r="E355" t="str">
        <f>IFERROR(_xlfn.XLOOKUP(tblLog[[#This Row],[Unique ID]], tblMaster[Unique ID], tblMaster[Phone], ""), "")</f>
        <v xml:space="preserve">(203) 535-4274 </v>
      </c>
      <c r="F355" t="str">
        <f>IFERROR(_xlfn.XLOOKUP(tblLog[[#This Row],[Unique ID]], tblMaster[Unique ID], tblMaster[Recruiter], ""), "")</f>
        <v xml:space="preserve">Enrique Ortiz </v>
      </c>
      <c r="G355" t="str">
        <f>IFERROR(_xlfn.XLOOKUP(tblLog[[#This Row],[Unique ID]], tblMaster[Unique ID], tblMaster[Recruitment Cycle], ""), "")</f>
        <v xml:space="preserve">Re-Engagment </v>
      </c>
      <c r="H355" t="s">
        <v>7455</v>
      </c>
      <c r="I355" t="s">
        <v>7434</v>
      </c>
      <c r="J355" s="3">
        <v>2</v>
      </c>
      <c r="K355" t="s">
        <v>7491</v>
      </c>
      <c r="L355" s="2">
        <v>46065</v>
      </c>
      <c r="M355" t="s">
        <v>7485</v>
      </c>
      <c r="N355" t="s">
        <v>7475</v>
      </c>
      <c r="O355" t="s">
        <v>7596</v>
      </c>
      <c r="P355">
        <f ca="1">IF(tblLog[[#This Row],[Log Date]]="","",TODAY()-tblLog[[#This Row],[Log Date]])</f>
        <v>14</v>
      </c>
      <c r="Q355" t="str">
        <f>IF(tblLog[[#This Row],[Log Date]]="","",IF(TRIM(tblLog[[#This Row],[Cycle Stage]])="Asked to be removed from database","NO","YES"))</f>
        <v>YES</v>
      </c>
      <c r="R3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6" spans="1:18" ht="15" customHeight="1">
      <c r="A356" t="s">
        <v>7947</v>
      </c>
      <c r="B356" t="str">
        <f>IFERROR(_xlfn.XLOOKUP(tblLog[[#This Row],[Unique ID]], tblMaster[Unique ID], tblMaster[First Name], ""), "")</f>
        <v>KATRINA</v>
      </c>
      <c r="C356" t="str">
        <f>IFERROR(_xlfn.XLOOKUP(tblLog[[#This Row],[Unique ID]], tblMaster[Unique ID], tblMaster[Last Name], ""), "")</f>
        <v>JONES</v>
      </c>
      <c r="D356" t="str">
        <f>IFERROR(_xlfn.XLOOKUP(tblLog[[#This Row],[Unique ID]], tblMaster[Unique ID], tblMaster[Email_Clean], ""), "")</f>
        <v>freeman.zander24@icloud.com</v>
      </c>
      <c r="E356" t="str">
        <f>IFERROR(_xlfn.XLOOKUP(tblLog[[#This Row],[Unique ID]], tblMaster[Unique ID], tblMaster[Phone], ""), "")</f>
        <v xml:space="preserve">785-491-5758 </v>
      </c>
      <c r="F356" t="str">
        <f>IFERROR(_xlfn.XLOOKUP(tblLog[[#This Row],[Unique ID]], tblMaster[Unique ID], tblMaster[Recruiter], ""), "")</f>
        <v xml:space="preserve">Enrique Ortiz </v>
      </c>
      <c r="G356" t="str">
        <f>IFERROR(_xlfn.XLOOKUP(tblLog[[#This Row],[Unique ID]], tblMaster[Unique ID], tblMaster[Recruitment Cycle], ""), "")</f>
        <v xml:space="preserve">Re-Engagment </v>
      </c>
      <c r="H356" t="s">
        <v>7455</v>
      </c>
      <c r="I356" t="s">
        <v>7434</v>
      </c>
      <c r="J356" s="3">
        <v>2</v>
      </c>
      <c r="K356" t="s">
        <v>7491</v>
      </c>
      <c r="L356" s="2">
        <v>46065</v>
      </c>
      <c r="M356" t="s">
        <v>7485</v>
      </c>
      <c r="N356" t="s">
        <v>7475</v>
      </c>
      <c r="O356" t="s">
        <v>7596</v>
      </c>
      <c r="P356">
        <f ca="1">IF(tblLog[[#This Row],[Log Date]]="","",TODAY()-tblLog[[#This Row],[Log Date]])</f>
        <v>14</v>
      </c>
      <c r="Q356" t="str">
        <f>IF(tblLog[[#This Row],[Log Date]]="","",IF(TRIM(tblLog[[#This Row],[Cycle Stage]])="Asked to be removed from database","NO","YES"))</f>
        <v>YES</v>
      </c>
      <c r="R3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7" spans="1:18" ht="15" customHeight="1">
      <c r="A357" t="s">
        <v>7948</v>
      </c>
      <c r="B357" t="str">
        <f>IFERROR(_xlfn.XLOOKUP(tblLog[[#This Row],[Unique ID]], tblMaster[Unique ID], tblMaster[First Name], ""), "")</f>
        <v xml:space="preserve">Carlton </v>
      </c>
      <c r="C357" t="str">
        <f>IFERROR(_xlfn.XLOOKUP(tblLog[[#This Row],[Unique ID]], tblMaster[Unique ID], tblMaster[Last Name], ""), "")</f>
        <v>Kemp</v>
      </c>
      <c r="D357" t="str">
        <f>IFERROR(_xlfn.XLOOKUP(tblLog[[#This Row],[Unique ID]], tblMaster[Unique ID], tblMaster[Email_Clean], ""), "")</f>
        <v>ckempa88@gmail.com</v>
      </c>
      <c r="E357" t="str">
        <f>IFERROR(_xlfn.XLOOKUP(tblLog[[#This Row],[Unique ID]], tblMaster[Unique ID], tblMaster[Phone], ""), "")</f>
        <v>774 262 2285</v>
      </c>
      <c r="F357" t="str">
        <f>IFERROR(_xlfn.XLOOKUP(tblLog[[#This Row],[Unique ID]], tblMaster[Unique ID], tblMaster[Recruiter], ""), "")</f>
        <v xml:space="preserve">Enrique Ortiz </v>
      </c>
      <c r="G357" t="str">
        <f>IFERROR(_xlfn.XLOOKUP(tblLog[[#This Row],[Unique ID]], tblMaster[Unique ID], tblMaster[Recruitment Cycle], ""), "")</f>
        <v xml:space="preserve">Re-Engagment </v>
      </c>
      <c r="H357" t="s">
        <v>7455</v>
      </c>
      <c r="I357" t="s">
        <v>7494</v>
      </c>
      <c r="J357" s="3">
        <v>3</v>
      </c>
      <c r="K357" t="s">
        <v>7491</v>
      </c>
      <c r="L357" s="2">
        <v>46065</v>
      </c>
      <c r="M357" t="s">
        <v>7508</v>
      </c>
      <c r="N357" t="s">
        <v>7475</v>
      </c>
      <c r="P357">
        <f ca="1">IF(tblLog[[#This Row],[Log Date]]="","",TODAY()-tblLog[[#This Row],[Log Date]])</f>
        <v>14</v>
      </c>
      <c r="Q357" t="str">
        <f>IF(tblLog[[#This Row],[Log Date]]="","",IF(TRIM(tblLog[[#This Row],[Cycle Stage]])="Asked to be removed from database","NO","YES"))</f>
        <v>YES</v>
      </c>
      <c r="R3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8" spans="1:18" ht="15" customHeight="1">
      <c r="A358" t="s">
        <v>7949</v>
      </c>
      <c r="B358" t="str">
        <f>IFERROR(_xlfn.XLOOKUP(tblLog[[#This Row],[Unique ID]], tblMaster[Unique ID], tblMaster[First Name], ""), "")</f>
        <v xml:space="preserve">Robert </v>
      </c>
      <c r="C358" t="str">
        <f>IFERROR(_xlfn.XLOOKUP(tblLog[[#This Row],[Unique ID]], tblMaster[Unique ID], tblMaster[Last Name], ""), "")</f>
        <v xml:space="preserve">Fitzgerald </v>
      </c>
      <c r="D358" t="str">
        <f>IFERROR(_xlfn.XLOOKUP(tblLog[[#This Row],[Unique ID]], tblMaster[Unique ID], tblMaster[Email_Clean], ""), "")</f>
        <v>fitzemt@yahoo.com</v>
      </c>
      <c r="E358" t="str">
        <f>IFERROR(_xlfn.XLOOKUP(tblLog[[#This Row],[Unique ID]], tblMaster[Unique ID], tblMaster[Phone], ""), "")</f>
        <v>617-840-9864</v>
      </c>
      <c r="F358" t="str">
        <f>IFERROR(_xlfn.XLOOKUP(tblLog[[#This Row],[Unique ID]], tblMaster[Unique ID], tblMaster[Recruiter], ""), "")</f>
        <v xml:space="preserve">Enrique Ortiz </v>
      </c>
      <c r="G358" t="str">
        <f>IFERROR(_xlfn.XLOOKUP(tblLog[[#This Row],[Unique ID]], tblMaster[Unique ID], tblMaster[Recruitment Cycle], ""), "")</f>
        <v xml:space="preserve">Re-Engagment </v>
      </c>
      <c r="H358" t="s">
        <v>7455</v>
      </c>
      <c r="I358" t="s">
        <v>7494</v>
      </c>
      <c r="J358" s="3">
        <v>3</v>
      </c>
      <c r="K358" t="s">
        <v>7491</v>
      </c>
      <c r="L358" s="2">
        <v>46065</v>
      </c>
      <c r="M358" t="s">
        <v>7508</v>
      </c>
      <c r="N358" t="s">
        <v>7475</v>
      </c>
      <c r="P358">
        <f ca="1">IF(tblLog[[#This Row],[Log Date]]="","",TODAY()-tblLog[[#This Row],[Log Date]])</f>
        <v>14</v>
      </c>
      <c r="Q358" t="str">
        <f>IF(tblLog[[#This Row],[Log Date]]="","",IF(TRIM(tblLog[[#This Row],[Cycle Stage]])="Asked to be removed from database","NO","YES"))</f>
        <v>YES</v>
      </c>
      <c r="R3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59" spans="1:18" ht="15" customHeight="1">
      <c r="A359" t="s">
        <v>7950</v>
      </c>
      <c r="B359" t="str">
        <f>IFERROR(_xlfn.XLOOKUP(tblLog[[#This Row],[Unique ID]], tblMaster[Unique ID], tblMaster[First Name], ""), "")</f>
        <v>Jonathan</v>
      </c>
      <c r="C359" t="str">
        <f>IFERROR(_xlfn.XLOOKUP(tblLog[[#This Row],[Unique ID]], tblMaster[Unique ID], tblMaster[Last Name], ""), "")</f>
        <v xml:space="preserve">Telusma </v>
      </c>
      <c r="D359" t="str">
        <f>IFERROR(_xlfn.XLOOKUP(tblLog[[#This Row],[Unique ID]], tblMaster[Unique ID], tblMaster[Email_Clean], ""), "")</f>
        <v>telusmaj@gmail.com</v>
      </c>
      <c r="E359" t="str">
        <f>IFERROR(_xlfn.XLOOKUP(tblLog[[#This Row],[Unique ID]], tblMaster[Unique ID], tblMaster[Phone], ""), "")</f>
        <v xml:space="preserve">(774) 297-3076 </v>
      </c>
      <c r="F359" t="str">
        <f>IFERROR(_xlfn.XLOOKUP(tblLog[[#This Row],[Unique ID]], tblMaster[Unique ID], tblMaster[Recruiter], ""), "")</f>
        <v xml:space="preserve">Enrique Ortiz </v>
      </c>
      <c r="G359" t="str">
        <f>IFERROR(_xlfn.XLOOKUP(tblLog[[#This Row],[Unique ID]], tblMaster[Unique ID], tblMaster[Recruitment Cycle], ""), "")</f>
        <v xml:space="preserve">New Submission/ Lead </v>
      </c>
      <c r="H359" t="s">
        <v>7455</v>
      </c>
      <c r="I359" t="s">
        <v>7434</v>
      </c>
      <c r="J359" s="3">
        <v>3</v>
      </c>
      <c r="K359" t="s">
        <v>7491</v>
      </c>
      <c r="L359" s="2">
        <v>46065</v>
      </c>
      <c r="M359" t="s">
        <v>7508</v>
      </c>
      <c r="N359" t="s">
        <v>7475</v>
      </c>
      <c r="P359">
        <f ca="1">IF(tblLog[[#This Row],[Log Date]]="","",TODAY()-tblLog[[#This Row],[Log Date]])</f>
        <v>14</v>
      </c>
      <c r="Q359" t="str">
        <f>IF(tblLog[[#This Row],[Log Date]]="","",IF(TRIM(tblLog[[#This Row],[Cycle Stage]])="Asked to be removed from database","NO","YES"))</f>
        <v>YES</v>
      </c>
      <c r="R3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0" spans="1:18" ht="15" customHeight="1">
      <c r="A360" t="s">
        <v>7951</v>
      </c>
      <c r="B360" t="str">
        <f>IFERROR(_xlfn.XLOOKUP(tblLog[[#This Row],[Unique ID]], tblMaster[Unique ID], tblMaster[First Name], ""), "")</f>
        <v xml:space="preserve">Julianna </v>
      </c>
      <c r="C360" t="str">
        <f>IFERROR(_xlfn.XLOOKUP(tblLog[[#This Row],[Unique ID]], tblMaster[Unique ID], tblMaster[Last Name], ""), "")</f>
        <v xml:space="preserve">Dumark </v>
      </c>
      <c r="D360" t="str">
        <f>IFERROR(_xlfn.XLOOKUP(tblLog[[#This Row],[Unique ID]], tblMaster[Unique ID], tblMaster[Email_Clean], ""), "")</f>
        <v>jmdumark2005@gmail.com</v>
      </c>
      <c r="E360" t="str">
        <f>IFERROR(_xlfn.XLOOKUP(tblLog[[#This Row],[Unique ID]], tblMaster[Unique ID], tblMaster[Phone], ""), "")</f>
        <v xml:space="preserve">(603) 409-0542 </v>
      </c>
      <c r="F360" t="str">
        <f>IFERROR(_xlfn.XLOOKUP(tblLog[[#This Row],[Unique ID]], tblMaster[Unique ID], tblMaster[Recruiter], ""), "")</f>
        <v xml:space="preserve">Enrique Ortiz </v>
      </c>
      <c r="G360" t="str">
        <f>IFERROR(_xlfn.XLOOKUP(tblLog[[#This Row],[Unique ID]], tblMaster[Unique ID], tblMaster[Recruitment Cycle], ""), "")</f>
        <v xml:space="preserve">New Submission/ Lead </v>
      </c>
      <c r="H360" t="s">
        <v>7455</v>
      </c>
      <c r="I360" t="s">
        <v>7434</v>
      </c>
      <c r="J360" s="3">
        <v>1</v>
      </c>
      <c r="K360" t="s">
        <v>7491</v>
      </c>
      <c r="L360" s="2">
        <v>46065</v>
      </c>
      <c r="M360" t="s">
        <v>7485</v>
      </c>
      <c r="N360" t="s">
        <v>7475</v>
      </c>
      <c r="O360" t="s">
        <v>7596</v>
      </c>
      <c r="P360">
        <f ca="1">IF(tblLog[[#This Row],[Log Date]]="","",TODAY()-tblLog[[#This Row],[Log Date]])</f>
        <v>14</v>
      </c>
      <c r="Q360" t="str">
        <f>IF(tblLog[[#This Row],[Log Date]]="","",IF(TRIM(tblLog[[#This Row],[Cycle Stage]])="Asked to be removed from database","NO","YES"))</f>
        <v>YES</v>
      </c>
      <c r="R3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1" spans="1:18" ht="15" customHeight="1">
      <c r="A361" t="s">
        <v>7952</v>
      </c>
      <c r="B361" t="str">
        <f>IFERROR(_xlfn.XLOOKUP(tblLog[[#This Row],[Unique ID]], tblMaster[Unique ID], tblMaster[First Name], ""), "")</f>
        <v xml:space="preserve">Joshua </v>
      </c>
      <c r="C361" t="str">
        <f>IFERROR(_xlfn.XLOOKUP(tblLog[[#This Row],[Unique ID]], tblMaster[Unique ID], tblMaster[Last Name], ""), "")</f>
        <v xml:space="preserve"> Ortega</v>
      </c>
      <c r="D361" t="str">
        <f>IFERROR(_xlfn.XLOOKUP(tblLog[[#This Row],[Unique ID]], tblMaster[Unique ID], tblMaster[Email_Clean], ""), "")</f>
        <v>jaro4507@gmail.com</v>
      </c>
      <c r="E361" t="str">
        <f>IFERROR(_xlfn.XLOOKUP(tblLog[[#This Row],[Unique ID]], tblMaster[Unique ID], tblMaster[Phone], ""), "")</f>
        <v>(603) 406-3724</v>
      </c>
      <c r="F361" t="str">
        <f>IFERROR(_xlfn.XLOOKUP(tblLog[[#This Row],[Unique ID]], tblMaster[Unique ID], tblMaster[Recruiter], ""), "")</f>
        <v xml:space="preserve">Enrique Ortiz </v>
      </c>
      <c r="G361" t="str">
        <f>IFERROR(_xlfn.XLOOKUP(tblLog[[#This Row],[Unique ID]], tblMaster[Unique ID], tblMaster[Recruitment Cycle], ""), "")</f>
        <v xml:space="preserve">New Submission/ Lead </v>
      </c>
      <c r="H361" t="s">
        <v>7455</v>
      </c>
      <c r="I361" t="s">
        <v>7434</v>
      </c>
      <c r="J361" s="3">
        <v>1</v>
      </c>
      <c r="K361" t="s">
        <v>7491</v>
      </c>
      <c r="L361" s="2">
        <v>46065</v>
      </c>
      <c r="M361" t="s">
        <v>7485</v>
      </c>
      <c r="N361" t="s">
        <v>7475</v>
      </c>
      <c r="O361" t="s">
        <v>7596</v>
      </c>
      <c r="P361">
        <f ca="1">IF(tblLog[[#This Row],[Log Date]]="","",TODAY()-tblLog[[#This Row],[Log Date]])</f>
        <v>14</v>
      </c>
      <c r="Q361" t="str">
        <f>IF(tblLog[[#This Row],[Log Date]]="","",IF(TRIM(tblLog[[#This Row],[Cycle Stage]])="Asked to be removed from database","NO","YES"))</f>
        <v>YES</v>
      </c>
      <c r="R3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2" spans="1:18" ht="15" customHeight="1">
      <c r="A362" t="s">
        <v>7953</v>
      </c>
      <c r="B362" t="str">
        <f>IFERROR(_xlfn.XLOOKUP(tblLog[[#This Row],[Unique ID]], tblMaster[Unique ID], tblMaster[First Name], ""), "")</f>
        <v>Mitchel</v>
      </c>
      <c r="C362" t="str">
        <f>IFERROR(_xlfn.XLOOKUP(tblLog[[#This Row],[Unique ID]], tblMaster[Unique ID], tblMaster[Last Name], ""), "")</f>
        <v>Adamson</v>
      </c>
      <c r="D362" t="str">
        <f>IFERROR(_xlfn.XLOOKUP(tblLog[[#This Row],[Unique ID]], tblMaster[Unique ID], tblMaster[Email_Clean], ""), "")</f>
        <v>madamson0627@gmail.com</v>
      </c>
      <c r="E362" t="str">
        <f>IFERROR(_xlfn.XLOOKUP(tblLog[[#This Row],[Unique ID]], tblMaster[Unique ID], tblMaster[Phone], ""), "")</f>
        <v>(617) 335-6876</v>
      </c>
      <c r="F362" t="str">
        <f>IFERROR(_xlfn.XLOOKUP(tblLog[[#This Row],[Unique ID]], tblMaster[Unique ID], tblMaster[Recruiter], ""), "")</f>
        <v xml:space="preserve">Enrique Ortiz </v>
      </c>
      <c r="G362" t="str">
        <f>IFERROR(_xlfn.XLOOKUP(tblLog[[#This Row],[Unique ID]], tblMaster[Unique ID], tblMaster[Recruitment Cycle], ""), "")</f>
        <v xml:space="preserve">New Submission/ Lead </v>
      </c>
      <c r="H362" t="s">
        <v>7455</v>
      </c>
      <c r="I362" t="s">
        <v>7494</v>
      </c>
      <c r="J362" s="3">
        <v>3</v>
      </c>
      <c r="K362" t="s">
        <v>7491</v>
      </c>
      <c r="L362" s="2">
        <v>46065</v>
      </c>
      <c r="M362" t="s">
        <v>7508</v>
      </c>
      <c r="N362" t="s">
        <v>7475</v>
      </c>
      <c r="P362">
        <f ca="1">IF(tblLog[[#This Row],[Log Date]]="","",TODAY()-tblLog[[#This Row],[Log Date]])</f>
        <v>14</v>
      </c>
      <c r="Q362" t="str">
        <f>IF(tblLog[[#This Row],[Log Date]]="","",IF(TRIM(tblLog[[#This Row],[Cycle Stage]])="Asked to be removed from database","NO","YES"))</f>
        <v>YES</v>
      </c>
      <c r="R3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3" spans="1:18" ht="15" customHeight="1">
      <c r="A363" t="s">
        <v>7954</v>
      </c>
      <c r="B363" t="str">
        <f>IFERROR(_xlfn.XLOOKUP(tblLog[[#This Row],[Unique ID]], tblMaster[Unique ID], tblMaster[First Name], ""), "")</f>
        <v xml:space="preserve">Matt </v>
      </c>
      <c r="C363" t="str">
        <f>IFERROR(_xlfn.XLOOKUP(tblLog[[#This Row],[Unique ID]], tblMaster[Unique ID], tblMaster[Last Name], ""), "")</f>
        <v xml:space="preserve">Barboza </v>
      </c>
      <c r="D363" t="str">
        <f>IFERROR(_xlfn.XLOOKUP(tblLog[[#This Row],[Unique ID]], tblMaster[Unique ID], tblMaster[Email_Clean], ""), "")</f>
        <v>barboza_matthew@yahoo.com</v>
      </c>
      <c r="E363" t="str">
        <f>IFERROR(_xlfn.XLOOKUP(tblLog[[#This Row],[Unique ID]], tblMaster[Unique ID], tblMaster[Phone], ""), "")</f>
        <v xml:space="preserve">(401) 338-2726 </v>
      </c>
      <c r="F363" t="str">
        <f>IFERROR(_xlfn.XLOOKUP(tblLog[[#This Row],[Unique ID]], tblMaster[Unique ID], tblMaster[Recruiter], ""), "")</f>
        <v xml:space="preserve">Enrique Ortiz </v>
      </c>
      <c r="G363" t="str">
        <f>IFERROR(_xlfn.XLOOKUP(tblLog[[#This Row],[Unique ID]], tblMaster[Unique ID], tblMaster[Recruitment Cycle], ""), "")</f>
        <v xml:space="preserve">New Submission/ Lead </v>
      </c>
      <c r="H363" t="s">
        <v>7455</v>
      </c>
      <c r="I363" t="s">
        <v>7434</v>
      </c>
      <c r="J363" s="3">
        <v>1</v>
      </c>
      <c r="K363" t="s">
        <v>7491</v>
      </c>
      <c r="L363" s="2">
        <v>46065</v>
      </c>
      <c r="M363" t="s">
        <v>7485</v>
      </c>
      <c r="N363" t="s">
        <v>7475</v>
      </c>
      <c r="O363" t="s">
        <v>7596</v>
      </c>
      <c r="P363">
        <f ca="1">IF(tblLog[[#This Row],[Log Date]]="","",TODAY()-tblLog[[#This Row],[Log Date]])</f>
        <v>14</v>
      </c>
      <c r="Q363" t="str">
        <f>IF(tblLog[[#This Row],[Log Date]]="","",IF(TRIM(tblLog[[#This Row],[Cycle Stage]])="Asked to be removed from database","NO","YES"))</f>
        <v>YES</v>
      </c>
      <c r="R3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4" spans="1:18" ht="15" customHeight="1">
      <c r="A364" t="s">
        <v>7955</v>
      </c>
      <c r="B364" t="str">
        <f>IFERROR(_xlfn.XLOOKUP(tblLog[[#This Row],[Unique ID]], tblMaster[Unique ID], tblMaster[First Name], ""), "")</f>
        <v>Tatiana</v>
      </c>
      <c r="C364" t="str">
        <f>IFERROR(_xlfn.XLOOKUP(tblLog[[#This Row],[Unique ID]], tblMaster[Unique ID], tblMaster[Last Name], ""), "")</f>
        <v>Martins</v>
      </c>
      <c r="D364" t="str">
        <f>IFERROR(_xlfn.XLOOKUP(tblLog[[#This Row],[Unique ID]], tblMaster[Unique ID], tblMaster[Email_Clean], ""), "")</f>
        <v>tatianamartins1996@icloud.com</v>
      </c>
      <c r="E364" t="str">
        <f>IFERROR(_xlfn.XLOOKUP(tblLog[[#This Row],[Unique ID]], tblMaster[Unique ID], tblMaster[Phone], ""), "")</f>
        <v>508-649-6037</v>
      </c>
      <c r="F364" t="str">
        <f>IFERROR(_xlfn.XLOOKUP(tblLog[[#This Row],[Unique ID]], tblMaster[Unique ID], tblMaster[Recruiter], ""), "")</f>
        <v xml:space="preserve">Enrique Ortiz </v>
      </c>
      <c r="G364" t="str">
        <f>IFERROR(_xlfn.XLOOKUP(tblLog[[#This Row],[Unique ID]], tblMaster[Unique ID], tblMaster[Recruitment Cycle], ""), "")</f>
        <v xml:space="preserve">New Submission/ Lead </v>
      </c>
      <c r="H364" t="s">
        <v>7455</v>
      </c>
      <c r="I364" t="s">
        <v>7494</v>
      </c>
      <c r="J364" s="3">
        <v>3</v>
      </c>
      <c r="K364" t="s">
        <v>7491</v>
      </c>
      <c r="L364" s="2">
        <v>46065</v>
      </c>
      <c r="M364" t="s">
        <v>7508</v>
      </c>
      <c r="N364" t="s">
        <v>7475</v>
      </c>
      <c r="P364">
        <f ca="1">IF(tblLog[[#This Row],[Log Date]]="","",TODAY()-tblLog[[#This Row],[Log Date]])</f>
        <v>14</v>
      </c>
      <c r="Q364" t="str">
        <f>IF(tblLog[[#This Row],[Log Date]]="","",IF(TRIM(tblLog[[#This Row],[Cycle Stage]])="Asked to be removed from database","NO","YES"))</f>
        <v>YES</v>
      </c>
      <c r="R3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5" spans="1:18" ht="15" customHeight="1">
      <c r="A365" t="s">
        <v>7956</v>
      </c>
      <c r="B365" t="str">
        <f>IFERROR(_xlfn.XLOOKUP(tblLog[[#This Row],[Unique ID]], tblMaster[Unique ID], tblMaster[First Name], ""), "")</f>
        <v>Bianca</v>
      </c>
      <c r="C365" t="str">
        <f>IFERROR(_xlfn.XLOOKUP(tblLog[[#This Row],[Unique ID]], tblMaster[Unique ID], tblMaster[Last Name], ""), "")</f>
        <v xml:space="preserve"> Dancy </v>
      </c>
      <c r="D365" t="str">
        <f>IFERROR(_xlfn.XLOOKUP(tblLog[[#This Row],[Unique ID]], tblMaster[Unique ID], tblMaster[Email_Clean], ""), "")</f>
        <v>biancadancy12@gmail.com</v>
      </c>
      <c r="E365" t="str">
        <f>IFERROR(_xlfn.XLOOKUP(tblLog[[#This Row],[Unique ID]], tblMaster[Unique ID], tblMaster[Phone], ""), "")</f>
        <v xml:space="preserve">(978) 503-8617 </v>
      </c>
      <c r="F365" t="str">
        <f>IFERROR(_xlfn.XLOOKUP(tblLog[[#This Row],[Unique ID]], tblMaster[Unique ID], tblMaster[Recruiter], ""), "")</f>
        <v xml:space="preserve">Enrique Ortiz </v>
      </c>
      <c r="G365" t="str">
        <f>IFERROR(_xlfn.XLOOKUP(tblLog[[#This Row],[Unique ID]], tblMaster[Unique ID], tblMaster[Recruitment Cycle], ""), "")</f>
        <v xml:space="preserve">New Submission/ Lead </v>
      </c>
      <c r="H365" t="s">
        <v>7455</v>
      </c>
      <c r="I365" t="s">
        <v>7494</v>
      </c>
      <c r="J365" s="3">
        <v>3</v>
      </c>
      <c r="K365" t="s">
        <v>7491</v>
      </c>
      <c r="L365" s="2">
        <v>46065</v>
      </c>
      <c r="M365" t="s">
        <v>7508</v>
      </c>
      <c r="N365" t="s">
        <v>7475</v>
      </c>
      <c r="P365">
        <f ca="1">IF(tblLog[[#This Row],[Log Date]]="","",TODAY()-tblLog[[#This Row],[Log Date]])</f>
        <v>14</v>
      </c>
      <c r="Q365" t="str">
        <f>IF(tblLog[[#This Row],[Log Date]]="","",IF(TRIM(tblLog[[#This Row],[Cycle Stage]])="Asked to be removed from database","NO","YES"))</f>
        <v>YES</v>
      </c>
      <c r="R3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6" spans="1:18" ht="15" customHeight="1">
      <c r="A366" t="s">
        <v>7957</v>
      </c>
      <c r="B366" t="str">
        <f>IFERROR(_xlfn.XLOOKUP(tblLog[[#This Row],[Unique ID]], tblMaster[Unique ID], tblMaster[First Name], ""), "")</f>
        <v xml:space="preserve">Ashley </v>
      </c>
      <c r="C366" t="str">
        <f>IFERROR(_xlfn.XLOOKUP(tblLog[[#This Row],[Unique ID]], tblMaster[Unique ID], tblMaster[Last Name], ""), "")</f>
        <v xml:space="preserve"> Heise </v>
      </c>
      <c r="D366" t="str">
        <f>IFERROR(_xlfn.XLOOKUP(tblLog[[#This Row],[Unique ID]], tblMaster[Unique ID], tblMaster[Email_Clean], ""), "")</f>
        <v>ashheise09@gmil.com</v>
      </c>
      <c r="E366" t="str">
        <f>IFERROR(_xlfn.XLOOKUP(tblLog[[#This Row],[Unique ID]], tblMaster[Unique ID], tblMaster[Phone], ""), "")</f>
        <v xml:space="preserve">(413) 552-6444 </v>
      </c>
      <c r="F366" t="str">
        <f>IFERROR(_xlfn.XLOOKUP(tblLog[[#This Row],[Unique ID]], tblMaster[Unique ID], tblMaster[Recruiter], ""), "")</f>
        <v xml:space="preserve">Enrique Ortiz </v>
      </c>
      <c r="G366" t="str">
        <f>IFERROR(_xlfn.XLOOKUP(tblLog[[#This Row],[Unique ID]], tblMaster[Unique ID], tblMaster[Recruitment Cycle], ""), "")</f>
        <v xml:space="preserve">New Submission/ Lead </v>
      </c>
      <c r="H366" t="s">
        <v>7455</v>
      </c>
      <c r="I366" t="s">
        <v>7434</v>
      </c>
      <c r="J366" s="3">
        <v>2</v>
      </c>
      <c r="K366" t="s">
        <v>7491</v>
      </c>
      <c r="L366" s="2">
        <v>46065</v>
      </c>
      <c r="M366" t="s">
        <v>7508</v>
      </c>
      <c r="N366" t="s">
        <v>7475</v>
      </c>
      <c r="O366" t="s">
        <v>7958</v>
      </c>
      <c r="P366">
        <f ca="1">IF(tblLog[[#This Row],[Log Date]]="","",TODAY()-tblLog[[#This Row],[Log Date]])</f>
        <v>14</v>
      </c>
      <c r="Q366" t="str">
        <f>IF(tblLog[[#This Row],[Log Date]]="","",IF(TRIM(tblLog[[#This Row],[Cycle Stage]])="Asked to be removed from database","NO","YES"))</f>
        <v>YES</v>
      </c>
      <c r="R36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7" spans="1:18" ht="15" customHeight="1">
      <c r="A367" t="s">
        <v>7959</v>
      </c>
      <c r="B367" t="str">
        <f>IFERROR(_xlfn.XLOOKUP(tblLog[[#This Row],[Unique ID]], tblMaster[Unique ID], tblMaster[First Name], ""), "")</f>
        <v xml:space="preserve">Balthazar </v>
      </c>
      <c r="C367" t="str">
        <f>IFERROR(_xlfn.XLOOKUP(tblLog[[#This Row],[Unique ID]], tblMaster[Unique ID], tblMaster[Last Name], ""), "")</f>
        <v xml:space="preserve">Vilson </v>
      </c>
      <c r="D367" t="str">
        <f>IFERROR(_xlfn.XLOOKUP(tblLog[[#This Row],[Unique ID]], tblMaster[Unique ID], tblMaster[Email_Clean], ""), "")</f>
        <v>balthazarvilson18@gmail.com</v>
      </c>
      <c r="E367" t="str">
        <f>IFERROR(_xlfn.XLOOKUP(tblLog[[#This Row],[Unique ID]], tblMaster[Unique ID], tblMaster[Phone], ""), "")</f>
        <v xml:space="preserve">(774) 823-6575 </v>
      </c>
      <c r="F367" t="str">
        <f>IFERROR(_xlfn.XLOOKUP(tblLog[[#This Row],[Unique ID]], tblMaster[Unique ID], tblMaster[Recruiter], ""), "")</f>
        <v xml:space="preserve">Enrique Ortiz </v>
      </c>
      <c r="G367" t="str">
        <f>IFERROR(_xlfn.XLOOKUP(tblLog[[#This Row],[Unique ID]], tblMaster[Unique ID], tblMaster[Recruitment Cycle], ""), "")</f>
        <v xml:space="preserve">New Submission/ Lead </v>
      </c>
      <c r="H367" t="s">
        <v>7455</v>
      </c>
      <c r="I367" t="s">
        <v>7434</v>
      </c>
      <c r="J367" s="3">
        <v>2</v>
      </c>
      <c r="K367" t="s">
        <v>7491</v>
      </c>
      <c r="L367" s="2">
        <v>46065</v>
      </c>
      <c r="M367" t="s">
        <v>7508</v>
      </c>
      <c r="N367" t="s">
        <v>7475</v>
      </c>
      <c r="O367" t="s">
        <v>7960</v>
      </c>
      <c r="P367">
        <f ca="1">IF(tblLog[[#This Row],[Log Date]]="","",TODAY()-tblLog[[#This Row],[Log Date]])</f>
        <v>14</v>
      </c>
      <c r="Q367" t="str">
        <f>IF(tblLog[[#This Row],[Log Date]]="","",IF(TRIM(tblLog[[#This Row],[Cycle Stage]])="Asked to be removed from database","NO","YES"))</f>
        <v>YES</v>
      </c>
      <c r="R3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8" spans="1:18" ht="15" customHeight="1">
      <c r="A368" t="s">
        <v>7961</v>
      </c>
      <c r="B368" t="str">
        <f>IFERROR(_xlfn.XLOOKUP(tblLog[[#This Row],[Unique ID]], tblMaster[Unique ID], tblMaster[First Name], ""), "")</f>
        <v xml:space="preserve">Evan </v>
      </c>
      <c r="C368" t="str">
        <f>IFERROR(_xlfn.XLOOKUP(tblLog[[#This Row],[Unique ID]], tblMaster[Unique ID], tblMaster[Last Name], ""), "")</f>
        <v xml:space="preserve"> Woodbury </v>
      </c>
      <c r="D368" t="str">
        <f>IFERROR(_xlfn.XLOOKUP(tblLog[[#This Row],[Unique ID]], tblMaster[Unique ID], tblMaster[Email_Clean], ""), "")</f>
        <v>woodbury.m.evan@gmail.com</v>
      </c>
      <c r="E368" t="str">
        <f>IFERROR(_xlfn.XLOOKUP(tblLog[[#This Row],[Unique ID]], tblMaster[Unique ID], tblMaster[Phone], ""), "")</f>
        <v xml:space="preserve">(413) 768-4145 </v>
      </c>
      <c r="F368" t="str">
        <f>IFERROR(_xlfn.XLOOKUP(tblLog[[#This Row],[Unique ID]], tblMaster[Unique ID], tblMaster[Recruiter], ""), "")</f>
        <v xml:space="preserve">Enrique Ortiz </v>
      </c>
      <c r="G368" t="str">
        <f>IFERROR(_xlfn.XLOOKUP(tblLog[[#This Row],[Unique ID]], tblMaster[Unique ID], tblMaster[Recruitment Cycle], ""), "")</f>
        <v xml:space="preserve">New Submission/ Lead </v>
      </c>
      <c r="H368" t="s">
        <v>7455</v>
      </c>
      <c r="I368" t="s">
        <v>7494</v>
      </c>
      <c r="J368" s="3">
        <v>3</v>
      </c>
      <c r="K368" t="s">
        <v>7491</v>
      </c>
      <c r="L368" s="2">
        <v>46065</v>
      </c>
      <c r="M368" t="s">
        <v>7508</v>
      </c>
      <c r="N368" t="s">
        <v>7475</v>
      </c>
      <c r="P368">
        <f ca="1">IF(tblLog[[#This Row],[Log Date]]="","",TODAY()-tblLog[[#This Row],[Log Date]])</f>
        <v>14</v>
      </c>
      <c r="Q368" t="str">
        <f>IF(tblLog[[#This Row],[Log Date]]="","",IF(TRIM(tblLog[[#This Row],[Cycle Stage]])="Asked to be removed from database","NO","YES"))</f>
        <v>YES</v>
      </c>
      <c r="R36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69" spans="1:18" ht="15" customHeight="1">
      <c r="A369" t="s">
        <v>7962</v>
      </c>
      <c r="B369" t="str">
        <f>IFERROR(_xlfn.XLOOKUP(tblLog[[#This Row],[Unique ID]], tblMaster[Unique ID], tblMaster[First Name], ""), "")</f>
        <v xml:space="preserve">Deja </v>
      </c>
      <c r="C369" t="str">
        <f>IFERROR(_xlfn.XLOOKUP(tblLog[[#This Row],[Unique ID]], tblMaster[Unique ID], tblMaster[Last Name], ""), "")</f>
        <v>Deja Miller</v>
      </c>
      <c r="D369" t="str">
        <f>IFERROR(_xlfn.XLOOKUP(tblLog[[#This Row],[Unique ID]], tblMaster[Unique ID], tblMaster[Email_Clean], ""), "")</f>
        <v>dmiller01.work@gmail.com</v>
      </c>
      <c r="E369" t="str">
        <f>IFERROR(_xlfn.XLOOKUP(tblLog[[#This Row],[Unique ID]], tblMaster[Unique ID], tblMaster[Phone], ""), "")</f>
        <v>(617) 410-8962</v>
      </c>
      <c r="F369" t="str">
        <f>IFERROR(_xlfn.XLOOKUP(tblLog[[#This Row],[Unique ID]], tblMaster[Unique ID], tblMaster[Recruiter], ""), "")</f>
        <v xml:space="preserve">Enrique Ortiz </v>
      </c>
      <c r="G369" t="str">
        <f>IFERROR(_xlfn.XLOOKUP(tblLog[[#This Row],[Unique ID]], tblMaster[Unique ID], tblMaster[Recruitment Cycle], ""), "")</f>
        <v xml:space="preserve">New Submission/ Lead </v>
      </c>
      <c r="H369" t="s">
        <v>7455</v>
      </c>
      <c r="I369" t="s">
        <v>7434</v>
      </c>
      <c r="J369" s="3">
        <v>2</v>
      </c>
      <c r="K369" t="s">
        <v>7472</v>
      </c>
      <c r="L369" s="2">
        <v>46065</v>
      </c>
      <c r="M369" t="s">
        <v>7615</v>
      </c>
      <c r="N369" t="s">
        <v>7475</v>
      </c>
      <c r="O369" t="s">
        <v>7963</v>
      </c>
      <c r="P369">
        <f ca="1">IF(tblLog[[#This Row],[Log Date]]="","",TODAY()-tblLog[[#This Row],[Log Date]])</f>
        <v>14</v>
      </c>
      <c r="Q369" t="str">
        <f>IF(tblLog[[#This Row],[Log Date]]="","",IF(TRIM(tblLog[[#This Row],[Cycle Stage]])="Asked to be removed from database","NO","YES"))</f>
        <v>YES</v>
      </c>
      <c r="R3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0" spans="1:18" ht="15" customHeight="1">
      <c r="A370" t="s">
        <v>7964</v>
      </c>
      <c r="B370" t="str">
        <f>IFERROR(_xlfn.XLOOKUP(tblLog[[#This Row],[Unique ID]], tblMaster[Unique ID], tblMaster[First Name], ""), "")</f>
        <v>Emerson</v>
      </c>
      <c r="C370" t="str">
        <f>IFERROR(_xlfn.XLOOKUP(tblLog[[#This Row],[Unique ID]], tblMaster[Unique ID], tblMaster[Last Name], ""), "")</f>
        <v>Mergilles</v>
      </c>
      <c r="D370" t="str">
        <f>IFERROR(_xlfn.XLOOKUP(tblLog[[#This Row],[Unique ID]], tblMaster[Unique ID], tblMaster[Email_Clean], ""), "")</f>
        <v>mergillesem@yahoo.com</v>
      </c>
      <c r="E370" t="str">
        <f>IFERROR(_xlfn.XLOOKUP(tblLog[[#This Row],[Unique ID]], tblMaster[Unique ID], tblMaster[Phone], ""), "")</f>
        <v>(617) 816-5727</v>
      </c>
      <c r="F370" t="str">
        <f>IFERROR(_xlfn.XLOOKUP(tblLog[[#This Row],[Unique ID]], tblMaster[Unique ID], tblMaster[Recruiter], ""), "")</f>
        <v xml:space="preserve">Enrique Ortiz </v>
      </c>
      <c r="G370" t="str">
        <f>IFERROR(_xlfn.XLOOKUP(tblLog[[#This Row],[Unique ID]], tblMaster[Unique ID], tblMaster[Recruitment Cycle], ""), "")</f>
        <v xml:space="preserve">New Submission/ Lead </v>
      </c>
      <c r="H370" t="s">
        <v>7455</v>
      </c>
      <c r="I370" t="s">
        <v>7494</v>
      </c>
      <c r="J370" s="3">
        <v>3</v>
      </c>
      <c r="K370" t="s">
        <v>7491</v>
      </c>
      <c r="L370" s="2">
        <v>46065</v>
      </c>
      <c r="M370" t="s">
        <v>7508</v>
      </c>
      <c r="N370" t="s">
        <v>7475</v>
      </c>
      <c r="P370">
        <f ca="1">IF(tblLog[[#This Row],[Log Date]]="","",TODAY()-tblLog[[#This Row],[Log Date]])</f>
        <v>14</v>
      </c>
      <c r="Q370" t="str">
        <f>IF(tblLog[[#This Row],[Log Date]]="","",IF(TRIM(tblLog[[#This Row],[Cycle Stage]])="Asked to be removed from database","NO","YES"))</f>
        <v>YES</v>
      </c>
      <c r="R3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1" spans="1:18" ht="15" customHeight="1">
      <c r="A371" t="s">
        <v>7965</v>
      </c>
      <c r="B371" t="str">
        <f>IFERROR(_xlfn.XLOOKUP(tblLog[[#This Row],[Unique ID]], tblMaster[Unique ID], tblMaster[First Name], ""), "")</f>
        <v>Makayla</v>
      </c>
      <c r="C371" t="str">
        <f>IFERROR(_xlfn.XLOOKUP(tblLog[[#This Row],[Unique ID]], tblMaster[Unique ID], tblMaster[Last Name], ""), "")</f>
        <v>Menconi</v>
      </c>
      <c r="D371" t="str">
        <f>IFERROR(_xlfn.XLOOKUP(tblLog[[#This Row],[Unique ID]], tblMaster[Unique ID], tblMaster[Email_Clean], ""), "")</f>
        <v>mmenconi@students.stonehill.edu</v>
      </c>
      <c r="E371" t="str">
        <f>IFERROR(_xlfn.XLOOKUP(tblLog[[#This Row],[Unique ID]], tblMaster[Unique ID], tblMaster[Phone], ""), "")</f>
        <v>617-487-1302</v>
      </c>
      <c r="F371" t="str">
        <f>IFERROR(_xlfn.XLOOKUP(tblLog[[#This Row],[Unique ID]], tblMaster[Unique ID], tblMaster[Recruiter], ""), "")</f>
        <v xml:space="preserve">Enrique Ortiz </v>
      </c>
      <c r="G371" t="str">
        <f>IFERROR(_xlfn.XLOOKUP(tblLog[[#This Row],[Unique ID]], tblMaster[Unique ID], tblMaster[Recruitment Cycle], ""), "")</f>
        <v xml:space="preserve">New Submission/ Lead </v>
      </c>
      <c r="H371" t="s">
        <v>7455</v>
      </c>
      <c r="I371" t="s">
        <v>7494</v>
      </c>
      <c r="J371" s="3">
        <v>3</v>
      </c>
      <c r="K371" t="s">
        <v>7491</v>
      </c>
      <c r="L371" s="2">
        <v>46065</v>
      </c>
      <c r="M371" t="s">
        <v>7508</v>
      </c>
      <c r="N371" t="s">
        <v>7475</v>
      </c>
      <c r="P371">
        <f ca="1">IF(tblLog[[#This Row],[Log Date]]="","",TODAY()-tblLog[[#This Row],[Log Date]])</f>
        <v>14</v>
      </c>
      <c r="Q371" t="str">
        <f>IF(tblLog[[#This Row],[Log Date]]="","",IF(TRIM(tblLog[[#This Row],[Cycle Stage]])="Asked to be removed from database","NO","YES"))</f>
        <v>YES</v>
      </c>
      <c r="R3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2" spans="1:18" ht="15" customHeight="1">
      <c r="A372" t="s">
        <v>7966</v>
      </c>
      <c r="B372" t="str">
        <f>IFERROR(_xlfn.XLOOKUP(tblLog[[#This Row],[Unique ID]], tblMaster[Unique ID], tblMaster[First Name], ""), "")</f>
        <v xml:space="preserve">Avery </v>
      </c>
      <c r="C372" t="str">
        <f>IFERROR(_xlfn.XLOOKUP(tblLog[[#This Row],[Unique ID]], tblMaster[Unique ID], tblMaster[Last Name], ""), "")</f>
        <v xml:space="preserve"> Andrews </v>
      </c>
      <c r="D372" t="str">
        <f>IFERROR(_xlfn.XLOOKUP(tblLog[[#This Row],[Unique ID]], tblMaster[Unique ID], tblMaster[Email_Clean], ""), "")</f>
        <v>averyandrews0@gmail.com</v>
      </c>
      <c r="E372" t="str">
        <f>IFERROR(_xlfn.XLOOKUP(tblLog[[#This Row],[Unique ID]], tblMaster[Unique ID], tblMaster[Phone], ""), "")</f>
        <v xml:space="preserve">(617) 877-9987 </v>
      </c>
      <c r="F372" t="str">
        <f>IFERROR(_xlfn.XLOOKUP(tblLog[[#This Row],[Unique ID]], tblMaster[Unique ID], tblMaster[Recruiter], ""), "")</f>
        <v xml:space="preserve">Enrique Ortiz </v>
      </c>
      <c r="G372" t="str">
        <f>IFERROR(_xlfn.XLOOKUP(tblLog[[#This Row],[Unique ID]], tblMaster[Unique ID], tblMaster[Recruitment Cycle], ""), "")</f>
        <v xml:space="preserve">New Submission/ Lead </v>
      </c>
      <c r="H372" t="s">
        <v>7455</v>
      </c>
      <c r="I372" t="s">
        <v>7494</v>
      </c>
      <c r="J372" s="3">
        <v>3</v>
      </c>
      <c r="K372" t="s">
        <v>7491</v>
      </c>
      <c r="L372" s="2">
        <v>46065</v>
      </c>
      <c r="M372" t="s">
        <v>7508</v>
      </c>
      <c r="N372" t="s">
        <v>7475</v>
      </c>
      <c r="P372">
        <f ca="1">IF(tblLog[[#This Row],[Log Date]]="","",TODAY()-tblLog[[#This Row],[Log Date]])</f>
        <v>14</v>
      </c>
      <c r="Q372" t="str">
        <f>IF(tblLog[[#This Row],[Log Date]]="","",IF(TRIM(tblLog[[#This Row],[Cycle Stage]])="Asked to be removed from database","NO","YES"))</f>
        <v>YES</v>
      </c>
      <c r="R3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3" spans="1:18" ht="15" customHeight="1">
      <c r="A373" t="s">
        <v>7967</v>
      </c>
      <c r="B373" t="str">
        <f>IFERROR(_xlfn.XLOOKUP(tblLog[[#This Row],[Unique ID]], tblMaster[Unique ID], tblMaster[First Name], ""), "")</f>
        <v>Heather</v>
      </c>
      <c r="C373" t="str">
        <f>IFERROR(_xlfn.XLOOKUP(tblLog[[#This Row],[Unique ID]], tblMaster[Unique ID], tblMaster[Last Name], ""), "")</f>
        <v xml:space="preserve"> Anderson</v>
      </c>
      <c r="D373" t="str">
        <f>IFERROR(_xlfn.XLOOKUP(tblLog[[#This Row],[Unique ID]], tblMaster[Unique ID], tblMaster[Email_Clean], ""), "")</f>
        <v>aviante77@proton.me</v>
      </c>
      <c r="E373" t="str">
        <f>IFERROR(_xlfn.XLOOKUP(tblLog[[#This Row],[Unique ID]], tblMaster[Unique ID], tblMaster[Phone], ""), "")</f>
        <v>310) 526-1888</v>
      </c>
      <c r="F373" t="str">
        <f>IFERROR(_xlfn.XLOOKUP(tblLog[[#This Row],[Unique ID]], tblMaster[Unique ID], tblMaster[Recruiter], ""), "")</f>
        <v xml:space="preserve">Tom Clark </v>
      </c>
      <c r="G373" t="str">
        <f>IFERROR(_xlfn.XLOOKUP(tblLog[[#This Row],[Unique ID]], tblMaster[Unique ID], tblMaster[Recruitment Cycle], ""), "")</f>
        <v xml:space="preserve">New Submission/ Lead </v>
      </c>
      <c r="H373" t="s">
        <v>7463</v>
      </c>
      <c r="I373" t="s">
        <v>4</v>
      </c>
      <c r="J373" s="3">
        <v>3</v>
      </c>
      <c r="K373" t="s">
        <v>7468</v>
      </c>
      <c r="L373" s="2">
        <v>46065</v>
      </c>
      <c r="M373" t="s">
        <v>7452</v>
      </c>
      <c r="N373" t="s">
        <v>7475</v>
      </c>
      <c r="P373">
        <f ca="1">IF(tblLog[[#This Row],[Log Date]]="","",TODAY()-tblLog[[#This Row],[Log Date]])</f>
        <v>14</v>
      </c>
      <c r="Q373" t="str">
        <f>IF(tblLog[[#This Row],[Log Date]]="","",IF(TRIM(tblLog[[#This Row],[Cycle Stage]])="Asked to be removed from database","NO","YES"))</f>
        <v>YES</v>
      </c>
      <c r="R3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4" spans="1:18" ht="15" customHeight="1">
      <c r="A374" t="s">
        <v>7968</v>
      </c>
      <c r="B374" t="str">
        <f>IFERROR(_xlfn.XLOOKUP(tblLog[[#This Row],[Unique ID]], tblMaster[Unique ID], tblMaster[First Name], ""), "")</f>
        <v xml:space="preserve">Dimmy </v>
      </c>
      <c r="C374" t="str">
        <f>IFERROR(_xlfn.XLOOKUP(tblLog[[#This Row],[Unique ID]], tblMaster[Unique ID], tblMaster[Last Name], ""), "")</f>
        <v xml:space="preserve">Antoine </v>
      </c>
      <c r="D374" t="str">
        <f>IFERROR(_xlfn.XLOOKUP(tblLog[[#This Row],[Unique ID]], tblMaster[Unique ID], tblMaster[Email_Clean], ""), "")</f>
        <v>dimmydix78@gmail.com</v>
      </c>
      <c r="E374" t="str">
        <f>IFERROR(_xlfn.XLOOKUP(tblLog[[#This Row],[Unique ID]], tblMaster[Unique ID], tblMaster[Phone], ""), "")</f>
        <v xml:space="preserve">(617) 505-8186 </v>
      </c>
      <c r="F374" t="str">
        <f>IFERROR(_xlfn.XLOOKUP(tblLog[[#This Row],[Unique ID]], tblMaster[Unique ID], tblMaster[Recruiter], ""), "")</f>
        <v xml:space="preserve">Enrique Ortiz </v>
      </c>
      <c r="G374" t="str">
        <f>IFERROR(_xlfn.XLOOKUP(tblLog[[#This Row],[Unique ID]], tblMaster[Unique ID], tblMaster[Recruitment Cycle], ""), "")</f>
        <v xml:space="preserve">New Submission/ Lead </v>
      </c>
      <c r="H374" t="s">
        <v>7455</v>
      </c>
      <c r="I374" t="s">
        <v>7494</v>
      </c>
      <c r="J374" s="3">
        <v>3</v>
      </c>
      <c r="K374" t="s">
        <v>7491</v>
      </c>
      <c r="L374" s="2">
        <v>46065</v>
      </c>
      <c r="M374" t="s">
        <v>7508</v>
      </c>
      <c r="N374" t="s">
        <v>7475</v>
      </c>
      <c r="P374">
        <f ca="1">IF(tblLog[[#This Row],[Log Date]]="","",TODAY()-tblLog[[#This Row],[Log Date]])</f>
        <v>14</v>
      </c>
      <c r="Q374" t="str">
        <f>IF(tblLog[[#This Row],[Log Date]]="","",IF(TRIM(tblLog[[#This Row],[Cycle Stage]])="Asked to be removed from database","NO","YES"))</f>
        <v>YES</v>
      </c>
      <c r="R3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5" spans="1:18" ht="15" customHeight="1">
      <c r="A375" t="s">
        <v>7969</v>
      </c>
      <c r="B375" t="str">
        <f>IFERROR(_xlfn.XLOOKUP(tblLog[[#This Row],[Unique ID]], tblMaster[Unique ID], tblMaster[First Name], ""), "")</f>
        <v>DOMINGOS</v>
      </c>
      <c r="C375" t="str">
        <f>IFERROR(_xlfn.XLOOKUP(tblLog[[#This Row],[Unique ID]], tblMaster[Unique ID], tblMaster[Last Name], ""), "")</f>
        <v>FERNANDES</v>
      </c>
      <c r="D375" t="str">
        <f>IFERROR(_xlfn.XLOOKUP(tblLog[[#This Row],[Unique ID]], tblMaster[Unique ID], tblMaster[Email_Clean], ""), "")</f>
        <v>domingos75cv@gmail.com</v>
      </c>
      <c r="E375" t="str">
        <f>IFERROR(_xlfn.XLOOKUP(tblLog[[#This Row],[Unique ID]], tblMaster[Unique ID], tblMaster[Phone], ""), "")</f>
        <v>617-820-7964</v>
      </c>
      <c r="F375" t="str">
        <f>IFERROR(_xlfn.XLOOKUP(tblLog[[#This Row],[Unique ID]], tblMaster[Unique ID], tblMaster[Recruiter], ""), "")</f>
        <v xml:space="preserve">Tom Clark </v>
      </c>
      <c r="G375" t="str">
        <f>IFERROR(_xlfn.XLOOKUP(tblLog[[#This Row],[Unique ID]], tblMaster[Unique ID], tblMaster[Recruitment Cycle], ""), "")</f>
        <v xml:space="preserve">New Submission/ Lead </v>
      </c>
      <c r="J375" s="3"/>
      <c r="P375" t="str">
        <f ca="1">IF(tblLog[[#This Row],[Log Date]]="","",TODAY()-tblLog[[#This Row],[Log Date]])</f>
        <v/>
      </c>
      <c r="Q375" t="str">
        <f>IF(tblLog[[#This Row],[Log Date]]="","",IF(TRIM(tblLog[[#This Row],[Cycle Stage]])="Asked to be removed from database","NO","YES"))</f>
        <v/>
      </c>
      <c r="R37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6" spans="1:18" ht="15" customHeight="1">
      <c r="A376" t="s">
        <v>7970</v>
      </c>
      <c r="B376" t="str">
        <f>IFERROR(_xlfn.XLOOKUP(tblLog[[#This Row],[Unique ID]], tblMaster[Unique ID], tblMaster[First Name], ""), "")</f>
        <v>Patricia</v>
      </c>
      <c r="C376" t="str">
        <f>IFERROR(_xlfn.XLOOKUP(tblLog[[#This Row],[Unique ID]], tblMaster[Unique ID], tblMaster[Last Name], ""), "")</f>
        <v>Griffith</v>
      </c>
      <c r="D376" t="str">
        <f>IFERROR(_xlfn.XLOOKUP(tblLog[[#This Row],[Unique ID]], tblMaster[Unique ID], tblMaster[Email_Clean], ""), "")</f>
        <v>lilktrina333@icloud.com</v>
      </c>
      <c r="E376" s="36" t="str">
        <f>IFERROR(_xlfn.XLOOKUP(tblLog[[#This Row],[Unique ID]], tblMaster[Unique ID], tblMaster[Phone], ""), "")</f>
        <v>617-697-0727</v>
      </c>
      <c r="F376" t="str">
        <f>IFERROR(_xlfn.XLOOKUP(tblLog[[#This Row],[Unique ID]], tblMaster[Unique ID], tblMaster[Recruiter], ""), "")</f>
        <v xml:space="preserve">Christopher Servello </v>
      </c>
      <c r="G376" t="str">
        <f>IFERROR(_xlfn.XLOOKUP(tblLog[[#This Row],[Unique ID]], tblMaster[Unique ID], tblMaster[Recruitment Cycle], ""), "")</f>
        <v xml:space="preserve">New Submission/ Lead </v>
      </c>
      <c r="H376" t="s">
        <v>7496</v>
      </c>
      <c r="I376" t="s">
        <v>4</v>
      </c>
      <c r="J376" s="3">
        <v>2</v>
      </c>
      <c r="K376" t="s">
        <v>4</v>
      </c>
      <c r="L376" s="2">
        <v>46065</v>
      </c>
      <c r="M376" t="s">
        <v>7452</v>
      </c>
      <c r="N376" t="s">
        <v>7497</v>
      </c>
      <c r="O376" t="s">
        <v>7971</v>
      </c>
      <c r="P376">
        <f ca="1">IF(tblLog[[#This Row],[Log Date]]="","",TODAY()-tblLog[[#This Row],[Log Date]])</f>
        <v>14</v>
      </c>
      <c r="Q376" t="str">
        <f>IF(tblLog[[#This Row],[Log Date]]="","",IF(TRIM(tblLog[[#This Row],[Cycle Stage]])="Asked to be removed from database","NO","YES"))</f>
        <v>YES</v>
      </c>
      <c r="R37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7" spans="1:18" ht="15" customHeight="1">
      <c r="A377" t="s">
        <v>7972</v>
      </c>
      <c r="B377" t="str">
        <f>IFERROR(_xlfn.XLOOKUP(tblLog[[#This Row],[Unique ID]], tblMaster[Unique ID], tblMaster[First Name], ""), "")</f>
        <v>Caitriona</v>
      </c>
      <c r="C377" t="str">
        <f>IFERROR(_xlfn.XLOOKUP(tblLog[[#This Row],[Unique ID]], tblMaster[Unique ID], tblMaster[Last Name], ""), "")</f>
        <v>Houston</v>
      </c>
      <c r="D377" t="str">
        <f>IFERROR(_xlfn.XLOOKUP(tblLog[[#This Row],[Unique ID]], tblMaster[Unique ID], tblMaster[Email_Clean], ""), "")</f>
        <v>chouston2001@gmail.com</v>
      </c>
      <c r="E377" t="str">
        <f>IFERROR(_xlfn.XLOOKUP(tblLog[[#This Row],[Unique ID]], tblMaster[Unique ID], tblMaster[Phone], ""), "")</f>
        <v xml:space="preserve">774-262-9802 </v>
      </c>
      <c r="F377" t="str">
        <f>IFERROR(_xlfn.XLOOKUP(tblLog[[#This Row],[Unique ID]], tblMaster[Unique ID], tblMaster[Recruiter], ""), "")</f>
        <v xml:space="preserve">Enrique Ortiz </v>
      </c>
      <c r="G377" t="str">
        <f>IFERROR(_xlfn.XLOOKUP(tblLog[[#This Row],[Unique ID]], tblMaster[Unique ID], tblMaster[Recruitment Cycle], ""), "")</f>
        <v xml:space="preserve">New Submission/ Lead </v>
      </c>
      <c r="H377" t="s">
        <v>7455</v>
      </c>
      <c r="I377" t="s">
        <v>7494</v>
      </c>
      <c r="J377" s="3">
        <v>3</v>
      </c>
      <c r="K377" t="s">
        <v>7491</v>
      </c>
      <c r="L377" s="2">
        <v>46065</v>
      </c>
      <c r="M377" t="s">
        <v>7508</v>
      </c>
      <c r="N377" t="s">
        <v>7475</v>
      </c>
      <c r="P377">
        <f ca="1">IF(tblLog[[#This Row],[Log Date]]="","",TODAY()-tblLog[[#This Row],[Log Date]])</f>
        <v>14</v>
      </c>
      <c r="Q377" t="str">
        <f>IF(tblLog[[#This Row],[Log Date]]="","",IF(TRIM(tblLog[[#This Row],[Cycle Stage]])="Asked to be removed from database","NO","YES"))</f>
        <v>YES</v>
      </c>
      <c r="R3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8" spans="1:18" ht="15" customHeight="1">
      <c r="A378" t="s">
        <v>7973</v>
      </c>
      <c r="B378" t="str">
        <f>IFERROR(_xlfn.XLOOKUP(tblLog[[#This Row],[Unique ID]], tblMaster[Unique ID], tblMaster[First Name], ""), "")</f>
        <v xml:space="preserve">Jeffrey </v>
      </c>
      <c r="C378" t="str">
        <f>IFERROR(_xlfn.XLOOKUP(tblLog[[#This Row],[Unique ID]], tblMaster[Unique ID], tblMaster[Last Name], ""), "")</f>
        <v xml:space="preserve">Coste Jr </v>
      </c>
      <c r="D378" t="str">
        <f>IFERROR(_xlfn.XLOOKUP(tblLog[[#This Row],[Unique ID]], tblMaster[Unique ID], tblMaster[Email_Clean], ""), "")</f>
        <v>costejeffrey123@gmail.com</v>
      </c>
      <c r="E378" t="str">
        <f>IFERROR(_xlfn.XLOOKUP(tblLog[[#This Row],[Unique ID]], tblMaster[Unique ID], tblMaster[Phone], ""), "")</f>
        <v xml:space="preserve">(508) 264-6143 </v>
      </c>
      <c r="F378" t="str">
        <f>IFERROR(_xlfn.XLOOKUP(tblLog[[#This Row],[Unique ID]], tblMaster[Unique ID], tblMaster[Recruiter], ""), "")</f>
        <v xml:space="preserve">Enrique Ortiz </v>
      </c>
      <c r="G378" t="str">
        <f>IFERROR(_xlfn.XLOOKUP(tblLog[[#This Row],[Unique ID]], tblMaster[Unique ID], tblMaster[Recruitment Cycle], ""), "")</f>
        <v xml:space="preserve">New Submission/ Lead </v>
      </c>
      <c r="H378" t="s">
        <v>7455</v>
      </c>
      <c r="I378" t="s">
        <v>7434</v>
      </c>
      <c r="J378" s="3">
        <v>3</v>
      </c>
      <c r="K378" t="s">
        <v>7435</v>
      </c>
      <c r="L378" s="2">
        <v>46065</v>
      </c>
      <c r="M378" t="s">
        <v>7452</v>
      </c>
      <c r="N378" t="s">
        <v>7475</v>
      </c>
      <c r="P378">
        <f ca="1">IF(tblLog[[#This Row],[Log Date]]="","",TODAY()-tblLog[[#This Row],[Log Date]])</f>
        <v>14</v>
      </c>
      <c r="Q378" t="str">
        <f>IF(tblLog[[#This Row],[Log Date]]="","",IF(TRIM(tblLog[[#This Row],[Cycle Stage]])="Asked to be removed from database","NO","YES"))</f>
        <v>YES</v>
      </c>
      <c r="R3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79" spans="1:18" ht="15" customHeight="1">
      <c r="A379" t="s">
        <v>7974</v>
      </c>
      <c r="B379" t="str">
        <f>IFERROR(_xlfn.XLOOKUP(tblLog[[#This Row],[Unique ID]], tblMaster[Unique ID], tblMaster[First Name], ""), "")</f>
        <v xml:space="preserve">Trevor </v>
      </c>
      <c r="C379" t="str">
        <f>IFERROR(_xlfn.XLOOKUP(tblLog[[#This Row],[Unique ID]], tblMaster[Unique ID], tblMaster[Last Name], ""), "")</f>
        <v xml:space="preserve">Miller </v>
      </c>
      <c r="D379" t="str">
        <f>IFERROR(_xlfn.XLOOKUP(tblLog[[#This Row],[Unique ID]], tblMaster[Unique ID], tblMaster[Email_Clean], ""), "")</f>
        <v>trevorm382@gmail.com</v>
      </c>
      <c r="E379" t="str">
        <f>IFERROR(_xlfn.XLOOKUP(tblLog[[#This Row],[Unique ID]], tblMaster[Unique ID], tblMaster[Phone], ""), "")</f>
        <v xml:space="preserve">(413) 885-5519 </v>
      </c>
      <c r="F379" t="str">
        <f>IFERROR(_xlfn.XLOOKUP(tblLog[[#This Row],[Unique ID]], tblMaster[Unique ID], tblMaster[Recruiter], ""), "")</f>
        <v xml:space="preserve">Enrique Ortiz </v>
      </c>
      <c r="G379" t="str">
        <f>IFERROR(_xlfn.XLOOKUP(tblLog[[#This Row],[Unique ID]], tblMaster[Unique ID], tblMaster[Recruitment Cycle], ""), "")</f>
        <v xml:space="preserve">New Submission/ Lead </v>
      </c>
      <c r="H379" t="s">
        <v>7455</v>
      </c>
      <c r="I379" t="s">
        <v>7434</v>
      </c>
      <c r="J379" s="3">
        <v>2</v>
      </c>
      <c r="K379" t="s">
        <v>7472</v>
      </c>
      <c r="L379" s="2">
        <v>46065</v>
      </c>
      <c r="M379" t="s">
        <v>7615</v>
      </c>
      <c r="N379" t="s">
        <v>7475</v>
      </c>
      <c r="O379" t="s">
        <v>7975</v>
      </c>
      <c r="P379">
        <f ca="1">IF(tblLog[[#This Row],[Log Date]]="","",TODAY()-tblLog[[#This Row],[Log Date]])</f>
        <v>14</v>
      </c>
      <c r="Q379" t="str">
        <f>IF(tblLog[[#This Row],[Log Date]]="","",IF(TRIM(tblLog[[#This Row],[Cycle Stage]])="Asked to be removed from database","NO","YES"))</f>
        <v>YES</v>
      </c>
      <c r="R3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0" spans="1:18" ht="15" customHeight="1">
      <c r="A380" t="s">
        <v>7976</v>
      </c>
      <c r="B380" t="str">
        <f>IFERROR(_xlfn.XLOOKUP(tblLog[[#This Row],[Unique ID]], tblMaster[Unique ID], tblMaster[First Name], ""), "")</f>
        <v xml:space="preserve">Sincere </v>
      </c>
      <c r="C380" t="str">
        <f>IFERROR(_xlfn.XLOOKUP(tblLog[[#This Row],[Unique ID]], tblMaster[Unique ID], tblMaster[Last Name], ""), "")</f>
        <v xml:space="preserve"> Payne </v>
      </c>
      <c r="D380" t="str">
        <f>IFERROR(_xlfn.XLOOKUP(tblLog[[#This Row],[Unique ID]], tblMaster[Unique ID], tblMaster[Email_Clean], ""), "")</f>
        <v>sincerepayne@icloud.com</v>
      </c>
      <c r="E380" t="str">
        <f>IFERROR(_xlfn.XLOOKUP(tblLog[[#This Row],[Unique ID]], tblMaster[Unique ID], tblMaster[Phone], ""), "")</f>
        <v xml:space="preserve">(404) 940-8507 </v>
      </c>
      <c r="F380" t="str">
        <f>IFERROR(_xlfn.XLOOKUP(tblLog[[#This Row],[Unique ID]], tblMaster[Unique ID], tblMaster[Recruiter], ""), "")</f>
        <v xml:space="preserve">Enrique Ortiz </v>
      </c>
      <c r="G380" t="str">
        <f>IFERROR(_xlfn.XLOOKUP(tblLog[[#This Row],[Unique ID]], tblMaster[Unique ID], tblMaster[Recruitment Cycle], ""), "")</f>
        <v xml:space="preserve">New Submission/ Lead </v>
      </c>
      <c r="H380" t="s">
        <v>7455</v>
      </c>
      <c r="I380" t="s">
        <v>7434</v>
      </c>
      <c r="J380" s="3">
        <v>2</v>
      </c>
      <c r="K380" t="s">
        <v>7491</v>
      </c>
      <c r="L380" s="2">
        <v>46065</v>
      </c>
      <c r="M380" t="s">
        <v>7485</v>
      </c>
      <c r="N380" t="s">
        <v>7475</v>
      </c>
      <c r="O380" t="s">
        <v>7977</v>
      </c>
      <c r="P380">
        <f ca="1">IF(tblLog[[#This Row],[Log Date]]="","",TODAY()-tblLog[[#This Row],[Log Date]])</f>
        <v>14</v>
      </c>
      <c r="Q380" t="str">
        <f>IF(tblLog[[#This Row],[Log Date]]="","",IF(TRIM(tblLog[[#This Row],[Cycle Stage]])="Asked to be removed from database","NO","YES"))</f>
        <v>YES</v>
      </c>
      <c r="R3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1" spans="1:18" ht="15" customHeight="1">
      <c r="A381" t="s">
        <v>7978</v>
      </c>
      <c r="B381" t="str">
        <f>IFERROR(_xlfn.XLOOKUP(tblLog[[#This Row],[Unique ID]], tblMaster[Unique ID], tblMaster[First Name], ""), "")</f>
        <v xml:space="preserve">Michael </v>
      </c>
      <c r="C381" t="str">
        <f>IFERROR(_xlfn.XLOOKUP(tblLog[[#This Row],[Unique ID]], tblMaster[Unique ID], tblMaster[Last Name], ""), "")</f>
        <v xml:space="preserve"> Holdbrook </v>
      </c>
      <c r="D381" t="str">
        <f>IFERROR(_xlfn.XLOOKUP(tblLog[[#This Row],[Unique ID]], tblMaster[Unique ID], tblMaster[Email_Clean], ""), "")</f>
        <v>holdbrookmicheal7@gmail.com</v>
      </c>
      <c r="E381" t="str">
        <f>IFERROR(_xlfn.XLOOKUP(tblLog[[#This Row],[Unique ID]], tblMaster[Unique ID], tblMaster[Phone], ""), "")</f>
        <v xml:space="preserve">(774) 701-2692 </v>
      </c>
      <c r="F381" t="str">
        <f>IFERROR(_xlfn.XLOOKUP(tblLog[[#This Row],[Unique ID]], tblMaster[Unique ID], tblMaster[Recruiter], ""), "")</f>
        <v xml:space="preserve">Enrique Ortiz </v>
      </c>
      <c r="G381" t="str">
        <f>IFERROR(_xlfn.XLOOKUP(tblLog[[#This Row],[Unique ID]], tblMaster[Unique ID], tblMaster[Recruitment Cycle], ""), "")</f>
        <v xml:space="preserve">New Submission/ Lead </v>
      </c>
      <c r="H381" t="s">
        <v>7455</v>
      </c>
      <c r="I381" t="s">
        <v>7434</v>
      </c>
      <c r="J381" s="3">
        <v>3</v>
      </c>
      <c r="K381" t="s">
        <v>7435</v>
      </c>
      <c r="L381" s="2">
        <v>46065</v>
      </c>
      <c r="M381" t="s">
        <v>7452</v>
      </c>
      <c r="N381" t="s">
        <v>7475</v>
      </c>
      <c r="P381">
        <f ca="1">IF(tblLog[[#This Row],[Log Date]]="","",TODAY()-tblLog[[#This Row],[Log Date]])</f>
        <v>14</v>
      </c>
      <c r="Q381" t="str">
        <f>IF(tblLog[[#This Row],[Log Date]]="","",IF(TRIM(tblLog[[#This Row],[Cycle Stage]])="Asked to be removed from database","NO","YES"))</f>
        <v>YES</v>
      </c>
      <c r="R3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2" spans="1:18" ht="15" customHeight="1">
      <c r="A382" t="s">
        <v>7979</v>
      </c>
      <c r="B382" t="str">
        <f>IFERROR(_xlfn.XLOOKUP(tblLog[[#This Row],[Unique ID]], tblMaster[Unique ID], tblMaster[First Name], ""), "")</f>
        <v xml:space="preserve">jason </v>
      </c>
      <c r="C382" t="str">
        <f>IFERROR(_xlfn.XLOOKUP(tblLog[[#This Row],[Unique ID]], tblMaster[Unique ID], tblMaster[Last Name], ""), "")</f>
        <v xml:space="preserve">alvarez </v>
      </c>
      <c r="D382" t="str">
        <f>IFERROR(_xlfn.XLOOKUP(tblLog[[#This Row],[Unique ID]], tblMaster[Unique ID], tblMaster[Email_Clean], ""), "")</f>
        <v>jaysonalvarez1515@gmail.com</v>
      </c>
      <c r="E382" t="str">
        <f>IFERROR(_xlfn.XLOOKUP(tblLog[[#This Row],[Unique ID]], tblMaster[Unique ID], tblMaster[Phone], ""), "")</f>
        <v xml:space="preserve">(413) 292-2032 </v>
      </c>
      <c r="F382" t="str">
        <f>IFERROR(_xlfn.XLOOKUP(tblLog[[#This Row],[Unique ID]], tblMaster[Unique ID], tblMaster[Recruiter], ""), "")</f>
        <v xml:space="preserve">Enrique Ortiz </v>
      </c>
      <c r="G382" t="str">
        <f>IFERROR(_xlfn.XLOOKUP(tblLog[[#This Row],[Unique ID]], tblMaster[Unique ID], tblMaster[Recruitment Cycle], ""), "")</f>
        <v xml:space="preserve">New Submission/ Lead </v>
      </c>
      <c r="H382" t="s">
        <v>7455</v>
      </c>
      <c r="I382" t="s">
        <v>7494</v>
      </c>
      <c r="J382" s="3">
        <v>3</v>
      </c>
      <c r="K382" t="s">
        <v>7491</v>
      </c>
      <c r="L382" s="2">
        <v>46065</v>
      </c>
      <c r="M382" t="s">
        <v>7508</v>
      </c>
      <c r="N382" t="s">
        <v>7475</v>
      </c>
      <c r="P382">
        <f ca="1">IF(tblLog[[#This Row],[Log Date]]="","",TODAY()-tblLog[[#This Row],[Log Date]])</f>
        <v>14</v>
      </c>
      <c r="Q382" t="str">
        <f>IF(tblLog[[#This Row],[Log Date]]="","",IF(TRIM(tblLog[[#This Row],[Cycle Stage]])="Asked to be removed from database","NO","YES"))</f>
        <v>YES</v>
      </c>
      <c r="R3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3" spans="1:18" ht="15" customHeight="1">
      <c r="A383" t="s">
        <v>7980</v>
      </c>
      <c r="B383" t="str">
        <f>IFERROR(_xlfn.XLOOKUP(tblLog[[#This Row],[Unique ID]], tblMaster[Unique ID], tblMaster[First Name], ""), "")</f>
        <v>Kwetor</v>
      </c>
      <c r="C383" t="str">
        <f>IFERROR(_xlfn.XLOOKUP(tblLog[[#This Row],[Unique ID]], tblMaster[Unique ID], tblMaster[Last Name], ""), "")</f>
        <v>Sulonteh</v>
      </c>
      <c r="D383" t="str">
        <f>IFERROR(_xlfn.XLOOKUP(tblLog[[#This Row],[Unique ID]], tblMaster[Unique ID], tblMaster[Email_Clean], ""), "")</f>
        <v>lawrencesulonteh@gmail.com</v>
      </c>
      <c r="E383" t="str">
        <f>IFERROR(_xlfn.XLOOKUP(tblLog[[#This Row],[Unique ID]], tblMaster[Unique ID], tblMaster[Phone], ""), "")</f>
        <v>(267) 697-9187</v>
      </c>
      <c r="F383" t="str">
        <f>IFERROR(_xlfn.XLOOKUP(tblLog[[#This Row],[Unique ID]], tblMaster[Unique ID], tblMaster[Recruiter], ""), "")</f>
        <v xml:space="preserve">Enrique Ortiz </v>
      </c>
      <c r="G383" t="str">
        <f>IFERROR(_xlfn.XLOOKUP(tblLog[[#This Row],[Unique ID]], tblMaster[Unique ID], tblMaster[Recruitment Cycle], ""), "")</f>
        <v xml:space="preserve">New Submission/ Lead </v>
      </c>
      <c r="H383" t="s">
        <v>7455</v>
      </c>
      <c r="I383" t="s">
        <v>7434</v>
      </c>
      <c r="J383" s="3">
        <v>2</v>
      </c>
      <c r="K383" t="s">
        <v>7472</v>
      </c>
      <c r="L383" s="2">
        <v>46065</v>
      </c>
      <c r="M383" t="s">
        <v>7615</v>
      </c>
      <c r="P383">
        <f ca="1">IF(tblLog[[#This Row],[Log Date]]="","",TODAY()-tblLog[[#This Row],[Log Date]])</f>
        <v>14</v>
      </c>
      <c r="Q383" t="str">
        <f>IF(tblLog[[#This Row],[Log Date]]="","",IF(TRIM(tblLog[[#This Row],[Cycle Stage]])="Asked to be removed from database","NO","YES"))</f>
        <v>YES</v>
      </c>
      <c r="R3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4" spans="1:18" ht="15" customHeight="1">
      <c r="A384" t="s">
        <v>7981</v>
      </c>
      <c r="B384" t="str">
        <f>IFERROR(_xlfn.XLOOKUP(tblLog[[#This Row],[Unique ID]], tblMaster[Unique ID], tblMaster[First Name], ""), "")</f>
        <v xml:space="preserve">Eric </v>
      </c>
      <c r="C384" t="str">
        <f>IFERROR(_xlfn.XLOOKUP(tblLog[[#This Row],[Unique ID]], tblMaster[Unique ID], tblMaster[Last Name], ""), "")</f>
        <v xml:space="preserve">Pitts </v>
      </c>
      <c r="D384" t="str">
        <f>IFERROR(_xlfn.XLOOKUP(tblLog[[#This Row],[Unique ID]], tblMaster[Unique ID], tblMaster[Email_Clean], ""), "")</f>
        <v>eric.jpitts@yahoo.com</v>
      </c>
      <c r="E384" t="str">
        <f>IFERROR(_xlfn.XLOOKUP(tblLog[[#This Row],[Unique ID]], tblMaster[Unique ID], tblMaster[Phone], ""), "")</f>
        <v xml:space="preserve">(774) 218-5830 </v>
      </c>
      <c r="F384" t="str">
        <f>IFERROR(_xlfn.XLOOKUP(tblLog[[#This Row],[Unique ID]], tblMaster[Unique ID], tblMaster[Recruiter], ""), "")</f>
        <v xml:space="preserve">Enrique Ortiz </v>
      </c>
      <c r="G384" t="str">
        <f>IFERROR(_xlfn.XLOOKUP(tblLog[[#This Row],[Unique ID]], tblMaster[Unique ID], tblMaster[Recruitment Cycle], ""), "")</f>
        <v xml:space="preserve">New Submission/ Lead </v>
      </c>
      <c r="H384" t="s">
        <v>7455</v>
      </c>
      <c r="I384" t="s">
        <v>7434</v>
      </c>
      <c r="J384" s="3">
        <v>3</v>
      </c>
      <c r="K384" t="s">
        <v>7435</v>
      </c>
      <c r="L384" s="2">
        <v>46065</v>
      </c>
      <c r="M384" t="s">
        <v>7452</v>
      </c>
      <c r="N384" t="s">
        <v>7475</v>
      </c>
      <c r="P384">
        <f ca="1">IF(tblLog[[#This Row],[Log Date]]="","",TODAY()-tblLog[[#This Row],[Log Date]])</f>
        <v>14</v>
      </c>
      <c r="Q384" t="str">
        <f>IF(tblLog[[#This Row],[Log Date]]="","",IF(TRIM(tblLog[[#This Row],[Cycle Stage]])="Asked to be removed from database","NO","YES"))</f>
        <v>YES</v>
      </c>
      <c r="R3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5" spans="1:18" ht="15" customHeight="1">
      <c r="A385" t="s">
        <v>7982</v>
      </c>
      <c r="B385" t="str">
        <f>IFERROR(_xlfn.XLOOKUP(tblLog[[#This Row],[Unique ID]], tblMaster[Unique ID], tblMaster[First Name], ""), "")</f>
        <v xml:space="preserve">Rohan </v>
      </c>
      <c r="C385" t="str">
        <f>IFERROR(_xlfn.XLOOKUP(tblLog[[#This Row],[Unique ID]], tblMaster[Unique ID], tblMaster[Last Name], ""), "")</f>
        <v xml:space="preserve">Saggar </v>
      </c>
      <c r="D385" t="str">
        <f>IFERROR(_xlfn.XLOOKUP(tblLog[[#This Row],[Unique ID]], tblMaster[Unique ID], tblMaster[Email_Clean], ""), "")</f>
        <v>rohansaggar1@gmail.com</v>
      </c>
      <c r="E385" t="str">
        <f>IFERROR(_xlfn.XLOOKUP(tblLog[[#This Row],[Unique ID]], tblMaster[Unique ID], tblMaster[Phone], ""), "")</f>
        <v xml:space="preserve">781) 526-2798 </v>
      </c>
      <c r="F385" t="str">
        <f>IFERROR(_xlfn.XLOOKUP(tblLog[[#This Row],[Unique ID]], tblMaster[Unique ID], tblMaster[Recruiter], ""), "")</f>
        <v xml:space="preserve">Enrique Ortiz </v>
      </c>
      <c r="G385" t="str">
        <f>IFERROR(_xlfn.XLOOKUP(tblLog[[#This Row],[Unique ID]], tblMaster[Unique ID], tblMaster[Recruitment Cycle], ""), "")</f>
        <v xml:space="preserve">New Submission/ Lead </v>
      </c>
      <c r="H385" t="s">
        <v>7455</v>
      </c>
      <c r="I385" t="s">
        <v>7434</v>
      </c>
      <c r="J385" s="3">
        <v>3</v>
      </c>
      <c r="K385" t="s">
        <v>7435</v>
      </c>
      <c r="L385" s="2">
        <v>46065</v>
      </c>
      <c r="M385" t="s">
        <v>7452</v>
      </c>
      <c r="N385" t="s">
        <v>7475</v>
      </c>
      <c r="P385">
        <f ca="1">IF(tblLog[[#This Row],[Log Date]]="","",TODAY()-tblLog[[#This Row],[Log Date]])</f>
        <v>14</v>
      </c>
      <c r="Q385" t="str">
        <f>IF(tblLog[[#This Row],[Log Date]]="","",IF(TRIM(tblLog[[#This Row],[Cycle Stage]])="Asked to be removed from database","NO","YES"))</f>
        <v>YES</v>
      </c>
      <c r="R3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6" spans="1:18" ht="15" customHeight="1">
      <c r="A386" t="s">
        <v>7983</v>
      </c>
      <c r="B386" t="str">
        <f>IFERROR(_xlfn.XLOOKUP(tblLog[[#This Row],[Unique ID]], tblMaster[Unique ID], tblMaster[First Name], ""), "")</f>
        <v xml:space="preserve">Samuel </v>
      </c>
      <c r="C386" t="str">
        <f>IFERROR(_xlfn.XLOOKUP(tblLog[[#This Row],[Unique ID]], tblMaster[Unique ID], tblMaster[Last Name], ""), "")</f>
        <v xml:space="preserve">Samuel Jones </v>
      </c>
      <c r="D386" t="str">
        <f>IFERROR(_xlfn.XLOOKUP(tblLog[[#This Row],[Unique ID]], tblMaster[Unique ID], tblMaster[Email_Clean], ""), "")</f>
        <v>samuelj368@gmail.com</v>
      </c>
      <c r="E386" t="str">
        <f>IFERROR(_xlfn.XLOOKUP(tblLog[[#This Row],[Unique ID]], tblMaster[Unique ID], tblMaster[Phone], ""), "")</f>
        <v xml:space="preserve">860) 710-7570 </v>
      </c>
      <c r="F386" t="str">
        <f>IFERROR(_xlfn.XLOOKUP(tblLog[[#This Row],[Unique ID]], tblMaster[Unique ID], tblMaster[Recruiter], ""), "")</f>
        <v xml:space="preserve">Enrique Ortiz </v>
      </c>
      <c r="G386" t="str">
        <f>IFERROR(_xlfn.XLOOKUP(tblLog[[#This Row],[Unique ID]], tblMaster[Unique ID], tblMaster[Recruitment Cycle], ""), "")</f>
        <v xml:space="preserve">New Submission/ Lead </v>
      </c>
      <c r="H386" t="s">
        <v>7455</v>
      </c>
      <c r="I386" t="s">
        <v>7434</v>
      </c>
      <c r="J386" s="3">
        <v>2</v>
      </c>
      <c r="K386" t="s">
        <v>7491</v>
      </c>
      <c r="L386" s="2">
        <v>46065</v>
      </c>
      <c r="M386" t="s">
        <v>7485</v>
      </c>
      <c r="N386" t="s">
        <v>7475</v>
      </c>
      <c r="O386" t="s">
        <v>7984</v>
      </c>
      <c r="P386">
        <f ca="1">IF(tblLog[[#This Row],[Log Date]]="","",TODAY()-tblLog[[#This Row],[Log Date]])</f>
        <v>14</v>
      </c>
      <c r="Q386" t="str">
        <f>IF(tblLog[[#This Row],[Log Date]]="","",IF(TRIM(tblLog[[#This Row],[Cycle Stage]])="Asked to be removed from database","NO","YES"))</f>
        <v>YES</v>
      </c>
      <c r="R3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7" spans="1:18" ht="15" customHeight="1">
      <c r="A387" t="s">
        <v>7985</v>
      </c>
      <c r="B387" t="str">
        <f>IFERROR(_xlfn.XLOOKUP(tblLog[[#This Row],[Unique ID]], tblMaster[Unique ID], tblMaster[First Name], ""), "")</f>
        <v/>
      </c>
      <c r="C387" t="str">
        <f>IFERROR(_xlfn.XLOOKUP(tblLog[[#This Row],[Unique ID]], tblMaster[Unique ID], tblMaster[Last Name], ""), "")</f>
        <v/>
      </c>
      <c r="D387" t="str">
        <f>IFERROR(_xlfn.XLOOKUP(tblLog[[#This Row],[Unique ID]], tblMaster[Unique ID], tblMaster[Email_Clean], ""), "")</f>
        <v/>
      </c>
      <c r="E387" t="str">
        <f>IFERROR(_xlfn.XLOOKUP(tblLog[[#This Row],[Unique ID]], tblMaster[Unique ID], tblMaster[Phone], ""), "")</f>
        <v/>
      </c>
      <c r="F387" t="str">
        <f>IFERROR(_xlfn.XLOOKUP(tblLog[[#This Row],[Unique ID]], tblMaster[Unique ID], tblMaster[Recruiter], ""), "")</f>
        <v/>
      </c>
      <c r="G387" t="str">
        <f>IFERROR(_xlfn.XLOOKUP(tblLog[[#This Row],[Unique ID]], tblMaster[Unique ID], tblMaster[Recruitment Cycle], ""), "")</f>
        <v/>
      </c>
      <c r="H387" t="s">
        <v>7455</v>
      </c>
      <c r="I387" t="s">
        <v>7434</v>
      </c>
      <c r="J387" s="3">
        <v>3</v>
      </c>
      <c r="K387" t="s">
        <v>7472</v>
      </c>
      <c r="L387" s="2">
        <v>46065</v>
      </c>
      <c r="M387" t="s">
        <v>7612</v>
      </c>
      <c r="N387" t="s">
        <v>7475</v>
      </c>
      <c r="P387">
        <f ca="1">IF(tblLog[[#This Row],[Log Date]]="","",TODAY()-tblLog[[#This Row],[Log Date]])</f>
        <v>14</v>
      </c>
      <c r="Q387" t="str">
        <f>IF(tblLog[[#This Row],[Log Date]]="","",IF(TRIM(tblLog[[#This Row],[Cycle Stage]])="Asked to be removed from database","NO","YES"))</f>
        <v>YES</v>
      </c>
      <c r="R3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8" spans="1:18" ht="15" customHeight="1">
      <c r="A388" t="s">
        <v>7986</v>
      </c>
      <c r="B388" t="str">
        <f>IFERROR(_xlfn.XLOOKUP(tblLog[[#This Row],[Unique ID]], tblMaster[Unique ID], tblMaster[First Name], ""), "")</f>
        <v xml:space="preserve">James  </v>
      </c>
      <c r="C388" t="str">
        <f>IFERROR(_xlfn.XLOOKUP(tblLog[[#This Row],[Unique ID]], tblMaster[Unique ID], tblMaster[Last Name], ""), "")</f>
        <v xml:space="preserve">Valentin </v>
      </c>
      <c r="D388" t="str">
        <f>IFERROR(_xlfn.XLOOKUP(tblLog[[#This Row],[Unique ID]], tblMaster[Unique ID], tblMaster[Email_Clean], ""), "")</f>
        <v>xjamesvalentinx@hotmail.com</v>
      </c>
      <c r="E388" t="str">
        <f>IFERROR(_xlfn.XLOOKUP(tblLog[[#This Row],[Unique ID]], tblMaster[Unique ID], tblMaster[Phone], ""), "")</f>
        <v xml:space="preserve">(978) 891-0458 </v>
      </c>
      <c r="F388" t="str">
        <f>IFERROR(_xlfn.XLOOKUP(tblLog[[#This Row],[Unique ID]], tblMaster[Unique ID], tblMaster[Recruiter], ""), "")</f>
        <v xml:space="preserve">Enrique Ortiz </v>
      </c>
      <c r="G388" t="str">
        <f>IFERROR(_xlfn.XLOOKUP(tblLog[[#This Row],[Unique ID]], tblMaster[Unique ID], tblMaster[Recruitment Cycle], ""), "")</f>
        <v xml:space="preserve">New Submission/ Lead </v>
      </c>
      <c r="H388" t="s">
        <v>7455</v>
      </c>
      <c r="I388" t="s">
        <v>7494</v>
      </c>
      <c r="J388" s="3">
        <v>3</v>
      </c>
      <c r="K388" t="s">
        <v>7491</v>
      </c>
      <c r="L388" s="2">
        <v>46065</v>
      </c>
      <c r="M388" t="s">
        <v>7508</v>
      </c>
      <c r="N388" t="s">
        <v>7475</v>
      </c>
      <c r="P388">
        <f ca="1">IF(tblLog[[#This Row],[Log Date]]="","",TODAY()-tblLog[[#This Row],[Log Date]])</f>
        <v>14</v>
      </c>
      <c r="Q388" t="str">
        <f>IF(tblLog[[#This Row],[Log Date]]="","",IF(TRIM(tblLog[[#This Row],[Cycle Stage]])="Asked to be removed from database","NO","YES"))</f>
        <v>YES</v>
      </c>
      <c r="R3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89" spans="1:18" ht="15" customHeight="1">
      <c r="A389" t="s">
        <v>7987</v>
      </c>
      <c r="B389" t="str">
        <f>IFERROR(_xlfn.XLOOKUP(tblLog[[#This Row],[Unique ID]], tblMaster[Unique ID], tblMaster[First Name], ""), "")</f>
        <v>Brittney</v>
      </c>
      <c r="C389" t="str">
        <f>IFERROR(_xlfn.XLOOKUP(tblLog[[#This Row],[Unique ID]], tblMaster[Unique ID], tblMaster[Last Name], ""), "")</f>
        <v xml:space="preserve"> Smith</v>
      </c>
      <c r="D389" t="str">
        <f>IFERROR(_xlfn.XLOOKUP(tblLog[[#This Row],[Unique ID]], tblMaster[Unique ID], tblMaster[Email_Clean], ""), "")</f>
        <v>brittneysmith1093@icloud.com</v>
      </c>
      <c r="E389" t="str">
        <f>IFERROR(_xlfn.XLOOKUP(tblLog[[#This Row],[Unique ID]], tblMaster[Unique ID], tblMaster[Phone], ""), "")</f>
        <v>617-870-8426</v>
      </c>
      <c r="F389" t="str">
        <f>IFERROR(_xlfn.XLOOKUP(tblLog[[#This Row],[Unique ID]], tblMaster[Unique ID], tblMaster[Recruiter], ""), "")</f>
        <v xml:space="preserve">Tom Clark </v>
      </c>
      <c r="G389" t="str">
        <f>IFERROR(_xlfn.XLOOKUP(tblLog[[#This Row],[Unique ID]], tblMaster[Unique ID], tblMaster[Recruitment Cycle], ""), "")</f>
        <v xml:space="preserve">New Submission/ Lead </v>
      </c>
      <c r="H389" t="s">
        <v>7463</v>
      </c>
      <c r="I389" t="s">
        <v>7494</v>
      </c>
      <c r="J389" s="3">
        <v>3</v>
      </c>
      <c r="K389" t="s">
        <v>7465</v>
      </c>
      <c r="L389" s="2">
        <v>46066</v>
      </c>
      <c r="M389" t="s">
        <v>7452</v>
      </c>
      <c r="N389" t="s">
        <v>7475</v>
      </c>
      <c r="P389">
        <f ca="1">IF(tblLog[[#This Row],[Log Date]]="","",TODAY()-tblLog[[#This Row],[Log Date]])</f>
        <v>13</v>
      </c>
      <c r="Q389" t="str">
        <f>IF(tblLog[[#This Row],[Log Date]]="","",IF(TRIM(tblLog[[#This Row],[Cycle Stage]])="Asked to be removed from database","NO","YES"))</f>
        <v>YES</v>
      </c>
      <c r="R3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0" spans="1:18" ht="15" customHeight="1">
      <c r="A390" t="s">
        <v>7988</v>
      </c>
      <c r="B390" t="str">
        <f>IFERROR(_xlfn.XLOOKUP(tblLog[[#This Row],[Unique ID]], tblMaster[Unique ID], tblMaster[First Name], ""), "")</f>
        <v xml:space="preserve">Gilmore </v>
      </c>
      <c r="C390" t="str">
        <f>IFERROR(_xlfn.XLOOKUP(tblLog[[#This Row],[Unique ID]], tblMaster[Unique ID], tblMaster[Last Name], ""), "")</f>
        <v>Oben</v>
      </c>
      <c r="D390" t="str">
        <f>IFERROR(_xlfn.XLOOKUP(tblLog[[#This Row],[Unique ID]], tblMaster[Unique ID], tblMaster[Email_Clean], ""), "")</f>
        <v>gilmoreoben@yahoo.com</v>
      </c>
      <c r="E390" t="str">
        <f>IFERROR(_xlfn.XLOOKUP(tblLog[[#This Row],[Unique ID]], tblMaster[Unique ID], tblMaster[Phone], ""), "")</f>
        <v>505-999-6752</v>
      </c>
      <c r="F390" t="str">
        <f>IFERROR(_xlfn.XLOOKUP(tblLog[[#This Row],[Unique ID]], tblMaster[Unique ID], tblMaster[Recruiter], ""), "")</f>
        <v>Zenon Moses</v>
      </c>
      <c r="G390" t="str">
        <f>IFERROR(_xlfn.XLOOKUP(tblLog[[#This Row],[Unique ID]], tblMaster[Unique ID], tblMaster[Recruitment Cycle], ""), "")</f>
        <v xml:space="preserve">New Submission/ Lead </v>
      </c>
      <c r="H390" t="s">
        <v>7455</v>
      </c>
      <c r="I390" t="s">
        <v>7434</v>
      </c>
      <c r="J390" s="3">
        <v>2</v>
      </c>
      <c r="K390" t="s">
        <v>7435</v>
      </c>
      <c r="L390" s="2">
        <v>46065</v>
      </c>
      <c r="M390" t="s">
        <v>7452</v>
      </c>
      <c r="N390" t="s">
        <v>7475</v>
      </c>
      <c r="O390" t="s">
        <v>7989</v>
      </c>
      <c r="P390">
        <f ca="1">IF(tblLog[[#This Row],[Log Date]]="","",TODAY()-tblLog[[#This Row],[Log Date]])</f>
        <v>14</v>
      </c>
      <c r="Q390" t="str">
        <f>IF(tblLog[[#This Row],[Log Date]]="","",IF(TRIM(tblLog[[#This Row],[Cycle Stage]])="Asked to be removed from database","NO","YES"))</f>
        <v>YES</v>
      </c>
      <c r="R3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1" spans="1:18" ht="15" customHeight="1">
      <c r="A391" t="s">
        <v>7990</v>
      </c>
      <c r="B391" t="str">
        <f>IFERROR(_xlfn.XLOOKUP(tblLog[[#This Row],[Unique ID]], tblMaster[Unique ID], tblMaster[First Name], ""), "")</f>
        <v xml:space="preserve">John </v>
      </c>
      <c r="C391" t="str">
        <f>IFERROR(_xlfn.XLOOKUP(tblLog[[#This Row],[Unique ID]], tblMaster[Unique ID], tblMaster[Last Name], ""), "")</f>
        <v xml:space="preserve">Rocha </v>
      </c>
      <c r="D391" t="str">
        <f>IFERROR(_xlfn.XLOOKUP(tblLog[[#This Row],[Unique ID]], tblMaster[Unique ID], tblMaster[Email_Clean], ""), "")</f>
        <v>johnrocharicardo@gmail.com</v>
      </c>
      <c r="E391" t="str">
        <f>IFERROR(_xlfn.XLOOKUP(tblLog[[#This Row],[Unique ID]], tblMaster[Unique ID], tblMaster[Phone], ""), "")</f>
        <v xml:space="preserve">978) 333-3972 </v>
      </c>
      <c r="F391" t="str">
        <f>IFERROR(_xlfn.XLOOKUP(tblLog[[#This Row],[Unique ID]], tblMaster[Unique ID], tblMaster[Recruiter], ""), "")</f>
        <v xml:space="preserve">Austin Campos </v>
      </c>
      <c r="G391" t="str">
        <f>IFERROR(_xlfn.XLOOKUP(tblLog[[#This Row],[Unique ID]], tblMaster[Unique ID], tblMaster[Recruitment Cycle], ""), "")</f>
        <v xml:space="preserve">New Submission/ Lead </v>
      </c>
      <c r="H391" t="s">
        <v>7496</v>
      </c>
      <c r="I391" t="s">
        <v>4</v>
      </c>
      <c r="J391" s="3">
        <v>2</v>
      </c>
      <c r="K391" t="s">
        <v>7494</v>
      </c>
      <c r="L391" s="2">
        <v>46073</v>
      </c>
      <c r="N391" t="s">
        <v>7497</v>
      </c>
      <c r="P391">
        <f ca="1">IF(tblLog[[#This Row],[Log Date]]="","",TODAY()-tblLog[[#This Row],[Log Date]])</f>
        <v>6</v>
      </c>
      <c r="Q391" t="str">
        <f>IF(tblLog[[#This Row],[Log Date]]="","",IF(TRIM(tblLog[[#This Row],[Cycle Stage]])="Asked to be removed from database","NO","YES"))</f>
        <v>YES</v>
      </c>
      <c r="R3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2" spans="1:18" ht="15" customHeight="1">
      <c r="A392" t="s">
        <v>7991</v>
      </c>
      <c r="B392" t="str">
        <f>IFERROR(_xlfn.XLOOKUP(tblLog[[#This Row],[Unique ID]], tblMaster[Unique ID], tblMaster[First Name], ""), "")</f>
        <v xml:space="preserve">Lorraine </v>
      </c>
      <c r="C392" t="str">
        <f>IFERROR(_xlfn.XLOOKUP(tblLog[[#This Row],[Unique ID]], tblMaster[Unique ID], tblMaster[Last Name], ""), "")</f>
        <v xml:space="preserve">Joyce Santos </v>
      </c>
      <c r="D392" t="str">
        <f>IFERROR(_xlfn.XLOOKUP(tblLog[[#This Row],[Unique ID]], tblMaster[Unique ID], tblMaster[Email_Clean], ""), "")</f>
        <v>santos.lorraine@yahoo.com</v>
      </c>
      <c r="E392" t="str">
        <f>IFERROR(_xlfn.XLOOKUP(tblLog[[#This Row],[Unique ID]], tblMaster[Unique ID], tblMaster[Phone], ""), "")</f>
        <v>623 204 4530</v>
      </c>
      <c r="F392" t="str">
        <f>IFERROR(_xlfn.XLOOKUP(tblLog[[#This Row],[Unique ID]], tblMaster[Unique ID], tblMaster[Recruiter], ""), "")</f>
        <v>Zenon Moses</v>
      </c>
      <c r="G392" t="str">
        <f>IFERROR(_xlfn.XLOOKUP(tblLog[[#This Row],[Unique ID]], tblMaster[Unique ID], tblMaster[Recruitment Cycle], ""), "")</f>
        <v xml:space="preserve">New Submission/ Lead </v>
      </c>
      <c r="H392" t="s">
        <v>7455</v>
      </c>
      <c r="I392" t="s">
        <v>4</v>
      </c>
      <c r="J392" s="3">
        <v>2</v>
      </c>
      <c r="K392" t="s">
        <v>7435</v>
      </c>
      <c r="L392" s="2">
        <v>46065</v>
      </c>
      <c r="M392" t="s">
        <v>7452</v>
      </c>
      <c r="N392" t="s">
        <v>7500</v>
      </c>
      <c r="P392">
        <f ca="1">IF(tblLog[[#This Row],[Log Date]]="","",TODAY()-tblLog[[#This Row],[Log Date]])</f>
        <v>14</v>
      </c>
      <c r="Q392" t="str">
        <f>IF(tblLog[[#This Row],[Log Date]]="","",IF(TRIM(tblLog[[#This Row],[Cycle Stage]])="Asked to be removed from database","NO","YES"))</f>
        <v>YES</v>
      </c>
      <c r="R3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3" spans="1:18" ht="15" customHeight="1">
      <c r="A393" t="s">
        <v>7992</v>
      </c>
      <c r="B393" t="str">
        <f>IFERROR(_xlfn.XLOOKUP(tblLog[[#This Row],[Unique ID]], tblMaster[Unique ID], tblMaster[First Name], ""), "")</f>
        <v>Byishimo</v>
      </c>
      <c r="C393" t="str">
        <f>IFERROR(_xlfn.XLOOKUP(tblLog[[#This Row],[Unique ID]], tblMaster[Unique ID], tblMaster[Last Name], ""), "")</f>
        <v>Sebahizi</v>
      </c>
      <c r="D393" t="str">
        <f>IFERROR(_xlfn.XLOOKUP(tblLog[[#This Row],[Unique ID]], tblMaster[Unique ID], tblMaster[Email_Clean], ""), "")</f>
        <v>rivasbismarck45@gmail.com</v>
      </c>
      <c r="E393" s="36" t="str">
        <f>IFERROR(_xlfn.XLOOKUP(tblLog[[#This Row],[Unique ID]], tblMaster[Unique ID], tblMaster[Phone], ""), "")</f>
        <v>(463) 297-9317</v>
      </c>
      <c r="F393" t="str">
        <f>IFERROR(_xlfn.XLOOKUP(tblLog[[#This Row],[Unique ID]], tblMaster[Unique ID], tblMaster[Recruiter], ""), "")</f>
        <v xml:space="preserve">Christopher Servello </v>
      </c>
      <c r="G393" t="str">
        <f>IFERROR(_xlfn.XLOOKUP(tblLog[[#This Row],[Unique ID]], tblMaster[Unique ID], tblMaster[Recruitment Cycle], ""), "")</f>
        <v xml:space="preserve">New Submission/ Lead </v>
      </c>
      <c r="H393" t="s">
        <v>7455</v>
      </c>
      <c r="I393" t="s">
        <v>4</v>
      </c>
      <c r="J393" s="3">
        <v>2</v>
      </c>
      <c r="K393" t="s">
        <v>7491</v>
      </c>
      <c r="L393" s="2">
        <v>46065</v>
      </c>
      <c r="M393" t="s">
        <v>7452</v>
      </c>
      <c r="N393" t="s">
        <v>7497</v>
      </c>
      <c r="O393" t="s">
        <v>7723</v>
      </c>
      <c r="P393">
        <f ca="1">IF(tblLog[[#This Row],[Log Date]]="","",TODAY()-tblLog[[#This Row],[Log Date]])</f>
        <v>14</v>
      </c>
      <c r="Q393" t="str">
        <f>IF(tblLog[[#This Row],[Log Date]]="","",IF(TRIM(tblLog[[#This Row],[Cycle Stage]])="Asked to be removed from database","NO","YES"))</f>
        <v>YES</v>
      </c>
      <c r="R3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4" spans="1:18" ht="15" customHeight="1">
      <c r="A394" t="s">
        <v>7993</v>
      </c>
      <c r="B394" t="str">
        <f>IFERROR(_xlfn.XLOOKUP(tblLog[[#This Row],[Unique ID]], tblMaster[Unique ID], tblMaster[First Name], ""), "")</f>
        <v>Julian</v>
      </c>
      <c r="C394" t="str">
        <f>IFERROR(_xlfn.XLOOKUP(tblLog[[#This Row],[Unique ID]], tblMaster[Unique ID], tblMaster[Last Name], ""), "")</f>
        <v>Lopez</v>
      </c>
      <c r="D394" t="str">
        <f>IFERROR(_xlfn.XLOOKUP(tblLog[[#This Row],[Unique ID]], tblMaster[Unique ID], tblMaster[Email_Clean], ""), "")</f>
        <v>letslopezjulian@proton.me</v>
      </c>
      <c r="E394" s="36" t="str">
        <f>IFERROR(_xlfn.XLOOKUP(tblLog[[#This Row],[Unique ID]], tblMaster[Unique ID], tblMaster[Phone], ""), "")</f>
        <v>(219) 245-8205</v>
      </c>
      <c r="F394" t="str">
        <f>IFERROR(_xlfn.XLOOKUP(tblLog[[#This Row],[Unique ID]], tblMaster[Unique ID], tblMaster[Recruiter], ""), "")</f>
        <v xml:space="preserve">Christopher Servello </v>
      </c>
      <c r="G394" t="str">
        <f>IFERROR(_xlfn.XLOOKUP(tblLog[[#This Row],[Unique ID]], tblMaster[Unique ID], tblMaster[Recruitment Cycle], ""), "")</f>
        <v xml:space="preserve">New Submission/ Lead </v>
      </c>
      <c r="H394" t="s">
        <v>7455</v>
      </c>
      <c r="I394" t="s">
        <v>4</v>
      </c>
      <c r="J394" s="3">
        <v>2</v>
      </c>
      <c r="K394" t="s">
        <v>7491</v>
      </c>
      <c r="L394" s="2">
        <v>46065</v>
      </c>
      <c r="M394" t="s">
        <v>7452</v>
      </c>
      <c r="N394" t="s">
        <v>7497</v>
      </c>
      <c r="O394" t="s">
        <v>7723</v>
      </c>
      <c r="P394">
        <f ca="1">IF(tblLog[[#This Row],[Log Date]]="","",TODAY()-tblLog[[#This Row],[Log Date]])</f>
        <v>14</v>
      </c>
      <c r="Q394" t="str">
        <f>IF(tblLog[[#This Row],[Log Date]]="","",IF(TRIM(tblLog[[#This Row],[Cycle Stage]])="Asked to be removed from database","NO","YES"))</f>
        <v>YES</v>
      </c>
      <c r="R3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5" spans="1:18" ht="15" customHeight="1">
      <c r="A395" t="s">
        <v>7994</v>
      </c>
      <c r="B395" t="str">
        <f>IFERROR(_xlfn.XLOOKUP(tblLog[[#This Row],[Unique ID]], tblMaster[Unique ID], tblMaster[First Name], ""), "")</f>
        <v>Alexandre</v>
      </c>
      <c r="C395" t="str">
        <f>IFERROR(_xlfn.XLOOKUP(tblLog[[#This Row],[Unique ID]], tblMaster[Unique ID], tblMaster[Last Name], ""), "")</f>
        <v xml:space="preserve">Rodigues </v>
      </c>
      <c r="D395" t="str">
        <f>IFERROR(_xlfn.XLOOKUP(tblLog[[#This Row],[Unique ID]], tblMaster[Unique ID], tblMaster[Email_Clean], ""), "")</f>
        <v>alexandremarcenaa@gmail.com</v>
      </c>
      <c r="E395" t="str">
        <f>IFERROR(_xlfn.XLOOKUP(tblLog[[#This Row],[Unique ID]], tblMaster[Unique ID], tblMaster[Phone], ""), "")</f>
        <v xml:space="preserve">(978) 505-3801 </v>
      </c>
      <c r="F395" t="str">
        <f>IFERROR(_xlfn.XLOOKUP(tblLog[[#This Row],[Unique ID]], tblMaster[Unique ID], tblMaster[Recruiter], ""), "")</f>
        <v>Zenon Moses</v>
      </c>
      <c r="G395" t="str">
        <f>IFERROR(_xlfn.XLOOKUP(tblLog[[#This Row],[Unique ID]], tblMaster[Unique ID], tblMaster[Recruitment Cycle], ""), "")</f>
        <v xml:space="preserve">Re-Engagment </v>
      </c>
      <c r="H395" t="s">
        <v>7455</v>
      </c>
      <c r="I395" t="s">
        <v>7530</v>
      </c>
      <c r="J395" s="3">
        <v>2</v>
      </c>
      <c r="K395" t="s">
        <v>7435</v>
      </c>
      <c r="L395" s="2">
        <v>46065</v>
      </c>
      <c r="M395" t="s">
        <v>7508</v>
      </c>
      <c r="N395" t="s">
        <v>7481</v>
      </c>
      <c r="P395">
        <f ca="1">IF(tblLog[[#This Row],[Log Date]]="","",TODAY()-tblLog[[#This Row],[Log Date]])</f>
        <v>14</v>
      </c>
      <c r="Q395" t="str">
        <f>IF(tblLog[[#This Row],[Log Date]]="","",IF(TRIM(tblLog[[#This Row],[Cycle Stage]])="Asked to be removed from database","NO","YES"))</f>
        <v>YES</v>
      </c>
      <c r="R3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6" spans="1:18" ht="15" customHeight="1">
      <c r="A396" t="s">
        <v>7995</v>
      </c>
      <c r="B396" t="str">
        <f>IFERROR(_xlfn.XLOOKUP(tblLog[[#This Row],[Unique ID]], tblMaster[Unique ID], tblMaster[First Name], ""), "")</f>
        <v xml:space="preserve">Triston </v>
      </c>
      <c r="C396" t="str">
        <f>IFERROR(_xlfn.XLOOKUP(tblLog[[#This Row],[Unique ID]], tblMaster[Unique ID], tblMaster[Last Name], ""), "")</f>
        <v>Champagine</v>
      </c>
      <c r="D396" t="str">
        <f>IFERROR(_xlfn.XLOOKUP(tblLog[[#This Row],[Unique ID]], tblMaster[Unique ID], tblMaster[Email_Clean], ""), "")</f>
        <v>tristonchampagnie@gmail.com</v>
      </c>
      <c r="E396" t="str">
        <f>IFERROR(_xlfn.XLOOKUP(tblLog[[#This Row],[Unique ID]], tblMaster[Unique ID], tblMaster[Phone], ""), "")</f>
        <v>617-980-9722</v>
      </c>
      <c r="F396" t="str">
        <f>IFERROR(_xlfn.XLOOKUP(tblLog[[#This Row],[Unique ID]], tblMaster[Unique ID], tblMaster[Recruiter], ""), "")</f>
        <v>Zenon Moses</v>
      </c>
      <c r="G396" t="str">
        <f>IFERROR(_xlfn.XLOOKUP(tblLog[[#This Row],[Unique ID]], tblMaster[Unique ID], tblMaster[Recruitment Cycle], ""), "")</f>
        <v xml:space="preserve">Re-Engagment </v>
      </c>
      <c r="H396" t="s">
        <v>7455</v>
      </c>
      <c r="I396" t="s">
        <v>7434</v>
      </c>
      <c r="J396" s="3">
        <v>2</v>
      </c>
      <c r="K396" t="s">
        <v>7435</v>
      </c>
      <c r="L396" s="2">
        <v>46065</v>
      </c>
      <c r="M396" t="s">
        <v>7485</v>
      </c>
      <c r="N396" t="s">
        <v>7487</v>
      </c>
      <c r="O396" t="s">
        <v>7996</v>
      </c>
      <c r="P396">
        <f ca="1">IF(tblLog[[#This Row],[Log Date]]="","",TODAY()-tblLog[[#This Row],[Log Date]])</f>
        <v>14</v>
      </c>
      <c r="Q396" t="str">
        <f>IF(tblLog[[#This Row],[Log Date]]="","",IF(TRIM(tblLog[[#This Row],[Cycle Stage]])="Asked to be removed from database","NO","YES"))</f>
        <v>YES</v>
      </c>
      <c r="R3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7" spans="1:18" ht="15" customHeight="1">
      <c r="A397" t="s">
        <v>7997</v>
      </c>
      <c r="B397" t="str">
        <f>IFERROR(_xlfn.XLOOKUP(tblLog[[#This Row],[Unique ID]], tblMaster[Unique ID], tblMaster[First Name], ""), "")</f>
        <v>Nicole</v>
      </c>
      <c r="C397" t="str">
        <f>IFERROR(_xlfn.XLOOKUP(tblLog[[#This Row],[Unique ID]], tblMaster[Unique ID], tblMaster[Last Name], ""), "")</f>
        <v>Cummings</v>
      </c>
      <c r="D397" t="str">
        <f>IFERROR(_xlfn.XLOOKUP(tblLog[[#This Row],[Unique ID]], tblMaster[Unique ID], tblMaster[Email_Clean], ""), "")</f>
        <v>cummingsnicole9718@gmail.com</v>
      </c>
      <c r="E397" t="str">
        <f>IFERROR(_xlfn.XLOOKUP(tblLog[[#This Row],[Unique ID]], tblMaster[Unique ID], tblMaster[Phone], ""), "")</f>
        <v>347 935 2586</v>
      </c>
      <c r="F397" t="str">
        <f>IFERROR(_xlfn.XLOOKUP(tblLog[[#This Row],[Unique ID]], tblMaster[Unique ID], tblMaster[Recruiter], ""), "")</f>
        <v>Zenon Moses</v>
      </c>
      <c r="G397" t="str">
        <f>IFERROR(_xlfn.XLOOKUP(tblLog[[#This Row],[Unique ID]], tblMaster[Unique ID], tblMaster[Recruitment Cycle], ""), "")</f>
        <v xml:space="preserve">Re-Engagment/Post Civil Service Exam </v>
      </c>
      <c r="H397" t="s">
        <v>7455</v>
      </c>
      <c r="I397" t="s">
        <v>7434</v>
      </c>
      <c r="J397" s="3">
        <v>2</v>
      </c>
      <c r="K397" t="s">
        <v>7435</v>
      </c>
      <c r="L397" s="2">
        <v>46065</v>
      </c>
      <c r="M397" t="s">
        <v>7711</v>
      </c>
      <c r="N397" t="s">
        <v>7487</v>
      </c>
      <c r="O397" t="s">
        <v>7998</v>
      </c>
      <c r="P397">
        <f ca="1">IF(tblLog[[#This Row],[Log Date]]="","",TODAY()-tblLog[[#This Row],[Log Date]])</f>
        <v>14</v>
      </c>
      <c r="Q397" t="str">
        <f>IF(tblLog[[#This Row],[Log Date]]="","",IF(TRIM(tblLog[[#This Row],[Cycle Stage]])="Asked to be removed from database","NO","YES"))</f>
        <v>YES</v>
      </c>
      <c r="R3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8" spans="1:18" ht="15" customHeight="1">
      <c r="A398" t="s">
        <v>7999</v>
      </c>
      <c r="B398" t="str">
        <f>IFERROR(_xlfn.XLOOKUP(tblLog[[#This Row],[Unique ID]], tblMaster[Unique ID], tblMaster[First Name], ""), "")</f>
        <v xml:space="preserve">William </v>
      </c>
      <c r="C398" t="str">
        <f>IFERROR(_xlfn.XLOOKUP(tblLog[[#This Row],[Unique ID]], tblMaster[Unique ID], tblMaster[Last Name], ""), "")</f>
        <v xml:space="preserve">Pomeroy </v>
      </c>
      <c r="D398" t="str">
        <f>IFERROR(_xlfn.XLOOKUP(tblLog[[#This Row],[Unique ID]], tblMaster[Unique ID], tblMaster[Email_Clean], ""), "")</f>
        <v>bill.pomeroy@gmail.com</v>
      </c>
      <c r="E398" t="str">
        <f>IFERROR(_xlfn.XLOOKUP(tblLog[[#This Row],[Unique ID]], tblMaster[Unique ID], tblMaster[Phone], ""), "")</f>
        <v xml:space="preserve">617)212-0632 </v>
      </c>
      <c r="F398" t="str">
        <f>IFERROR(_xlfn.XLOOKUP(tblLog[[#This Row],[Unique ID]], tblMaster[Unique ID], tblMaster[Recruiter], ""), "")</f>
        <v>Zenon Moses</v>
      </c>
      <c r="G398" t="str">
        <f>IFERROR(_xlfn.XLOOKUP(tblLog[[#This Row],[Unique ID]], tblMaster[Unique ID], tblMaster[Recruitment Cycle], ""), "")</f>
        <v xml:space="preserve">Re-Engagment </v>
      </c>
      <c r="H398" t="s">
        <v>7455</v>
      </c>
      <c r="I398" t="s">
        <v>7494</v>
      </c>
      <c r="J398" s="3"/>
      <c r="K398" t="s">
        <v>7491</v>
      </c>
      <c r="L398" s="2">
        <v>46065</v>
      </c>
      <c r="M398" t="s">
        <v>7508</v>
      </c>
      <c r="N398" t="s">
        <v>7487</v>
      </c>
      <c r="P398">
        <f ca="1">IF(tblLog[[#This Row],[Log Date]]="","",TODAY()-tblLog[[#This Row],[Log Date]])</f>
        <v>14</v>
      </c>
      <c r="Q398" t="str">
        <f>IF(tblLog[[#This Row],[Log Date]]="","",IF(TRIM(tblLog[[#This Row],[Cycle Stage]])="Asked to be removed from database","NO","YES"))</f>
        <v>YES</v>
      </c>
      <c r="R3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399" spans="1:18" ht="15" customHeight="1">
      <c r="A399" t="s">
        <v>8000</v>
      </c>
      <c r="B399" t="str">
        <f>IFERROR(_xlfn.XLOOKUP(tblLog[[#This Row],[Unique ID]], tblMaster[Unique ID], tblMaster[First Name], ""), "")</f>
        <v xml:space="preserve">Harold </v>
      </c>
      <c r="C399" t="str">
        <f>IFERROR(_xlfn.XLOOKUP(tblLog[[#This Row],[Unique ID]], tblMaster[Unique ID], tblMaster[Last Name], ""), "")</f>
        <v xml:space="preserve"> St Jacques </v>
      </c>
      <c r="D399" t="str">
        <f>IFERROR(_xlfn.XLOOKUP(tblLog[[#This Row],[Unique ID]], tblMaster[Unique ID], tblMaster[Email_Clean], ""), "")</f>
        <v>saintjacquesharold@gmail.com</v>
      </c>
      <c r="E399" t="str">
        <f>IFERROR(_xlfn.XLOOKUP(tblLog[[#This Row],[Unique ID]], tblMaster[Unique ID], tblMaster[Phone], ""), "")</f>
        <v xml:space="preserve">(407) 640-2451 </v>
      </c>
      <c r="F399" t="str">
        <f>IFERROR(_xlfn.XLOOKUP(tblLog[[#This Row],[Unique ID]], tblMaster[Unique ID], tblMaster[Recruiter], ""), "")</f>
        <v>Zenon Moses</v>
      </c>
      <c r="G399" t="str">
        <f>IFERROR(_xlfn.XLOOKUP(tblLog[[#This Row],[Unique ID]], tblMaster[Unique ID], tblMaster[Recruitment Cycle], ""), "")</f>
        <v xml:space="preserve">Re-Engagment </v>
      </c>
      <c r="H399" t="s">
        <v>7445</v>
      </c>
      <c r="I399" t="s">
        <v>7434</v>
      </c>
      <c r="J399" s="3">
        <v>1</v>
      </c>
      <c r="K399" t="s">
        <v>7451</v>
      </c>
      <c r="L399" s="2">
        <v>46065</v>
      </c>
      <c r="M399" t="s">
        <v>7452</v>
      </c>
      <c r="N399" t="s">
        <v>7487</v>
      </c>
      <c r="O399" t="s">
        <v>8001</v>
      </c>
      <c r="P399">
        <f ca="1">IF(tblLog[[#This Row],[Log Date]]="","",TODAY()-tblLog[[#This Row],[Log Date]])</f>
        <v>14</v>
      </c>
      <c r="Q399" t="str">
        <f>IF(tblLog[[#This Row],[Log Date]]="","",IF(TRIM(tblLog[[#This Row],[Cycle Stage]])="Asked to be removed from database","NO","YES"))</f>
        <v>YES</v>
      </c>
      <c r="R3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0" spans="1:18" ht="15" customHeight="1">
      <c r="A400" t="s">
        <v>8002</v>
      </c>
      <c r="B400" t="str">
        <f>IFERROR(_xlfn.XLOOKUP(tblLog[[#This Row],[Unique ID]], tblMaster[Unique ID], tblMaster[First Name], ""), "")</f>
        <v>Corey</v>
      </c>
      <c r="C400" t="str">
        <f>IFERROR(_xlfn.XLOOKUP(tblLog[[#This Row],[Unique ID]], tblMaster[Unique ID], tblMaster[Last Name], ""), "")</f>
        <v xml:space="preserve"> Moniz </v>
      </c>
      <c r="D400" t="str">
        <f>IFERROR(_xlfn.XLOOKUP(tblLog[[#This Row],[Unique ID]], tblMaster[Unique ID], tblMaster[Email_Clean], ""), "")</f>
        <v>cmoniz884@gmail.com</v>
      </c>
      <c r="E400" t="str">
        <f>IFERROR(_xlfn.XLOOKUP(tblLog[[#This Row],[Unique ID]], tblMaster[Unique ID], tblMaster[Phone], ""), "")</f>
        <v xml:space="preserve">401 699 9040 </v>
      </c>
      <c r="F400" t="str">
        <f>IFERROR(_xlfn.XLOOKUP(tblLog[[#This Row],[Unique ID]], tblMaster[Unique ID], tblMaster[Recruiter], ""), "")</f>
        <v>Zenon Moses</v>
      </c>
      <c r="G400" t="str">
        <f>IFERROR(_xlfn.XLOOKUP(tblLog[[#This Row],[Unique ID]], tblMaster[Unique ID], tblMaster[Recruitment Cycle], ""), "")</f>
        <v xml:space="preserve">Re-Engagment </v>
      </c>
      <c r="H400" t="s">
        <v>7455</v>
      </c>
      <c r="I400" t="s">
        <v>7494</v>
      </c>
      <c r="J400" s="3">
        <v>1</v>
      </c>
      <c r="K400" t="s">
        <v>7491</v>
      </c>
      <c r="L400" s="2">
        <v>46065</v>
      </c>
      <c r="M400" t="s">
        <v>7452</v>
      </c>
      <c r="N400" t="s">
        <v>7487</v>
      </c>
      <c r="P400">
        <f ca="1">IF(tblLog[[#This Row],[Log Date]]="","",TODAY()-tblLog[[#This Row],[Log Date]])</f>
        <v>14</v>
      </c>
      <c r="Q400" t="str">
        <f>IF(tblLog[[#This Row],[Log Date]]="","",IF(TRIM(tblLog[[#This Row],[Cycle Stage]])="Asked to be removed from database","NO","YES"))</f>
        <v>YES</v>
      </c>
      <c r="R4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1" spans="1:18" ht="15" customHeight="1">
      <c r="A401" t="s">
        <v>8003</v>
      </c>
      <c r="B401" t="str">
        <f>IFERROR(_xlfn.XLOOKUP(tblLog[[#This Row],[Unique ID]], tblMaster[Unique ID], tblMaster[First Name], ""), "")</f>
        <v xml:space="preserve">Nathan </v>
      </c>
      <c r="C401" t="str">
        <f>IFERROR(_xlfn.XLOOKUP(tblLog[[#This Row],[Unique ID]], tblMaster[Unique ID], tblMaster[Last Name], ""), "")</f>
        <v xml:space="preserve">Barrows </v>
      </c>
      <c r="D401" t="str">
        <f>IFERROR(_xlfn.XLOOKUP(tblLog[[#This Row],[Unique ID]], tblMaster[Unique ID], tblMaster[Email_Clean], ""), "")</f>
        <v>brows14@gmail.com</v>
      </c>
      <c r="E401" s="36" t="str">
        <f>IFERROR(_xlfn.XLOOKUP(tblLog[[#This Row],[Unique ID]], tblMaster[Unique ID], tblMaster[Phone], ""), "")</f>
        <v>774 240 4887</v>
      </c>
      <c r="F401" t="str">
        <f>IFERROR(_xlfn.XLOOKUP(tblLog[[#This Row],[Unique ID]], tblMaster[Unique ID], tblMaster[Recruiter], ""), "")</f>
        <v xml:space="preserve">Christopher Servello </v>
      </c>
      <c r="G401" t="str">
        <f>IFERROR(_xlfn.XLOOKUP(tblLog[[#This Row],[Unique ID]], tblMaster[Unique ID], tblMaster[Recruitment Cycle], ""), "")</f>
        <v xml:space="preserve">Re-Engagment </v>
      </c>
      <c r="H401" t="s">
        <v>7455</v>
      </c>
      <c r="I401" t="s">
        <v>7530</v>
      </c>
      <c r="J401" s="3">
        <v>2</v>
      </c>
      <c r="K401" t="s">
        <v>7435</v>
      </c>
      <c r="L401" s="2">
        <v>46065</v>
      </c>
      <c r="M401" t="s">
        <v>7452</v>
      </c>
      <c r="N401" t="s">
        <v>7500</v>
      </c>
      <c r="O401" t="s">
        <v>8004</v>
      </c>
      <c r="P401">
        <f ca="1">IF(tblLog[[#This Row],[Log Date]]="","",TODAY()-tblLog[[#This Row],[Log Date]])</f>
        <v>14</v>
      </c>
      <c r="Q401" t="str">
        <f>IF(tblLog[[#This Row],[Log Date]]="","",IF(TRIM(tblLog[[#This Row],[Cycle Stage]])="Asked to be removed from database","NO","YES"))</f>
        <v>YES</v>
      </c>
      <c r="R4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2" spans="1:18" ht="15" customHeight="1">
      <c r="A402" t="s">
        <v>8005</v>
      </c>
      <c r="B402" t="str">
        <f>IFERROR(_xlfn.XLOOKUP(tblLog[[#This Row],[Unique ID]], tblMaster[Unique ID], tblMaster[First Name], ""), "")</f>
        <v xml:space="preserve">Francisco </v>
      </c>
      <c r="C402" t="str">
        <f>IFERROR(_xlfn.XLOOKUP(tblLog[[#This Row],[Unique ID]], tblMaster[Unique ID], tblMaster[Last Name], ""), "")</f>
        <v xml:space="preserve"> Taveras </v>
      </c>
      <c r="D402" t="str">
        <f>IFERROR(_xlfn.XLOOKUP(tblLog[[#This Row],[Unique ID]], tblMaster[Unique ID], tblMaster[Email_Clean], ""), "")</f>
        <v>miguelitotaveras2930@gmail.com</v>
      </c>
      <c r="E402" t="str">
        <f>IFERROR(_xlfn.XLOOKUP(tblLog[[#This Row],[Unique ID]], tblMaster[Unique ID], tblMaster[Phone], ""), "")</f>
        <v>781-600-5602</v>
      </c>
      <c r="F402" t="str">
        <f>IFERROR(_xlfn.XLOOKUP(tblLog[[#This Row],[Unique ID]], tblMaster[Unique ID], tblMaster[Recruiter], ""), "")</f>
        <v xml:space="preserve">Jevon Brown Simpson </v>
      </c>
      <c r="G402" t="str">
        <f>IFERROR(_xlfn.XLOOKUP(tblLog[[#This Row],[Unique ID]], tblMaster[Unique ID], tblMaster[Recruitment Cycle], ""), "")</f>
        <v xml:space="preserve">Re-Engagment/Post Civil Service Exam </v>
      </c>
      <c r="H402" t="s">
        <v>7543</v>
      </c>
      <c r="I402" t="s">
        <v>4</v>
      </c>
      <c r="J402" s="3">
        <v>1</v>
      </c>
      <c r="K402" t="s">
        <v>7451</v>
      </c>
      <c r="L402" s="2">
        <v>46065</v>
      </c>
      <c r="M402" t="s">
        <v>7452</v>
      </c>
      <c r="N402" t="s">
        <v>7487</v>
      </c>
      <c r="O402" t="s">
        <v>8006</v>
      </c>
      <c r="P402">
        <f ca="1">IF(tblLog[[#This Row],[Log Date]]="","",TODAY()-tblLog[[#This Row],[Log Date]])</f>
        <v>14</v>
      </c>
      <c r="Q402" t="str">
        <f>IF(tblLog[[#This Row],[Log Date]]="","",IF(TRIM(tblLog[[#This Row],[Cycle Stage]])="Asked to be removed from database","NO","YES"))</f>
        <v>YES</v>
      </c>
      <c r="R4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3" spans="1:18" ht="15" customHeight="1">
      <c r="A403" t="s">
        <v>8007</v>
      </c>
      <c r="B403" t="str">
        <f>IFERROR(_xlfn.XLOOKUP(tblLog[[#This Row],[Unique ID]], tblMaster[Unique ID], tblMaster[First Name], ""), "")</f>
        <v xml:space="preserve">Antony </v>
      </c>
      <c r="C403" t="str">
        <f>IFERROR(_xlfn.XLOOKUP(tblLog[[#This Row],[Unique ID]], tblMaster[Unique ID], tblMaster[Last Name], ""), "")</f>
        <v xml:space="preserve"> Perez </v>
      </c>
      <c r="D403" t="str">
        <f>IFERROR(_xlfn.XLOOKUP(tblLog[[#This Row],[Unique ID]], tblMaster[Unique ID], tblMaster[Email_Clean], ""), "")</f>
        <v>perez.antonyj@gmail.com</v>
      </c>
      <c r="E403" t="str">
        <f>IFERROR(_xlfn.XLOOKUP(tblLog[[#This Row],[Unique ID]], tblMaster[Unique ID], tblMaster[Phone], ""), "")</f>
        <v xml:space="preserve">774-578-1558 </v>
      </c>
      <c r="F403" t="str">
        <f>IFERROR(_xlfn.XLOOKUP(tblLog[[#This Row],[Unique ID]], tblMaster[Unique ID], tblMaster[Recruiter], ""), "")</f>
        <v xml:space="preserve">Jevon Brown Simpson </v>
      </c>
      <c r="G403" t="str">
        <f>IFERROR(_xlfn.XLOOKUP(tblLog[[#This Row],[Unique ID]], tblMaster[Unique ID], tblMaster[Recruitment Cycle], ""), "")</f>
        <v xml:space="preserve">Re-Engagment/Post Civil Service Exam </v>
      </c>
      <c r="H403" t="s">
        <v>7445</v>
      </c>
      <c r="I403" t="s">
        <v>7434</v>
      </c>
      <c r="J403" s="3">
        <v>4</v>
      </c>
      <c r="K403" t="s">
        <v>7435</v>
      </c>
      <c r="L403" s="2">
        <v>46072</v>
      </c>
      <c r="M403" t="s">
        <v>7452</v>
      </c>
      <c r="N403" t="s">
        <v>7500</v>
      </c>
      <c r="P403">
        <f ca="1">IF(tblLog[[#This Row],[Log Date]]="","",TODAY()-tblLog[[#This Row],[Log Date]])</f>
        <v>7</v>
      </c>
      <c r="Q403" t="str">
        <f>IF(tblLog[[#This Row],[Log Date]]="","",IF(TRIM(tblLog[[#This Row],[Cycle Stage]])="Asked to be removed from database","NO","YES"))</f>
        <v>YES</v>
      </c>
      <c r="R4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4" spans="1:18" ht="15" customHeight="1">
      <c r="A404" t="s">
        <v>8008</v>
      </c>
      <c r="B404" t="str">
        <f>IFERROR(_xlfn.XLOOKUP(tblLog[[#This Row],[Unique ID]], tblMaster[Unique ID], tblMaster[First Name], ""), "")</f>
        <v xml:space="preserve">Travis </v>
      </c>
      <c r="C404" t="str">
        <f>IFERROR(_xlfn.XLOOKUP(tblLog[[#This Row],[Unique ID]], tblMaster[Unique ID], tblMaster[Last Name], ""), "")</f>
        <v>Henshaw</v>
      </c>
      <c r="D404" t="str">
        <f>IFERROR(_xlfn.XLOOKUP(tblLog[[#This Row],[Unique ID]], tblMaster[Unique ID], tblMaster[Email_Clean], ""), "")</f>
        <v>travishenshaw@yahoo.com</v>
      </c>
      <c r="E404" t="str">
        <f>IFERROR(_xlfn.XLOOKUP(tblLog[[#This Row],[Unique ID]], tblMaster[Unique ID], tblMaster[Phone], ""), "")</f>
        <v xml:space="preserve">401-374-0169 </v>
      </c>
      <c r="F404" t="str">
        <f>IFERROR(_xlfn.XLOOKUP(tblLog[[#This Row],[Unique ID]], tblMaster[Unique ID], tblMaster[Recruiter], ""), "")</f>
        <v xml:space="preserve">Jevon Brown Simpson </v>
      </c>
      <c r="G404" t="str">
        <f>IFERROR(_xlfn.XLOOKUP(tblLog[[#This Row],[Unique ID]], tblMaster[Unique ID], tblMaster[Recruitment Cycle], ""), "")</f>
        <v xml:space="preserve">New Submission/ Lead </v>
      </c>
      <c r="H404" t="s">
        <v>7496</v>
      </c>
      <c r="I404" t="s">
        <v>4</v>
      </c>
      <c r="J404" s="3">
        <v>1</v>
      </c>
      <c r="K404" t="s">
        <v>7435</v>
      </c>
      <c r="L404" s="2">
        <v>46065</v>
      </c>
      <c r="M404" t="s">
        <v>7508</v>
      </c>
      <c r="N404" t="s">
        <v>7500</v>
      </c>
      <c r="P404">
        <f ca="1">IF(tblLog[[#This Row],[Log Date]]="","",TODAY()-tblLog[[#This Row],[Log Date]])</f>
        <v>14</v>
      </c>
      <c r="Q404" t="str">
        <f>IF(tblLog[[#This Row],[Log Date]]="","",IF(TRIM(tblLog[[#This Row],[Cycle Stage]])="Asked to be removed from database","NO","YES"))</f>
        <v>YES</v>
      </c>
      <c r="R4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5" spans="1:18" ht="15" customHeight="1">
      <c r="A405" t="s">
        <v>8009</v>
      </c>
      <c r="B405" t="str">
        <f>IFERROR(_xlfn.XLOOKUP(tblLog[[#This Row],[Unique ID]], tblMaster[Unique ID], tblMaster[First Name], ""), "")</f>
        <v/>
      </c>
      <c r="C405" t="str">
        <f>IFERROR(_xlfn.XLOOKUP(tblLog[[#This Row],[Unique ID]], tblMaster[Unique ID], tblMaster[Last Name], ""), "")</f>
        <v/>
      </c>
      <c r="D405" t="str">
        <f>IFERROR(_xlfn.XLOOKUP(tblLog[[#This Row],[Unique ID]], tblMaster[Unique ID], tblMaster[Email_Clean], ""), "")</f>
        <v/>
      </c>
      <c r="E405" t="str">
        <f>IFERROR(_xlfn.XLOOKUP(tblLog[[#This Row],[Unique ID]], tblMaster[Unique ID], tblMaster[Phone], ""), "")</f>
        <v/>
      </c>
      <c r="F405" t="str">
        <f>IFERROR(_xlfn.XLOOKUP(tblLog[[#This Row],[Unique ID]], tblMaster[Unique ID], tblMaster[Recruiter], ""), "")</f>
        <v/>
      </c>
      <c r="G405" t="str">
        <f>IFERROR(_xlfn.XLOOKUP(tblLog[[#This Row],[Unique ID]], tblMaster[Unique ID], tblMaster[Recruitment Cycle], ""), "")</f>
        <v/>
      </c>
      <c r="H405" t="s">
        <v>7455</v>
      </c>
      <c r="I405" t="s">
        <v>4</v>
      </c>
      <c r="J405" s="3">
        <v>2</v>
      </c>
      <c r="K405" t="s">
        <v>7435</v>
      </c>
      <c r="L405" s="2">
        <v>46071</v>
      </c>
      <c r="M405" t="s">
        <v>7452</v>
      </c>
      <c r="N405" t="s">
        <v>7500</v>
      </c>
      <c r="P405">
        <f ca="1">IF(tblLog[[#This Row],[Log Date]]="","",TODAY()-tblLog[[#This Row],[Log Date]])</f>
        <v>8</v>
      </c>
      <c r="Q405" t="str">
        <f>IF(tblLog[[#This Row],[Log Date]]="","",IF(TRIM(tblLog[[#This Row],[Cycle Stage]])="Asked to be removed from database","NO","YES"))</f>
        <v>YES</v>
      </c>
      <c r="R40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6" spans="1:18" ht="15" customHeight="1">
      <c r="A406" t="s">
        <v>8010</v>
      </c>
      <c r="B406" t="str">
        <f>IFERROR(_xlfn.XLOOKUP(tblLog[[#This Row],[Unique ID]], tblMaster[Unique ID], tblMaster[First Name], ""), "")</f>
        <v>Emmanuel</v>
      </c>
      <c r="C406" t="str">
        <f>IFERROR(_xlfn.XLOOKUP(tblLog[[#This Row],[Unique ID]], tblMaster[Unique ID], tblMaster[Last Name], ""), "")</f>
        <v>gelin</v>
      </c>
      <c r="D406" t="str">
        <f>IFERROR(_xlfn.XLOOKUP(tblLog[[#This Row],[Unique ID]], tblMaster[Unique ID], tblMaster[Email_Clean], ""), "")</f>
        <v>emmge90@gmail.com</v>
      </c>
      <c r="E406" t="str">
        <f>IFERROR(_xlfn.XLOOKUP(tblLog[[#This Row],[Unique ID]], tblMaster[Unique ID], tblMaster[Phone], ""), "")</f>
        <v>857-888-7328</v>
      </c>
      <c r="F406" t="str">
        <f>IFERROR(_xlfn.XLOOKUP(tblLog[[#This Row],[Unique ID]], tblMaster[Unique ID], tblMaster[Recruiter], ""), "")</f>
        <v xml:space="preserve">Jevon Brown Simpson </v>
      </c>
      <c r="G406" t="str">
        <f>IFERROR(_xlfn.XLOOKUP(tblLog[[#This Row],[Unique ID]], tblMaster[Unique ID], tblMaster[Recruitment Cycle], ""), "")</f>
        <v xml:space="preserve">Re-Engagment/Post Civil Service Exam </v>
      </c>
      <c r="H406" t="s">
        <v>7496</v>
      </c>
      <c r="I406" t="s">
        <v>4</v>
      </c>
      <c r="J406" s="3">
        <v>3</v>
      </c>
      <c r="K406" t="s">
        <v>7435</v>
      </c>
      <c r="L406" s="2">
        <v>46069</v>
      </c>
      <c r="M406" t="s">
        <v>7452</v>
      </c>
      <c r="N406" t="s">
        <v>7500</v>
      </c>
      <c r="P406">
        <f ca="1">IF(tblLog[[#This Row],[Log Date]]="","",TODAY()-tblLog[[#This Row],[Log Date]])</f>
        <v>10</v>
      </c>
      <c r="Q406" t="str">
        <f>IF(tblLog[[#This Row],[Log Date]]="","",IF(TRIM(tblLog[[#This Row],[Cycle Stage]])="Asked to be removed from database","NO","YES"))</f>
        <v>YES</v>
      </c>
      <c r="R4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7" spans="1:18" ht="15" customHeight="1">
      <c r="A407" t="s">
        <v>8011</v>
      </c>
      <c r="B407" t="str">
        <f>IFERROR(_xlfn.XLOOKUP(tblLog[[#This Row],[Unique ID]], tblMaster[Unique ID], tblMaster[First Name], ""), "")</f>
        <v>Rolanda</v>
      </c>
      <c r="C407" t="str">
        <f>IFERROR(_xlfn.XLOOKUP(tblLog[[#This Row],[Unique ID]], tblMaster[Unique ID], tblMaster[Last Name], ""), "")</f>
        <v>Lima</v>
      </c>
      <c r="D407" t="str">
        <f>IFERROR(_xlfn.XLOOKUP(tblLog[[#This Row],[Unique ID]], tblMaster[Unique ID], tblMaster[Email_Clean], ""), "")</f>
        <v>depinaalves_rolanda@icloud.com</v>
      </c>
      <c r="E407" t="str">
        <f>IFERROR(_xlfn.XLOOKUP(tblLog[[#This Row],[Unique ID]], tblMaster[Unique ID], tblMaster[Phone], ""), "")</f>
        <v>508-840-5245</v>
      </c>
      <c r="F407" t="str">
        <f>IFERROR(_xlfn.XLOOKUP(tblLog[[#This Row],[Unique ID]], tblMaster[Unique ID], tblMaster[Recruiter], ""), "")</f>
        <v xml:space="preserve">Jevon Brown Simpson </v>
      </c>
      <c r="G407" t="str">
        <f>IFERROR(_xlfn.XLOOKUP(tblLog[[#This Row],[Unique ID]], tblMaster[Unique ID], tblMaster[Recruitment Cycle], ""), "")</f>
        <v xml:space="preserve">New Submission/ Lead </v>
      </c>
      <c r="H407" t="s">
        <v>7439</v>
      </c>
      <c r="I407" t="s">
        <v>7530</v>
      </c>
      <c r="J407" s="3">
        <v>3</v>
      </c>
      <c r="K407" t="s">
        <v>7435</v>
      </c>
      <c r="L407" s="2">
        <v>46071</v>
      </c>
      <c r="M407" t="s">
        <v>7452</v>
      </c>
      <c r="N407" t="s">
        <v>7500</v>
      </c>
      <c r="P407">
        <f ca="1">IF(tblLog[[#This Row],[Log Date]]="","",TODAY()-tblLog[[#This Row],[Log Date]])</f>
        <v>8</v>
      </c>
      <c r="Q407" t="str">
        <f>IF(tblLog[[#This Row],[Log Date]]="","",IF(TRIM(tblLog[[#This Row],[Cycle Stage]])="Asked to be removed from database","NO","YES"))</f>
        <v>YES</v>
      </c>
      <c r="R4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8" spans="1:18" ht="15" customHeight="1">
      <c r="A408" t="s">
        <v>8012</v>
      </c>
      <c r="B408" t="str">
        <f>IFERROR(_xlfn.XLOOKUP(tblLog[[#This Row],[Unique ID]], tblMaster[Unique ID], tblMaster[First Name], ""), "")</f>
        <v xml:space="preserve">Daniel </v>
      </c>
      <c r="C408" t="str">
        <f>IFERROR(_xlfn.XLOOKUP(tblLog[[#This Row],[Unique ID]], tblMaster[Unique ID], tblMaster[Last Name], ""), "")</f>
        <v xml:space="preserve">Corcoran </v>
      </c>
      <c r="D408" t="str">
        <f>IFERROR(_xlfn.XLOOKUP(tblLog[[#This Row],[Unique ID]], tblMaster[Unique ID], tblMaster[Email_Clean], ""), "")</f>
        <v>corcorandb@gmail.com</v>
      </c>
      <c r="E408" t="str">
        <f>IFERROR(_xlfn.XLOOKUP(tblLog[[#This Row],[Unique ID]], tblMaster[Unique ID], tblMaster[Phone], ""), "")</f>
        <v xml:space="preserve">(212) 365-8843 </v>
      </c>
      <c r="F408" t="str">
        <f>IFERROR(_xlfn.XLOOKUP(tblLog[[#This Row],[Unique ID]], tblMaster[Unique ID], tblMaster[Recruiter], ""), "")</f>
        <v xml:space="preserve">Jevon Brown Simpson </v>
      </c>
      <c r="G408" t="str">
        <f>IFERROR(_xlfn.XLOOKUP(tblLog[[#This Row],[Unique ID]], tblMaster[Unique ID], tblMaster[Recruitment Cycle], ""), "")</f>
        <v xml:space="preserve">Re-Engagment/Post Civil Service Exam </v>
      </c>
      <c r="H408" t="s">
        <v>7496</v>
      </c>
      <c r="I408" t="s">
        <v>4</v>
      </c>
      <c r="J408" s="3">
        <v>1</v>
      </c>
      <c r="K408" t="s">
        <v>7435</v>
      </c>
      <c r="L408" s="2">
        <v>46065</v>
      </c>
      <c r="P408">
        <f ca="1">IF(tblLog[[#This Row],[Log Date]]="","",TODAY()-tblLog[[#This Row],[Log Date]])</f>
        <v>14</v>
      </c>
      <c r="Q408" t="str">
        <f>IF(tblLog[[#This Row],[Log Date]]="","",IF(TRIM(tblLog[[#This Row],[Cycle Stage]])="Asked to be removed from database","NO","YES"))</f>
        <v>YES</v>
      </c>
      <c r="R4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09" spans="1:18" ht="15" customHeight="1">
      <c r="A409" t="s">
        <v>8013</v>
      </c>
      <c r="B409" t="str">
        <f>IFERROR(_xlfn.XLOOKUP(tblLog[[#This Row],[Unique ID]], tblMaster[Unique ID], tblMaster[First Name], ""), "")</f>
        <v>Kevin</v>
      </c>
      <c r="C409" t="str">
        <f>IFERROR(_xlfn.XLOOKUP(tblLog[[#This Row],[Unique ID]], tblMaster[Unique ID], tblMaster[Last Name], ""), "")</f>
        <v>Castro</v>
      </c>
      <c r="D409" t="str">
        <f>IFERROR(_xlfn.XLOOKUP(tblLog[[#This Row],[Unique ID]], tblMaster[Unique ID], tblMaster[Email_Clean], ""), "")</f>
        <v>michalcastro2007@gmail.com</v>
      </c>
      <c r="E409" s="36" t="str">
        <f>IFERROR(_xlfn.XLOOKUP(tblLog[[#This Row],[Unique ID]], tblMaster[Unique ID], tblMaster[Phone], ""), "")</f>
        <v>(774) 477-9341</v>
      </c>
      <c r="F409" t="str">
        <f>IFERROR(_xlfn.XLOOKUP(tblLog[[#This Row],[Unique ID]], tblMaster[Unique ID], tblMaster[Recruiter], ""), "")</f>
        <v xml:space="preserve">Christopher Servello </v>
      </c>
      <c r="G409" t="str">
        <f>IFERROR(_xlfn.XLOOKUP(tblLog[[#This Row],[Unique ID]], tblMaster[Unique ID], tblMaster[Recruitment Cycle], ""), "")</f>
        <v xml:space="preserve">New Submission/ Lead </v>
      </c>
      <c r="H409" t="s">
        <v>7455</v>
      </c>
      <c r="I409" t="s">
        <v>8014</v>
      </c>
      <c r="J409" s="3">
        <v>3</v>
      </c>
      <c r="K409" t="s">
        <v>7491</v>
      </c>
      <c r="L409" s="2">
        <v>46073</v>
      </c>
      <c r="M409" t="s">
        <v>7452</v>
      </c>
      <c r="N409" t="s">
        <v>7497</v>
      </c>
      <c r="O409" t="s">
        <v>8015</v>
      </c>
      <c r="P409">
        <f ca="1">IF(tblLog[[#This Row],[Log Date]]="","",TODAY()-tblLog[[#This Row],[Log Date]])</f>
        <v>6</v>
      </c>
      <c r="Q409" t="str">
        <f>IF(tblLog[[#This Row],[Log Date]]="","",IF(TRIM(tblLog[[#This Row],[Cycle Stage]])="Asked to be removed from database","NO","YES"))</f>
        <v>YES</v>
      </c>
      <c r="R4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0" spans="1:18" ht="15" customHeight="1">
      <c r="A410" t="s">
        <v>8016</v>
      </c>
      <c r="B410" t="str">
        <f>IFERROR(_xlfn.XLOOKUP(tblLog[[#This Row],[Unique ID]], tblMaster[Unique ID], tblMaster[First Name], ""), "")</f>
        <v>Elijiah</v>
      </c>
      <c r="C410" t="str">
        <f>IFERROR(_xlfn.XLOOKUP(tblLog[[#This Row],[Unique ID]], tblMaster[Unique ID], tblMaster[Last Name], ""), "")</f>
        <v xml:space="preserve">Russell </v>
      </c>
      <c r="D410" t="str">
        <f>IFERROR(_xlfn.XLOOKUP(tblLog[[#This Row],[Unique ID]], tblMaster[Unique ID], tblMaster[Email_Clean], ""), "")</f>
        <v>elirussell01@gmail.com</v>
      </c>
      <c r="E410" t="str">
        <f>IFERROR(_xlfn.XLOOKUP(tblLog[[#This Row],[Unique ID]], tblMaster[Unique ID], tblMaster[Phone], ""), "")</f>
        <v>78-423-3344</v>
      </c>
      <c r="F410" t="str">
        <f>IFERROR(_xlfn.XLOOKUP(tblLog[[#This Row],[Unique ID]], tblMaster[Unique ID], tblMaster[Recruiter], ""), "")</f>
        <v xml:space="preserve">Jevon Brown Simpson </v>
      </c>
      <c r="G410" t="str">
        <f>IFERROR(_xlfn.XLOOKUP(tblLog[[#This Row],[Unique ID]], tblMaster[Unique ID], tblMaster[Recruitment Cycle], ""), "")</f>
        <v xml:space="preserve">New Submission/ Lead </v>
      </c>
      <c r="H410" t="s">
        <v>7455</v>
      </c>
      <c r="I410" t="s">
        <v>7530</v>
      </c>
      <c r="J410" s="3">
        <v>3</v>
      </c>
      <c r="K410" t="s">
        <v>7435</v>
      </c>
      <c r="L410" s="2">
        <v>46071</v>
      </c>
      <c r="M410" t="s">
        <v>7452</v>
      </c>
      <c r="N410" t="s">
        <v>7500</v>
      </c>
      <c r="O410" t="s">
        <v>8017</v>
      </c>
      <c r="P410">
        <f ca="1">IF(tblLog[[#This Row],[Log Date]]="","",TODAY()-tblLog[[#This Row],[Log Date]])</f>
        <v>8</v>
      </c>
      <c r="Q410" t="str">
        <f>IF(tblLog[[#This Row],[Log Date]]="","",IF(TRIM(tblLog[[#This Row],[Cycle Stage]])="Asked to be removed from database","NO","YES"))</f>
        <v>YES</v>
      </c>
      <c r="R4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1" spans="1:18" ht="15" customHeight="1">
      <c r="A411" t="s">
        <v>8018</v>
      </c>
      <c r="B411" t="str">
        <f>IFERROR(_xlfn.XLOOKUP(tblLog[[#This Row],[Unique ID]], tblMaster[Unique ID], tblMaster[First Name], ""), "")</f>
        <v xml:space="preserve">Kwabena </v>
      </c>
      <c r="C411" t="str">
        <f>IFERROR(_xlfn.XLOOKUP(tblLog[[#This Row],[Unique ID]], tblMaster[Unique ID], tblMaster[Last Name], ""), "")</f>
        <v xml:space="preserve">Ohemeng-Gyebi </v>
      </c>
      <c r="D411" t="str">
        <f>IFERROR(_xlfn.XLOOKUP(tblLog[[#This Row],[Unique ID]], tblMaster[Unique ID], tblMaster[Email_Clean], ""), "")</f>
        <v>kogstarghana@gmail.com</v>
      </c>
      <c r="E411" t="str">
        <f>IFERROR(_xlfn.XLOOKUP(tblLog[[#This Row],[Unique ID]], tblMaster[Unique ID], tblMaster[Phone], ""), "")</f>
        <v xml:space="preserve">(347) 600-9629 </v>
      </c>
      <c r="F411" t="str">
        <f>IFERROR(_xlfn.XLOOKUP(tblLog[[#This Row],[Unique ID]], tblMaster[Unique ID], tblMaster[Recruiter], ""), "")</f>
        <v xml:space="preserve">Jevon Brown Simpson </v>
      </c>
      <c r="G411" t="str">
        <f>IFERROR(_xlfn.XLOOKUP(tblLog[[#This Row],[Unique ID]], tblMaster[Unique ID], tblMaster[Recruitment Cycle], ""), "")</f>
        <v xml:space="preserve">New Submission/ Lead </v>
      </c>
      <c r="H411" t="s">
        <v>7455</v>
      </c>
      <c r="I411" t="s">
        <v>4</v>
      </c>
      <c r="J411" s="3">
        <v>3</v>
      </c>
      <c r="K411" t="s">
        <v>7435</v>
      </c>
      <c r="L411" s="2">
        <v>46071</v>
      </c>
      <c r="M411" t="s">
        <v>7508</v>
      </c>
      <c r="N411" t="s">
        <v>7500</v>
      </c>
      <c r="O411" t="s">
        <v>8019</v>
      </c>
      <c r="P411">
        <f ca="1">IF(tblLog[[#This Row],[Log Date]]="","",TODAY()-tblLog[[#This Row],[Log Date]])</f>
        <v>8</v>
      </c>
      <c r="Q411" t="str">
        <f>IF(tblLog[[#This Row],[Log Date]]="","",IF(TRIM(tblLog[[#This Row],[Cycle Stage]])="Asked to be removed from database","NO","YES"))</f>
        <v>YES</v>
      </c>
      <c r="R4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2" spans="1:18" ht="15" customHeight="1">
      <c r="A412" t="s">
        <v>8020</v>
      </c>
      <c r="B412" t="str">
        <f>IFERROR(_xlfn.XLOOKUP(tblLog[[#This Row],[Unique ID]], tblMaster[Unique ID], tblMaster[First Name], ""), "")</f>
        <v>Emmanuel</v>
      </c>
      <c r="C412" t="str">
        <f>IFERROR(_xlfn.XLOOKUP(tblLog[[#This Row],[Unique ID]], tblMaster[Unique ID], tblMaster[Last Name], ""), "")</f>
        <v>Boakye</v>
      </c>
      <c r="D412" t="str">
        <f>IFERROR(_xlfn.XLOOKUP(tblLog[[#This Row],[Unique ID]], tblMaster[Unique ID], tblMaster[Email_Clean], ""), "")</f>
        <v>lifeisgoodasap@gmail.com</v>
      </c>
      <c r="E412" t="str">
        <f>IFERROR(_xlfn.XLOOKUP(tblLog[[#This Row],[Unique ID]], tblMaster[Unique ID], tblMaster[Phone], ""), "")</f>
        <v>781-475-0924</v>
      </c>
      <c r="F412" t="str">
        <f>IFERROR(_xlfn.XLOOKUP(tblLog[[#This Row],[Unique ID]], tblMaster[Unique ID], tblMaster[Recruiter], ""), "")</f>
        <v xml:space="preserve">Jevon Brown Simpson </v>
      </c>
      <c r="G412" t="str">
        <f>IFERROR(_xlfn.XLOOKUP(tblLog[[#This Row],[Unique ID]], tblMaster[Unique ID], tblMaster[Recruitment Cycle], ""), "")</f>
        <v xml:space="preserve">Re-Engagment/Post Civil Service Exam </v>
      </c>
      <c r="H412" t="s">
        <v>7455</v>
      </c>
      <c r="I412" t="s">
        <v>7530</v>
      </c>
      <c r="J412" s="3">
        <v>2</v>
      </c>
      <c r="K412" t="s">
        <v>7435</v>
      </c>
      <c r="L412" s="2">
        <v>46070</v>
      </c>
      <c r="M412" t="s">
        <v>7452</v>
      </c>
      <c r="N412" t="s">
        <v>7500</v>
      </c>
      <c r="O412" t="s">
        <v>8021</v>
      </c>
      <c r="P412">
        <f ca="1">IF(tblLog[[#This Row],[Log Date]]="","",TODAY()-tblLog[[#This Row],[Log Date]])</f>
        <v>9</v>
      </c>
      <c r="Q412" t="str">
        <f>IF(tblLog[[#This Row],[Log Date]]="","",IF(TRIM(tblLog[[#This Row],[Cycle Stage]])="Asked to be removed from database","NO","YES"))</f>
        <v>YES</v>
      </c>
      <c r="R4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3" spans="1:18" ht="15" customHeight="1">
      <c r="A413" t="s">
        <v>8022</v>
      </c>
      <c r="B413" t="str">
        <f>IFERROR(_xlfn.XLOOKUP(tblLog[[#This Row],[Unique ID]], tblMaster[Unique ID], tblMaster[First Name], ""), "")</f>
        <v>Bony</v>
      </c>
      <c r="C413" t="str">
        <f>IFERROR(_xlfn.XLOOKUP(tblLog[[#This Row],[Unique ID]], tblMaster[Unique ID], tblMaster[Last Name], ""), "")</f>
        <v>Belois</v>
      </c>
      <c r="D413" t="str">
        <f>IFERROR(_xlfn.XLOOKUP(tblLog[[#This Row],[Unique ID]], tblMaster[Unique ID], tblMaster[Email_Clean], ""), "")</f>
        <v>bonybls6@gmail.com</v>
      </c>
      <c r="E413" t="str">
        <f>IFERROR(_xlfn.XLOOKUP(tblLog[[#This Row],[Unique ID]], tblMaster[Unique ID], tblMaster[Phone], ""), "")</f>
        <v>(857) 246-5263</v>
      </c>
      <c r="F413" t="str">
        <f>IFERROR(_xlfn.XLOOKUP(tblLog[[#This Row],[Unique ID]], tblMaster[Unique ID], tblMaster[Recruiter], ""), "")</f>
        <v xml:space="preserve">Jevon Brown Simpson </v>
      </c>
      <c r="G413" t="str">
        <f>IFERROR(_xlfn.XLOOKUP(tblLog[[#This Row],[Unique ID]], tblMaster[Unique ID], tblMaster[Recruitment Cycle], ""), "")</f>
        <v xml:space="preserve">Re-Engagment/Post Civil Service Exam </v>
      </c>
      <c r="H413" t="s">
        <v>7543</v>
      </c>
      <c r="I413" t="s">
        <v>7530</v>
      </c>
      <c r="J413" s="3">
        <v>2</v>
      </c>
      <c r="K413" t="s">
        <v>7435</v>
      </c>
      <c r="L413" s="2">
        <v>46065</v>
      </c>
      <c r="M413" t="s">
        <v>7452</v>
      </c>
      <c r="N413" t="s">
        <v>7500</v>
      </c>
      <c r="O413" t="s">
        <v>8023</v>
      </c>
      <c r="P413">
        <f ca="1">IF(tblLog[[#This Row],[Log Date]]="","",TODAY()-tblLog[[#This Row],[Log Date]])</f>
        <v>14</v>
      </c>
      <c r="Q413" t="str">
        <f>IF(tblLog[[#This Row],[Log Date]]="","",IF(TRIM(tblLog[[#This Row],[Cycle Stage]])="Asked to be removed from database","NO","YES"))</f>
        <v>YES</v>
      </c>
      <c r="R4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4" spans="1:18" ht="15" customHeight="1">
      <c r="A414" t="s">
        <v>8024</v>
      </c>
      <c r="B414" t="str">
        <f>IFERROR(_xlfn.XLOOKUP(tblLog[[#This Row],[Unique ID]], tblMaster[Unique ID], tblMaster[First Name], ""), "")</f>
        <v xml:space="preserve">Sy </v>
      </c>
      <c r="C414" t="str">
        <f>IFERROR(_xlfn.XLOOKUP(tblLog[[#This Row],[Unique ID]], tblMaster[Unique ID], tblMaster[Last Name], ""), "")</f>
        <v>Simmons</v>
      </c>
      <c r="D414" t="str">
        <f>IFERROR(_xlfn.XLOOKUP(tblLog[[#This Row],[Unique ID]], tblMaster[Unique ID], tblMaster[Email_Clean], ""), "")</f>
        <v>syysimmons19994@gmail.com</v>
      </c>
      <c r="E414" t="str">
        <f>IFERROR(_xlfn.XLOOKUP(tblLog[[#This Row],[Unique ID]], tblMaster[Unique ID], tblMaster[Phone], ""), "")</f>
        <v>857 271 9654</v>
      </c>
      <c r="F414" t="str">
        <f>IFERROR(_xlfn.XLOOKUP(tblLog[[#This Row],[Unique ID]], tblMaster[Unique ID], tblMaster[Recruiter], ""), "")</f>
        <v xml:space="preserve">Jevon Brown Simpson </v>
      </c>
      <c r="G414" t="str">
        <f>IFERROR(_xlfn.XLOOKUP(tblLog[[#This Row],[Unique ID]], tblMaster[Unique ID], tblMaster[Recruitment Cycle], ""), "")</f>
        <v xml:space="preserve">Re-Engagment/Post Civil Service Exam </v>
      </c>
      <c r="H414" t="s">
        <v>7455</v>
      </c>
      <c r="I414" t="s">
        <v>7494</v>
      </c>
      <c r="J414" s="3">
        <v>2</v>
      </c>
      <c r="K414" t="s">
        <v>7435</v>
      </c>
      <c r="L414" s="2">
        <v>46070</v>
      </c>
      <c r="M414" t="s">
        <v>7508</v>
      </c>
      <c r="N414" t="s">
        <v>7500</v>
      </c>
      <c r="P414">
        <f ca="1">IF(tblLog[[#This Row],[Log Date]]="","",TODAY()-tblLog[[#This Row],[Log Date]])</f>
        <v>9</v>
      </c>
      <c r="Q414" t="str">
        <f>IF(tblLog[[#This Row],[Log Date]]="","",IF(TRIM(tblLog[[#This Row],[Cycle Stage]])="Asked to be removed from database","NO","YES"))</f>
        <v>YES</v>
      </c>
      <c r="R41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5" spans="1:18" ht="15" customHeight="1">
      <c r="A415" t="s">
        <v>8025</v>
      </c>
      <c r="B415" t="str">
        <f>IFERROR(_xlfn.XLOOKUP(tblLog[[#This Row],[Unique ID]], tblMaster[Unique ID], tblMaster[First Name], ""), "")</f>
        <v xml:space="preserve">Kenny </v>
      </c>
      <c r="C415" t="str">
        <f>IFERROR(_xlfn.XLOOKUP(tblLog[[#This Row],[Unique ID]], tblMaster[Unique ID], tblMaster[Last Name], ""), "")</f>
        <v xml:space="preserve">Julien </v>
      </c>
      <c r="D415" t="str">
        <f>IFERROR(_xlfn.XLOOKUP(tblLog[[#This Row],[Unique ID]], tblMaster[Unique ID], tblMaster[Email_Clean], ""), "")</f>
        <v>kennyjulien03@gmail.com</v>
      </c>
      <c r="E415" t="str">
        <f>IFERROR(_xlfn.XLOOKUP(tblLog[[#This Row],[Unique ID]], tblMaster[Unique ID], tblMaster[Phone], ""), "")</f>
        <v>413 512 1298</v>
      </c>
      <c r="F415" t="str">
        <f>IFERROR(_xlfn.XLOOKUP(tblLog[[#This Row],[Unique ID]], tblMaster[Unique ID], tblMaster[Recruiter], ""), "")</f>
        <v xml:space="preserve">Jevon Brown Simpson </v>
      </c>
      <c r="G415" t="str">
        <f>IFERROR(_xlfn.XLOOKUP(tblLog[[#This Row],[Unique ID]], tblMaster[Unique ID], tblMaster[Recruitment Cycle], ""), "")</f>
        <v xml:space="preserve">New Submission/ Lead </v>
      </c>
      <c r="H415" t="s">
        <v>7496</v>
      </c>
      <c r="I415" t="s">
        <v>4</v>
      </c>
      <c r="J415" s="3">
        <v>2</v>
      </c>
      <c r="K415" t="s">
        <v>7435</v>
      </c>
      <c r="L415" s="2">
        <v>46066</v>
      </c>
      <c r="M415" t="s">
        <v>7452</v>
      </c>
      <c r="N415" t="s">
        <v>7475</v>
      </c>
      <c r="P415">
        <f ca="1">IF(tblLog[[#This Row],[Log Date]]="","",TODAY()-tblLog[[#This Row],[Log Date]])</f>
        <v>13</v>
      </c>
      <c r="Q415" t="str">
        <f>IF(tblLog[[#This Row],[Log Date]]="","",IF(TRIM(tblLog[[#This Row],[Cycle Stage]])="Asked to be removed from database","NO","YES"))</f>
        <v>YES</v>
      </c>
      <c r="R41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6" spans="1:18" ht="15" customHeight="1">
      <c r="A416" t="s">
        <v>8026</v>
      </c>
      <c r="B416" t="str">
        <f>IFERROR(_xlfn.XLOOKUP(tblLog[[#This Row],[Unique ID]], tblMaster[Unique ID], tblMaster[First Name], ""), "")</f>
        <v xml:space="preserve">Javis </v>
      </c>
      <c r="C416" t="str">
        <f>IFERROR(_xlfn.XLOOKUP(tblLog[[#This Row],[Unique ID]], tblMaster[Unique ID], tblMaster[Last Name], ""), "")</f>
        <v xml:space="preserve">Njinda </v>
      </c>
      <c r="D416" t="str">
        <f>IFERROR(_xlfn.XLOOKUP(tblLog[[#This Row],[Unique ID]], tblMaster[Unique ID], tblMaster[Email_Clean], ""), "")</f>
        <v>djindajarvis@yahoo.com</v>
      </c>
      <c r="E416" t="str">
        <f>IFERROR(_xlfn.XLOOKUP(tblLog[[#This Row],[Unique ID]], tblMaster[Unique ID], tblMaster[Phone], ""), "")</f>
        <v>(508) 309-2430</v>
      </c>
      <c r="F416" t="str">
        <f>IFERROR(_xlfn.XLOOKUP(tblLog[[#This Row],[Unique ID]], tblMaster[Unique ID], tblMaster[Recruiter], ""), "")</f>
        <v xml:space="preserve">Jevon Brown Simpson </v>
      </c>
      <c r="G416" t="str">
        <f>IFERROR(_xlfn.XLOOKUP(tblLog[[#This Row],[Unique ID]], tblMaster[Unique ID], tblMaster[Recruitment Cycle], ""), "")</f>
        <v xml:space="preserve">New Submission/ Lead </v>
      </c>
      <c r="H416" t="s">
        <v>7439</v>
      </c>
      <c r="I416" t="s">
        <v>4</v>
      </c>
      <c r="J416" s="3">
        <v>2</v>
      </c>
      <c r="K416" t="s">
        <v>7530</v>
      </c>
      <c r="L416" s="2">
        <v>46065</v>
      </c>
      <c r="M416" t="s">
        <v>7452</v>
      </c>
      <c r="N416" t="s">
        <v>7500</v>
      </c>
      <c r="P416">
        <f ca="1">IF(tblLog[[#This Row],[Log Date]]="","",TODAY()-tblLog[[#This Row],[Log Date]])</f>
        <v>14</v>
      </c>
      <c r="Q416" t="str">
        <f>IF(tblLog[[#This Row],[Log Date]]="","",IF(TRIM(tblLog[[#This Row],[Cycle Stage]])="Asked to be removed from database","NO","YES"))</f>
        <v>YES</v>
      </c>
      <c r="R41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7" spans="1:18" ht="15" customHeight="1">
      <c r="A417" t="s">
        <v>8027</v>
      </c>
      <c r="B417" t="str">
        <f>IFERROR(_xlfn.XLOOKUP(tblLog[[#This Row],[Unique ID]], tblMaster[Unique ID], tblMaster[First Name], ""), "")</f>
        <v xml:space="preserve">Osaro </v>
      </c>
      <c r="C417" t="str">
        <f>IFERROR(_xlfn.XLOOKUP(tblLog[[#This Row],[Unique ID]], tblMaster[Unique ID], tblMaster[Last Name], ""), "")</f>
        <v xml:space="preserve">omorogieva </v>
      </c>
      <c r="D417" t="str">
        <f>IFERROR(_xlfn.XLOOKUP(tblLog[[#This Row],[Unique ID]], tblMaster[Unique ID], tblMaster[Email_Clean], ""), "")</f>
        <v>talktojeff2003@yahoo.com</v>
      </c>
      <c r="E417" t="str">
        <f>IFERROR(_xlfn.XLOOKUP(tblLog[[#This Row],[Unique ID]], tblMaster[Unique ID], tblMaster[Phone], ""), "")</f>
        <v xml:space="preserve">(617) 888-1863 </v>
      </c>
      <c r="F417" t="str">
        <f>IFERROR(_xlfn.XLOOKUP(tblLog[[#This Row],[Unique ID]], tblMaster[Unique ID], tblMaster[Recruiter], ""), "")</f>
        <v xml:space="preserve">Jevon Brown Simpson </v>
      </c>
      <c r="G417" t="str">
        <f>IFERROR(_xlfn.XLOOKUP(tblLog[[#This Row],[Unique ID]], tblMaster[Unique ID], tblMaster[Recruitment Cycle], ""), "")</f>
        <v xml:space="preserve">New Submission/ Lead </v>
      </c>
      <c r="H417" t="s">
        <v>7496</v>
      </c>
      <c r="I417" t="s">
        <v>4</v>
      </c>
      <c r="J417" s="3">
        <v>2</v>
      </c>
      <c r="K417" t="s">
        <v>7530</v>
      </c>
      <c r="L417" s="2">
        <v>46066</v>
      </c>
      <c r="M417" t="s">
        <v>7485</v>
      </c>
      <c r="N417" t="s">
        <v>7500</v>
      </c>
      <c r="P417">
        <f ca="1">IF(tblLog[[#This Row],[Log Date]]="","",TODAY()-tblLog[[#This Row],[Log Date]])</f>
        <v>13</v>
      </c>
      <c r="Q417" t="str">
        <f>IF(tblLog[[#This Row],[Log Date]]="","",IF(TRIM(tblLog[[#This Row],[Cycle Stage]])="Asked to be removed from database","NO","YES"))</f>
        <v>YES</v>
      </c>
      <c r="R41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8" spans="1:18" ht="15" customHeight="1">
      <c r="A418" t="s">
        <v>8028</v>
      </c>
      <c r="B418" t="str">
        <f>IFERROR(_xlfn.XLOOKUP(tblLog[[#This Row],[Unique ID]], tblMaster[Unique ID], tblMaster[First Name], ""), "")</f>
        <v xml:space="preserve">Michael </v>
      </c>
      <c r="C418" t="str">
        <f>IFERROR(_xlfn.XLOOKUP(tblLog[[#This Row],[Unique ID]], tblMaster[Unique ID], tblMaster[Last Name], ""), "")</f>
        <v xml:space="preserve"> Ciaramicol </v>
      </c>
      <c r="D418" t="str">
        <f>IFERROR(_xlfn.XLOOKUP(tblLog[[#This Row],[Unique ID]], tblMaster[Unique ID], tblMaster[Email_Clean], ""), "")</f>
        <v>michael.ciaramicoli@aol.com</v>
      </c>
      <c r="E418" t="str">
        <f>IFERROR(_xlfn.XLOOKUP(tblLog[[#This Row],[Unique ID]], tblMaster[Unique ID], tblMaster[Phone], ""), "")</f>
        <v xml:space="preserve">(508) 667-3214 </v>
      </c>
      <c r="F418" t="str">
        <f>IFERROR(_xlfn.XLOOKUP(tblLog[[#This Row],[Unique ID]], tblMaster[Unique ID], tblMaster[Recruiter], ""), "")</f>
        <v xml:space="preserve">Christopher Servello </v>
      </c>
      <c r="G418" t="str">
        <f>IFERROR(_xlfn.XLOOKUP(tblLog[[#This Row],[Unique ID]], tblMaster[Unique ID], tblMaster[Recruitment Cycle], ""), "")</f>
        <v xml:space="preserve">Re-Engagment </v>
      </c>
      <c r="H418" t="s">
        <v>7484</v>
      </c>
      <c r="I418" t="s">
        <v>4</v>
      </c>
      <c r="J418" s="3">
        <v>2</v>
      </c>
      <c r="K418" t="s">
        <v>7595</v>
      </c>
      <c r="L418" s="2">
        <v>46065</v>
      </c>
      <c r="M418" t="s">
        <v>7612</v>
      </c>
      <c r="N418" t="s">
        <v>7517</v>
      </c>
      <c r="O418" t="s">
        <v>8029</v>
      </c>
      <c r="P418">
        <f ca="1">IF(tblLog[[#This Row],[Log Date]]="","",TODAY()-tblLog[[#This Row],[Log Date]])</f>
        <v>14</v>
      </c>
      <c r="Q418" t="str">
        <f>IF(tblLog[[#This Row],[Log Date]]="","",IF(TRIM(tblLog[[#This Row],[Cycle Stage]])="Asked to be removed from database","NO","YES"))</f>
        <v>NO</v>
      </c>
      <c r="R41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19" spans="1:18" ht="15" customHeight="1">
      <c r="A419" t="s">
        <v>8030</v>
      </c>
      <c r="B419" t="str">
        <f>IFERROR(_xlfn.XLOOKUP(tblLog[[#This Row],[Unique ID]], tblMaster[Unique ID], tblMaster[First Name], ""), "")</f>
        <v xml:space="preserve">Sean </v>
      </c>
      <c r="C419" t="str">
        <f>IFERROR(_xlfn.XLOOKUP(tblLog[[#This Row],[Unique ID]], tblMaster[Unique ID], tblMaster[Last Name], ""), "")</f>
        <v xml:space="preserve">Durst </v>
      </c>
      <c r="D419" t="str">
        <f>IFERROR(_xlfn.XLOOKUP(tblLog[[#This Row],[Unique ID]], tblMaster[Unique ID], tblMaster[Email_Clean], ""), "")</f>
        <v>sdurst810@gmail.com</v>
      </c>
      <c r="E419" t="str">
        <f>IFERROR(_xlfn.XLOOKUP(tblLog[[#This Row],[Unique ID]], tblMaster[Unique ID], tblMaster[Phone], ""), "")</f>
        <v>(617) 216-3711</v>
      </c>
      <c r="F419" t="str">
        <f>IFERROR(_xlfn.XLOOKUP(tblLog[[#This Row],[Unique ID]], tblMaster[Unique ID], tblMaster[Recruiter], ""), "")</f>
        <v xml:space="preserve">Christopher Servello </v>
      </c>
      <c r="G419" t="str">
        <f>IFERROR(_xlfn.XLOOKUP(tblLog[[#This Row],[Unique ID]], tblMaster[Unique ID], tblMaster[Recruitment Cycle], ""), "")</f>
        <v xml:space="preserve">Re-Engagment </v>
      </c>
      <c r="H419" t="s">
        <v>7496</v>
      </c>
      <c r="I419" t="s">
        <v>4</v>
      </c>
      <c r="J419" s="3">
        <v>2</v>
      </c>
      <c r="K419" t="s">
        <v>4</v>
      </c>
      <c r="L419" s="2">
        <v>46065</v>
      </c>
      <c r="M419" t="s">
        <v>7452</v>
      </c>
      <c r="N419" t="s">
        <v>7497</v>
      </c>
      <c r="P419">
        <f ca="1">IF(tblLog[[#This Row],[Log Date]]="","",TODAY()-tblLog[[#This Row],[Log Date]])</f>
        <v>14</v>
      </c>
      <c r="Q419" t="str">
        <f>IF(tblLog[[#This Row],[Log Date]]="","",IF(TRIM(tblLog[[#This Row],[Cycle Stage]])="Asked to be removed from database","NO","YES"))</f>
        <v>YES</v>
      </c>
      <c r="R41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0" spans="1:18" ht="15" customHeight="1">
      <c r="A420" t="s">
        <v>8031</v>
      </c>
      <c r="B420" t="str">
        <f>IFERROR(_xlfn.XLOOKUP(tblLog[[#This Row],[Unique ID]], tblMaster[Unique ID], tblMaster[First Name], ""), "")</f>
        <v xml:space="preserve">Jadalis </v>
      </c>
      <c r="C420" t="str">
        <f>IFERROR(_xlfn.XLOOKUP(tblLog[[#This Row],[Unique ID]], tblMaster[Unique ID], tblMaster[Last Name], ""), "")</f>
        <v xml:space="preserve">Rodriguez </v>
      </c>
      <c r="D420" t="str">
        <f>IFERROR(_xlfn.XLOOKUP(tblLog[[#This Row],[Unique ID]], tblMaster[Unique ID], tblMaster[Email_Clean], ""), "")</f>
        <v>jadalisssmarieee@gmail.com</v>
      </c>
      <c r="E420" t="str">
        <f>IFERROR(_xlfn.XLOOKUP(tblLog[[#This Row],[Unique ID]], tblMaster[Unique ID], tblMaster[Phone], ""), "")</f>
        <v>(978) 754-5052</v>
      </c>
      <c r="F420" t="str">
        <f>IFERROR(_xlfn.XLOOKUP(tblLog[[#This Row],[Unique ID]], tblMaster[Unique ID], tblMaster[Recruiter], ""), "")</f>
        <v xml:space="preserve">Jevon Brown Simpson </v>
      </c>
      <c r="G420" t="str">
        <f>IFERROR(_xlfn.XLOOKUP(tblLog[[#This Row],[Unique ID]], tblMaster[Unique ID], tblMaster[Recruitment Cycle], ""), "")</f>
        <v xml:space="preserve">Re-Engagment/Post Civil Service Exam </v>
      </c>
      <c r="H420" t="s">
        <v>7496</v>
      </c>
      <c r="I420" t="s">
        <v>4</v>
      </c>
      <c r="J420" s="3">
        <v>1</v>
      </c>
      <c r="K420" t="s">
        <v>4</v>
      </c>
      <c r="L420" s="2">
        <v>46065</v>
      </c>
      <c r="M420" t="s">
        <v>7452</v>
      </c>
      <c r="N420" t="s">
        <v>7481</v>
      </c>
      <c r="P420">
        <f ca="1">IF(tblLog[[#This Row],[Log Date]]="","",TODAY()-tblLog[[#This Row],[Log Date]])</f>
        <v>14</v>
      </c>
      <c r="Q420" t="str">
        <f>IF(tblLog[[#This Row],[Log Date]]="","",IF(TRIM(tblLog[[#This Row],[Cycle Stage]])="Asked to be removed from database","NO","YES"))</f>
        <v>YES</v>
      </c>
      <c r="R42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1" spans="1:18" ht="15" customHeight="1">
      <c r="A421" t="s">
        <v>8032</v>
      </c>
      <c r="B421" t="str">
        <f>IFERROR(_xlfn.XLOOKUP(tblLog[[#This Row],[Unique ID]], tblMaster[Unique ID], tblMaster[First Name], ""), "")</f>
        <v xml:space="preserve">Noel </v>
      </c>
      <c r="C421" t="str">
        <f>IFERROR(_xlfn.XLOOKUP(tblLog[[#This Row],[Unique ID]], tblMaster[Unique ID], tblMaster[Last Name], ""), "")</f>
        <v xml:space="preserve">Rosado </v>
      </c>
      <c r="D421" t="str">
        <f>IFERROR(_xlfn.XLOOKUP(tblLog[[#This Row],[Unique ID]], tblMaster[Unique ID], tblMaster[Email_Clean], ""), "")</f>
        <v>noel.rosado85@icloud.com</v>
      </c>
      <c r="E421">
        <f>IFERROR(_xlfn.XLOOKUP(tblLog[[#This Row],[Unique ID]], tblMaster[Unique ID], tblMaster[Phone], ""), "")</f>
        <v>0</v>
      </c>
      <c r="F421" t="str">
        <f>IFERROR(_xlfn.XLOOKUP(tblLog[[#This Row],[Unique ID]], tblMaster[Unique ID], tblMaster[Recruiter], ""), "")</f>
        <v>Zenon Moses</v>
      </c>
      <c r="G421" t="str">
        <f>IFERROR(_xlfn.XLOOKUP(tblLog[[#This Row],[Unique ID]], tblMaster[Unique ID], tblMaster[Recruitment Cycle], ""), "")</f>
        <v xml:space="preserve">New Submission/ Lead </v>
      </c>
      <c r="H421" t="s">
        <v>7496</v>
      </c>
      <c r="I421" t="s">
        <v>4</v>
      </c>
      <c r="J421" s="3">
        <v>1</v>
      </c>
      <c r="K421" t="s">
        <v>4</v>
      </c>
      <c r="L421" s="2">
        <v>46065</v>
      </c>
      <c r="M421" t="s">
        <v>7544</v>
      </c>
      <c r="N421" t="s">
        <v>7500</v>
      </c>
      <c r="P421">
        <f ca="1">IF(tblLog[[#This Row],[Log Date]]="","",TODAY()-tblLog[[#This Row],[Log Date]])</f>
        <v>14</v>
      </c>
      <c r="Q421" t="str">
        <f>IF(tblLog[[#This Row],[Log Date]]="","",IF(TRIM(tblLog[[#This Row],[Cycle Stage]])="Asked to be removed from database","NO","YES"))</f>
        <v>YES</v>
      </c>
      <c r="R42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2" spans="1:18" ht="15" customHeight="1">
      <c r="A422" t="s">
        <v>8033</v>
      </c>
      <c r="B422" t="str">
        <f>IFERROR(_xlfn.XLOOKUP(tblLog[[#This Row],[Unique ID]], tblMaster[Unique ID], tblMaster[First Name], ""), "")</f>
        <v>Elijah</v>
      </c>
      <c r="C422" t="str">
        <f>IFERROR(_xlfn.XLOOKUP(tblLog[[#This Row],[Unique ID]], tblMaster[Unique ID], tblMaster[Last Name], ""), "")</f>
        <v xml:space="preserve"> Rolle </v>
      </c>
      <c r="D422" t="str">
        <f>IFERROR(_xlfn.XLOOKUP(tblLog[[#This Row],[Unique ID]], tblMaster[Unique ID], tblMaster[Email_Clean], ""), "")</f>
        <v>elijrolle@gmail.com</v>
      </c>
      <c r="E422" t="str">
        <f>IFERROR(_xlfn.XLOOKUP(tblLog[[#This Row],[Unique ID]], tblMaster[Unique ID], tblMaster[Phone], ""), "")</f>
        <v xml:space="preserve">978) 590-2374 </v>
      </c>
      <c r="F422" t="str">
        <f>IFERROR(_xlfn.XLOOKUP(tblLog[[#This Row],[Unique ID]], tblMaster[Unique ID], tblMaster[Recruiter], ""), "")</f>
        <v>Zenon Moses</v>
      </c>
      <c r="G422" t="str">
        <f>IFERROR(_xlfn.XLOOKUP(tblLog[[#This Row],[Unique ID]], tblMaster[Unique ID], tblMaster[Recruitment Cycle], ""), "")</f>
        <v xml:space="preserve">New Submission/ Lead </v>
      </c>
      <c r="H422" t="s">
        <v>7496</v>
      </c>
      <c r="I422" t="s">
        <v>7434</v>
      </c>
      <c r="J422" s="3">
        <v>1</v>
      </c>
      <c r="K422" t="s">
        <v>7530</v>
      </c>
      <c r="L422" s="2">
        <v>46065</v>
      </c>
      <c r="M422" t="s">
        <v>7452</v>
      </c>
      <c r="N422" t="s">
        <v>7500</v>
      </c>
      <c r="P422">
        <f ca="1">IF(tblLog[[#This Row],[Log Date]]="","",TODAY()-tblLog[[#This Row],[Log Date]])</f>
        <v>14</v>
      </c>
      <c r="Q422" t="str">
        <f>IF(tblLog[[#This Row],[Log Date]]="","",IF(TRIM(tblLog[[#This Row],[Cycle Stage]])="Asked to be removed from database","NO","YES"))</f>
        <v>YES</v>
      </c>
      <c r="R42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3" spans="1:18" ht="15" customHeight="1">
      <c r="A423" t="s">
        <v>8034</v>
      </c>
      <c r="B423" t="str">
        <f>IFERROR(_xlfn.XLOOKUP(tblLog[[#This Row],[Unique ID]], tblMaster[Unique ID], tblMaster[First Name], ""), "")</f>
        <v xml:space="preserve">Ryan </v>
      </c>
      <c r="C423" t="str">
        <f>IFERROR(_xlfn.XLOOKUP(tblLog[[#This Row],[Unique ID]], tblMaster[Unique ID], tblMaster[Last Name], ""), "")</f>
        <v xml:space="preserve">Hunt </v>
      </c>
      <c r="D423" t="str">
        <f>IFERROR(_xlfn.XLOOKUP(tblLog[[#This Row],[Unique ID]], tblMaster[Unique ID], tblMaster[Email_Clean], ""), "")</f>
        <v>rhunt25@lsu.edu</v>
      </c>
      <c r="E423" t="str">
        <f>IFERROR(_xlfn.XLOOKUP(tblLog[[#This Row],[Unique ID]], tblMaster[Unique ID], tblMaster[Phone], ""), "")</f>
        <v xml:space="preserve">(617) 921-4629 </v>
      </c>
      <c r="F423" t="str">
        <f>IFERROR(_xlfn.XLOOKUP(tblLog[[#This Row],[Unique ID]], tblMaster[Unique ID], tblMaster[Recruiter], ""), "")</f>
        <v>Zenon Moses</v>
      </c>
      <c r="G423" t="str">
        <f>IFERROR(_xlfn.XLOOKUP(tblLog[[#This Row],[Unique ID]], tblMaster[Unique ID], tblMaster[Recruitment Cycle], ""), "")</f>
        <v xml:space="preserve">New Submission/ Lead </v>
      </c>
      <c r="H423" t="s">
        <v>7496</v>
      </c>
      <c r="I423" t="s">
        <v>7434</v>
      </c>
      <c r="J423" s="3">
        <v>1</v>
      </c>
      <c r="K423" t="s">
        <v>7530</v>
      </c>
      <c r="L423" s="2">
        <v>46065</v>
      </c>
      <c r="M423" t="s">
        <v>7452</v>
      </c>
      <c r="N423" t="s">
        <v>7500</v>
      </c>
      <c r="P423">
        <f ca="1">IF(tblLog[[#This Row],[Log Date]]="","",TODAY()-tblLog[[#This Row],[Log Date]])</f>
        <v>14</v>
      </c>
      <c r="Q423" t="str">
        <f>IF(tblLog[[#This Row],[Log Date]]="","",IF(TRIM(tblLog[[#This Row],[Cycle Stage]])="Asked to be removed from database","NO","YES"))</f>
        <v>YES</v>
      </c>
      <c r="R42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4" spans="1:18" ht="15" customHeight="1">
      <c r="A424" t="s">
        <v>8035</v>
      </c>
      <c r="B424" t="str">
        <f>IFERROR(_xlfn.XLOOKUP(tblLog[[#This Row],[Unique ID]], tblMaster[Unique ID], tblMaster[First Name], ""), "")</f>
        <v xml:space="preserve">Mira </v>
      </c>
      <c r="C424" t="str">
        <f>IFERROR(_xlfn.XLOOKUP(tblLog[[#This Row],[Unique ID]], tblMaster[Unique ID], tblMaster[Last Name], ""), "")</f>
        <v xml:space="preserve">Abdallah </v>
      </c>
      <c r="D424" t="str">
        <f>IFERROR(_xlfn.XLOOKUP(tblLog[[#This Row],[Unique ID]], tblMaster[Unique ID], tblMaster[Email_Clean], ""), "")</f>
        <v>abdallahmira6@gmail.com</v>
      </c>
      <c r="E424">
        <f>IFERROR(_xlfn.XLOOKUP(tblLog[[#This Row],[Unique ID]], tblMaster[Unique ID], tblMaster[Phone], ""), "")</f>
        <v>0</v>
      </c>
      <c r="F424" t="str">
        <f>IFERROR(_xlfn.XLOOKUP(tblLog[[#This Row],[Unique ID]], tblMaster[Unique ID], tblMaster[Recruiter], ""), "")</f>
        <v xml:space="preserve">Enrique Ortiz </v>
      </c>
      <c r="G424" t="str">
        <f>IFERROR(_xlfn.XLOOKUP(tblLog[[#This Row],[Unique ID]], tblMaster[Unique ID], tblMaster[Recruitment Cycle], ""), "")</f>
        <v xml:space="preserve">New Submission/ Lead </v>
      </c>
      <c r="H424" t="s">
        <v>7455</v>
      </c>
      <c r="I424" t="s">
        <v>4</v>
      </c>
      <c r="J424" s="3">
        <v>1</v>
      </c>
      <c r="K424" t="s">
        <v>7491</v>
      </c>
      <c r="L424" s="2">
        <v>46066</v>
      </c>
      <c r="M424" t="s">
        <v>7508</v>
      </c>
      <c r="N424" t="s">
        <v>7475</v>
      </c>
      <c r="P424">
        <f ca="1">IF(tblLog[[#This Row],[Log Date]]="","",TODAY()-tblLog[[#This Row],[Log Date]])</f>
        <v>13</v>
      </c>
      <c r="Q424" t="str">
        <f>IF(tblLog[[#This Row],[Log Date]]="","",IF(TRIM(tblLog[[#This Row],[Cycle Stage]])="Asked to be removed from database","NO","YES"))</f>
        <v>YES</v>
      </c>
      <c r="R42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5" spans="1:18" ht="15" customHeight="1">
      <c r="A425" t="s">
        <v>8036</v>
      </c>
      <c r="B425" t="str">
        <f>IFERROR(_xlfn.XLOOKUP(tblLog[[#This Row],[Unique ID]], tblMaster[Unique ID], tblMaster[First Name], ""), "")</f>
        <v>Jordan</v>
      </c>
      <c r="C425" t="str">
        <f>IFERROR(_xlfn.XLOOKUP(tblLog[[#This Row],[Unique ID]], tblMaster[Unique ID], tblMaster[Last Name], ""), "")</f>
        <v>Hughes</v>
      </c>
      <c r="D425" t="str">
        <f>IFERROR(_xlfn.XLOOKUP(tblLog[[#This Row],[Unique ID]], tblMaster[Unique ID], tblMaster[Email_Clean], ""), "")</f>
        <v>jordanashleyhughes1@gmail.com</v>
      </c>
      <c r="E425" t="str">
        <f>IFERROR(_xlfn.XLOOKUP(tblLog[[#This Row],[Unique ID]], tblMaster[Unique ID], tblMaster[Phone], ""), "")</f>
        <v>(508) 395-7789</v>
      </c>
      <c r="F425" t="str">
        <f>IFERROR(_xlfn.XLOOKUP(tblLog[[#This Row],[Unique ID]], tblMaster[Unique ID], tblMaster[Recruiter], ""), "")</f>
        <v xml:space="preserve">Enrique Ortiz </v>
      </c>
      <c r="G425" t="str">
        <f>IFERROR(_xlfn.XLOOKUP(tblLog[[#This Row],[Unique ID]], tblMaster[Unique ID], tblMaster[Recruitment Cycle], ""), "")</f>
        <v xml:space="preserve">New Submission/ Lead </v>
      </c>
      <c r="H425" t="s">
        <v>7455</v>
      </c>
      <c r="I425" t="s">
        <v>4</v>
      </c>
      <c r="J425" s="3">
        <v>1</v>
      </c>
      <c r="K425" t="s">
        <v>7491</v>
      </c>
      <c r="L425" s="2">
        <v>46066</v>
      </c>
      <c r="M425" t="s">
        <v>7508</v>
      </c>
      <c r="N425" t="s">
        <v>7475</v>
      </c>
      <c r="P425">
        <f ca="1">IF(tblLog[[#This Row],[Log Date]]="","",TODAY()-tblLog[[#This Row],[Log Date]])</f>
        <v>13</v>
      </c>
      <c r="Q425" t="str">
        <f>IF(tblLog[[#This Row],[Log Date]]="","",IF(TRIM(tblLog[[#This Row],[Cycle Stage]])="Asked to be removed from database","NO","YES"))</f>
        <v>YES</v>
      </c>
      <c r="R42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6" spans="1:18" ht="15" customHeight="1">
      <c r="A426" t="s">
        <v>8037</v>
      </c>
      <c r="B426" t="str">
        <f>IFERROR(_xlfn.XLOOKUP(tblLog[[#This Row],[Unique ID]], tblMaster[Unique ID], tblMaster[First Name], ""), "")</f>
        <v xml:space="preserve">Calixto </v>
      </c>
      <c r="C426" t="str">
        <f>IFERROR(_xlfn.XLOOKUP(tblLog[[#This Row],[Unique ID]], tblMaster[Unique ID], tblMaster[Last Name], ""), "")</f>
        <v xml:space="preserve">Cruz </v>
      </c>
      <c r="D426" t="str">
        <f>IFERROR(_xlfn.XLOOKUP(tblLog[[#This Row],[Unique ID]], tblMaster[Unique ID], tblMaster[Email_Clean], ""), "")</f>
        <v>calixto77777@gmail.com</v>
      </c>
      <c r="E426" t="str">
        <f>IFERROR(_xlfn.XLOOKUP(tblLog[[#This Row],[Unique ID]], tblMaster[Unique ID], tblMaster[Phone], ""), "")</f>
        <v xml:space="preserve">(413) 847-1797 </v>
      </c>
      <c r="F426" t="str">
        <f>IFERROR(_xlfn.XLOOKUP(tblLog[[#This Row],[Unique ID]], tblMaster[Unique ID], tblMaster[Recruiter], ""), "")</f>
        <v xml:space="preserve">Enrique Ortiz </v>
      </c>
      <c r="G426" t="str">
        <f>IFERROR(_xlfn.XLOOKUP(tblLog[[#This Row],[Unique ID]], tblMaster[Unique ID], tblMaster[Recruitment Cycle], ""), "")</f>
        <v xml:space="preserve">Re-Engagment </v>
      </c>
      <c r="H426" t="s">
        <v>7455</v>
      </c>
      <c r="I426" t="s">
        <v>7434</v>
      </c>
      <c r="J426" s="3">
        <v>1</v>
      </c>
      <c r="K426" t="s">
        <v>7491</v>
      </c>
      <c r="L426" s="2">
        <v>46066</v>
      </c>
      <c r="M426" t="s">
        <v>7508</v>
      </c>
      <c r="N426" t="s">
        <v>7475</v>
      </c>
      <c r="P426">
        <f ca="1">IF(tblLog[[#This Row],[Log Date]]="","",TODAY()-tblLog[[#This Row],[Log Date]])</f>
        <v>13</v>
      </c>
      <c r="Q426" t="str">
        <f>IF(tblLog[[#This Row],[Log Date]]="","",IF(TRIM(tblLog[[#This Row],[Cycle Stage]])="Asked to be removed from database","NO","YES"))</f>
        <v>YES</v>
      </c>
      <c r="R42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7" spans="1:18" ht="15" customHeight="1">
      <c r="A427" t="s">
        <v>8038</v>
      </c>
      <c r="B427" t="str">
        <f>IFERROR(_xlfn.XLOOKUP(tblLog[[#This Row],[Unique ID]], tblMaster[Unique ID], tblMaster[First Name], ""), "")</f>
        <v xml:space="preserve">Gianna </v>
      </c>
      <c r="C427" t="str">
        <f>IFERROR(_xlfn.XLOOKUP(tblLog[[#This Row],[Unique ID]], tblMaster[Unique ID], tblMaster[Last Name], ""), "")</f>
        <v xml:space="preserve">Nicholas </v>
      </c>
      <c r="D427" t="str">
        <f>IFERROR(_xlfn.XLOOKUP(tblLog[[#This Row],[Unique ID]], tblMaster[Unique ID], tblMaster[Email_Clean], ""), "")</f>
        <v>giannanicholas22@gmail.com</v>
      </c>
      <c r="E427" t="str">
        <f>IFERROR(_xlfn.XLOOKUP(tblLog[[#This Row],[Unique ID]], tblMaster[Unique ID], tblMaster[Phone], ""), "")</f>
        <v xml:space="preserve">781) 974-0098 </v>
      </c>
      <c r="F427" t="str">
        <f>IFERROR(_xlfn.XLOOKUP(tblLog[[#This Row],[Unique ID]], tblMaster[Unique ID], tblMaster[Recruiter], ""), "")</f>
        <v xml:space="preserve">Enrique Ortiz </v>
      </c>
      <c r="G427" t="str">
        <f>IFERROR(_xlfn.XLOOKUP(tblLog[[#This Row],[Unique ID]], tblMaster[Unique ID], tblMaster[Recruitment Cycle], ""), "")</f>
        <v xml:space="preserve">Re-Engagment </v>
      </c>
      <c r="H427" t="s">
        <v>7455</v>
      </c>
      <c r="I427" t="s">
        <v>7434</v>
      </c>
      <c r="J427" s="3">
        <v>1</v>
      </c>
      <c r="K427" t="s">
        <v>7491</v>
      </c>
      <c r="L427" s="2">
        <v>46066</v>
      </c>
      <c r="M427" t="s">
        <v>7508</v>
      </c>
      <c r="N427" t="s">
        <v>7475</v>
      </c>
      <c r="P427">
        <f ca="1">IF(tblLog[[#This Row],[Log Date]]="","",TODAY()-tblLog[[#This Row],[Log Date]])</f>
        <v>13</v>
      </c>
      <c r="Q427" t="str">
        <f>IF(tblLog[[#This Row],[Log Date]]="","",IF(TRIM(tblLog[[#This Row],[Cycle Stage]])="Asked to be removed from database","NO","YES"))</f>
        <v>YES</v>
      </c>
      <c r="R42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8" spans="1:18" ht="15" customHeight="1">
      <c r="A428" t="s">
        <v>8039</v>
      </c>
      <c r="B428" t="str">
        <f>IFERROR(_xlfn.XLOOKUP(tblLog[[#This Row],[Unique ID]], tblMaster[Unique ID], tblMaster[First Name], ""), "")</f>
        <v xml:space="preserve">Joel </v>
      </c>
      <c r="C428" t="str">
        <f>IFERROR(_xlfn.XLOOKUP(tblLog[[#This Row],[Unique ID]], tblMaster[Unique ID], tblMaster[Last Name], ""), "")</f>
        <v xml:space="preserve"> Diaz </v>
      </c>
      <c r="D428" t="str">
        <f>IFERROR(_xlfn.XLOOKUP(tblLog[[#This Row],[Unique ID]], tblMaster[Unique ID], tblMaster[Email_Clean], ""), "")</f>
        <v>joeldiazpr87@gmail.com</v>
      </c>
      <c r="E428" t="str">
        <f>IFERROR(_xlfn.XLOOKUP(tblLog[[#This Row],[Unique ID]], tblMaster[Unique ID], tblMaster[Phone], ""), "")</f>
        <v xml:space="preserve">401_306-8335 </v>
      </c>
      <c r="F428" t="str">
        <f>IFERROR(_xlfn.XLOOKUP(tblLog[[#This Row],[Unique ID]], tblMaster[Unique ID], tblMaster[Recruiter], ""), "")</f>
        <v xml:space="preserve">Enrique Ortiz </v>
      </c>
      <c r="G428" t="str">
        <f>IFERROR(_xlfn.XLOOKUP(tblLog[[#This Row],[Unique ID]], tblMaster[Unique ID], tblMaster[Recruitment Cycle], ""), "")</f>
        <v xml:space="preserve">Re-Engagment </v>
      </c>
      <c r="H428" t="s">
        <v>7455</v>
      </c>
      <c r="I428" t="s">
        <v>7434</v>
      </c>
      <c r="J428" s="3">
        <v>1</v>
      </c>
      <c r="K428" t="s">
        <v>7491</v>
      </c>
      <c r="L428" s="2">
        <v>46066</v>
      </c>
      <c r="M428" t="s">
        <v>7485</v>
      </c>
      <c r="N428" t="s">
        <v>7475</v>
      </c>
      <c r="O428" t="s">
        <v>8040</v>
      </c>
      <c r="P428">
        <f ca="1">IF(tblLog[[#This Row],[Log Date]]="","",TODAY()-tblLog[[#This Row],[Log Date]])</f>
        <v>13</v>
      </c>
      <c r="Q428" t="str">
        <f>IF(tblLog[[#This Row],[Log Date]]="","",IF(TRIM(tblLog[[#This Row],[Cycle Stage]])="Asked to be removed from database","NO","YES"))</f>
        <v>YES</v>
      </c>
      <c r="R42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29" spans="1:18" ht="15" customHeight="1">
      <c r="A429" t="s">
        <v>8041</v>
      </c>
      <c r="B429" t="str">
        <f>IFERROR(_xlfn.XLOOKUP(tblLog[[#This Row],[Unique ID]], tblMaster[Unique ID], tblMaster[First Name], ""), "")</f>
        <v xml:space="preserve">Joshua </v>
      </c>
      <c r="C429" t="str">
        <f>IFERROR(_xlfn.XLOOKUP(tblLog[[#This Row],[Unique ID]], tblMaster[Unique ID], tblMaster[Last Name], ""), "")</f>
        <v xml:space="preserve">Cantillon </v>
      </c>
      <c r="D429" t="str">
        <f>IFERROR(_xlfn.XLOOKUP(tblLog[[#This Row],[Unique ID]], tblMaster[Unique ID], tblMaster[Email_Clean], ""), "")</f>
        <v>joshuacantillon1@gmail.com</v>
      </c>
      <c r="E429" t="str">
        <f>IFERROR(_xlfn.XLOOKUP(tblLog[[#This Row],[Unique ID]], tblMaster[Unique ID], tblMaster[Phone], ""), "")</f>
        <v xml:space="preserve">(774) 200-4639 </v>
      </c>
      <c r="F429" t="str">
        <f>IFERROR(_xlfn.XLOOKUP(tblLog[[#This Row],[Unique ID]], tblMaster[Unique ID], tblMaster[Recruiter], ""), "")</f>
        <v xml:space="preserve">Jevon Brown Simpson </v>
      </c>
      <c r="G429" t="str">
        <f>IFERROR(_xlfn.XLOOKUP(tblLog[[#This Row],[Unique ID]], tblMaster[Unique ID], tblMaster[Recruitment Cycle], ""), "")</f>
        <v xml:space="preserve">New Submission/ Lead </v>
      </c>
      <c r="H429" t="s">
        <v>7439</v>
      </c>
      <c r="I429" t="s">
        <v>4</v>
      </c>
      <c r="J429" s="3">
        <v>4</v>
      </c>
      <c r="K429" t="s">
        <v>7701</v>
      </c>
      <c r="L429" s="2">
        <v>46073</v>
      </c>
      <c r="M429" t="s">
        <v>7452</v>
      </c>
      <c r="N429" t="s">
        <v>7481</v>
      </c>
      <c r="O429" t="s">
        <v>8042</v>
      </c>
      <c r="P429">
        <f ca="1">IF(tblLog[[#This Row],[Log Date]]="","",TODAY()-tblLog[[#This Row],[Log Date]])</f>
        <v>6</v>
      </c>
      <c r="Q429" t="str">
        <f>IF(tblLog[[#This Row],[Log Date]]="","",IF(TRIM(tblLog[[#This Row],[Cycle Stage]])="Asked to be removed from database","NO","YES"))</f>
        <v>YES</v>
      </c>
      <c r="R42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0" spans="1:18" ht="15" customHeight="1">
      <c r="A430" t="s">
        <v>8043</v>
      </c>
      <c r="B430" t="str">
        <f>IFERROR(_xlfn.XLOOKUP(tblLog[[#This Row],[Unique ID]], tblMaster[Unique ID], tblMaster[First Name], ""), "")</f>
        <v xml:space="preserve">SAMUEL </v>
      </c>
      <c r="C430" t="str">
        <f>IFERROR(_xlfn.XLOOKUP(tblLog[[#This Row],[Unique ID]], tblMaster[Unique ID], tblMaster[Last Name], ""), "")</f>
        <v xml:space="preserve"> BOAMPONG </v>
      </c>
      <c r="D430" t="str">
        <f>IFERROR(_xlfn.XLOOKUP(tblLog[[#This Row],[Unique ID]], tblMaster[Unique ID], tblMaster[Email_Clean], ""), "")</f>
        <v>oppong214@yahoo.com</v>
      </c>
      <c r="E430" t="str">
        <f>IFERROR(_xlfn.XLOOKUP(tblLog[[#This Row],[Unique ID]], tblMaster[Unique ID], tblMaster[Phone], ""), "")</f>
        <v xml:space="preserve">214) 517-2449 </v>
      </c>
      <c r="F430" t="str">
        <f>IFERROR(_xlfn.XLOOKUP(tblLog[[#This Row],[Unique ID]], tblMaster[Unique ID], tblMaster[Recruiter], ""), "")</f>
        <v xml:space="preserve">Jevon Brown Simpson </v>
      </c>
      <c r="G430" t="str">
        <f>IFERROR(_xlfn.XLOOKUP(tblLog[[#This Row],[Unique ID]], tblMaster[Unique ID], tblMaster[Recruitment Cycle], ""), "")</f>
        <v xml:space="preserve">New Submission/ Lead </v>
      </c>
      <c r="H430" t="s">
        <v>7496</v>
      </c>
      <c r="I430" t="s">
        <v>4</v>
      </c>
      <c r="J430" s="3">
        <v>4</v>
      </c>
      <c r="K430" t="s">
        <v>7530</v>
      </c>
      <c r="L430" s="2">
        <v>46069</v>
      </c>
      <c r="M430" t="s">
        <v>7452</v>
      </c>
      <c r="N430" t="s">
        <v>7500</v>
      </c>
      <c r="P430">
        <f ca="1">IF(tblLog[[#This Row],[Log Date]]="","",TODAY()-tblLog[[#This Row],[Log Date]])</f>
        <v>10</v>
      </c>
      <c r="Q430" t="str">
        <f>IF(tblLog[[#This Row],[Log Date]]="","",IF(TRIM(tblLog[[#This Row],[Cycle Stage]])="Asked to be removed from database","NO","YES"))</f>
        <v>YES</v>
      </c>
      <c r="R43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1" spans="1:18" ht="15" customHeight="1">
      <c r="A431" t="s">
        <v>8044</v>
      </c>
      <c r="B431" t="str">
        <f>IFERROR(_xlfn.XLOOKUP(tblLog[[#This Row],[Unique ID]], tblMaster[Unique ID], tblMaster[First Name], ""), "")</f>
        <v xml:space="preserve">Brianna </v>
      </c>
      <c r="C431" t="str">
        <f>IFERROR(_xlfn.XLOOKUP(tblLog[[#This Row],[Unique ID]], tblMaster[Unique ID], tblMaster[Last Name], ""), "")</f>
        <v>Cosgro</v>
      </c>
      <c r="D431" t="str">
        <f>IFERROR(_xlfn.XLOOKUP(tblLog[[#This Row],[Unique ID]], tblMaster[Unique ID], tblMaster[Email_Clean], ""), "")</f>
        <v>briannacosgro5@gmail.com</v>
      </c>
      <c r="E431" t="str">
        <f>IFERROR(_xlfn.XLOOKUP(tblLog[[#This Row],[Unique ID]], tblMaster[Unique ID], tblMaster[Phone], ""), "")</f>
        <v>508-615-5686</v>
      </c>
      <c r="F431" t="str">
        <f>IFERROR(_xlfn.XLOOKUP(tblLog[[#This Row],[Unique ID]], tblMaster[Unique ID], tblMaster[Recruiter], ""), "")</f>
        <v xml:space="preserve">Jevon Brown Simpson </v>
      </c>
      <c r="G431" t="str">
        <f>IFERROR(_xlfn.XLOOKUP(tblLog[[#This Row],[Unique ID]], tblMaster[Unique ID], tblMaster[Recruitment Cycle], ""), "")</f>
        <v xml:space="preserve">Re-Engagment/Post Civil Service Exam </v>
      </c>
      <c r="H431" t="s">
        <v>7496</v>
      </c>
      <c r="I431" t="s">
        <v>4</v>
      </c>
      <c r="J431" s="3">
        <v>2</v>
      </c>
      <c r="K431" t="s">
        <v>7530</v>
      </c>
      <c r="L431" s="2">
        <v>46066</v>
      </c>
      <c r="M431" t="s">
        <v>7452</v>
      </c>
      <c r="N431" t="s">
        <v>7500</v>
      </c>
      <c r="P431">
        <f ca="1">IF(tblLog[[#This Row],[Log Date]]="","",TODAY()-tblLog[[#This Row],[Log Date]])</f>
        <v>13</v>
      </c>
      <c r="Q431" t="str">
        <f>IF(tblLog[[#This Row],[Log Date]]="","",IF(TRIM(tblLog[[#This Row],[Cycle Stage]])="Asked to be removed from database","NO","YES"))</f>
        <v>YES</v>
      </c>
      <c r="R43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2" spans="1:18" ht="15" customHeight="1">
      <c r="A432" t="s">
        <v>8045</v>
      </c>
      <c r="B432" t="str">
        <f>IFERROR(_xlfn.XLOOKUP(tblLog[[#This Row],[Unique ID]], tblMaster[Unique ID], tblMaster[First Name], ""), "")</f>
        <v xml:space="preserve">Deamel </v>
      </c>
      <c r="C432" t="str">
        <f>IFERROR(_xlfn.XLOOKUP(tblLog[[#This Row],[Unique ID]], tblMaster[Unique ID], tblMaster[Last Name], ""), "")</f>
        <v xml:space="preserve"> Berroa </v>
      </c>
      <c r="D432" t="str">
        <f>IFERROR(_xlfn.XLOOKUP(tblLog[[#This Row],[Unique ID]], tblMaster[Unique ID], tblMaster[Email_Clean], ""), "")</f>
        <v>deamelberroa@gmail.com</v>
      </c>
      <c r="E432" t="str">
        <f>IFERROR(_xlfn.XLOOKUP(tblLog[[#This Row],[Unique ID]], tblMaster[Unique ID], tblMaster[Phone], ""), "")</f>
        <v xml:space="preserve">(774) 271-4334 </v>
      </c>
      <c r="F432" t="str">
        <f>IFERROR(_xlfn.XLOOKUP(tblLog[[#This Row],[Unique ID]], tblMaster[Unique ID], tblMaster[Recruiter], ""), "")</f>
        <v xml:space="preserve">Jevon Brown Simpson </v>
      </c>
      <c r="G432" t="str">
        <f>IFERROR(_xlfn.XLOOKUP(tblLog[[#This Row],[Unique ID]], tblMaster[Unique ID], tblMaster[Recruitment Cycle], ""), "")</f>
        <v xml:space="preserve">Re-Engagment/Post Civil Service Exam </v>
      </c>
      <c r="H432" t="s">
        <v>7496</v>
      </c>
      <c r="I432" t="s">
        <v>4</v>
      </c>
      <c r="J432" s="3">
        <v>1</v>
      </c>
      <c r="K432" t="s">
        <v>7530</v>
      </c>
      <c r="L432" s="2">
        <v>46066</v>
      </c>
      <c r="M432" t="s">
        <v>7485</v>
      </c>
      <c r="N432" t="s">
        <v>7500</v>
      </c>
      <c r="P432">
        <f ca="1">IF(tblLog[[#This Row],[Log Date]]="","",TODAY()-tblLog[[#This Row],[Log Date]])</f>
        <v>13</v>
      </c>
      <c r="Q432" t="str">
        <f>IF(tblLog[[#This Row],[Log Date]]="","",IF(TRIM(tblLog[[#This Row],[Cycle Stage]])="Asked to be removed from database","NO","YES"))</f>
        <v>YES</v>
      </c>
      <c r="R43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3" spans="1:18" ht="15" customHeight="1">
      <c r="A433" t="s">
        <v>8046</v>
      </c>
      <c r="B433" t="str">
        <f>IFERROR(_xlfn.XLOOKUP(tblLog[[#This Row],[Unique ID]], tblMaster[Unique ID], tblMaster[First Name], ""), "")</f>
        <v>Tatiana</v>
      </c>
      <c r="C433" t="str">
        <f>IFERROR(_xlfn.XLOOKUP(tblLog[[#This Row],[Unique ID]], tblMaster[Unique ID], tblMaster[Last Name], ""), "")</f>
        <v xml:space="preserve">Rentas </v>
      </c>
      <c r="D433" t="str">
        <f>IFERROR(_xlfn.XLOOKUP(tblLog[[#This Row],[Unique ID]], tblMaster[Unique ID], tblMaster[Email_Clean], ""), "")</f>
        <v>tmrentas08@gmail.com</v>
      </c>
      <c r="E433" t="str">
        <f>IFERROR(_xlfn.XLOOKUP(tblLog[[#This Row],[Unique ID]], tblMaster[Unique ID], tblMaster[Phone], ""), "")</f>
        <v xml:space="preserve">978) 387-3213 </v>
      </c>
      <c r="F433" t="str">
        <f>IFERROR(_xlfn.XLOOKUP(tblLog[[#This Row],[Unique ID]], tblMaster[Unique ID], tblMaster[Recruiter], ""), "")</f>
        <v xml:space="preserve">Jevon Brown Simpson </v>
      </c>
      <c r="G433" t="str">
        <f>IFERROR(_xlfn.XLOOKUP(tblLog[[#This Row],[Unique ID]], tblMaster[Unique ID], tblMaster[Recruitment Cycle], ""), "")</f>
        <v xml:space="preserve">Re-Engagment/Post Civil Service Exam </v>
      </c>
      <c r="H433" t="s">
        <v>7496</v>
      </c>
      <c r="I433" t="s">
        <v>4</v>
      </c>
      <c r="J433" s="3">
        <v>2</v>
      </c>
      <c r="K433" t="s">
        <v>7530</v>
      </c>
      <c r="L433" s="2">
        <v>46066</v>
      </c>
      <c r="M433" t="s">
        <v>7452</v>
      </c>
      <c r="N433" t="s">
        <v>7500</v>
      </c>
      <c r="P433">
        <f ca="1">IF(tblLog[[#This Row],[Log Date]]="","",TODAY()-tblLog[[#This Row],[Log Date]])</f>
        <v>13</v>
      </c>
      <c r="Q433" t="str">
        <f>IF(tblLog[[#This Row],[Log Date]]="","",IF(TRIM(tblLog[[#This Row],[Cycle Stage]])="Asked to be removed from database","NO","YES"))</f>
        <v>YES</v>
      </c>
      <c r="R43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4" spans="1:18" ht="15" customHeight="1">
      <c r="A434" t="s">
        <v>8047</v>
      </c>
      <c r="B434" t="str">
        <f>IFERROR(_xlfn.XLOOKUP(tblLog[[#This Row],[Unique ID]], tblMaster[Unique ID], tblMaster[First Name], ""), "")</f>
        <v>Charles</v>
      </c>
      <c r="C434" t="str">
        <f>IFERROR(_xlfn.XLOOKUP(tblLog[[#This Row],[Unique ID]], tblMaster[Unique ID], tblMaster[Last Name], ""), "")</f>
        <v xml:space="preserve">Cotton </v>
      </c>
      <c r="D434" t="str">
        <f>IFERROR(_xlfn.XLOOKUP(tblLog[[#This Row],[Unique ID]], tblMaster[Unique ID], tblMaster[Email_Clean], ""), "")</f>
        <v>hockeyplayer0810@yahoo.com</v>
      </c>
      <c r="E434" t="str">
        <f>IFERROR(_xlfn.XLOOKUP(tblLog[[#This Row],[Unique ID]], tblMaster[Unique ID], tblMaster[Phone], ""), "")</f>
        <v xml:space="preserve">774) 993-9991 </v>
      </c>
      <c r="F434" t="str">
        <f>IFERROR(_xlfn.XLOOKUP(tblLog[[#This Row],[Unique ID]], tblMaster[Unique ID], tblMaster[Recruiter], ""), "")</f>
        <v xml:space="preserve">Tom Clark </v>
      </c>
      <c r="G434" t="str">
        <f>IFERROR(_xlfn.XLOOKUP(tblLog[[#This Row],[Unique ID]], tblMaster[Unique ID], tblMaster[Recruitment Cycle], ""), "")</f>
        <v xml:space="preserve">New Submission/ Lead </v>
      </c>
      <c r="H434" t="s">
        <v>7496</v>
      </c>
      <c r="I434" t="s">
        <v>7434</v>
      </c>
      <c r="J434" s="3">
        <v>2</v>
      </c>
      <c r="K434" t="s">
        <v>7530</v>
      </c>
      <c r="L434" s="2">
        <v>46066</v>
      </c>
      <c r="M434" t="s">
        <v>7452</v>
      </c>
      <c r="N434" t="s">
        <v>7475</v>
      </c>
      <c r="P434">
        <f ca="1">IF(tblLog[[#This Row],[Log Date]]="","",TODAY()-tblLog[[#This Row],[Log Date]])</f>
        <v>13</v>
      </c>
      <c r="Q434" t="str">
        <f>IF(tblLog[[#This Row],[Log Date]]="","",IF(TRIM(tblLog[[#This Row],[Cycle Stage]])="Asked to be removed from database","NO","YES"))</f>
        <v>YES</v>
      </c>
      <c r="R43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5" spans="1:18" ht="15" customHeight="1">
      <c r="A435" t="s">
        <v>8048</v>
      </c>
      <c r="B435" t="str">
        <f>IFERROR(_xlfn.XLOOKUP(tblLog[[#This Row],[Unique ID]], tblMaster[Unique ID], tblMaster[First Name], ""), "")</f>
        <v xml:space="preserve">Alain </v>
      </c>
      <c r="C435" t="str">
        <f>IFERROR(_xlfn.XLOOKUP(tblLog[[#This Row],[Unique ID]], tblMaster[Unique ID], tblMaster[Last Name], ""), "")</f>
        <v xml:space="preserve">Jean Louis </v>
      </c>
      <c r="D435" t="str">
        <f>IFERROR(_xlfn.XLOOKUP(tblLog[[#This Row],[Unique ID]], tblMaster[Unique ID], tblMaster[Email_Clean], ""), "")</f>
        <v>alainjlouis3@gmail.com</v>
      </c>
      <c r="E435" t="str">
        <f>IFERROR(_xlfn.XLOOKUP(tblLog[[#This Row],[Unique ID]], tblMaster[Unique ID], tblMaster[Phone], ""), "")</f>
        <v xml:space="preserve">(617) 921-6642 </v>
      </c>
      <c r="F435" t="str">
        <f>IFERROR(_xlfn.XLOOKUP(tblLog[[#This Row],[Unique ID]], tblMaster[Unique ID], tblMaster[Recruiter], ""), "")</f>
        <v xml:space="preserve">Tom Clark </v>
      </c>
      <c r="G435" t="str">
        <f>IFERROR(_xlfn.XLOOKUP(tblLog[[#This Row],[Unique ID]], tblMaster[Unique ID], tblMaster[Recruitment Cycle], ""), "")</f>
        <v xml:space="preserve">New Submission/ Lead </v>
      </c>
      <c r="H435" t="s">
        <v>7496</v>
      </c>
      <c r="I435" t="s">
        <v>7434</v>
      </c>
      <c r="J435" s="3">
        <v>2</v>
      </c>
      <c r="K435" t="s">
        <v>7530</v>
      </c>
      <c r="L435" s="2">
        <v>46066</v>
      </c>
      <c r="M435" t="s">
        <v>7452</v>
      </c>
      <c r="N435" t="s">
        <v>7475</v>
      </c>
      <c r="P435">
        <f ca="1">IF(tblLog[[#This Row],[Log Date]]="","",TODAY()-tblLog[[#This Row],[Log Date]])</f>
        <v>13</v>
      </c>
      <c r="Q435" t="str">
        <f>IF(tblLog[[#This Row],[Log Date]]="","",IF(TRIM(tblLog[[#This Row],[Cycle Stage]])="Asked to be removed from database","NO","YES"))</f>
        <v>YES</v>
      </c>
      <c r="R43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6" spans="1:18" ht="15" customHeight="1">
      <c r="A436" t="s">
        <v>8049</v>
      </c>
      <c r="B436" t="str">
        <f>IFERROR(_xlfn.XLOOKUP(tblLog[[#This Row],[Unique ID]], tblMaster[Unique ID], tblMaster[First Name], ""), "")</f>
        <v>Stephano</v>
      </c>
      <c r="C436" t="str">
        <f>IFERROR(_xlfn.XLOOKUP(tblLog[[#This Row],[Unique ID]], tblMaster[Unique ID], tblMaster[Last Name], ""), "")</f>
        <v>Tejada</v>
      </c>
      <c r="D436" t="str">
        <f>IFERROR(_xlfn.XLOOKUP(tblLog[[#This Row],[Unique ID]], tblMaster[Unique ID], tblMaster[Email_Clean], ""), "")</f>
        <v>stephtejx02@gmail.com</v>
      </c>
      <c r="E436" t="str">
        <f>IFERROR(_xlfn.XLOOKUP(tblLog[[#This Row],[Unique ID]], tblMaster[Unique ID], tblMaster[Phone], ""), "")</f>
        <v>(978) 210-6402</v>
      </c>
      <c r="F436" t="str">
        <f>IFERROR(_xlfn.XLOOKUP(tblLog[[#This Row],[Unique ID]], tblMaster[Unique ID], tblMaster[Recruiter], ""), "")</f>
        <v xml:space="preserve">Christopher Servello </v>
      </c>
      <c r="G436" t="str">
        <f>IFERROR(_xlfn.XLOOKUP(tblLog[[#This Row],[Unique ID]], tblMaster[Unique ID], tblMaster[Recruitment Cycle], ""), "")</f>
        <v xml:space="preserve">New Submission/ Lead </v>
      </c>
      <c r="H436" t="s">
        <v>7496</v>
      </c>
      <c r="I436" t="s">
        <v>4</v>
      </c>
      <c r="J436" s="3">
        <v>2</v>
      </c>
      <c r="K436" t="s">
        <v>7491</v>
      </c>
      <c r="L436" s="2">
        <v>46070</v>
      </c>
      <c r="M436" t="s">
        <v>7452</v>
      </c>
      <c r="N436" t="s">
        <v>7497</v>
      </c>
      <c r="P436">
        <f ca="1">IF(tblLog[[#This Row],[Log Date]]="","",TODAY()-tblLog[[#This Row],[Log Date]])</f>
        <v>9</v>
      </c>
      <c r="Q436" t="str">
        <f>IF(tblLog[[#This Row],[Log Date]]="","",IF(TRIM(tblLog[[#This Row],[Cycle Stage]])="Asked to be removed from database","NO","YES"))</f>
        <v>YES</v>
      </c>
      <c r="R43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7" spans="1:18" ht="15" customHeight="1">
      <c r="A437" t="s">
        <v>8050</v>
      </c>
      <c r="B437" t="str">
        <f>IFERROR(_xlfn.XLOOKUP(tblLog[[#This Row],[Unique ID]], tblMaster[Unique ID], tblMaster[First Name], ""), "")</f>
        <v xml:space="preserve">Bryan </v>
      </c>
      <c r="C437" t="str">
        <f>IFERROR(_xlfn.XLOOKUP(tblLog[[#This Row],[Unique ID]], tblMaster[Unique ID], tblMaster[Last Name], ""), "")</f>
        <v xml:space="preserve"> Beckford </v>
      </c>
      <c r="D437" t="str">
        <f>IFERROR(_xlfn.XLOOKUP(tblLog[[#This Row],[Unique ID]], tblMaster[Unique ID], tblMaster[Email_Clean], ""), "")</f>
        <v>tj.beckford29@yahoo.com</v>
      </c>
      <c r="E437" t="str">
        <f>IFERROR(_xlfn.XLOOKUP(tblLog[[#This Row],[Unique ID]], tblMaster[Unique ID], tblMaster[Phone], ""), "")</f>
        <v xml:space="preserve">(860) 244-3667 </v>
      </c>
      <c r="F437" t="str">
        <f>IFERROR(_xlfn.XLOOKUP(tblLog[[#This Row],[Unique ID]], tblMaster[Unique ID], tblMaster[Recruiter], ""), "")</f>
        <v xml:space="preserve">Jevon Brown Simpson </v>
      </c>
      <c r="G437" t="str">
        <f>IFERROR(_xlfn.XLOOKUP(tblLog[[#This Row],[Unique ID]], tblMaster[Unique ID], tblMaster[Recruitment Cycle], ""), "")</f>
        <v xml:space="preserve">New Submission/ Lead </v>
      </c>
      <c r="H437" t="s">
        <v>7439</v>
      </c>
      <c r="I437" t="s">
        <v>4</v>
      </c>
      <c r="J437" s="3">
        <v>2</v>
      </c>
      <c r="K437" t="s">
        <v>7701</v>
      </c>
      <c r="L437" s="2">
        <v>46066</v>
      </c>
      <c r="M437" t="s">
        <v>7452</v>
      </c>
      <c r="N437" t="s">
        <v>7481</v>
      </c>
      <c r="P437">
        <f ca="1">IF(tblLog[[#This Row],[Log Date]]="","",TODAY()-tblLog[[#This Row],[Log Date]])</f>
        <v>13</v>
      </c>
      <c r="Q437" t="str">
        <f>IF(tblLog[[#This Row],[Log Date]]="","",IF(TRIM(tblLog[[#This Row],[Cycle Stage]])="Asked to be removed from database","NO","YES"))</f>
        <v>YES</v>
      </c>
      <c r="R43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8" spans="1:18" ht="15" customHeight="1">
      <c r="A438" t="s">
        <v>8051</v>
      </c>
      <c r="B438" t="str">
        <f>IFERROR(_xlfn.XLOOKUP(tblLog[[#This Row],[Unique ID]], tblMaster[Unique ID], tblMaster[First Name], ""), "")</f>
        <v xml:space="preserve">Jean </v>
      </c>
      <c r="C438" t="str">
        <f>IFERROR(_xlfn.XLOOKUP(tblLog[[#This Row],[Unique ID]], tblMaster[Unique ID], tblMaster[Last Name], ""), "")</f>
        <v xml:space="preserve">Gelin </v>
      </c>
      <c r="D438" t="str">
        <f>IFERROR(_xlfn.XLOOKUP(tblLog[[#This Row],[Unique ID]], tblMaster[Unique ID], tblMaster[Email_Clean], ""), "")</f>
        <v>jgelin17@gmail.com</v>
      </c>
      <c r="E438" t="str">
        <f>IFERROR(_xlfn.XLOOKUP(tblLog[[#This Row],[Unique ID]], tblMaster[Unique ID], tblMaster[Phone], ""), "")</f>
        <v xml:space="preserve">(508) 431-0819 </v>
      </c>
      <c r="F438" t="str">
        <f>IFERROR(_xlfn.XLOOKUP(tblLog[[#This Row],[Unique ID]], tblMaster[Unique ID], tblMaster[Recruiter], ""), "")</f>
        <v xml:space="preserve">Jevon Brown Simpson </v>
      </c>
      <c r="G438" t="str">
        <f>IFERROR(_xlfn.XLOOKUP(tblLog[[#This Row],[Unique ID]], tblMaster[Unique ID], tblMaster[Recruitment Cycle], ""), "")</f>
        <v xml:space="preserve">Re-Engagment/Post Civil Service Exam </v>
      </c>
      <c r="H438" t="s">
        <v>7496</v>
      </c>
      <c r="I438" t="s">
        <v>4</v>
      </c>
      <c r="J438" s="3">
        <v>3</v>
      </c>
      <c r="K438" t="s">
        <v>7530</v>
      </c>
      <c r="L438" s="2">
        <v>46066</v>
      </c>
      <c r="M438" t="s">
        <v>7508</v>
      </c>
      <c r="N438" t="s">
        <v>7481</v>
      </c>
      <c r="O438" t="s">
        <v>8052</v>
      </c>
      <c r="P438">
        <f ca="1">IF(tblLog[[#This Row],[Log Date]]="","",TODAY()-tblLog[[#This Row],[Log Date]])</f>
        <v>13</v>
      </c>
      <c r="Q438" t="str">
        <f>IF(tblLog[[#This Row],[Log Date]]="","",IF(TRIM(tblLog[[#This Row],[Cycle Stage]])="Asked to be removed from database","NO","YES"))</f>
        <v>YES</v>
      </c>
      <c r="R43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39" spans="1:18" ht="15" customHeight="1">
      <c r="A439" t="s">
        <v>8053</v>
      </c>
      <c r="B439" t="str">
        <f>IFERROR(_xlfn.XLOOKUP(tblLog[[#This Row],[Unique ID]], tblMaster[Unique ID], tblMaster[First Name], ""), "")</f>
        <v>Ronnie</v>
      </c>
      <c r="C439" t="str">
        <f>IFERROR(_xlfn.XLOOKUP(tblLog[[#This Row],[Unique ID]], tblMaster[Unique ID], tblMaster[Last Name], ""), "")</f>
        <v xml:space="preserve"> Jacobs </v>
      </c>
      <c r="D439" t="str">
        <f>IFERROR(_xlfn.XLOOKUP(tblLog[[#This Row],[Unique ID]], tblMaster[Unique ID], tblMaster[Email_Clean], ""), "")</f>
        <v>ronniesacredbox@gmail.com</v>
      </c>
      <c r="E439" t="str">
        <f>IFERROR(_xlfn.XLOOKUP(tblLog[[#This Row],[Unique ID]], tblMaster[Unique ID], tblMaster[Phone], ""), "")</f>
        <v xml:space="preserve">(413) 693-6722 </v>
      </c>
      <c r="F439" t="str">
        <f>IFERROR(_xlfn.XLOOKUP(tblLog[[#This Row],[Unique ID]], tblMaster[Unique ID], tblMaster[Recruiter], ""), "")</f>
        <v xml:space="preserve">Jevon Brown Simpson </v>
      </c>
      <c r="G439" t="str">
        <f>IFERROR(_xlfn.XLOOKUP(tblLog[[#This Row],[Unique ID]], tblMaster[Unique ID], tblMaster[Recruitment Cycle], ""), "")</f>
        <v xml:space="preserve">Re-Engagment/Post Civil Service Exam </v>
      </c>
      <c r="H439" t="s">
        <v>7496</v>
      </c>
      <c r="I439" t="s">
        <v>4</v>
      </c>
      <c r="J439" s="3">
        <v>2</v>
      </c>
      <c r="K439" t="s">
        <v>7530</v>
      </c>
      <c r="L439" s="2">
        <v>46066</v>
      </c>
      <c r="M439" t="s">
        <v>7598</v>
      </c>
      <c r="N439" t="s">
        <v>7481</v>
      </c>
      <c r="O439" t="s">
        <v>8054</v>
      </c>
      <c r="P439">
        <f ca="1">IF(tblLog[[#This Row],[Log Date]]="","",TODAY()-tblLog[[#This Row],[Log Date]])</f>
        <v>13</v>
      </c>
      <c r="Q439" t="str">
        <f>IF(tblLog[[#This Row],[Log Date]]="","",IF(TRIM(tblLog[[#This Row],[Cycle Stage]])="Asked to be removed from database","NO","YES"))</f>
        <v>YES</v>
      </c>
      <c r="R43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0" spans="1:18" ht="15" customHeight="1">
      <c r="A440" t="s">
        <v>8055</v>
      </c>
      <c r="B440" t="str">
        <f>IFERROR(_xlfn.XLOOKUP(tblLog[[#This Row],[Unique ID]], tblMaster[Unique ID], tblMaster[First Name], ""), "")</f>
        <v>Ari</v>
      </c>
      <c r="C440" t="str">
        <f>IFERROR(_xlfn.XLOOKUP(tblLog[[#This Row],[Unique ID]], tblMaster[Unique ID], tblMaster[Last Name], ""), "")</f>
        <v>Koutsogiannis</v>
      </c>
      <c r="D440" t="str">
        <f>IFERROR(_xlfn.XLOOKUP(tblLog[[#This Row],[Unique ID]], tblMaster[Unique ID], tblMaster[Email_Clean], ""), "")</f>
        <v>akouts123@gmail.com</v>
      </c>
      <c r="E440" t="str">
        <f>IFERROR(_xlfn.XLOOKUP(tblLog[[#This Row],[Unique ID]], tblMaster[Unique ID], tblMaster[Phone], ""), "")</f>
        <v>(774) 274-9433</v>
      </c>
      <c r="F440" t="str">
        <f>IFERROR(_xlfn.XLOOKUP(tblLog[[#This Row],[Unique ID]], tblMaster[Unique ID], tblMaster[Recruiter], ""), "")</f>
        <v xml:space="preserve">Jevon Brown Simpson </v>
      </c>
      <c r="G440" t="str">
        <f>IFERROR(_xlfn.XLOOKUP(tblLog[[#This Row],[Unique ID]], tblMaster[Unique ID], tblMaster[Recruitment Cycle], ""), "")</f>
        <v xml:space="preserve">New Submission/ Lead </v>
      </c>
      <c r="H440" t="s">
        <v>7496</v>
      </c>
      <c r="I440" t="s">
        <v>4</v>
      </c>
      <c r="J440" s="3">
        <v>2</v>
      </c>
      <c r="K440" t="s">
        <v>4</v>
      </c>
      <c r="L440" s="2">
        <v>46066</v>
      </c>
      <c r="M440" t="s">
        <v>7508</v>
      </c>
      <c r="N440" t="s">
        <v>7481</v>
      </c>
      <c r="P440">
        <f ca="1">IF(tblLog[[#This Row],[Log Date]]="","",TODAY()-tblLog[[#This Row],[Log Date]])</f>
        <v>13</v>
      </c>
      <c r="Q440" t="str">
        <f>IF(tblLog[[#This Row],[Log Date]]="","",IF(TRIM(tblLog[[#This Row],[Cycle Stage]])="Asked to be removed from database","NO","YES"))</f>
        <v>YES</v>
      </c>
      <c r="R44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1" spans="1:18" ht="15" customHeight="1">
      <c r="A441" t="s">
        <v>8056</v>
      </c>
      <c r="B441" t="str">
        <f>IFERROR(_xlfn.XLOOKUP(tblLog[[#This Row],[Unique ID]], tblMaster[Unique ID], tblMaster[First Name], ""), "")</f>
        <v>Fritzi</v>
      </c>
      <c r="C441" t="str">
        <f>IFERROR(_xlfn.XLOOKUP(tblLog[[#This Row],[Unique ID]], tblMaster[Unique ID], tblMaster[Last Name], ""), "")</f>
        <v>Jean</v>
      </c>
      <c r="D441" t="str">
        <f>IFERROR(_xlfn.XLOOKUP(tblLog[[#This Row],[Unique ID]], tblMaster[Unique ID], tblMaster[Email_Clean], ""), "")</f>
        <v>fritzijean84@gmail.com</v>
      </c>
      <c r="E441" t="str">
        <f>IFERROR(_xlfn.XLOOKUP(tblLog[[#This Row],[Unique ID]], tblMaster[Unique ID], tblMaster[Phone], ""), "")</f>
        <v>617-816-2722</v>
      </c>
      <c r="F441" t="str">
        <f>IFERROR(_xlfn.XLOOKUP(tblLog[[#This Row],[Unique ID]], tblMaster[Unique ID], tblMaster[Recruiter], ""), "")</f>
        <v xml:space="preserve">Christopher Servello </v>
      </c>
      <c r="G441" t="str">
        <f>IFERROR(_xlfn.XLOOKUP(tblLog[[#This Row],[Unique ID]], tblMaster[Unique ID], tblMaster[Recruitment Cycle], ""), "")</f>
        <v xml:space="preserve">Re-Engagment </v>
      </c>
      <c r="H441" t="s">
        <v>7496</v>
      </c>
      <c r="I441" t="s">
        <v>4</v>
      </c>
      <c r="J441" s="3">
        <v>2</v>
      </c>
      <c r="K441" t="s">
        <v>7491</v>
      </c>
      <c r="L441" s="2">
        <v>46066</v>
      </c>
      <c r="N441" t="s">
        <v>7497</v>
      </c>
      <c r="P441">
        <f ca="1">IF(tblLog[[#This Row],[Log Date]]="","",TODAY()-tblLog[[#This Row],[Log Date]])</f>
        <v>13</v>
      </c>
      <c r="Q441" t="str">
        <f>IF(tblLog[[#This Row],[Log Date]]="","",IF(TRIM(tblLog[[#This Row],[Cycle Stage]])="Asked to be removed from database","NO","YES"))</f>
        <v>YES</v>
      </c>
      <c r="R44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2" spans="1:18" ht="15" customHeight="1">
      <c r="A442" t="s">
        <v>8057</v>
      </c>
      <c r="B442" t="str">
        <f>IFERROR(_xlfn.XLOOKUP(tblLog[[#This Row],[Unique ID]], tblMaster[Unique ID], tblMaster[First Name], ""), "")</f>
        <v xml:space="preserve">Yariangellie Marie </v>
      </c>
      <c r="C442" t="str">
        <f>IFERROR(_xlfn.XLOOKUP(tblLog[[#This Row],[Unique ID]], tblMaster[Unique ID], tblMaster[Last Name], ""), "")</f>
        <v xml:space="preserve"> Lopez-Torres</v>
      </c>
      <c r="D442" t="str">
        <f>IFERROR(_xlfn.XLOOKUP(tblLog[[#This Row],[Unique ID]], tblMaster[Unique ID], tblMaster[Email_Clean], ""), "")</f>
        <v>lopezyarian09@icloud.com</v>
      </c>
      <c r="E442" t="str">
        <f>IFERROR(_xlfn.XLOOKUP(tblLog[[#This Row],[Unique ID]], tblMaster[Unique ID], tblMaster[Phone], ""), "")</f>
        <v>(413) 657-5705</v>
      </c>
      <c r="F442" t="str">
        <f>IFERROR(_xlfn.XLOOKUP(tblLog[[#This Row],[Unique ID]], tblMaster[Unique ID], tblMaster[Recruiter], ""), "")</f>
        <v xml:space="preserve">Christopher Servello </v>
      </c>
      <c r="G442" t="str">
        <f>IFERROR(_xlfn.XLOOKUP(tblLog[[#This Row],[Unique ID]], tblMaster[Unique ID], tblMaster[Recruitment Cycle], ""), "")</f>
        <v xml:space="preserve">Re-Engagment </v>
      </c>
      <c r="H442" t="s">
        <v>7496</v>
      </c>
      <c r="I442" t="s">
        <v>4</v>
      </c>
      <c r="J442" s="3">
        <v>2</v>
      </c>
      <c r="K442" t="s">
        <v>7491</v>
      </c>
      <c r="L442" s="2">
        <v>46066</v>
      </c>
      <c r="M442" t="s">
        <v>7452</v>
      </c>
      <c r="N442" t="s">
        <v>7497</v>
      </c>
      <c r="P442">
        <f ca="1">IF(tblLog[[#This Row],[Log Date]]="","",TODAY()-tblLog[[#This Row],[Log Date]])</f>
        <v>13</v>
      </c>
      <c r="Q442" t="str">
        <f>IF(tblLog[[#This Row],[Log Date]]="","",IF(TRIM(tblLog[[#This Row],[Cycle Stage]])="Asked to be removed from database","NO","YES"))</f>
        <v>YES</v>
      </c>
      <c r="R44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3" spans="1:18" ht="15" customHeight="1">
      <c r="A443" t="s">
        <v>8058</v>
      </c>
      <c r="B443" t="str">
        <f>IFERROR(_xlfn.XLOOKUP(tblLog[[#This Row],[Unique ID]], tblMaster[Unique ID], tblMaster[First Name], ""), "")</f>
        <v>Carla</v>
      </c>
      <c r="C443" t="str">
        <f>IFERROR(_xlfn.XLOOKUP(tblLog[[#This Row],[Unique ID]], tblMaster[Unique ID], tblMaster[Last Name], ""), "")</f>
        <v>J. Perez</v>
      </c>
      <c r="D443" t="str">
        <f>IFERROR(_xlfn.XLOOKUP(tblLog[[#This Row],[Unique ID]], tblMaster[Unique ID], tblMaster[Email_Clean], ""), "")</f>
        <v>carlajoana2018@gmail.com</v>
      </c>
      <c r="E443" t="str">
        <f>IFERROR(_xlfn.XLOOKUP(tblLog[[#This Row],[Unique ID]], tblMaster[Unique ID], tblMaster[Phone], ""), "")</f>
        <v>774)-772-4719</v>
      </c>
      <c r="F443" t="str">
        <f>IFERROR(_xlfn.XLOOKUP(tblLog[[#This Row],[Unique ID]], tblMaster[Unique ID], tblMaster[Recruiter], ""), "")</f>
        <v xml:space="preserve">Christopher Servello </v>
      </c>
      <c r="G443" t="str">
        <f>IFERROR(_xlfn.XLOOKUP(tblLog[[#This Row],[Unique ID]], tblMaster[Unique ID], tblMaster[Recruitment Cycle], ""), "")</f>
        <v xml:space="preserve">Re-Engagment </v>
      </c>
      <c r="H443" t="s">
        <v>7496</v>
      </c>
      <c r="I443" t="s">
        <v>4</v>
      </c>
      <c r="J443" s="3">
        <v>2</v>
      </c>
      <c r="K443" t="s">
        <v>7491</v>
      </c>
      <c r="L443" s="2">
        <v>46066</v>
      </c>
      <c r="M443" t="s">
        <v>7452</v>
      </c>
      <c r="N443" t="s">
        <v>7497</v>
      </c>
      <c r="P443">
        <f ca="1">IF(tblLog[[#This Row],[Log Date]]="","",TODAY()-tblLog[[#This Row],[Log Date]])</f>
        <v>13</v>
      </c>
      <c r="Q443" t="str">
        <f>IF(tblLog[[#This Row],[Log Date]]="","",IF(TRIM(tblLog[[#This Row],[Cycle Stage]])="Asked to be removed from database","NO","YES"))</f>
        <v>YES</v>
      </c>
      <c r="R44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4" spans="1:18" ht="15" customHeight="1">
      <c r="A444" t="s">
        <v>8059</v>
      </c>
      <c r="B444" t="str">
        <f>IFERROR(_xlfn.XLOOKUP(tblLog[[#This Row],[Unique ID]], tblMaster[Unique ID], tblMaster[First Name], ""), "")</f>
        <v xml:space="preserve">Alcides </v>
      </c>
      <c r="C444" t="str">
        <f>IFERROR(_xlfn.XLOOKUP(tblLog[[#This Row],[Unique ID]], tblMaster[Unique ID], tblMaster[Last Name], ""), "")</f>
        <v>Gomes</v>
      </c>
      <c r="D444" t="str">
        <f>IFERROR(_xlfn.XLOOKUP(tblLog[[#This Row],[Unique ID]], tblMaster[Unique ID], tblMaster[Email_Clean], ""), "")</f>
        <v>alcidesgomes63@gmail.com</v>
      </c>
      <c r="E444" t="str">
        <f>IFERROR(_xlfn.XLOOKUP(tblLog[[#This Row],[Unique ID]], tblMaster[Unique ID], tblMaster[Phone], ""), "")</f>
        <v>401-340-7556</v>
      </c>
      <c r="F444" t="str">
        <f>IFERROR(_xlfn.XLOOKUP(tblLog[[#This Row],[Unique ID]], tblMaster[Unique ID], tblMaster[Recruiter], ""), "")</f>
        <v xml:space="preserve">Christopher Servello </v>
      </c>
      <c r="G444" t="str">
        <f>IFERROR(_xlfn.XLOOKUP(tblLog[[#This Row],[Unique ID]], tblMaster[Unique ID], tblMaster[Recruitment Cycle], ""), "")</f>
        <v xml:space="preserve">Re-Engagment </v>
      </c>
      <c r="H444" t="s">
        <v>7496</v>
      </c>
      <c r="I444" t="s">
        <v>4</v>
      </c>
      <c r="J444" s="3">
        <v>2</v>
      </c>
      <c r="K444" t="s">
        <v>7491</v>
      </c>
      <c r="L444" s="2">
        <v>46066</v>
      </c>
      <c r="M444" t="s">
        <v>7452</v>
      </c>
      <c r="N444" t="s">
        <v>7497</v>
      </c>
      <c r="P444">
        <f ca="1">IF(tblLog[[#This Row],[Log Date]]="","",TODAY()-tblLog[[#This Row],[Log Date]])</f>
        <v>13</v>
      </c>
      <c r="Q444" t="str">
        <f>IF(tblLog[[#This Row],[Log Date]]="","",IF(TRIM(tblLog[[#This Row],[Cycle Stage]])="Asked to be removed from database","NO","YES"))</f>
        <v>YES</v>
      </c>
      <c r="R44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5" spans="1:18" ht="15" customHeight="1">
      <c r="A445" t="s">
        <v>8060</v>
      </c>
      <c r="B445" t="str">
        <f>IFERROR(_xlfn.XLOOKUP(tblLog[[#This Row],[Unique ID]], tblMaster[Unique ID], tblMaster[First Name], ""), "")</f>
        <v>Katherine</v>
      </c>
      <c r="C445" t="str">
        <f>IFERROR(_xlfn.XLOOKUP(tblLog[[#This Row],[Unique ID]], tblMaster[Unique ID], tblMaster[Last Name], ""), "")</f>
        <v xml:space="preserve"> Rivera</v>
      </c>
      <c r="D445" t="str">
        <f>IFERROR(_xlfn.XLOOKUP(tblLog[[#This Row],[Unique ID]], tblMaster[Unique ID], tblMaster[Email_Clean], ""), "")</f>
        <v>kayr217@gmail.com</v>
      </c>
      <c r="E445" t="str">
        <f>IFERROR(_xlfn.XLOOKUP(tblLog[[#This Row],[Unique ID]], tblMaster[Unique ID], tblMaster[Phone], ""), "")</f>
        <v>781-407-3646</v>
      </c>
      <c r="F445" t="str">
        <f>IFERROR(_xlfn.XLOOKUP(tblLog[[#This Row],[Unique ID]], tblMaster[Unique ID], tblMaster[Recruiter], ""), "")</f>
        <v xml:space="preserve">Christopher Servello </v>
      </c>
      <c r="G445" t="str">
        <f>IFERROR(_xlfn.XLOOKUP(tblLog[[#This Row],[Unique ID]], tblMaster[Unique ID], tblMaster[Recruitment Cycle], ""), "")</f>
        <v xml:space="preserve">Re-Engagment </v>
      </c>
      <c r="H445" t="s">
        <v>7496</v>
      </c>
      <c r="I445" t="s">
        <v>4</v>
      </c>
      <c r="J445" s="3">
        <v>2</v>
      </c>
      <c r="K445" t="s">
        <v>7491</v>
      </c>
      <c r="L445" s="2">
        <v>46066</v>
      </c>
      <c r="M445" t="s">
        <v>7452</v>
      </c>
      <c r="N445" t="s">
        <v>7497</v>
      </c>
      <c r="P445">
        <f ca="1">IF(tblLog[[#This Row],[Log Date]]="","",TODAY()-tblLog[[#This Row],[Log Date]])</f>
        <v>13</v>
      </c>
      <c r="Q445" t="str">
        <f>IF(tblLog[[#This Row],[Log Date]]="","",IF(TRIM(tblLog[[#This Row],[Cycle Stage]])="Asked to be removed from database","NO","YES"))</f>
        <v>YES</v>
      </c>
      <c r="R44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6" spans="1:18" ht="15" customHeight="1">
      <c r="A446" t="s">
        <v>8061</v>
      </c>
      <c r="B446" t="str">
        <f>IFERROR(_xlfn.XLOOKUP(tblLog[[#This Row],[Unique ID]], tblMaster[Unique ID], tblMaster[First Name], ""), "")</f>
        <v xml:space="preserve">Van </v>
      </c>
      <c r="C446" t="str">
        <f>IFERROR(_xlfn.XLOOKUP(tblLog[[#This Row],[Unique ID]], tblMaster[Unique ID], tblMaster[Last Name], ""), "")</f>
        <v>Thomas</v>
      </c>
      <c r="D446" t="str">
        <f>IFERROR(_xlfn.XLOOKUP(tblLog[[#This Row],[Unique ID]], tblMaster[Unique ID], tblMaster[Email_Clean], ""), "")</f>
        <v>thomasvan731@gmail.com</v>
      </c>
      <c r="E446" t="str">
        <f>IFERROR(_xlfn.XLOOKUP(tblLog[[#This Row],[Unique ID]], tblMaster[Unique ID], tblMaster[Phone], ""), "")</f>
        <v>774-615-6312</v>
      </c>
      <c r="F446" t="str">
        <f>IFERROR(_xlfn.XLOOKUP(tblLog[[#This Row],[Unique ID]], tblMaster[Unique ID], tblMaster[Recruiter], ""), "")</f>
        <v xml:space="preserve">Christopher Servello </v>
      </c>
      <c r="G446" t="str">
        <f>IFERROR(_xlfn.XLOOKUP(tblLog[[#This Row],[Unique ID]], tblMaster[Unique ID], tblMaster[Recruitment Cycle], ""), "")</f>
        <v xml:space="preserve">Re-Engagment </v>
      </c>
      <c r="H446" t="s">
        <v>7496</v>
      </c>
      <c r="I446" t="s">
        <v>4</v>
      </c>
      <c r="J446" s="3">
        <v>2</v>
      </c>
      <c r="K446" t="s">
        <v>7491</v>
      </c>
      <c r="L446" s="2">
        <v>46066</v>
      </c>
      <c r="M446" t="s">
        <v>7452</v>
      </c>
      <c r="N446" t="s">
        <v>7497</v>
      </c>
      <c r="P446">
        <f ca="1">IF(tblLog[[#This Row],[Log Date]]="","",TODAY()-tblLog[[#This Row],[Log Date]])</f>
        <v>13</v>
      </c>
      <c r="Q446" t="str">
        <f>IF(tblLog[[#This Row],[Log Date]]="","",IF(TRIM(tblLog[[#This Row],[Cycle Stage]])="Asked to be removed from database","NO","YES"))</f>
        <v>YES</v>
      </c>
      <c r="R44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7" spans="1:18" ht="15" customHeight="1">
      <c r="A447" t="s">
        <v>8062</v>
      </c>
      <c r="B447" t="str">
        <f>IFERROR(_xlfn.XLOOKUP(tblLog[[#This Row],[Unique ID]], tblMaster[Unique ID], tblMaster[First Name], ""), "")</f>
        <v xml:space="preserve">Bryan </v>
      </c>
      <c r="C447" t="str">
        <f>IFERROR(_xlfn.XLOOKUP(tblLog[[#This Row],[Unique ID]], tblMaster[Unique ID], tblMaster[Last Name], ""), "")</f>
        <v>Webb</v>
      </c>
      <c r="D447" t="str">
        <f>IFERROR(_xlfn.XLOOKUP(tblLog[[#This Row],[Unique ID]], tblMaster[Unique ID], tblMaster[Email_Clean], ""), "")</f>
        <v>garvin1127@gmail.com</v>
      </c>
      <c r="E447" t="str">
        <f>IFERROR(_xlfn.XLOOKUP(tblLog[[#This Row],[Unique ID]], tblMaster[Unique ID], tblMaster[Phone], ""), "")</f>
        <v>617-297-6563</v>
      </c>
      <c r="F447" t="str">
        <f>IFERROR(_xlfn.XLOOKUP(tblLog[[#This Row],[Unique ID]], tblMaster[Unique ID], tblMaster[Recruiter], ""), "")</f>
        <v xml:space="preserve">Christopher Servello </v>
      </c>
      <c r="G447" t="str">
        <f>IFERROR(_xlfn.XLOOKUP(tblLog[[#This Row],[Unique ID]], tblMaster[Unique ID], tblMaster[Recruitment Cycle], ""), "")</f>
        <v xml:space="preserve">Re-Engagment </v>
      </c>
      <c r="H447" t="s">
        <v>7496</v>
      </c>
      <c r="I447" t="s">
        <v>4</v>
      </c>
      <c r="J447" s="3">
        <v>2</v>
      </c>
      <c r="K447" t="s">
        <v>7491</v>
      </c>
      <c r="L447" s="2">
        <v>46066</v>
      </c>
      <c r="M447" t="s">
        <v>7452</v>
      </c>
      <c r="N447" t="s">
        <v>7497</v>
      </c>
      <c r="P447">
        <f ca="1">IF(tblLog[[#This Row],[Log Date]]="","",TODAY()-tblLog[[#This Row],[Log Date]])</f>
        <v>13</v>
      </c>
      <c r="Q447" t="str">
        <f>IF(tblLog[[#This Row],[Log Date]]="","",IF(TRIM(tblLog[[#This Row],[Cycle Stage]])="Asked to be removed from database","NO","YES"))</f>
        <v>YES</v>
      </c>
      <c r="R44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8" spans="1:18" ht="15" customHeight="1">
      <c r="A448" t="s">
        <v>8063</v>
      </c>
      <c r="B448" t="str">
        <f>IFERROR(_xlfn.XLOOKUP(tblLog[[#This Row],[Unique ID]], tblMaster[Unique ID], tblMaster[First Name], ""), "")</f>
        <v>Anthony</v>
      </c>
      <c r="C448" t="str">
        <f>IFERROR(_xlfn.XLOOKUP(tblLog[[#This Row],[Unique ID]], tblMaster[Unique ID], tblMaster[Last Name], ""), "")</f>
        <v>Kairit</v>
      </c>
      <c r="D448" t="str">
        <f>IFERROR(_xlfn.XLOOKUP(tblLog[[#This Row],[Unique ID]], tblMaster[Unique ID], tblMaster[Email_Clean], ""), "")</f>
        <v>fishhook89@yahoo.com</v>
      </c>
      <c r="E448" t="str">
        <f>IFERROR(_xlfn.XLOOKUP(tblLog[[#This Row],[Unique ID]], tblMaster[Unique ID], tblMaster[Phone], ""), "")</f>
        <v>774-277-0343</v>
      </c>
      <c r="F448" t="str">
        <f>IFERROR(_xlfn.XLOOKUP(tblLog[[#This Row],[Unique ID]], tblMaster[Unique ID], tblMaster[Recruiter], ""), "")</f>
        <v xml:space="preserve">Christopher Servello </v>
      </c>
      <c r="G448" t="str">
        <f>IFERROR(_xlfn.XLOOKUP(tblLog[[#This Row],[Unique ID]], tblMaster[Unique ID], tblMaster[Recruitment Cycle], ""), "")</f>
        <v xml:space="preserve">Re-Engagment </v>
      </c>
      <c r="H448" t="s">
        <v>7496</v>
      </c>
      <c r="I448" t="s">
        <v>4</v>
      </c>
      <c r="J448" s="3">
        <v>2</v>
      </c>
      <c r="K448" t="s">
        <v>7491</v>
      </c>
      <c r="L448" s="2">
        <v>46066</v>
      </c>
      <c r="M448" t="s">
        <v>7452</v>
      </c>
      <c r="N448" t="s">
        <v>7497</v>
      </c>
      <c r="P448">
        <f ca="1">IF(tblLog[[#This Row],[Log Date]]="","",TODAY()-tblLog[[#This Row],[Log Date]])</f>
        <v>13</v>
      </c>
      <c r="Q448" t="str">
        <f>IF(tblLog[[#This Row],[Log Date]]="","",IF(TRIM(tblLog[[#This Row],[Cycle Stage]])="Asked to be removed from database","NO","YES"))</f>
        <v>YES</v>
      </c>
      <c r="R44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49" spans="1:18" ht="15" customHeight="1">
      <c r="A449" t="s">
        <v>8064</v>
      </c>
      <c r="B449" t="str">
        <f>IFERROR(_xlfn.XLOOKUP(tblLog[[#This Row],[Unique ID]], tblMaster[Unique ID], tblMaster[First Name], ""), "")</f>
        <v xml:space="preserve">Casey </v>
      </c>
      <c r="C449" t="str">
        <f>IFERROR(_xlfn.XLOOKUP(tblLog[[#This Row],[Unique ID]], tblMaster[Unique ID], tblMaster[Last Name], ""), "")</f>
        <v xml:space="preserve">Saunders </v>
      </c>
      <c r="D449" t="str">
        <f>IFERROR(_xlfn.XLOOKUP(tblLog[[#This Row],[Unique ID]], tblMaster[Unique ID], tblMaster[Email_Clean], ""), "")</f>
        <v>caseytsaunders@gmail.com</v>
      </c>
      <c r="E449" t="str">
        <f>IFERROR(_xlfn.XLOOKUP(tblLog[[#This Row],[Unique ID]], tblMaster[Unique ID], tblMaster[Phone], ""), "")</f>
        <v>475-414-3053</v>
      </c>
      <c r="F449" t="str">
        <f>IFERROR(_xlfn.XLOOKUP(tblLog[[#This Row],[Unique ID]], tblMaster[Unique ID], tblMaster[Recruiter], ""), "")</f>
        <v xml:space="preserve">Christopher Servello </v>
      </c>
      <c r="G449" t="str">
        <f>IFERROR(_xlfn.XLOOKUP(tblLog[[#This Row],[Unique ID]], tblMaster[Unique ID], tblMaster[Recruitment Cycle], ""), "")</f>
        <v xml:space="preserve">Re-Engagment </v>
      </c>
      <c r="H449" t="s">
        <v>7496</v>
      </c>
      <c r="I449" t="s">
        <v>4</v>
      </c>
      <c r="J449" s="3">
        <v>2</v>
      </c>
      <c r="K449" t="s">
        <v>7491</v>
      </c>
      <c r="L449" s="2">
        <v>46066</v>
      </c>
      <c r="M449" t="s">
        <v>7452</v>
      </c>
      <c r="N449" t="s">
        <v>7497</v>
      </c>
      <c r="P449">
        <f ca="1">IF(tblLog[[#This Row],[Log Date]]="","",TODAY()-tblLog[[#This Row],[Log Date]])</f>
        <v>13</v>
      </c>
      <c r="Q449" t="str">
        <f>IF(tblLog[[#This Row],[Log Date]]="","",IF(TRIM(tblLog[[#This Row],[Cycle Stage]])="Asked to be removed from database","NO","YES"))</f>
        <v>YES</v>
      </c>
      <c r="R44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0" spans="1:18" ht="15" customHeight="1">
      <c r="A450" t="s">
        <v>8065</v>
      </c>
      <c r="B450" t="str">
        <f>IFERROR(_xlfn.XLOOKUP(tblLog[[#This Row],[Unique ID]], tblMaster[Unique ID], tblMaster[First Name], ""), "")</f>
        <v>Tabitha</v>
      </c>
      <c r="C450" t="str">
        <f>IFERROR(_xlfn.XLOOKUP(tblLog[[#This Row],[Unique ID]], tblMaster[Unique ID], tblMaster[Last Name], ""), "")</f>
        <v>Walker</v>
      </c>
      <c r="D450" t="str">
        <f>IFERROR(_xlfn.XLOOKUP(tblLog[[#This Row],[Unique ID]], tblMaster[Unique ID], tblMaster[Email_Clean], ""), "")</f>
        <v>21tjwalker@gmail.colm</v>
      </c>
      <c r="E450" t="str">
        <f>IFERROR(_xlfn.XLOOKUP(tblLog[[#This Row],[Unique ID]], tblMaster[Unique ID], tblMaster[Phone], ""), "")</f>
        <v>617-803-4735</v>
      </c>
      <c r="F450" t="str">
        <f>IFERROR(_xlfn.XLOOKUP(tblLog[[#This Row],[Unique ID]], tblMaster[Unique ID], tblMaster[Recruiter], ""), "")</f>
        <v xml:space="preserve">Christopher Servello </v>
      </c>
      <c r="G450" t="str">
        <f>IFERROR(_xlfn.XLOOKUP(tblLog[[#This Row],[Unique ID]], tblMaster[Unique ID], tblMaster[Recruitment Cycle], ""), "")</f>
        <v xml:space="preserve">Re-Engagment </v>
      </c>
      <c r="H450" t="s">
        <v>7496</v>
      </c>
      <c r="I450" t="s">
        <v>4</v>
      </c>
      <c r="J450" s="3">
        <v>2</v>
      </c>
      <c r="K450" t="s">
        <v>7491</v>
      </c>
      <c r="L450" s="2">
        <v>46066</v>
      </c>
      <c r="M450" t="s">
        <v>7452</v>
      </c>
      <c r="N450" t="s">
        <v>7497</v>
      </c>
      <c r="P450">
        <f ca="1">IF(tblLog[[#This Row],[Log Date]]="","",TODAY()-tblLog[[#This Row],[Log Date]])</f>
        <v>13</v>
      </c>
      <c r="Q450" t="str">
        <f>IF(tblLog[[#This Row],[Log Date]]="","",IF(TRIM(tblLog[[#This Row],[Cycle Stage]])="Asked to be removed from database","NO","YES"))</f>
        <v>YES</v>
      </c>
      <c r="R45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1" spans="1:18" ht="15" customHeight="1">
      <c r="A451" t="s">
        <v>8066</v>
      </c>
      <c r="B451" t="str">
        <f>IFERROR(_xlfn.XLOOKUP(tblLog[[#This Row],[Unique ID]], tblMaster[Unique ID], tblMaster[First Name], ""), "")</f>
        <v xml:space="preserve">Jordan </v>
      </c>
      <c r="C451" t="str">
        <f>IFERROR(_xlfn.XLOOKUP(tblLog[[#This Row],[Unique ID]], tblMaster[Unique ID], tblMaster[Last Name], ""), "")</f>
        <v xml:space="preserve">Albert </v>
      </c>
      <c r="D451" t="str">
        <f>IFERROR(_xlfn.XLOOKUP(tblLog[[#This Row],[Unique ID]], tblMaster[Unique ID], tblMaster[Email_Clean], ""), "")</f>
        <v>jordanalbert2002@gmail.com</v>
      </c>
      <c r="E451" t="str">
        <f>IFERROR(_xlfn.XLOOKUP(tblLog[[#This Row],[Unique ID]], tblMaster[Unique ID], tblMaster[Phone], ""), "")</f>
        <v>351-209-8558</v>
      </c>
      <c r="F451" t="str">
        <f>IFERROR(_xlfn.XLOOKUP(tblLog[[#This Row],[Unique ID]], tblMaster[Unique ID], tblMaster[Recruiter], ""), "")</f>
        <v xml:space="preserve">Christopher Servello </v>
      </c>
      <c r="G451" t="str">
        <f>IFERROR(_xlfn.XLOOKUP(tblLog[[#This Row],[Unique ID]], tblMaster[Unique ID], tblMaster[Recruitment Cycle], ""), "")</f>
        <v xml:space="preserve">Re-Engagment </v>
      </c>
      <c r="H451" t="s">
        <v>7496</v>
      </c>
      <c r="I451" t="s">
        <v>4</v>
      </c>
      <c r="J451" s="3">
        <v>2</v>
      </c>
      <c r="K451" t="s">
        <v>7491</v>
      </c>
      <c r="L451" s="2">
        <v>46066</v>
      </c>
      <c r="M451" t="s">
        <v>7452</v>
      </c>
      <c r="N451" t="s">
        <v>7497</v>
      </c>
      <c r="P451">
        <f ca="1">IF(tblLog[[#This Row],[Log Date]]="","",TODAY()-tblLog[[#This Row],[Log Date]])</f>
        <v>13</v>
      </c>
      <c r="Q451" t="str">
        <f>IF(tblLog[[#This Row],[Log Date]]="","",IF(TRIM(tblLog[[#This Row],[Cycle Stage]])="Asked to be removed from database","NO","YES"))</f>
        <v>YES</v>
      </c>
      <c r="R45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2" spans="1:18" ht="15" customHeight="1">
      <c r="A452" t="s">
        <v>8067</v>
      </c>
      <c r="B452" t="str">
        <f>IFERROR(_xlfn.XLOOKUP(tblLog[[#This Row],[Unique ID]], tblMaster[Unique ID], tblMaster[First Name], ""), "")</f>
        <v xml:space="preserve">Rickard </v>
      </c>
      <c r="C452" t="str">
        <f>IFERROR(_xlfn.XLOOKUP(tblLog[[#This Row],[Unique ID]], tblMaster[Unique ID], tblMaster[Last Name], ""), "")</f>
        <v xml:space="preserve">Louis </v>
      </c>
      <c r="D452" t="str">
        <f>IFERROR(_xlfn.XLOOKUP(tblLog[[#This Row],[Unique ID]], tblMaster[Unique ID], tblMaster[Email_Clean], ""), "")</f>
        <v>rickaedlouis92@yahoo.com</v>
      </c>
      <c r="E452" t="str">
        <f>IFERROR(_xlfn.XLOOKUP(tblLog[[#This Row],[Unique ID]], tblMaster[Unique ID], tblMaster[Phone], ""), "")</f>
        <v>617 680 3029</v>
      </c>
      <c r="F452" t="str">
        <f>IFERROR(_xlfn.XLOOKUP(tblLog[[#This Row],[Unique ID]], tblMaster[Unique ID], tblMaster[Recruiter], ""), "")</f>
        <v xml:space="preserve">Christopher Servello </v>
      </c>
      <c r="G452" t="str">
        <f>IFERROR(_xlfn.XLOOKUP(tblLog[[#This Row],[Unique ID]], tblMaster[Unique ID], tblMaster[Recruitment Cycle], ""), "")</f>
        <v xml:space="preserve">Re-Engagment </v>
      </c>
      <c r="H452" t="s">
        <v>7496</v>
      </c>
      <c r="I452" t="s">
        <v>4</v>
      </c>
      <c r="J452" s="3">
        <v>2</v>
      </c>
      <c r="K452" t="s">
        <v>7491</v>
      </c>
      <c r="L452" s="2">
        <v>46066</v>
      </c>
      <c r="M452" t="s">
        <v>7452</v>
      </c>
      <c r="N452" t="s">
        <v>7497</v>
      </c>
      <c r="P452">
        <f ca="1">IF(tblLog[[#This Row],[Log Date]]="","",TODAY()-tblLog[[#This Row],[Log Date]])</f>
        <v>13</v>
      </c>
      <c r="Q452" t="str">
        <f>IF(tblLog[[#This Row],[Log Date]]="","",IF(TRIM(tblLog[[#This Row],[Cycle Stage]])="Asked to be removed from database","NO","YES"))</f>
        <v>YES</v>
      </c>
      <c r="R45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3" spans="1:18" ht="15" customHeight="1">
      <c r="A453" t="s">
        <v>8068</v>
      </c>
      <c r="B453" t="str">
        <f>IFERROR(_xlfn.XLOOKUP(tblLog[[#This Row],[Unique ID]], tblMaster[Unique ID], tblMaster[First Name], ""), "")</f>
        <v>sofia</v>
      </c>
      <c r="C453" t="str">
        <f>IFERROR(_xlfn.XLOOKUP(tblLog[[#This Row],[Unique ID]], tblMaster[Unique ID], tblMaster[Last Name], ""), "")</f>
        <v>dominguez</v>
      </c>
      <c r="D453" t="str">
        <f>IFERROR(_xlfn.XLOOKUP(tblLog[[#This Row],[Unique ID]], tblMaster[Unique ID], tblMaster[Email_Clean], ""), "")</f>
        <v>sofiadominguez1907@gmail.com</v>
      </c>
      <c r="E453" t="str">
        <f>IFERROR(_xlfn.XLOOKUP(tblLog[[#This Row],[Unique ID]], tblMaster[Unique ID], tblMaster[Phone], ""), "")</f>
        <v>(978) 971-1907</v>
      </c>
      <c r="F453" t="str">
        <f>IFERROR(_xlfn.XLOOKUP(tblLog[[#This Row],[Unique ID]], tblMaster[Unique ID], tblMaster[Recruiter], ""), "")</f>
        <v xml:space="preserve">Christopher Servello </v>
      </c>
      <c r="G453" t="str">
        <f>IFERROR(_xlfn.XLOOKUP(tblLog[[#This Row],[Unique ID]], tblMaster[Unique ID], tblMaster[Recruitment Cycle], ""), "")</f>
        <v xml:space="preserve">New Submission/ Lead </v>
      </c>
      <c r="H453" t="s">
        <v>7496</v>
      </c>
      <c r="I453" t="s">
        <v>4</v>
      </c>
      <c r="J453" s="3">
        <v>2</v>
      </c>
      <c r="K453" t="s">
        <v>7491</v>
      </c>
      <c r="L453" s="2">
        <v>46066</v>
      </c>
      <c r="M453" t="s">
        <v>7452</v>
      </c>
      <c r="N453" t="s">
        <v>7497</v>
      </c>
      <c r="P453">
        <f ca="1">IF(tblLog[[#This Row],[Log Date]]="","",TODAY()-tblLog[[#This Row],[Log Date]])</f>
        <v>13</v>
      </c>
      <c r="Q453" t="str">
        <f>IF(tblLog[[#This Row],[Log Date]]="","",IF(TRIM(tblLog[[#This Row],[Cycle Stage]])="Asked to be removed from database","NO","YES"))</f>
        <v>YES</v>
      </c>
      <c r="R45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4" spans="1:18" ht="15" customHeight="1">
      <c r="A454" t="s">
        <v>8069</v>
      </c>
      <c r="B454" t="str">
        <f>IFERROR(_xlfn.XLOOKUP(tblLog[[#This Row],[Unique ID]], tblMaster[Unique ID], tblMaster[First Name], ""), "")</f>
        <v>Damari</v>
      </c>
      <c r="C454" t="str">
        <f>IFERROR(_xlfn.XLOOKUP(tblLog[[#This Row],[Unique ID]], tblMaster[Unique ID], tblMaster[Last Name], ""), "")</f>
        <v xml:space="preserve">Reddix </v>
      </c>
      <c r="D454" t="str">
        <f>IFERROR(_xlfn.XLOOKUP(tblLog[[#This Row],[Unique ID]], tblMaster[Unique ID], tblMaster[Email_Clean], ""), "")</f>
        <v>damarireddix@yahoo.com</v>
      </c>
      <c r="E454" t="str">
        <f>IFERROR(_xlfn.XLOOKUP(tblLog[[#This Row],[Unique ID]], tblMaster[Unique ID], tblMaster[Phone], ""), "")</f>
        <v>(508) 846-3332</v>
      </c>
      <c r="F454" t="str">
        <f>IFERROR(_xlfn.XLOOKUP(tblLog[[#This Row],[Unique ID]], tblMaster[Unique ID], tblMaster[Recruiter], ""), "")</f>
        <v xml:space="preserve">Christopher Servello </v>
      </c>
      <c r="G454" t="str">
        <f>IFERROR(_xlfn.XLOOKUP(tblLog[[#This Row],[Unique ID]], tblMaster[Unique ID], tblMaster[Recruitment Cycle], ""), "")</f>
        <v xml:space="preserve">New Submission/ Lead </v>
      </c>
      <c r="H454" t="s">
        <v>7496</v>
      </c>
      <c r="I454" t="s">
        <v>4</v>
      </c>
      <c r="J454" s="3">
        <v>2</v>
      </c>
      <c r="K454" t="s">
        <v>7491</v>
      </c>
      <c r="L454" s="2">
        <v>46066</v>
      </c>
      <c r="M454" t="s">
        <v>7452</v>
      </c>
      <c r="N454" t="s">
        <v>7497</v>
      </c>
      <c r="P454">
        <f ca="1">IF(tblLog[[#This Row],[Log Date]]="","",TODAY()-tblLog[[#This Row],[Log Date]])</f>
        <v>13</v>
      </c>
      <c r="Q454" t="str">
        <f>IF(tblLog[[#This Row],[Log Date]]="","",IF(TRIM(tblLog[[#This Row],[Cycle Stage]])="Asked to be removed from database","NO","YES"))</f>
        <v>YES</v>
      </c>
      <c r="R45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5" spans="1:18" ht="15" customHeight="1">
      <c r="A455" t="s">
        <v>8070</v>
      </c>
      <c r="B455" t="str">
        <f>IFERROR(_xlfn.XLOOKUP(tblLog[[#This Row],[Unique ID]], tblMaster[Unique ID], tblMaster[First Name], ""), "")</f>
        <v>Fajr</v>
      </c>
      <c r="C455" t="str">
        <f>IFERROR(_xlfn.XLOOKUP(tblLog[[#This Row],[Unique ID]], tblMaster[Unique ID], tblMaster[Last Name], ""), "")</f>
        <v xml:space="preserve">Ahmad </v>
      </c>
      <c r="D455" t="str">
        <f>IFERROR(_xlfn.XLOOKUP(tblLog[[#This Row],[Unique ID]], tblMaster[Unique ID], tblMaster[Email_Clean], ""), "")</f>
        <v>fajr28561@gmail.com</v>
      </c>
      <c r="E455" t="str">
        <f>IFERROR(_xlfn.XLOOKUP(tblLog[[#This Row],[Unique ID]], tblMaster[Unique ID], tblMaster[Phone], ""), "")</f>
        <v>774-318-7997</v>
      </c>
      <c r="F455" t="str">
        <f>IFERROR(_xlfn.XLOOKUP(tblLog[[#This Row],[Unique ID]], tblMaster[Unique ID], tblMaster[Recruiter], ""), "")</f>
        <v xml:space="preserve">Christopher Servello </v>
      </c>
      <c r="G455" t="str">
        <f>IFERROR(_xlfn.XLOOKUP(tblLog[[#This Row],[Unique ID]], tblMaster[Unique ID], tblMaster[Recruitment Cycle], ""), "")</f>
        <v xml:space="preserve">New Submission/ Lead </v>
      </c>
      <c r="H455" t="s">
        <v>7496</v>
      </c>
      <c r="I455" t="s">
        <v>4</v>
      </c>
      <c r="J455" s="3">
        <v>2</v>
      </c>
      <c r="K455" t="s">
        <v>7491</v>
      </c>
      <c r="L455" s="2">
        <v>46066</v>
      </c>
      <c r="M455" t="s">
        <v>7452</v>
      </c>
      <c r="N455" t="s">
        <v>7497</v>
      </c>
      <c r="P455">
        <f ca="1">IF(tblLog[[#This Row],[Log Date]]="","",TODAY()-tblLog[[#This Row],[Log Date]])</f>
        <v>13</v>
      </c>
      <c r="Q455" t="str">
        <f>IF(tblLog[[#This Row],[Log Date]]="","",IF(TRIM(tblLog[[#This Row],[Cycle Stage]])="Asked to be removed from database","NO","YES"))</f>
        <v>YES</v>
      </c>
      <c r="R45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6" spans="1:18" ht="15" customHeight="1">
      <c r="A456" t="s">
        <v>8071</v>
      </c>
      <c r="B456" t="str">
        <f>IFERROR(_xlfn.XLOOKUP(tblLog[[#This Row],[Unique ID]], tblMaster[Unique ID], tblMaster[First Name], ""), "")</f>
        <v>Zachary</v>
      </c>
      <c r="C456" t="str">
        <f>IFERROR(_xlfn.XLOOKUP(tblLog[[#This Row],[Unique ID]], tblMaster[Unique ID], tblMaster[Last Name], ""), "")</f>
        <v>Noyes</v>
      </c>
      <c r="D456" t="str">
        <f>IFERROR(_xlfn.XLOOKUP(tblLog[[#This Row],[Unique ID]], tblMaster[Unique ID], tblMaster[Email_Clean], ""), "")</f>
        <v>znoyes46@gmail.com</v>
      </c>
      <c r="E456" t="str">
        <f>IFERROR(_xlfn.XLOOKUP(tblLog[[#This Row],[Unique ID]], tblMaster[Unique ID], tblMaster[Phone], ""), "")</f>
        <v>(860) 936-8980</v>
      </c>
      <c r="F456" t="str">
        <f>IFERROR(_xlfn.XLOOKUP(tblLog[[#This Row],[Unique ID]], tblMaster[Unique ID], tblMaster[Recruiter], ""), "")</f>
        <v xml:space="preserve">Christopher Servello </v>
      </c>
      <c r="G456" t="str">
        <f>IFERROR(_xlfn.XLOOKUP(tblLog[[#This Row],[Unique ID]], tblMaster[Unique ID], tblMaster[Recruitment Cycle], ""), "")</f>
        <v xml:space="preserve">New Submission/ Lead </v>
      </c>
      <c r="H456" t="s">
        <v>7496</v>
      </c>
      <c r="I456" t="s">
        <v>4</v>
      </c>
      <c r="J456" s="3">
        <v>2</v>
      </c>
      <c r="K456" t="s">
        <v>7491</v>
      </c>
      <c r="L456" s="2">
        <v>46066</v>
      </c>
      <c r="M456" t="s">
        <v>7452</v>
      </c>
      <c r="N456" t="s">
        <v>7497</v>
      </c>
      <c r="P456">
        <f ca="1">IF(tblLog[[#This Row],[Log Date]]="","",TODAY()-tblLog[[#This Row],[Log Date]])</f>
        <v>13</v>
      </c>
      <c r="Q456" t="str">
        <f>IF(tblLog[[#This Row],[Log Date]]="","",IF(TRIM(tblLog[[#This Row],[Cycle Stage]])="Asked to be removed from database","NO","YES"))</f>
        <v>YES</v>
      </c>
      <c r="R45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7" spans="1:18" ht="15" customHeight="1">
      <c r="A457" t="s">
        <v>8072</v>
      </c>
      <c r="B457" t="str">
        <f>IFERROR(_xlfn.XLOOKUP(tblLog[[#This Row],[Unique ID]], tblMaster[Unique ID], tblMaster[First Name], ""), "")</f>
        <v>Shawanna</v>
      </c>
      <c r="C457" t="str">
        <f>IFERROR(_xlfn.XLOOKUP(tblLog[[#This Row],[Unique ID]], tblMaster[Unique ID], tblMaster[Last Name], ""), "")</f>
        <v>Wright</v>
      </c>
      <c r="D457" t="str">
        <f>IFERROR(_xlfn.XLOOKUP(tblLog[[#This Row],[Unique ID]], tblMaster[Unique ID], tblMaster[Email_Clean], ""), "")</f>
        <v>shawannawright257@gmail.com</v>
      </c>
      <c r="E457" t="str">
        <f>IFERROR(_xlfn.XLOOKUP(tblLog[[#This Row],[Unique ID]], tblMaster[Unique ID], tblMaster[Phone], ""), "")</f>
        <v>(614) 962-0701</v>
      </c>
      <c r="F457" t="str">
        <f>IFERROR(_xlfn.XLOOKUP(tblLog[[#This Row],[Unique ID]], tblMaster[Unique ID], tblMaster[Recruiter], ""), "")</f>
        <v xml:space="preserve">Christopher Servello </v>
      </c>
      <c r="G457" t="str">
        <f>IFERROR(_xlfn.XLOOKUP(tblLog[[#This Row],[Unique ID]], tblMaster[Unique ID], tblMaster[Recruitment Cycle], ""), "")</f>
        <v xml:space="preserve">New Submission/ Lead </v>
      </c>
      <c r="H457" t="s">
        <v>7496</v>
      </c>
      <c r="I457" t="s">
        <v>4</v>
      </c>
      <c r="J457" s="3">
        <v>2</v>
      </c>
      <c r="K457" t="s">
        <v>7491</v>
      </c>
      <c r="L457" s="2">
        <v>46066</v>
      </c>
      <c r="M457" t="s">
        <v>7452</v>
      </c>
      <c r="N457" t="s">
        <v>7497</v>
      </c>
      <c r="P457">
        <f ca="1">IF(tblLog[[#This Row],[Log Date]]="","",TODAY()-tblLog[[#This Row],[Log Date]])</f>
        <v>13</v>
      </c>
      <c r="Q457" t="str">
        <f>IF(tblLog[[#This Row],[Log Date]]="","",IF(TRIM(tblLog[[#This Row],[Cycle Stage]])="Asked to be removed from database","NO","YES"))</f>
        <v>YES</v>
      </c>
      <c r="R45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8" spans="1:18" ht="15" customHeight="1">
      <c r="A458" t="s">
        <v>8073</v>
      </c>
      <c r="B458" t="str">
        <f>IFERROR(_xlfn.XLOOKUP(tblLog[[#This Row],[Unique ID]], tblMaster[Unique ID], tblMaster[First Name], ""), "")</f>
        <v>Gianna</v>
      </c>
      <c r="C458" t="str">
        <f>IFERROR(_xlfn.XLOOKUP(tblLog[[#This Row],[Unique ID]], tblMaster[Unique ID], tblMaster[Last Name], ""), "")</f>
        <v>Filtranti</v>
      </c>
      <c r="D458" t="str">
        <f>IFERROR(_xlfn.XLOOKUP(tblLog[[#This Row],[Unique ID]], tblMaster[Unique ID], tblMaster[Email_Clean], ""), "")</f>
        <v>gianna.filtranti@nichols.edu</v>
      </c>
      <c r="E458" t="str">
        <f>IFERROR(_xlfn.XLOOKUP(tblLog[[#This Row],[Unique ID]], tblMaster[Unique ID], tblMaster[Phone], ""), "")</f>
        <v>(978) 412-6188</v>
      </c>
      <c r="F458" t="str">
        <f>IFERROR(_xlfn.XLOOKUP(tblLog[[#This Row],[Unique ID]], tblMaster[Unique ID], tblMaster[Recruiter], ""), "")</f>
        <v xml:space="preserve">Christopher Servello </v>
      </c>
      <c r="G458" t="str">
        <f>IFERROR(_xlfn.XLOOKUP(tblLog[[#This Row],[Unique ID]], tblMaster[Unique ID], tblMaster[Recruitment Cycle], ""), "")</f>
        <v xml:space="preserve">New Submission/ Lead </v>
      </c>
      <c r="H458" t="s">
        <v>7496</v>
      </c>
      <c r="I458" t="s">
        <v>4</v>
      </c>
      <c r="J458" s="3">
        <v>2</v>
      </c>
      <c r="K458" t="s">
        <v>7491</v>
      </c>
      <c r="L458" s="2">
        <v>46066</v>
      </c>
      <c r="M458" t="s">
        <v>7452</v>
      </c>
      <c r="N458" t="s">
        <v>7497</v>
      </c>
      <c r="P458">
        <f ca="1">IF(tblLog[[#This Row],[Log Date]]="","",TODAY()-tblLog[[#This Row],[Log Date]])</f>
        <v>13</v>
      </c>
      <c r="Q458" t="str">
        <f>IF(tblLog[[#This Row],[Log Date]]="","",IF(TRIM(tblLog[[#This Row],[Cycle Stage]])="Asked to be removed from database","NO","YES"))</f>
        <v>YES</v>
      </c>
      <c r="R45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59" spans="1:18" ht="15" customHeight="1">
      <c r="A459" t="s">
        <v>8074</v>
      </c>
      <c r="B459" t="str">
        <f>IFERROR(_xlfn.XLOOKUP(tblLog[[#This Row],[Unique ID]], tblMaster[Unique ID], tblMaster[First Name], ""), "")</f>
        <v xml:space="preserve">Gedeon </v>
      </c>
      <c r="C459" t="str">
        <f>IFERROR(_xlfn.XLOOKUP(tblLog[[#This Row],[Unique ID]], tblMaster[Unique ID], tblMaster[Last Name], ""), "")</f>
        <v>Endeshaw</v>
      </c>
      <c r="D459" t="str">
        <f>IFERROR(_xlfn.XLOOKUP(tblLog[[#This Row],[Unique ID]], tblMaster[Unique ID], tblMaster[Email_Clean], ""), "")</f>
        <v>gedeon.endeshaw85@gmail.com</v>
      </c>
      <c r="E459" t="str">
        <f>IFERROR(_xlfn.XLOOKUP(tblLog[[#This Row],[Unique ID]], tblMaster[Unique ID], tblMaster[Phone], ""), "")</f>
        <v>(617) 792-8715</v>
      </c>
      <c r="F459" t="str">
        <f>IFERROR(_xlfn.XLOOKUP(tblLog[[#This Row],[Unique ID]], tblMaster[Unique ID], tblMaster[Recruiter], ""), "")</f>
        <v xml:space="preserve">Christopher Servello </v>
      </c>
      <c r="G459" t="str">
        <f>IFERROR(_xlfn.XLOOKUP(tblLog[[#This Row],[Unique ID]], tblMaster[Unique ID], tblMaster[Recruitment Cycle], ""), "")</f>
        <v xml:space="preserve">New Submission/ Lead </v>
      </c>
      <c r="H459" t="s">
        <v>7496</v>
      </c>
      <c r="I459" t="s">
        <v>4</v>
      </c>
      <c r="J459" s="3">
        <v>2</v>
      </c>
      <c r="K459" t="s">
        <v>7491</v>
      </c>
      <c r="L459" s="2">
        <v>46066</v>
      </c>
      <c r="M459" t="s">
        <v>7452</v>
      </c>
      <c r="N459" t="s">
        <v>7497</v>
      </c>
      <c r="P459">
        <f ca="1">IF(tblLog[[#This Row],[Log Date]]="","",TODAY()-tblLog[[#This Row],[Log Date]])</f>
        <v>13</v>
      </c>
      <c r="Q459" t="str">
        <f>IF(tblLog[[#This Row],[Log Date]]="","",IF(TRIM(tblLog[[#This Row],[Cycle Stage]])="Asked to be removed from database","NO","YES"))</f>
        <v>YES</v>
      </c>
      <c r="R45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0" spans="1:18" ht="15" customHeight="1">
      <c r="A460" t="s">
        <v>8075</v>
      </c>
      <c r="B460" t="str">
        <f>IFERROR(_xlfn.XLOOKUP(tblLog[[#This Row],[Unique ID]], tblMaster[Unique ID], tblMaster[First Name], ""), "")</f>
        <v xml:space="preserve">Bryce </v>
      </c>
      <c r="C460" t="str">
        <f>IFERROR(_xlfn.XLOOKUP(tblLog[[#This Row],[Unique ID]], tblMaster[Unique ID], tblMaster[Last Name], ""), "")</f>
        <v xml:space="preserve">Bonville </v>
      </c>
      <c r="D460" t="str">
        <f>IFERROR(_xlfn.XLOOKUP(tblLog[[#This Row],[Unique ID]], tblMaster[Unique ID], tblMaster[Email_Clean], ""), "")</f>
        <v>bonvillbryce@gmail.com</v>
      </c>
      <c r="E460" t="str">
        <f>IFERROR(_xlfn.XLOOKUP(tblLog[[#This Row],[Unique ID]], tblMaster[Unique ID], tblMaster[Phone], ""), "")</f>
        <v>(518) 730-8223</v>
      </c>
      <c r="F460" t="str">
        <f>IFERROR(_xlfn.XLOOKUP(tblLog[[#This Row],[Unique ID]], tblMaster[Unique ID], tblMaster[Recruiter], ""), "")</f>
        <v xml:space="preserve">Christopher Servello </v>
      </c>
      <c r="G460" t="str">
        <f>IFERROR(_xlfn.XLOOKUP(tblLog[[#This Row],[Unique ID]], tblMaster[Unique ID], tblMaster[Recruitment Cycle], ""), "")</f>
        <v xml:space="preserve">New Submission/ Lead </v>
      </c>
      <c r="H460" t="s">
        <v>7496</v>
      </c>
      <c r="I460" t="s">
        <v>4</v>
      </c>
      <c r="J460" s="3">
        <v>2</v>
      </c>
      <c r="K460" t="s">
        <v>7491</v>
      </c>
      <c r="L460" s="2">
        <v>46066</v>
      </c>
      <c r="M460" t="s">
        <v>7452</v>
      </c>
      <c r="N460" t="s">
        <v>7497</v>
      </c>
      <c r="P460">
        <f ca="1">IF(tblLog[[#This Row],[Log Date]]="","",TODAY()-tblLog[[#This Row],[Log Date]])</f>
        <v>13</v>
      </c>
      <c r="Q460" t="str">
        <f>IF(tblLog[[#This Row],[Log Date]]="","",IF(TRIM(tblLog[[#This Row],[Cycle Stage]])="Asked to be removed from database","NO","YES"))</f>
        <v>YES</v>
      </c>
      <c r="R46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1" spans="1:18" ht="15" customHeight="1">
      <c r="A461" t="s">
        <v>8076</v>
      </c>
      <c r="B461" t="str">
        <f>IFERROR(_xlfn.XLOOKUP(tblLog[[#This Row],[Unique ID]], tblMaster[Unique ID], tblMaster[First Name], ""), "")</f>
        <v>Lillian</v>
      </c>
      <c r="C461" t="str">
        <f>IFERROR(_xlfn.XLOOKUP(tblLog[[#This Row],[Unique ID]], tblMaster[Unique ID], tblMaster[Last Name], ""), "")</f>
        <v>Barkley</v>
      </c>
      <c r="D461" t="str">
        <f>IFERROR(_xlfn.XLOOKUP(tblLog[[#This Row],[Unique ID]], tblMaster[Unique ID], tblMaster[Email_Clean], ""), "")</f>
        <v>lily.barkley@nichols.edu</v>
      </c>
      <c r="E461" t="str">
        <f>IFERROR(_xlfn.XLOOKUP(tblLog[[#This Row],[Unique ID]], tblMaster[Unique ID], tblMaster[Phone], ""), "")</f>
        <v>(617) 529-5042</v>
      </c>
      <c r="F461" t="str">
        <f>IFERROR(_xlfn.XLOOKUP(tblLog[[#This Row],[Unique ID]], tblMaster[Unique ID], tblMaster[Recruiter], ""), "")</f>
        <v xml:space="preserve">Christopher Servello </v>
      </c>
      <c r="G461" t="str">
        <f>IFERROR(_xlfn.XLOOKUP(tblLog[[#This Row],[Unique ID]], tblMaster[Unique ID], tblMaster[Recruitment Cycle], ""), "")</f>
        <v xml:space="preserve">New Submission/ Lead </v>
      </c>
      <c r="H461" t="s">
        <v>7496</v>
      </c>
      <c r="I461" t="s">
        <v>4</v>
      </c>
      <c r="J461" s="3">
        <v>2</v>
      </c>
      <c r="K461" t="s">
        <v>7491</v>
      </c>
      <c r="L461" s="2">
        <v>46066</v>
      </c>
      <c r="M461" t="s">
        <v>7452</v>
      </c>
      <c r="N461" t="s">
        <v>7497</v>
      </c>
      <c r="P461">
        <f ca="1">IF(tblLog[[#This Row],[Log Date]]="","",TODAY()-tblLog[[#This Row],[Log Date]])</f>
        <v>13</v>
      </c>
      <c r="Q461" t="str">
        <f>IF(tblLog[[#This Row],[Log Date]]="","",IF(TRIM(tblLog[[#This Row],[Cycle Stage]])="Asked to be removed from database","NO","YES"))</f>
        <v>YES</v>
      </c>
      <c r="R46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2" spans="1:18" ht="15" customHeight="1">
      <c r="A462" t="s">
        <v>8077</v>
      </c>
      <c r="B462" t="str">
        <f>IFERROR(_xlfn.XLOOKUP(tblLog[[#This Row],[Unique ID]], tblMaster[Unique ID], tblMaster[First Name], ""), "")</f>
        <v>Jackson</v>
      </c>
      <c r="C462" t="str">
        <f>IFERROR(_xlfn.XLOOKUP(tblLog[[#This Row],[Unique ID]], tblMaster[Unique ID], tblMaster[Last Name], ""), "")</f>
        <v>Hernandez</v>
      </c>
      <c r="D462" t="str">
        <f>IFERROR(_xlfn.XLOOKUP(tblLog[[#This Row],[Unique ID]], tblMaster[Unique ID], tblMaster[Email_Clean], ""), "")</f>
        <v>jackson.hernandez@nichols.edu</v>
      </c>
      <c r="E462" t="str">
        <f>IFERROR(_xlfn.XLOOKUP(tblLog[[#This Row],[Unique ID]], tblMaster[Unique ID], tblMaster[Phone], ""), "")</f>
        <v>(401) 525-0979</v>
      </c>
      <c r="F462" t="str">
        <f>IFERROR(_xlfn.XLOOKUP(tblLog[[#This Row],[Unique ID]], tblMaster[Unique ID], tblMaster[Recruiter], ""), "")</f>
        <v xml:space="preserve">Christopher Servello </v>
      </c>
      <c r="G462" t="str">
        <f>IFERROR(_xlfn.XLOOKUP(tblLog[[#This Row],[Unique ID]], tblMaster[Unique ID], tblMaster[Recruitment Cycle], ""), "")</f>
        <v xml:space="preserve">New Submission/ Lead </v>
      </c>
      <c r="H462" t="s">
        <v>7496</v>
      </c>
      <c r="I462" t="s">
        <v>4</v>
      </c>
      <c r="J462" s="3">
        <v>2</v>
      </c>
      <c r="K462" t="s">
        <v>7491</v>
      </c>
      <c r="L462" s="2">
        <v>46066</v>
      </c>
      <c r="M462" t="s">
        <v>7452</v>
      </c>
      <c r="N462" t="s">
        <v>7497</v>
      </c>
      <c r="P462">
        <f ca="1">IF(tblLog[[#This Row],[Log Date]]="","",TODAY()-tblLog[[#This Row],[Log Date]])</f>
        <v>13</v>
      </c>
      <c r="Q462" t="str">
        <f>IF(tblLog[[#This Row],[Log Date]]="","",IF(TRIM(tblLog[[#This Row],[Cycle Stage]])="Asked to be removed from database","NO","YES"))</f>
        <v>YES</v>
      </c>
      <c r="R46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3" spans="1:18" ht="15" customHeight="1">
      <c r="A463" t="s">
        <v>8078</v>
      </c>
      <c r="B463" t="str">
        <f>IFERROR(_xlfn.XLOOKUP(tblLog[[#This Row],[Unique ID]], tblMaster[Unique ID], tblMaster[First Name], ""), "")</f>
        <v>Harper</v>
      </c>
      <c r="C463" t="str">
        <f>IFERROR(_xlfn.XLOOKUP(tblLog[[#This Row],[Unique ID]], tblMaster[Unique ID], tblMaster[Last Name], ""), "")</f>
        <v xml:space="preserve">Hutchings </v>
      </c>
      <c r="D463" t="str">
        <f>IFERROR(_xlfn.XLOOKUP(tblLog[[#This Row],[Unique ID]], tblMaster[Unique ID], tblMaster[Email_Clean], ""), "")</f>
        <v>harpersage44@gmail.com</v>
      </c>
      <c r="E463" t="str">
        <f>IFERROR(_xlfn.XLOOKUP(tblLog[[#This Row],[Unique ID]], tblMaster[Unique ID], tblMaster[Phone], ""), "")</f>
        <v>(774) 242-1041</v>
      </c>
      <c r="F463" t="str">
        <f>IFERROR(_xlfn.XLOOKUP(tblLog[[#This Row],[Unique ID]], tblMaster[Unique ID], tblMaster[Recruiter], ""), "")</f>
        <v xml:space="preserve">Christopher Servello </v>
      </c>
      <c r="G463" t="str">
        <f>IFERROR(_xlfn.XLOOKUP(tblLog[[#This Row],[Unique ID]], tblMaster[Unique ID], tblMaster[Recruitment Cycle], ""), "")</f>
        <v xml:space="preserve">New Submission/ Lead </v>
      </c>
      <c r="H463" t="s">
        <v>7496</v>
      </c>
      <c r="I463" t="s">
        <v>4</v>
      </c>
      <c r="J463" s="3">
        <v>2</v>
      </c>
      <c r="K463" t="s">
        <v>7491</v>
      </c>
      <c r="L463" s="2">
        <v>46066</v>
      </c>
      <c r="M463" t="s">
        <v>7452</v>
      </c>
      <c r="N463" t="s">
        <v>7497</v>
      </c>
      <c r="P463">
        <f ca="1">IF(tblLog[[#This Row],[Log Date]]="","",TODAY()-tblLog[[#This Row],[Log Date]])</f>
        <v>13</v>
      </c>
      <c r="Q463" t="str">
        <f>IF(tblLog[[#This Row],[Log Date]]="","",IF(TRIM(tblLog[[#This Row],[Cycle Stage]])="Asked to be removed from database","NO","YES"))</f>
        <v>YES</v>
      </c>
      <c r="R46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4" spans="1:18" ht="15" customHeight="1">
      <c r="A464" t="s">
        <v>8079</v>
      </c>
      <c r="B464" t="str">
        <f>IFERROR(_xlfn.XLOOKUP(tblLog[[#This Row],[Unique ID]], tblMaster[Unique ID], tblMaster[First Name], ""), "")</f>
        <v>Emma</v>
      </c>
      <c r="C464" t="str">
        <f>IFERROR(_xlfn.XLOOKUP(tblLog[[#This Row],[Unique ID]], tblMaster[Unique ID], tblMaster[Last Name], ""), "")</f>
        <v>Faria</v>
      </c>
      <c r="D464" t="str">
        <f>IFERROR(_xlfn.XLOOKUP(tblLog[[#This Row],[Unique ID]], tblMaster[Unique ID], tblMaster[Email_Clean], ""), "")</f>
        <v>emmalynnfaria@gmail.com</v>
      </c>
      <c r="E464" t="str">
        <f>IFERROR(_xlfn.XLOOKUP(tblLog[[#This Row],[Unique ID]], tblMaster[Unique ID], tblMaster[Phone], ""), "")</f>
        <v>(508) 612-0667</v>
      </c>
      <c r="F464" t="str">
        <f>IFERROR(_xlfn.XLOOKUP(tblLog[[#This Row],[Unique ID]], tblMaster[Unique ID], tblMaster[Recruiter], ""), "")</f>
        <v xml:space="preserve">Christopher Servello </v>
      </c>
      <c r="G464" t="str">
        <f>IFERROR(_xlfn.XLOOKUP(tblLog[[#This Row],[Unique ID]], tblMaster[Unique ID], tblMaster[Recruitment Cycle], ""), "")</f>
        <v xml:space="preserve">New Submission/ Lead </v>
      </c>
      <c r="H464" t="s">
        <v>7496</v>
      </c>
      <c r="I464" t="s">
        <v>4</v>
      </c>
      <c r="J464" s="3">
        <v>2</v>
      </c>
      <c r="K464" t="s">
        <v>7491</v>
      </c>
      <c r="L464" s="2">
        <v>46066</v>
      </c>
      <c r="M464" t="s">
        <v>7452</v>
      </c>
      <c r="N464" t="s">
        <v>7497</v>
      </c>
      <c r="P464">
        <f ca="1">IF(tblLog[[#This Row],[Log Date]]="","",TODAY()-tblLog[[#This Row],[Log Date]])</f>
        <v>13</v>
      </c>
      <c r="Q464" t="str">
        <f>IF(tblLog[[#This Row],[Log Date]]="","",IF(TRIM(tblLog[[#This Row],[Cycle Stage]])="Asked to be removed from database","NO","YES"))</f>
        <v>YES</v>
      </c>
      <c r="R46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5" spans="1:18" ht="15" customHeight="1">
      <c r="A465" t="s">
        <v>8080</v>
      </c>
      <c r="B465" t="str">
        <f>IFERROR(_xlfn.XLOOKUP(tblLog[[#This Row],[Unique ID]], tblMaster[Unique ID], tblMaster[First Name], ""), "")</f>
        <v>ivan</v>
      </c>
      <c r="C465" t="str">
        <f>IFERROR(_xlfn.XLOOKUP(tblLog[[#This Row],[Unique ID]], tblMaster[Unique ID], tblMaster[Last Name], ""), "")</f>
        <v>fontanez rivera</v>
      </c>
      <c r="D465" t="str">
        <f>IFERROR(_xlfn.XLOOKUP(tblLog[[#This Row],[Unique ID]], tblMaster[Unique ID], tblMaster[Email_Clean], ""), "")</f>
        <v>fontanezivan222@gmail.com</v>
      </c>
      <c r="E465" t="str">
        <f>IFERROR(_xlfn.XLOOKUP(tblLog[[#This Row],[Unique ID]], tblMaster[Unique ID], tblMaster[Phone], ""), "")</f>
        <v>(401) 449-0035</v>
      </c>
      <c r="F465" t="str">
        <f>IFERROR(_xlfn.XLOOKUP(tblLog[[#This Row],[Unique ID]], tblMaster[Unique ID], tblMaster[Recruiter], ""), "")</f>
        <v xml:space="preserve">Christopher Servello </v>
      </c>
      <c r="G465" t="str">
        <f>IFERROR(_xlfn.XLOOKUP(tblLog[[#This Row],[Unique ID]], tblMaster[Unique ID], tblMaster[Recruitment Cycle], ""), "")</f>
        <v xml:space="preserve">New Submission/ Lead </v>
      </c>
      <c r="H465" t="s">
        <v>7496</v>
      </c>
      <c r="I465" t="s">
        <v>4</v>
      </c>
      <c r="J465" s="3">
        <v>2</v>
      </c>
      <c r="K465" t="s">
        <v>7491</v>
      </c>
      <c r="L465" s="2">
        <v>46066</v>
      </c>
      <c r="M465" t="s">
        <v>7452</v>
      </c>
      <c r="N465" t="s">
        <v>7497</v>
      </c>
      <c r="P465">
        <f ca="1">IF(tblLog[[#This Row],[Log Date]]="","",TODAY()-tblLog[[#This Row],[Log Date]])</f>
        <v>13</v>
      </c>
      <c r="Q465" t="str">
        <f>IF(tblLog[[#This Row],[Log Date]]="","",IF(TRIM(tblLog[[#This Row],[Cycle Stage]])="Asked to be removed from database","NO","YES"))</f>
        <v>YES</v>
      </c>
      <c r="R46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6" spans="1:18" ht="15" customHeight="1">
      <c r="A466" t="s">
        <v>8081</v>
      </c>
      <c r="B466" t="str">
        <f>IFERROR(_xlfn.XLOOKUP(tblLog[[#This Row],[Unique ID]], tblMaster[Unique ID], tblMaster[First Name], ""), "")</f>
        <v xml:space="preserve">Sam </v>
      </c>
      <c r="C466" t="str">
        <f>IFERROR(_xlfn.XLOOKUP(tblLog[[#This Row],[Unique ID]], tblMaster[Unique ID], tblMaster[Last Name], ""), "")</f>
        <v>Mujjuzi</v>
      </c>
      <c r="D466" t="str">
        <f>IFERROR(_xlfn.XLOOKUP(tblLog[[#This Row],[Unique ID]], tblMaster[Unique ID], tblMaster[Email_Clean], ""), "")</f>
        <v>sam.mujjuzi@gmail.com</v>
      </c>
      <c r="E466" t="str">
        <f>IFERROR(_xlfn.XLOOKUP(tblLog[[#This Row],[Unique ID]], tblMaster[Unique ID], tblMaster[Phone], ""), "")</f>
        <v>617-852-6158</v>
      </c>
      <c r="F466">
        <f>IFERROR(_xlfn.XLOOKUP(tblLog[[#This Row],[Unique ID]], tblMaster[Unique ID], tblMaster[Recruiter], ""), "")</f>
        <v>0</v>
      </c>
      <c r="G466" t="str">
        <f>IFERROR(_xlfn.XLOOKUP(tblLog[[#This Row],[Unique ID]], tblMaster[Unique ID], tblMaster[Recruitment Cycle], ""), "")</f>
        <v xml:space="preserve">Re-Engagment </v>
      </c>
      <c r="J466" s="3"/>
      <c r="P466" t="str">
        <f ca="1">IF(tblLog[[#This Row],[Log Date]]="","",TODAY()-tblLog[[#This Row],[Log Date]])</f>
        <v/>
      </c>
      <c r="Q466" t="str">
        <f>IF(tblLog[[#This Row],[Log Date]]="","",IF(TRIM(tblLog[[#This Row],[Cycle Stage]])="Asked to be removed from database","NO","YES"))</f>
        <v/>
      </c>
      <c r="R46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7" spans="1:18" ht="15" customHeight="1">
      <c r="A467" t="s">
        <v>8082</v>
      </c>
      <c r="B467" t="str">
        <f>IFERROR(_xlfn.XLOOKUP(tblLog[[#This Row],[Unique ID]], tblMaster[Unique ID], tblMaster[First Name], ""), "")</f>
        <v>Damian</v>
      </c>
      <c r="C467" t="str">
        <f>IFERROR(_xlfn.XLOOKUP(tblLog[[#This Row],[Unique ID]], tblMaster[Unique ID], tblMaster[Last Name], ""), "")</f>
        <v>Doran</v>
      </c>
      <c r="D467" t="str">
        <f>IFERROR(_xlfn.XLOOKUP(tblLog[[#This Row],[Unique ID]], tblMaster[Unique ID], tblMaster[Email_Clean], ""), "")</f>
        <v>d.doran3000@gmail.com</v>
      </c>
      <c r="E467" t="str">
        <f>IFERROR(_xlfn.XLOOKUP(tblLog[[#This Row],[Unique ID]], tblMaster[Unique ID], tblMaster[Phone], ""), "")</f>
        <v>(860) 982-0458</v>
      </c>
      <c r="F467" t="str">
        <f>IFERROR(_xlfn.XLOOKUP(tblLog[[#This Row],[Unique ID]], tblMaster[Unique ID], tblMaster[Recruiter], ""), "")</f>
        <v xml:space="preserve">Jevon Brown Simpson </v>
      </c>
      <c r="G467" t="str">
        <f>IFERROR(_xlfn.XLOOKUP(tblLog[[#This Row],[Unique ID]], tblMaster[Unique ID], tblMaster[Recruitment Cycle], ""), "")</f>
        <v xml:space="preserve">New Submission/ Lead </v>
      </c>
      <c r="H467" t="s">
        <v>8083</v>
      </c>
      <c r="I467" t="s">
        <v>4</v>
      </c>
      <c r="J467" s="3">
        <v>3</v>
      </c>
      <c r="K467" t="s">
        <v>7530</v>
      </c>
      <c r="L467" s="2">
        <v>46066</v>
      </c>
      <c r="M467" t="s">
        <v>7452</v>
      </c>
      <c r="P467">
        <f ca="1">IF(tblLog[[#This Row],[Log Date]]="","",TODAY()-tblLog[[#This Row],[Log Date]])</f>
        <v>13</v>
      </c>
      <c r="Q467" t="str">
        <f>IF(tblLog[[#This Row],[Log Date]]="","",IF(TRIM(tblLog[[#This Row],[Cycle Stage]])="Asked to be removed from database","NO","YES"))</f>
        <v>YES</v>
      </c>
      <c r="R46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8" spans="1:18" ht="15" customHeight="1">
      <c r="B468" t="str">
        <f>IFERROR(_xlfn.XLOOKUP(tblLog[[#This Row],[Unique ID]], tblMaster[Unique ID], tblMaster[First Name], ""), "")</f>
        <v/>
      </c>
      <c r="C468" t="str">
        <f>IFERROR(_xlfn.XLOOKUP(tblLog[[#This Row],[Unique ID]], tblMaster[Unique ID], tblMaster[Last Name], ""), "")</f>
        <v/>
      </c>
      <c r="D468" t="str">
        <f>IFERROR(_xlfn.XLOOKUP(tblLog[[#This Row],[Unique ID]], tblMaster[Unique ID], tblMaster[Email_Clean], ""), "")</f>
        <v/>
      </c>
      <c r="E468" t="str">
        <f>IFERROR(_xlfn.XLOOKUP(tblLog[[#This Row],[Unique ID]], tblMaster[Unique ID], tblMaster[Phone], ""), "")</f>
        <v/>
      </c>
      <c r="F468" t="str">
        <f>IFERROR(_xlfn.XLOOKUP(tblLog[[#This Row],[Unique ID]], tblMaster[Unique ID], tblMaster[Recruiter], ""), "")</f>
        <v/>
      </c>
      <c r="G468" t="str">
        <f>IFERROR(_xlfn.XLOOKUP(tblLog[[#This Row],[Unique ID]], tblMaster[Unique ID], tblMaster[Recruitment Cycle], ""), "")</f>
        <v/>
      </c>
      <c r="J468" s="3"/>
      <c r="P468" t="str">
        <f ca="1">IF(tblLog[[#This Row],[Log Date]]="","",TODAY()-tblLog[[#This Row],[Log Date]])</f>
        <v/>
      </c>
      <c r="Q468" t="str">
        <f>IF(tblLog[[#This Row],[Log Date]]="","",IF(TRIM(tblLog[[#This Row],[Cycle Stage]])="Asked to be removed from database","NO","YES"))</f>
        <v/>
      </c>
      <c r="R468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69" spans="1:18" ht="15" customHeight="1">
      <c r="A469" t="s">
        <v>8084</v>
      </c>
      <c r="B469" t="str">
        <f>IFERROR(_xlfn.XLOOKUP(tblLog[[#This Row],[Unique ID]], tblMaster[Unique ID], tblMaster[First Name], ""), "")</f>
        <v>Lucrechia</v>
      </c>
      <c r="C469" t="str">
        <f>IFERROR(_xlfn.XLOOKUP(tblLog[[#This Row],[Unique ID]], tblMaster[Unique ID], tblMaster[Last Name], ""), "")</f>
        <v>Lubin</v>
      </c>
      <c r="D469" t="str">
        <f>IFERROR(_xlfn.XLOOKUP(tblLog[[#This Row],[Unique ID]], tblMaster[Unique ID], tblMaster[Email_Clean], ""), "")</f>
        <v>lucrechialubin@gmail.com</v>
      </c>
      <c r="E469" t="str">
        <f>IFERROR(_xlfn.XLOOKUP(tblLog[[#This Row],[Unique ID]], tblMaster[Unique ID], tblMaster[Phone], ""), "")</f>
        <v>(786) 296-5442</v>
      </c>
      <c r="F469" t="str">
        <f>IFERROR(_xlfn.XLOOKUP(tblLog[[#This Row],[Unique ID]], tblMaster[Unique ID], tblMaster[Recruiter], ""), "")</f>
        <v xml:space="preserve">Jevon Brown Simpson </v>
      </c>
      <c r="G469" t="str">
        <f>IFERROR(_xlfn.XLOOKUP(tblLog[[#This Row],[Unique ID]], tblMaster[Unique ID], tblMaster[Recruitment Cycle], ""), "")</f>
        <v xml:space="preserve">Re-Engagment/Post Civil Service Exam </v>
      </c>
      <c r="H469" t="s">
        <v>7515</v>
      </c>
      <c r="I469" t="s">
        <v>4</v>
      </c>
      <c r="J469" s="3">
        <v>2</v>
      </c>
      <c r="K469" t="s">
        <v>7530</v>
      </c>
      <c r="L469" s="2">
        <v>46069</v>
      </c>
      <c r="N469" t="s">
        <v>7517</v>
      </c>
      <c r="O469" t="s">
        <v>8085</v>
      </c>
      <c r="P469">
        <f ca="1">IF(tblLog[[#This Row],[Log Date]]="","",TODAY()-tblLog[[#This Row],[Log Date]])</f>
        <v>10</v>
      </c>
      <c r="Q469" t="str">
        <f>IF(tblLog[[#This Row],[Log Date]]="","",IF(TRIM(tblLog[[#This Row],[Cycle Stage]])="Asked to be removed from database","NO","YES"))</f>
        <v>YES</v>
      </c>
      <c r="R46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0" spans="1:18" ht="15" customHeight="1">
      <c r="A470" t="s">
        <v>8086</v>
      </c>
      <c r="B470" t="str">
        <f>IFERROR(_xlfn.XLOOKUP(tblLog[[#This Row],[Unique ID]], tblMaster[Unique ID], tblMaster[First Name], ""), "")</f>
        <v xml:space="preserve">Alexander </v>
      </c>
      <c r="C470" t="str">
        <f>IFERROR(_xlfn.XLOOKUP(tblLog[[#This Row],[Unique ID]], tblMaster[Unique ID], tblMaster[Last Name], ""), "")</f>
        <v xml:space="preserve">ervello Santiago </v>
      </c>
      <c r="D470" t="str">
        <f>IFERROR(_xlfn.XLOOKUP(tblLog[[#This Row],[Unique ID]], tblMaster[Unique ID], tblMaster[Email_Clean], ""), "")</f>
        <v>alexsantiago64@gmail.com</v>
      </c>
      <c r="E470" t="str">
        <f>IFERROR(_xlfn.XLOOKUP(tblLog[[#This Row],[Unique ID]], tblMaster[Unique ID], tblMaster[Phone], ""), "")</f>
        <v>978-728-1261</v>
      </c>
      <c r="F470" t="str">
        <f>IFERROR(_xlfn.XLOOKUP(tblLog[[#This Row],[Unique ID]], tblMaster[Unique ID], tblMaster[Recruiter], ""), "")</f>
        <v xml:space="preserve">Jevon Brown Simpson </v>
      </c>
      <c r="G470" t="str">
        <f>IFERROR(_xlfn.XLOOKUP(tblLog[[#This Row],[Unique ID]], tblMaster[Unique ID], tblMaster[Recruitment Cycle], ""), "")</f>
        <v xml:space="preserve">Re-Engagment/Post Civil Service Exam </v>
      </c>
      <c r="H470" t="s">
        <v>7543</v>
      </c>
      <c r="I470" t="s">
        <v>4</v>
      </c>
      <c r="J470" s="3">
        <v>3</v>
      </c>
      <c r="K470" t="s">
        <v>7530</v>
      </c>
      <c r="L470" s="2">
        <v>46069</v>
      </c>
      <c r="N470" t="s">
        <v>7487</v>
      </c>
      <c r="P470">
        <f ca="1">IF(tblLog[[#This Row],[Log Date]]="","",TODAY()-tblLog[[#This Row],[Log Date]])</f>
        <v>10</v>
      </c>
      <c r="Q470" t="str">
        <f>IF(tblLog[[#This Row],[Log Date]]="","",IF(TRIM(tblLog[[#This Row],[Cycle Stage]])="Asked to be removed from database","NO","YES"))</f>
        <v>YES</v>
      </c>
      <c r="R47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1" spans="1:18" ht="15" customHeight="1">
      <c r="A471" t="s">
        <v>8087</v>
      </c>
      <c r="B471" t="str">
        <f>IFERROR(_xlfn.XLOOKUP(tblLog[[#This Row],[Unique ID]], tblMaster[Unique ID], tblMaster[First Name], ""), "")</f>
        <v>Hayden</v>
      </c>
      <c r="C471" t="str">
        <f>IFERROR(_xlfn.XLOOKUP(tblLog[[#This Row],[Unique ID]], tblMaster[Unique ID], tblMaster[Last Name], ""), "")</f>
        <v>Lombardozzi</v>
      </c>
      <c r="D471" t="str">
        <f>IFERROR(_xlfn.XLOOKUP(tblLog[[#This Row],[Unique ID]], tblMaster[Unique ID], tblMaster[Email_Clean], ""), "")</f>
        <v>hclombardozzi@aol.com</v>
      </c>
      <c r="E471" t="str">
        <f>IFERROR(_xlfn.XLOOKUP(tblLog[[#This Row],[Unique ID]], tblMaster[Unique ID], tblMaster[Phone], ""), "")</f>
        <v>774-239-4486</v>
      </c>
      <c r="F471" t="str">
        <f>IFERROR(_xlfn.XLOOKUP(tblLog[[#This Row],[Unique ID]], tblMaster[Unique ID], tblMaster[Recruiter], ""), "")</f>
        <v xml:space="preserve">Jevon Brown Simpson </v>
      </c>
      <c r="G471" t="str">
        <f>IFERROR(_xlfn.XLOOKUP(tblLog[[#This Row],[Unique ID]], tblMaster[Unique ID], tblMaster[Recruitment Cycle], ""), "")</f>
        <v xml:space="preserve">Re-Engagment </v>
      </c>
      <c r="H471" t="s">
        <v>7439</v>
      </c>
      <c r="I471" t="s">
        <v>4</v>
      </c>
      <c r="J471" s="3">
        <v>2</v>
      </c>
      <c r="K471" t="s">
        <v>7701</v>
      </c>
      <c r="L471" s="2">
        <v>46069</v>
      </c>
      <c r="N471" t="s">
        <v>7487</v>
      </c>
      <c r="P471">
        <f ca="1">IF(tblLog[[#This Row],[Log Date]]="","",TODAY()-tblLog[[#This Row],[Log Date]])</f>
        <v>10</v>
      </c>
      <c r="Q471" t="str">
        <f>IF(tblLog[[#This Row],[Log Date]]="","",IF(TRIM(tblLog[[#This Row],[Cycle Stage]])="Asked to be removed from database","NO","YES"))</f>
        <v>YES</v>
      </c>
      <c r="R47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2" spans="1:18" ht="15" customHeight="1">
      <c r="A472" t="s">
        <v>8088</v>
      </c>
      <c r="B472" t="str">
        <f>IFERROR(_xlfn.XLOOKUP(tblLog[[#This Row],[Unique ID]], tblMaster[Unique ID], tblMaster[First Name], ""), "")</f>
        <v>Sarah</v>
      </c>
      <c r="C472" t="str">
        <f>IFERROR(_xlfn.XLOOKUP(tblLog[[#This Row],[Unique ID]], tblMaster[Unique ID], tblMaster[Last Name], ""), "")</f>
        <v>Ribeiro</v>
      </c>
      <c r="D472" t="str">
        <f>IFERROR(_xlfn.XLOOKUP(tblLog[[#This Row],[Unique ID]], tblMaster[Unique ID], tblMaster[Email_Clean], ""), "")</f>
        <v>sarah.ribeiro001@umb.edu</v>
      </c>
      <c r="E472" t="str">
        <f>IFERROR(_xlfn.XLOOKUP(tblLog[[#This Row],[Unique ID]], tblMaster[Unique ID], tblMaster[Phone], ""), "")</f>
        <v>774-778-3277</v>
      </c>
      <c r="F472" t="str">
        <f>IFERROR(_xlfn.XLOOKUP(tblLog[[#This Row],[Unique ID]], tblMaster[Unique ID], tblMaster[Recruiter], ""), "")</f>
        <v xml:space="preserve">Jevon Brown Simpson </v>
      </c>
      <c r="G472" t="str">
        <f>IFERROR(_xlfn.XLOOKUP(tblLog[[#This Row],[Unique ID]], tblMaster[Unique ID], tblMaster[Recruitment Cycle], ""), "")</f>
        <v xml:space="preserve">Re-Engagment </v>
      </c>
      <c r="H472" t="s">
        <v>7439</v>
      </c>
      <c r="I472" t="s">
        <v>4</v>
      </c>
      <c r="J472" s="3">
        <v>3</v>
      </c>
      <c r="K472" t="s">
        <v>7701</v>
      </c>
      <c r="L472" s="2">
        <v>46069</v>
      </c>
      <c r="N472" t="s">
        <v>7487</v>
      </c>
      <c r="P472">
        <f ca="1">IF(tblLog[[#This Row],[Log Date]]="","",TODAY()-tblLog[[#This Row],[Log Date]])</f>
        <v>10</v>
      </c>
      <c r="Q472" t="str">
        <f>IF(tblLog[[#This Row],[Log Date]]="","",IF(TRIM(tblLog[[#This Row],[Cycle Stage]])="Asked to be removed from database","NO","YES"))</f>
        <v>YES</v>
      </c>
      <c r="R47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3" spans="1:18" ht="15" customHeight="1">
      <c r="A473" t="s">
        <v>8089</v>
      </c>
      <c r="B473" t="str">
        <f>IFERROR(_xlfn.XLOOKUP(tblLog[[#This Row],[Unique ID]], tblMaster[Unique ID], tblMaster[First Name], ""), "")</f>
        <v xml:space="preserve">Aaron </v>
      </c>
      <c r="C473" t="str">
        <f>IFERROR(_xlfn.XLOOKUP(tblLog[[#This Row],[Unique ID]], tblMaster[Unique ID], tblMaster[Last Name], ""), "")</f>
        <v xml:space="preserve">Leach </v>
      </c>
      <c r="D473" t="str">
        <f>IFERROR(_xlfn.XLOOKUP(tblLog[[#This Row],[Unique ID]], tblMaster[Unique ID], tblMaster[Email_Clean], ""), "")</f>
        <v>aaronjleach11@gmail.com</v>
      </c>
      <c r="E473" t="str">
        <f>IFERROR(_xlfn.XLOOKUP(tblLog[[#This Row],[Unique ID]], tblMaster[Unique ID], tblMaster[Phone], ""), "")</f>
        <v xml:space="preserve">508) 446-0827 </v>
      </c>
      <c r="F473" t="str">
        <f>IFERROR(_xlfn.XLOOKUP(tblLog[[#This Row],[Unique ID]], tblMaster[Unique ID], tblMaster[Recruiter], ""), "")</f>
        <v xml:space="preserve">Austin Campos </v>
      </c>
      <c r="G473" t="str">
        <f>IFERROR(_xlfn.XLOOKUP(tblLog[[#This Row],[Unique ID]], tblMaster[Unique ID], tblMaster[Recruitment Cycle], ""), "")</f>
        <v xml:space="preserve">New Submission/ Lead </v>
      </c>
      <c r="H473" t="s">
        <v>7496</v>
      </c>
      <c r="I473" t="s">
        <v>4</v>
      </c>
      <c r="J473" s="3">
        <v>1</v>
      </c>
      <c r="K473" t="s">
        <v>7491</v>
      </c>
      <c r="L473" s="2">
        <v>46069</v>
      </c>
      <c r="N473" t="s">
        <v>7497</v>
      </c>
      <c r="P473">
        <f ca="1">IF(tblLog[[#This Row],[Log Date]]="","",TODAY()-tblLog[[#This Row],[Log Date]])</f>
        <v>10</v>
      </c>
      <c r="Q473" t="str">
        <f>IF(tblLog[[#This Row],[Log Date]]="","",IF(TRIM(tblLog[[#This Row],[Cycle Stage]])="Asked to be removed from database","NO","YES"))</f>
        <v>YES</v>
      </c>
      <c r="R47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4" spans="1:18" ht="15" customHeight="1">
      <c r="A474" t="s">
        <v>8090</v>
      </c>
      <c r="B474" t="str">
        <f>IFERROR(_xlfn.XLOOKUP(tblLog[[#This Row],[Unique ID]], tblMaster[Unique ID], tblMaster[First Name], ""), "")</f>
        <v>Janny</v>
      </c>
      <c r="C474" t="str">
        <f>IFERROR(_xlfn.XLOOKUP(tblLog[[#This Row],[Unique ID]], tblMaster[Unique ID], tblMaster[Last Name], ""), "")</f>
        <v>Medrano</v>
      </c>
      <c r="D474" t="str">
        <f>IFERROR(_xlfn.XLOOKUP(tblLog[[#This Row],[Unique ID]], tblMaster[Unique ID], tblMaster[Email_Clean], ""), "")</f>
        <v>jannymedrano@yahoo.com</v>
      </c>
      <c r="E474" t="str">
        <f>IFERROR(_xlfn.XLOOKUP(tblLog[[#This Row],[Unique ID]], tblMaster[Unique ID], tblMaster[Phone], ""), "")</f>
        <v>(442) 322-5764</v>
      </c>
      <c r="F474" t="str">
        <f>IFERROR(_xlfn.XLOOKUP(tblLog[[#This Row],[Unique ID]], tblMaster[Unique ID], tblMaster[Recruiter], ""), "")</f>
        <v xml:space="preserve">Austin Campos </v>
      </c>
      <c r="G474" t="str">
        <f>IFERROR(_xlfn.XLOOKUP(tblLog[[#This Row],[Unique ID]], tblMaster[Unique ID], tblMaster[Recruitment Cycle], ""), "")</f>
        <v xml:space="preserve">New Submission/ Lead </v>
      </c>
      <c r="H474" t="s">
        <v>7496</v>
      </c>
      <c r="I474" t="s">
        <v>4</v>
      </c>
      <c r="J474" s="3">
        <v>1</v>
      </c>
      <c r="K474" t="s">
        <v>7491</v>
      </c>
      <c r="L474" s="2">
        <v>46069</v>
      </c>
      <c r="N474" t="s">
        <v>7497</v>
      </c>
      <c r="P474">
        <f ca="1">IF(tblLog[[#This Row],[Log Date]]="","",TODAY()-tblLog[[#This Row],[Log Date]])</f>
        <v>10</v>
      </c>
      <c r="Q474" t="str">
        <f>IF(tblLog[[#This Row],[Log Date]]="","",IF(TRIM(tblLog[[#This Row],[Cycle Stage]])="Asked to be removed from database","NO","YES"))</f>
        <v>YES</v>
      </c>
      <c r="R47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5" spans="1:18" ht="15" customHeight="1">
      <c r="A475" t="s">
        <v>8091</v>
      </c>
      <c r="B475" t="str">
        <f>IFERROR(_xlfn.XLOOKUP(tblLog[[#This Row],[Unique ID]], tblMaster[Unique ID], tblMaster[First Name], ""), "")</f>
        <v>PIERRE</v>
      </c>
      <c r="C475" t="str">
        <f>IFERROR(_xlfn.XLOOKUP(tblLog[[#This Row],[Unique ID]], tblMaster[Unique ID], tblMaster[Last Name], ""), "")</f>
        <v xml:space="preserve"> DESIR</v>
      </c>
      <c r="D475" t="str">
        <f>IFERROR(_xlfn.XLOOKUP(tblLog[[#This Row],[Unique ID]], tblMaster[Unique ID], tblMaster[Email_Clean], ""), "")</f>
        <v>ppdesir@gmail.com</v>
      </c>
      <c r="E475" t="str">
        <f>IFERROR(_xlfn.XLOOKUP(tblLog[[#This Row],[Unique ID]], tblMaster[Unique ID], tblMaster[Phone], ""), "")</f>
        <v xml:space="preserve">401) 457-8352 </v>
      </c>
      <c r="F475" t="str">
        <f>IFERROR(_xlfn.XLOOKUP(tblLog[[#This Row],[Unique ID]], tblMaster[Unique ID], tblMaster[Recruiter], ""), "")</f>
        <v xml:space="preserve">Jevon Brown Simpson </v>
      </c>
      <c r="G475" t="str">
        <f>IFERROR(_xlfn.XLOOKUP(tblLog[[#This Row],[Unique ID]], tblMaster[Unique ID], tblMaster[Recruitment Cycle], ""), "")</f>
        <v xml:space="preserve">Re-Engagment </v>
      </c>
      <c r="H475" t="s">
        <v>7445</v>
      </c>
      <c r="I475" t="s">
        <v>4</v>
      </c>
      <c r="J475" s="3">
        <v>2</v>
      </c>
      <c r="K475" t="s">
        <v>8092</v>
      </c>
      <c r="L475" s="2">
        <v>46069</v>
      </c>
      <c r="N475" t="s">
        <v>7517</v>
      </c>
      <c r="P475">
        <f ca="1">IF(tblLog[[#This Row],[Log Date]]="","",TODAY()-tblLog[[#This Row],[Log Date]])</f>
        <v>10</v>
      </c>
      <c r="Q475" t="str">
        <f>IF(tblLog[[#This Row],[Log Date]]="","",IF(TRIM(tblLog[[#This Row],[Cycle Stage]])="Asked to be removed from database","NO","YES"))</f>
        <v>YES</v>
      </c>
      <c r="R47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6" spans="1:18" ht="15" customHeight="1">
      <c r="A476" t="s">
        <v>8093</v>
      </c>
      <c r="B476" t="str">
        <f>IFERROR(_xlfn.XLOOKUP(tblLog[[#This Row],[Unique ID]], tblMaster[Unique ID], tblMaster[First Name], ""), "")</f>
        <v xml:space="preserve">Josue </v>
      </c>
      <c r="C476" t="str">
        <f>IFERROR(_xlfn.XLOOKUP(tblLog[[#This Row],[Unique ID]], tblMaster[Unique ID], tblMaster[Last Name], ""), "")</f>
        <v>Rodriguez Osoria</v>
      </c>
      <c r="D476" t="str">
        <f>IFERROR(_xlfn.XLOOKUP(tblLog[[#This Row],[Unique ID]], tblMaster[Unique ID], tblMaster[Email_Clean], ""), "")</f>
        <v>josuerodriguezosoria@gmail.com</v>
      </c>
      <c r="E476" t="str">
        <f>IFERROR(_xlfn.XLOOKUP(tblLog[[#This Row],[Unique ID]], tblMaster[Unique ID], tblMaster[Phone], ""), "")</f>
        <v>(978) 228-9861</v>
      </c>
      <c r="F476">
        <f>IFERROR(_xlfn.XLOOKUP(tblLog[[#This Row],[Unique ID]], tblMaster[Unique ID], tblMaster[Recruiter], ""), "")</f>
        <v>0</v>
      </c>
      <c r="G476" t="str">
        <f>IFERROR(_xlfn.XLOOKUP(tblLog[[#This Row],[Unique ID]], tblMaster[Unique ID], tblMaster[Recruitment Cycle], ""), "")</f>
        <v xml:space="preserve">Re-Engagment </v>
      </c>
      <c r="J476" s="3"/>
      <c r="P476" t="str">
        <f ca="1">IF(tblLog[[#This Row],[Log Date]]="","",TODAY()-tblLog[[#This Row],[Log Date]])</f>
        <v/>
      </c>
      <c r="Q476" t="str">
        <f>IF(tblLog[[#This Row],[Log Date]]="","",IF(TRIM(tblLog[[#This Row],[Cycle Stage]])="Asked to be removed from database","NO","YES"))</f>
        <v/>
      </c>
      <c r="R476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7" spans="1:18" ht="15" customHeight="1">
      <c r="A477" t="s">
        <v>8094</v>
      </c>
      <c r="B477" t="str">
        <f>IFERROR(_xlfn.XLOOKUP(tblLog[[#This Row],[Unique ID]], tblMaster[Unique ID], tblMaster[First Name], ""), "")</f>
        <v>Morgan</v>
      </c>
      <c r="C477" t="str">
        <f>IFERROR(_xlfn.XLOOKUP(tblLog[[#This Row],[Unique ID]], tblMaster[Unique ID], tblMaster[Last Name], ""), "")</f>
        <v>Emond</v>
      </c>
      <c r="D477" t="str">
        <f>IFERROR(_xlfn.XLOOKUP(tblLog[[#This Row],[Unique ID]], tblMaster[Unique ID], tblMaster[Email_Clean], ""), "")</f>
        <v>memond95@icloud.com</v>
      </c>
      <c r="E477" t="str">
        <f>IFERROR(_xlfn.XLOOKUP(tblLog[[#This Row],[Unique ID]], tblMaster[Unique ID], tblMaster[Phone], ""), "")</f>
        <v>978-877-8688</v>
      </c>
      <c r="F477" t="str">
        <f>IFERROR(_xlfn.XLOOKUP(tblLog[[#This Row],[Unique ID]], tblMaster[Unique ID], tblMaster[Recruiter], ""), "")</f>
        <v xml:space="preserve">Christopher Servello </v>
      </c>
      <c r="G477" t="str">
        <f>IFERROR(_xlfn.XLOOKUP(tblLog[[#This Row],[Unique ID]], tblMaster[Unique ID], tblMaster[Recruitment Cycle], ""), "")</f>
        <v xml:space="preserve">New Submission/ Lead </v>
      </c>
      <c r="H477" t="s">
        <v>7496</v>
      </c>
      <c r="I477" t="s">
        <v>4</v>
      </c>
      <c r="J477" s="3">
        <v>2</v>
      </c>
      <c r="K477" t="s">
        <v>7491</v>
      </c>
      <c r="L477" s="2">
        <v>46070</v>
      </c>
      <c r="N477" t="s">
        <v>7497</v>
      </c>
      <c r="P477">
        <f ca="1">IF(tblLog[[#This Row],[Log Date]]="","",TODAY()-tblLog[[#This Row],[Log Date]])</f>
        <v>9</v>
      </c>
      <c r="Q477" t="str">
        <f>IF(tblLog[[#This Row],[Log Date]]="","",IF(TRIM(tblLog[[#This Row],[Cycle Stage]])="Asked to be removed from database","NO","YES"))</f>
        <v>YES</v>
      </c>
      <c r="R47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8" spans="1:18" ht="15" customHeight="1">
      <c r="A478" t="s">
        <v>8095</v>
      </c>
      <c r="B478" t="str">
        <f>IFERROR(_xlfn.XLOOKUP(tblLog[[#This Row],[Unique ID]], tblMaster[Unique ID], tblMaster[First Name], ""), "")</f>
        <v>Lenchie</v>
      </c>
      <c r="C478" t="str">
        <f>IFERROR(_xlfn.XLOOKUP(tblLog[[#This Row],[Unique ID]], tblMaster[Unique ID], tblMaster[Last Name], ""), "")</f>
        <v>Felix</v>
      </c>
      <c r="D478" t="str">
        <f>IFERROR(_xlfn.XLOOKUP(tblLog[[#This Row],[Unique ID]], tblMaster[Unique ID], tblMaster[Email_Clean], ""), "")</f>
        <v>lenchiefelix@gmail.com</v>
      </c>
      <c r="E478" t="str">
        <f>IFERROR(_xlfn.XLOOKUP(tblLog[[#This Row],[Unique ID]], tblMaster[Unique ID], tblMaster[Phone], ""), "")</f>
        <v>305-922-0553</v>
      </c>
      <c r="F478" t="str">
        <f>IFERROR(_xlfn.XLOOKUP(tblLog[[#This Row],[Unique ID]], tblMaster[Unique ID], tblMaster[Recruiter], ""), "")</f>
        <v xml:space="preserve">Austin Campos </v>
      </c>
      <c r="G478" t="str">
        <f>IFERROR(_xlfn.XLOOKUP(tblLog[[#This Row],[Unique ID]], tblMaster[Unique ID], tblMaster[Recruitment Cycle], ""), "")</f>
        <v xml:space="preserve">New Submission/ Lead </v>
      </c>
      <c r="H478" t="s">
        <v>7496</v>
      </c>
      <c r="I478" t="s">
        <v>4</v>
      </c>
      <c r="J478" s="3">
        <v>1</v>
      </c>
      <c r="K478" t="s">
        <v>7491</v>
      </c>
      <c r="L478" s="2">
        <v>46071</v>
      </c>
      <c r="N478" t="s">
        <v>7497</v>
      </c>
      <c r="P478">
        <f ca="1">IF(tblLog[[#This Row],[Log Date]]="","",TODAY()-tblLog[[#This Row],[Log Date]])</f>
        <v>8</v>
      </c>
      <c r="Q478" t="str">
        <f>IF(tblLog[[#This Row],[Log Date]]="","",IF(TRIM(tblLog[[#This Row],[Cycle Stage]])="Asked to be removed from database","NO","YES"))</f>
        <v>YES</v>
      </c>
      <c r="R47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79" spans="1:18" ht="15" customHeight="1">
      <c r="A479" t="s">
        <v>8096</v>
      </c>
      <c r="B479" t="str">
        <f>IFERROR(_xlfn.XLOOKUP(tblLog[[#This Row],[Unique ID]], tblMaster[Unique ID], tblMaster[First Name], ""), "")</f>
        <v>Elias</v>
      </c>
      <c r="C479" t="str">
        <f>IFERROR(_xlfn.XLOOKUP(tblLog[[#This Row],[Unique ID]], tblMaster[Unique ID], tblMaster[Last Name], ""), "")</f>
        <v>Flores</v>
      </c>
      <c r="D479" t="str">
        <f>IFERROR(_xlfn.XLOOKUP(tblLog[[#This Row],[Unique ID]], tblMaster[Unique ID], tblMaster[Email_Clean], ""), "")</f>
        <v>eliasjflores18@gmail.com</v>
      </c>
      <c r="E479" t="str">
        <f>IFERROR(_xlfn.XLOOKUP(tblLog[[#This Row],[Unique ID]], tblMaster[Unique ID], tblMaster[Phone], ""), "")</f>
        <v>401-837-9383</v>
      </c>
      <c r="F479" t="str">
        <f>IFERROR(_xlfn.XLOOKUP(tblLog[[#This Row],[Unique ID]], tblMaster[Unique ID], tblMaster[Recruiter], ""), "")</f>
        <v xml:space="preserve">Jevon Brown Simpson </v>
      </c>
      <c r="G479" t="str">
        <f>IFERROR(_xlfn.XLOOKUP(tblLog[[#This Row],[Unique ID]], tblMaster[Unique ID], tblMaster[Recruitment Cycle], ""), "")</f>
        <v xml:space="preserve">Re-Engagment/Post Civil Service Exam </v>
      </c>
      <c r="H479" t="s">
        <v>7543</v>
      </c>
      <c r="I479" t="s">
        <v>4</v>
      </c>
      <c r="J479" s="3">
        <v>3</v>
      </c>
      <c r="K479" t="s">
        <v>8097</v>
      </c>
      <c r="L479" s="2">
        <v>46071</v>
      </c>
      <c r="P479">
        <f ca="1">IF(tblLog[[#This Row],[Log Date]]="","",TODAY()-tblLog[[#This Row],[Log Date]])</f>
        <v>8</v>
      </c>
      <c r="Q479" t="str">
        <f>IF(tblLog[[#This Row],[Log Date]]="","",IF(TRIM(tblLog[[#This Row],[Cycle Stage]])="Asked to be removed from database","NO","YES"))</f>
        <v>YES</v>
      </c>
      <c r="R47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0" spans="1:18" ht="15" customHeight="1">
      <c r="A480" t="s">
        <v>8098</v>
      </c>
      <c r="B480" t="str">
        <f>IFERROR(_xlfn.XLOOKUP(tblLog[[#This Row],[Unique ID]], tblMaster[Unique ID], tblMaster[First Name], ""), "")</f>
        <v>Osaro</v>
      </c>
      <c r="C480" t="str">
        <f>IFERROR(_xlfn.XLOOKUP(tblLog[[#This Row],[Unique ID]], tblMaster[Unique ID], tblMaster[Last Name], ""), "")</f>
        <v>Jeffery Omorogieva</v>
      </c>
      <c r="D480" t="str">
        <f>IFERROR(_xlfn.XLOOKUP(tblLog[[#This Row],[Unique ID]], tblMaster[Unique ID], tblMaster[Email_Clean], ""), "")</f>
        <v>talktojeff2003@yahoo.com</v>
      </c>
      <c r="E480" t="str">
        <f>IFERROR(_xlfn.XLOOKUP(tblLog[[#This Row],[Unique ID]], tblMaster[Unique ID], tblMaster[Phone], ""), "")</f>
        <v>(617) 888-1863</v>
      </c>
      <c r="F480" t="str">
        <f>IFERROR(_xlfn.XLOOKUP(tblLog[[#This Row],[Unique ID]], tblMaster[Unique ID], tblMaster[Recruiter], ""), "")</f>
        <v xml:space="preserve">Tom Clark </v>
      </c>
      <c r="G480" t="str">
        <f>IFERROR(_xlfn.XLOOKUP(tblLog[[#This Row],[Unique ID]], tblMaster[Unique ID], tblMaster[Recruitment Cycle], ""), "")</f>
        <v xml:space="preserve">New Submission/ Lead </v>
      </c>
      <c r="H480" t="s">
        <v>7496</v>
      </c>
      <c r="I480" t="s">
        <v>7434</v>
      </c>
      <c r="J480" s="3">
        <v>2</v>
      </c>
      <c r="L480" s="2">
        <v>46071</v>
      </c>
      <c r="N480" t="s">
        <v>7497</v>
      </c>
      <c r="P480">
        <f ca="1">IF(tblLog[[#This Row],[Log Date]]="","",TODAY()-tblLog[[#This Row],[Log Date]])</f>
        <v>8</v>
      </c>
      <c r="Q480" t="str">
        <f>IF(tblLog[[#This Row],[Log Date]]="","",IF(TRIM(tblLog[[#This Row],[Cycle Stage]])="Asked to be removed from database","NO","YES"))</f>
        <v>YES</v>
      </c>
      <c r="R48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1" spans="1:18" ht="15" customHeight="1">
      <c r="A481" t="s">
        <v>8099</v>
      </c>
      <c r="B481" t="str">
        <f>IFERROR(_xlfn.XLOOKUP(tblLog[[#This Row],[Unique ID]], tblMaster[Unique ID], tblMaster[First Name], ""), "")</f>
        <v>Eugenio</v>
      </c>
      <c r="C481" t="str">
        <f>IFERROR(_xlfn.XLOOKUP(tblLog[[#This Row],[Unique ID]], tblMaster[Unique ID], tblMaster[Last Name], ""), "")</f>
        <v>Pillkahn</v>
      </c>
      <c r="D481" t="str">
        <f>IFERROR(_xlfn.XLOOKUP(tblLog[[#This Row],[Unique ID]], tblMaster[Unique ID], tblMaster[Email_Clean], ""), "")</f>
        <v>eugeniopillkahn@yahoo.com</v>
      </c>
      <c r="E481" t="str">
        <f>IFERROR(_xlfn.XLOOKUP(tblLog[[#This Row],[Unique ID]], tblMaster[Unique ID], tblMaster[Phone], ""), "")</f>
        <v>(617) 755-9557</v>
      </c>
      <c r="F481" t="str">
        <f>IFERROR(_xlfn.XLOOKUP(tblLog[[#This Row],[Unique ID]], tblMaster[Unique ID], tblMaster[Recruiter], ""), "")</f>
        <v xml:space="preserve">Tom Clark </v>
      </c>
      <c r="G481" t="str">
        <f>IFERROR(_xlfn.XLOOKUP(tblLog[[#This Row],[Unique ID]], tblMaster[Unique ID], tblMaster[Recruitment Cycle], ""), "")</f>
        <v xml:space="preserve">New Submission/ Lead </v>
      </c>
      <c r="H481" t="s">
        <v>7496</v>
      </c>
      <c r="I481" t="s">
        <v>7434</v>
      </c>
      <c r="J481" s="3">
        <v>2</v>
      </c>
      <c r="L481" s="2">
        <v>46071</v>
      </c>
      <c r="N481" t="s">
        <v>7497</v>
      </c>
      <c r="P481">
        <f ca="1">IF(tblLog[[#This Row],[Log Date]]="","",TODAY()-tblLog[[#This Row],[Log Date]])</f>
        <v>8</v>
      </c>
      <c r="Q481" t="str">
        <f>IF(tblLog[[#This Row],[Log Date]]="","",IF(TRIM(tblLog[[#This Row],[Cycle Stage]])="Asked to be removed from database","NO","YES"))</f>
        <v>YES</v>
      </c>
      <c r="R48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2" spans="1:18" ht="15" customHeight="1">
      <c r="A482" t="s">
        <v>8100</v>
      </c>
      <c r="B482" t="str">
        <f>IFERROR(_xlfn.XLOOKUP(tblLog[[#This Row],[Unique ID]], tblMaster[Unique ID], tblMaster[First Name], ""), "")</f>
        <v>Walfri</v>
      </c>
      <c r="C482" t="str">
        <f>IFERROR(_xlfn.XLOOKUP(tblLog[[#This Row],[Unique ID]], tblMaster[Unique ID], tblMaster[Last Name], ""), "")</f>
        <v>Rodriguez</v>
      </c>
      <c r="D482" t="str">
        <f>IFERROR(_xlfn.XLOOKUP(tblLog[[#This Row],[Unique ID]], tblMaster[Unique ID], tblMaster[Email_Clean], ""), "")</f>
        <v>bestsm877@gmail.com</v>
      </c>
      <c r="E482" t="str">
        <f>IFERROR(_xlfn.XLOOKUP(tblLog[[#This Row],[Unique ID]], tblMaster[Unique ID], tblMaster[Phone], ""), "")</f>
        <v xml:space="preserve">	(508) 612-6949</v>
      </c>
      <c r="F482" t="str">
        <f>IFERROR(_xlfn.XLOOKUP(tblLog[[#This Row],[Unique ID]], tblMaster[Unique ID], tblMaster[Recruiter], ""), "")</f>
        <v xml:space="preserve">Tom Clark </v>
      </c>
      <c r="G482" t="str">
        <f>IFERROR(_xlfn.XLOOKUP(tblLog[[#This Row],[Unique ID]], tblMaster[Unique ID], tblMaster[Recruitment Cycle], ""), "")</f>
        <v xml:space="preserve">New Submission/ Lead </v>
      </c>
      <c r="H482" t="s">
        <v>7496</v>
      </c>
      <c r="I482" t="s">
        <v>7434</v>
      </c>
      <c r="J482" s="3">
        <v>2</v>
      </c>
      <c r="L482" s="2">
        <v>46071</v>
      </c>
      <c r="N482" t="s">
        <v>7497</v>
      </c>
      <c r="P482">
        <f ca="1">IF(tblLog[[#This Row],[Log Date]]="","",TODAY()-tblLog[[#This Row],[Log Date]])</f>
        <v>8</v>
      </c>
      <c r="Q482" t="str">
        <f>IF(tblLog[[#This Row],[Log Date]]="","",IF(TRIM(tblLog[[#This Row],[Cycle Stage]])="Asked to be removed from database","NO","YES"))</f>
        <v>YES</v>
      </c>
      <c r="R48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3" spans="1:18" ht="15" customHeight="1">
      <c r="A483" t="s">
        <v>7376</v>
      </c>
      <c r="B483" t="str">
        <f>IFERROR(_xlfn.XLOOKUP(tblLog[[#This Row],[Unique ID]], tblMaster[Unique ID], tblMaster[First Name], ""), "")</f>
        <v>Ciana</v>
      </c>
      <c r="C483" t="str">
        <f>IFERROR(_xlfn.XLOOKUP(tblLog[[#This Row],[Unique ID]], tblMaster[Unique ID], tblMaster[Last Name], ""), "")</f>
        <v>Rentas</v>
      </c>
      <c r="D483" t="str">
        <f>IFERROR(_xlfn.XLOOKUP(tblLog[[#This Row],[Unique ID]], tblMaster[Unique ID], tblMaster[Email_Clean], ""), "")</f>
        <v>rentasciana@gmail.com</v>
      </c>
      <c r="E483" t="str">
        <f>IFERROR(_xlfn.XLOOKUP(tblLog[[#This Row],[Unique ID]], tblMaster[Unique ID], tblMaster[Phone], ""), "")</f>
        <v>508-904-5057</v>
      </c>
      <c r="F483" t="str">
        <f>IFERROR(_xlfn.XLOOKUP(tblLog[[#This Row],[Unique ID]], tblMaster[Unique ID], tblMaster[Recruiter], ""), "")</f>
        <v xml:space="preserve">Tom Clark </v>
      </c>
      <c r="G483" t="str">
        <f>IFERROR(_xlfn.XLOOKUP(tblLog[[#This Row],[Unique ID]], tblMaster[Unique ID], tblMaster[Recruitment Cycle], ""), "")</f>
        <v xml:space="preserve">Re-Engagment/Post Civil Service Exam </v>
      </c>
      <c r="H483" t="s">
        <v>7445</v>
      </c>
      <c r="I483" t="s">
        <v>7434</v>
      </c>
      <c r="J483" s="3">
        <v>6</v>
      </c>
      <c r="K483" t="s">
        <v>8092</v>
      </c>
      <c r="L483" s="2">
        <v>46071</v>
      </c>
      <c r="P483">
        <f ca="1">IF(tblLog[[#This Row],[Log Date]]="","",TODAY()-tblLog[[#This Row],[Log Date]])</f>
        <v>8</v>
      </c>
      <c r="Q483" t="str">
        <f>IF(tblLog[[#This Row],[Log Date]]="","",IF(TRIM(tblLog[[#This Row],[Cycle Stage]])="Asked to be removed from database","NO","YES"))</f>
        <v>YES</v>
      </c>
      <c r="R48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4" spans="1:18" ht="15" customHeight="1">
      <c r="A484" t="s">
        <v>8101</v>
      </c>
      <c r="B484" t="str">
        <f>IFERROR(_xlfn.XLOOKUP(tblLog[[#This Row],[Unique ID]], tblMaster[Unique ID], tblMaster[First Name], ""), "")</f>
        <v>Mackenzie</v>
      </c>
      <c r="C484" t="str">
        <f>IFERROR(_xlfn.XLOOKUP(tblLog[[#This Row],[Unique ID]], tblMaster[Unique ID], tblMaster[Last Name], ""), "")</f>
        <v>Klein</v>
      </c>
      <c r="D484" t="str">
        <f>IFERROR(_xlfn.XLOOKUP(tblLog[[#This Row],[Unique ID]], tblMaster[Unique ID], tblMaster[Email_Clean], ""), "")</f>
        <v>meklein118@gmail.com</v>
      </c>
      <c r="E484" t="str">
        <f>IFERROR(_xlfn.XLOOKUP(tblLog[[#This Row],[Unique ID]], tblMaster[Unique ID], tblMaster[Phone], ""), "")</f>
        <v>(802) 733-4201</v>
      </c>
      <c r="F484" t="str">
        <f>IFERROR(_xlfn.XLOOKUP(tblLog[[#This Row],[Unique ID]], tblMaster[Unique ID], tblMaster[Recruiter], ""), "")</f>
        <v xml:space="preserve">Enrique Ortiz </v>
      </c>
      <c r="G484" t="str">
        <f>IFERROR(_xlfn.XLOOKUP(tblLog[[#This Row],[Unique ID]], tblMaster[Unique ID], tblMaster[Recruitment Cycle], ""), "")</f>
        <v xml:space="preserve">New Submission/ Lead </v>
      </c>
      <c r="H484" t="s">
        <v>7455</v>
      </c>
      <c r="I484" t="s">
        <v>7434</v>
      </c>
      <c r="J484" s="3">
        <v>2</v>
      </c>
      <c r="K484" t="s">
        <v>7491</v>
      </c>
      <c r="L484" s="2">
        <v>46072</v>
      </c>
      <c r="M484" t="s">
        <v>7508</v>
      </c>
      <c r="N484" t="s">
        <v>7475</v>
      </c>
      <c r="O484" t="s">
        <v>8040</v>
      </c>
      <c r="P484">
        <f ca="1">IF(tblLog[[#This Row],[Log Date]]="","",TODAY()-tblLog[[#This Row],[Log Date]])</f>
        <v>7</v>
      </c>
      <c r="Q484" t="str">
        <f>IF(tblLog[[#This Row],[Log Date]]="","",IF(TRIM(tblLog[[#This Row],[Cycle Stage]])="Asked to be removed from database","NO","YES"))</f>
        <v>YES</v>
      </c>
      <c r="R48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5" spans="1:18" ht="15" customHeight="1">
      <c r="A485" t="s">
        <v>8102</v>
      </c>
      <c r="B485" t="str">
        <f>IFERROR(_xlfn.XLOOKUP(tblLog[[#This Row],[Unique ID]], tblMaster[Unique ID], tblMaster[First Name], ""), "")</f>
        <v>Ricardo</v>
      </c>
      <c r="C485" t="str">
        <f>IFERROR(_xlfn.XLOOKUP(tblLog[[#This Row],[Unique ID]], tblMaster[Unique ID], tblMaster[Last Name], ""), "")</f>
        <v>Ayala</v>
      </c>
      <c r="D485" t="str">
        <f>IFERROR(_xlfn.XLOOKUP(tblLog[[#This Row],[Unique ID]], tblMaster[Unique ID], tblMaster[Email_Clean], ""), "")</f>
        <v>rikdigz@gmail.com</v>
      </c>
      <c r="E485" t="str">
        <f>IFERROR(_xlfn.XLOOKUP(tblLog[[#This Row],[Unique ID]], tblMaster[Unique ID], tblMaster[Phone], ""), "")</f>
        <v>661-404-0776</v>
      </c>
      <c r="F485" t="str">
        <f>IFERROR(_xlfn.XLOOKUP(tblLog[[#This Row],[Unique ID]], tblMaster[Unique ID], tblMaster[Recruiter], ""), "")</f>
        <v>Zenon Moses</v>
      </c>
      <c r="G485" t="str">
        <f>IFERROR(_xlfn.XLOOKUP(tblLog[[#This Row],[Unique ID]], tblMaster[Unique ID], tblMaster[Recruitment Cycle], ""), "")</f>
        <v xml:space="preserve">Re-Engagment </v>
      </c>
      <c r="H485" t="s">
        <v>7496</v>
      </c>
      <c r="I485" t="s">
        <v>7434</v>
      </c>
      <c r="J485" s="3">
        <v>2</v>
      </c>
      <c r="K485" t="s">
        <v>4</v>
      </c>
      <c r="L485" s="2">
        <v>46072</v>
      </c>
      <c r="M485" t="s">
        <v>7452</v>
      </c>
      <c r="N485" t="s">
        <v>7509</v>
      </c>
      <c r="P485">
        <f ca="1">IF(tblLog[[#This Row],[Log Date]]="","",TODAY()-tblLog[[#This Row],[Log Date]])</f>
        <v>7</v>
      </c>
      <c r="Q485" t="str">
        <f>IF(tblLog[[#This Row],[Log Date]]="","",IF(TRIM(tblLog[[#This Row],[Cycle Stage]])="Asked to be removed from database","NO","YES"))</f>
        <v>YES</v>
      </c>
      <c r="R48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6" spans="1:18" ht="15" customHeight="1">
      <c r="A486" t="s">
        <v>8103</v>
      </c>
      <c r="B486" t="str">
        <f>IFERROR(_xlfn.XLOOKUP(tblLog[[#This Row],[Unique ID]], tblMaster[Unique ID], tblMaster[First Name], ""), "")</f>
        <v xml:space="preserve">Kolby </v>
      </c>
      <c r="C486" t="str">
        <f>IFERROR(_xlfn.XLOOKUP(tblLog[[#This Row],[Unique ID]], tblMaster[Unique ID], tblMaster[Last Name], ""), "")</f>
        <v xml:space="preserve"> Smith </v>
      </c>
      <c r="D486" t="str">
        <f>IFERROR(_xlfn.XLOOKUP(tblLog[[#This Row],[Unique ID]], tblMaster[Unique ID], tblMaster[Email_Clean], ""), "")</f>
        <v>krsmith13@comcast.net</v>
      </c>
      <c r="E486" t="str">
        <f>IFERROR(_xlfn.XLOOKUP(tblLog[[#This Row],[Unique ID]], tblMaster[Unique ID], tblMaster[Phone], ""), "")</f>
        <v xml:space="preserve">(413) 504-8409 </v>
      </c>
      <c r="F486" t="str">
        <f>IFERROR(_xlfn.XLOOKUP(tblLog[[#This Row],[Unique ID]], tblMaster[Unique ID], tblMaster[Recruiter], ""), "")</f>
        <v xml:space="preserve">Enrique Ortiz </v>
      </c>
      <c r="G486" t="str">
        <f>IFERROR(_xlfn.XLOOKUP(tblLog[[#This Row],[Unique ID]], tblMaster[Unique ID], tblMaster[Recruitment Cycle], ""), "")</f>
        <v xml:space="preserve">Re-Engagment </v>
      </c>
      <c r="H486" t="s">
        <v>7455</v>
      </c>
      <c r="I486" t="s">
        <v>7434</v>
      </c>
      <c r="J486" s="3">
        <v>3</v>
      </c>
      <c r="K486" t="s">
        <v>7491</v>
      </c>
      <c r="L486" s="2">
        <v>46072</v>
      </c>
      <c r="M486" t="s">
        <v>7508</v>
      </c>
      <c r="N486" t="s">
        <v>7475</v>
      </c>
      <c r="O486" t="s">
        <v>8104</v>
      </c>
      <c r="P486">
        <f ca="1">IF(tblLog[[#This Row],[Log Date]]="","",TODAY()-tblLog[[#This Row],[Log Date]])</f>
        <v>7</v>
      </c>
      <c r="Q486" t="str">
        <f>IF(tblLog[[#This Row],[Log Date]]="","",IF(TRIM(tblLog[[#This Row],[Cycle Stage]])="Asked to be removed from database","NO","YES"))</f>
        <v>YES</v>
      </c>
      <c r="R48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7" spans="1:18" ht="15" customHeight="1">
      <c r="A487" t="s">
        <v>8105</v>
      </c>
      <c r="B487" t="str">
        <f>IFERROR(_xlfn.XLOOKUP(tblLog[[#This Row],[Unique ID]], tblMaster[Unique ID], tblMaster[First Name], ""), "")</f>
        <v xml:space="preserve">Tatyana </v>
      </c>
      <c r="C487" t="str">
        <f>IFERROR(_xlfn.XLOOKUP(tblLog[[#This Row],[Unique ID]], tblMaster[Unique ID], tblMaster[Last Name], ""), "")</f>
        <v xml:space="preserve">Lopez </v>
      </c>
      <c r="D487" t="str">
        <f>IFERROR(_xlfn.XLOOKUP(tblLog[[#This Row],[Unique ID]], tblMaster[Unique ID], tblMaster[Email_Clean], ""), "")</f>
        <v>tatyanalopez20@icloud.com</v>
      </c>
      <c r="E487" t="str">
        <f>IFERROR(_xlfn.XLOOKUP(tblLog[[#This Row],[Unique ID]], tblMaster[Unique ID], tblMaster[Phone], ""), "")</f>
        <v>860)753-6330</v>
      </c>
      <c r="F487" t="str">
        <f>IFERROR(_xlfn.XLOOKUP(tblLog[[#This Row],[Unique ID]], tblMaster[Unique ID], tblMaster[Recruiter], ""), "")</f>
        <v xml:space="preserve">Enrique Ortiz </v>
      </c>
      <c r="G487" t="str">
        <f>IFERROR(_xlfn.XLOOKUP(tblLog[[#This Row],[Unique ID]], tblMaster[Unique ID], tblMaster[Recruitment Cycle], ""), "")</f>
        <v xml:space="preserve">Re-Engagment </v>
      </c>
      <c r="H487" t="s">
        <v>7455</v>
      </c>
      <c r="I487" t="s">
        <v>7434</v>
      </c>
      <c r="J487" s="3">
        <v>2</v>
      </c>
      <c r="K487" t="s">
        <v>7491</v>
      </c>
      <c r="L487" s="2">
        <v>46072</v>
      </c>
      <c r="M487" t="s">
        <v>7485</v>
      </c>
      <c r="N487" t="s">
        <v>7475</v>
      </c>
      <c r="O487" t="s">
        <v>8106</v>
      </c>
      <c r="P487">
        <f ca="1">IF(tblLog[[#This Row],[Log Date]]="","",TODAY()-tblLog[[#This Row],[Log Date]])</f>
        <v>7</v>
      </c>
      <c r="Q487" t="str">
        <f>IF(tblLog[[#This Row],[Log Date]]="","",IF(TRIM(tblLog[[#This Row],[Cycle Stage]])="Asked to be removed from database","NO","YES"))</f>
        <v>YES</v>
      </c>
      <c r="R48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8" spans="1:18" ht="15" customHeight="1">
      <c r="A488" t="s">
        <v>8107</v>
      </c>
      <c r="B488" t="str">
        <f>IFERROR(_xlfn.XLOOKUP(tblLog[[#This Row],[Unique ID]], tblMaster[Unique ID], tblMaster[First Name], ""), "")</f>
        <v xml:space="preserve">Caitlin </v>
      </c>
      <c r="C488" t="str">
        <f>IFERROR(_xlfn.XLOOKUP(tblLog[[#This Row],[Unique ID]], tblMaster[Unique ID], tblMaster[Last Name], ""), "")</f>
        <v>Sullivan</v>
      </c>
      <c r="D488" t="str">
        <f>IFERROR(_xlfn.XLOOKUP(tblLog[[#This Row],[Unique ID]], tblMaster[Unique ID], tblMaster[Email_Clean], ""), "")</f>
        <v>sullivanc0204@gmail.com</v>
      </c>
      <c r="E488" t="str">
        <f>IFERROR(_xlfn.XLOOKUP(tblLog[[#This Row],[Unique ID]], tblMaster[Unique ID], tblMaster[Phone], ""), "")</f>
        <v>781-635-9750</v>
      </c>
      <c r="F488" t="str">
        <f>IFERROR(_xlfn.XLOOKUP(tblLog[[#This Row],[Unique ID]], tblMaster[Unique ID], tblMaster[Recruiter], ""), "")</f>
        <v xml:space="preserve">Enrique Ortiz </v>
      </c>
      <c r="G488" t="str">
        <f>IFERROR(_xlfn.XLOOKUP(tblLog[[#This Row],[Unique ID]], tblMaster[Unique ID], tblMaster[Recruitment Cycle], ""), "")</f>
        <v xml:space="preserve">Re-Engagment </v>
      </c>
      <c r="H488" t="s">
        <v>7455</v>
      </c>
      <c r="I488" t="s">
        <v>7434</v>
      </c>
      <c r="J488" s="3">
        <v>3</v>
      </c>
      <c r="K488" t="s">
        <v>7491</v>
      </c>
      <c r="L488" s="2">
        <v>46072</v>
      </c>
      <c r="M488" t="s">
        <v>7508</v>
      </c>
      <c r="N488" t="s">
        <v>7475</v>
      </c>
      <c r="O488" t="s">
        <v>8108</v>
      </c>
      <c r="P488">
        <f ca="1">IF(tblLog[[#This Row],[Log Date]]="","",TODAY()-tblLog[[#This Row],[Log Date]])</f>
        <v>7</v>
      </c>
      <c r="Q488" t="str">
        <f>IF(tblLog[[#This Row],[Log Date]]="","",IF(TRIM(tblLog[[#This Row],[Cycle Stage]])="Asked to be removed from database","NO","YES"))</f>
        <v>YES</v>
      </c>
      <c r="R48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89" spans="1:18" ht="15" customHeight="1">
      <c r="A489" t="s">
        <v>8109</v>
      </c>
      <c r="B489" t="str">
        <f>IFERROR(_xlfn.XLOOKUP(tblLog[[#This Row],[Unique ID]], tblMaster[Unique ID], tblMaster[First Name], ""), "")</f>
        <v xml:space="preserve">Frank </v>
      </c>
      <c r="C489" t="str">
        <f>IFERROR(_xlfn.XLOOKUP(tblLog[[#This Row],[Unique ID]], tblMaster[Unique ID], tblMaster[Last Name], ""), "")</f>
        <v>Da silva</v>
      </c>
      <c r="D489" t="str">
        <f>IFERROR(_xlfn.XLOOKUP(tblLog[[#This Row],[Unique ID]], tblMaster[Unique ID], tblMaster[Email_Clean], ""), "")</f>
        <v>frankdsilva03@gmail.com</v>
      </c>
      <c r="E489" t="str">
        <f>IFERROR(_xlfn.XLOOKUP(tblLog[[#This Row],[Unique ID]], tblMaster[Unique ID], tblMaster[Phone], ""), "")</f>
        <v>774 777 1961</v>
      </c>
      <c r="F489" t="str">
        <f>IFERROR(_xlfn.XLOOKUP(tblLog[[#This Row],[Unique ID]], tblMaster[Unique ID], tblMaster[Recruiter], ""), "")</f>
        <v xml:space="preserve">Enrique Ortiz </v>
      </c>
      <c r="G489" t="str">
        <f>IFERROR(_xlfn.XLOOKUP(tblLog[[#This Row],[Unique ID]], tblMaster[Unique ID], tblMaster[Recruitment Cycle], ""), "")</f>
        <v xml:space="preserve">Re-Engagment </v>
      </c>
      <c r="H489" t="s">
        <v>7455</v>
      </c>
      <c r="I489" t="s">
        <v>7434</v>
      </c>
      <c r="J489" s="3">
        <v>3</v>
      </c>
      <c r="K489" t="s">
        <v>7491</v>
      </c>
      <c r="L489" s="2">
        <v>46072</v>
      </c>
      <c r="M489" t="s">
        <v>7508</v>
      </c>
      <c r="N489" t="s">
        <v>7475</v>
      </c>
      <c r="O489" t="s">
        <v>8108</v>
      </c>
      <c r="P489">
        <f ca="1">IF(tblLog[[#This Row],[Log Date]]="","",TODAY()-tblLog[[#This Row],[Log Date]])</f>
        <v>7</v>
      </c>
      <c r="Q489" t="str">
        <f>IF(tblLog[[#This Row],[Log Date]]="","",IF(TRIM(tblLog[[#This Row],[Cycle Stage]])="Asked to be removed from database","NO","YES"))</f>
        <v>YES</v>
      </c>
      <c r="R48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0" spans="1:18" ht="15" customHeight="1">
      <c r="A490" t="s">
        <v>8110</v>
      </c>
      <c r="B490" t="str">
        <f>IFERROR(_xlfn.XLOOKUP(tblLog[[#This Row],[Unique ID]], tblMaster[Unique ID], tblMaster[First Name], ""), "")</f>
        <v>Nicholas</v>
      </c>
      <c r="C490" t="str">
        <f>IFERROR(_xlfn.XLOOKUP(tblLog[[#This Row],[Unique ID]], tblMaster[Unique ID], tblMaster[Last Name], ""), "")</f>
        <v xml:space="preserve"> Burke </v>
      </c>
      <c r="D490" t="str">
        <f>IFERROR(_xlfn.XLOOKUP(tblLog[[#This Row],[Unique ID]], tblMaster[Unique ID], tblMaster[Email_Clean], ""), "")</f>
        <v>n_burke2@salemstate.edu</v>
      </c>
      <c r="E490" t="str">
        <f>IFERROR(_xlfn.XLOOKUP(tblLog[[#This Row],[Unique ID]], tblMaster[Unique ID], tblMaster[Phone], ""), "")</f>
        <v>978 979 1684</v>
      </c>
      <c r="F490" t="str">
        <f>IFERROR(_xlfn.XLOOKUP(tblLog[[#This Row],[Unique ID]], tblMaster[Unique ID], tblMaster[Recruiter], ""), "")</f>
        <v xml:space="preserve">Enrique Ortiz </v>
      </c>
      <c r="G490" t="str">
        <f>IFERROR(_xlfn.XLOOKUP(tblLog[[#This Row],[Unique ID]], tblMaster[Unique ID], tblMaster[Recruitment Cycle], ""), "")</f>
        <v xml:space="preserve">Re-Engagment </v>
      </c>
      <c r="H490" t="s">
        <v>7455</v>
      </c>
      <c r="I490" t="s">
        <v>7434</v>
      </c>
      <c r="J490" s="3">
        <v>3</v>
      </c>
      <c r="K490" t="s">
        <v>7491</v>
      </c>
      <c r="L490" s="2">
        <v>46072</v>
      </c>
      <c r="M490" t="s">
        <v>7508</v>
      </c>
      <c r="N490" t="s">
        <v>7475</v>
      </c>
      <c r="O490" t="s">
        <v>8111</v>
      </c>
      <c r="P490">
        <f ca="1">IF(tblLog[[#This Row],[Log Date]]="","",TODAY()-tblLog[[#This Row],[Log Date]])</f>
        <v>7</v>
      </c>
      <c r="Q490" t="str">
        <f>IF(tblLog[[#This Row],[Log Date]]="","",IF(TRIM(tblLog[[#This Row],[Cycle Stage]])="Asked to be removed from database","NO","YES"))</f>
        <v>YES</v>
      </c>
      <c r="R49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1" spans="1:18" ht="15" customHeight="1">
      <c r="A491" t="s">
        <v>8112</v>
      </c>
      <c r="B491" t="str">
        <f>IFERROR(_xlfn.XLOOKUP(tblLog[[#This Row],[Unique ID]], tblMaster[Unique ID], tblMaster[First Name], ""), "")</f>
        <v xml:space="preserve">Jennifer </v>
      </c>
      <c r="C491" t="str">
        <f>IFERROR(_xlfn.XLOOKUP(tblLog[[#This Row],[Unique ID]], tblMaster[Unique ID], tblMaster[Last Name], ""), "")</f>
        <v xml:space="preserve"> Panarelli</v>
      </c>
      <c r="D491" t="str">
        <f>IFERROR(_xlfn.XLOOKUP(tblLog[[#This Row],[Unique ID]], tblMaster[Unique ID], tblMaster[Email_Clean], ""), "")</f>
        <v>jennifer_panarelli@yahoo.com</v>
      </c>
      <c r="E491" t="str">
        <f>IFERROR(_xlfn.XLOOKUP(tblLog[[#This Row],[Unique ID]], tblMaster[Unique ID], tblMaster[Phone], ""), "")</f>
        <v>857-346-4558</v>
      </c>
      <c r="F491" t="str">
        <f>IFERROR(_xlfn.XLOOKUP(tblLog[[#This Row],[Unique ID]], tblMaster[Unique ID], tblMaster[Recruiter], ""), "")</f>
        <v xml:space="preserve">Enrique Ortiz </v>
      </c>
      <c r="G491" t="str">
        <f>IFERROR(_xlfn.XLOOKUP(tblLog[[#This Row],[Unique ID]], tblMaster[Unique ID], tblMaster[Recruitment Cycle], ""), "")</f>
        <v xml:space="preserve">Re-Engagment </v>
      </c>
      <c r="H491" t="s">
        <v>7455</v>
      </c>
      <c r="I491" t="s">
        <v>7434</v>
      </c>
      <c r="J491" s="3">
        <v>3</v>
      </c>
      <c r="K491" t="s">
        <v>7435</v>
      </c>
      <c r="L491" s="2">
        <v>46072</v>
      </c>
      <c r="M491" t="s">
        <v>7508</v>
      </c>
      <c r="N491" t="s">
        <v>7487</v>
      </c>
      <c r="O491" t="s">
        <v>8113</v>
      </c>
      <c r="P491">
        <f ca="1">IF(tblLog[[#This Row],[Log Date]]="","",TODAY()-tblLog[[#This Row],[Log Date]])</f>
        <v>7</v>
      </c>
      <c r="Q491" t="str">
        <f>IF(tblLog[[#This Row],[Log Date]]="","",IF(TRIM(tblLog[[#This Row],[Cycle Stage]])="Asked to be removed from database","NO","YES"))</f>
        <v>YES</v>
      </c>
      <c r="R49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2" spans="1:18" ht="15" customHeight="1">
      <c r="A492" t="s">
        <v>8114</v>
      </c>
      <c r="B492" t="str">
        <f>IFERROR(_xlfn.XLOOKUP(tblLog[[#This Row],[Unique ID]], tblMaster[Unique ID], tblMaster[First Name], ""), "")</f>
        <v xml:space="preserve">Jaimie </v>
      </c>
      <c r="C492" t="str">
        <f>IFERROR(_xlfn.XLOOKUP(tblLog[[#This Row],[Unique ID]], tblMaster[Unique ID], tblMaster[Last Name], ""), "")</f>
        <v xml:space="preserve">Thomas </v>
      </c>
      <c r="D492" t="str">
        <f>IFERROR(_xlfn.XLOOKUP(tblLog[[#This Row],[Unique ID]], tblMaster[Unique ID], tblMaster[Email_Clean], ""), "")</f>
        <v>jaichris25@gmail.com</v>
      </c>
      <c r="E492" t="str">
        <f>IFERROR(_xlfn.XLOOKUP(tblLog[[#This Row],[Unique ID]], tblMaster[Unique ID], tblMaster[Phone], ""), "")</f>
        <v>508 642 5232</v>
      </c>
      <c r="F492" t="str">
        <f>IFERROR(_xlfn.XLOOKUP(tblLog[[#This Row],[Unique ID]], tblMaster[Unique ID], tblMaster[Recruiter], ""), "")</f>
        <v xml:space="preserve">Enrique Ortiz </v>
      </c>
      <c r="G492" t="str">
        <f>IFERROR(_xlfn.XLOOKUP(tblLog[[#This Row],[Unique ID]], tblMaster[Unique ID], tblMaster[Recruitment Cycle], ""), "")</f>
        <v xml:space="preserve">Re-Engagment </v>
      </c>
      <c r="H492" t="s">
        <v>7455</v>
      </c>
      <c r="I492" t="s">
        <v>7434</v>
      </c>
      <c r="J492" s="3">
        <v>3</v>
      </c>
      <c r="K492" t="s">
        <v>7491</v>
      </c>
      <c r="L492" s="2">
        <v>46072</v>
      </c>
      <c r="M492" t="s">
        <v>7508</v>
      </c>
      <c r="N492" t="s">
        <v>7475</v>
      </c>
      <c r="O492" t="s">
        <v>8111</v>
      </c>
      <c r="P492">
        <f ca="1">IF(tblLog[[#This Row],[Log Date]]="","",TODAY()-tblLog[[#This Row],[Log Date]])</f>
        <v>7</v>
      </c>
      <c r="Q492" t="str">
        <f>IF(tblLog[[#This Row],[Log Date]]="","",IF(TRIM(tblLog[[#This Row],[Cycle Stage]])="Asked to be removed from database","NO","YES"))</f>
        <v>YES</v>
      </c>
      <c r="R49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3" spans="1:18" ht="15" customHeight="1">
      <c r="A493" t="s">
        <v>8115</v>
      </c>
      <c r="B493" t="str">
        <f>IFERROR(_xlfn.XLOOKUP(tblLog[[#This Row],[Unique ID]], tblMaster[Unique ID], tblMaster[First Name], ""), "")</f>
        <v>Ashley</v>
      </c>
      <c r="C493" t="str">
        <f>IFERROR(_xlfn.XLOOKUP(tblLog[[#This Row],[Unique ID]], tblMaster[Unique ID], tblMaster[Last Name], ""), "")</f>
        <v>Cabrera</v>
      </c>
      <c r="D493" t="str">
        <f>IFERROR(_xlfn.XLOOKUP(tblLog[[#This Row],[Unique ID]], tblMaster[Unique ID], tblMaster[Email_Clean], ""), "")</f>
        <v>cabrera519007@gmail.com</v>
      </c>
      <c r="E493" t="str">
        <f>IFERROR(_xlfn.XLOOKUP(tblLog[[#This Row],[Unique ID]], tblMaster[Unique ID], tblMaster[Phone], ""), "")</f>
        <v>(857) 247-4407</v>
      </c>
      <c r="F493" t="str">
        <f>IFERROR(_xlfn.XLOOKUP(tblLog[[#This Row],[Unique ID]], tblMaster[Unique ID], tblMaster[Recruiter], ""), "")</f>
        <v xml:space="preserve">Enrique Ortiz </v>
      </c>
      <c r="G493" t="str">
        <f>IFERROR(_xlfn.XLOOKUP(tblLog[[#This Row],[Unique ID]], tblMaster[Unique ID], tblMaster[Recruitment Cycle], ""), "")</f>
        <v xml:space="preserve">New Submission/ Lead </v>
      </c>
      <c r="H493" t="s">
        <v>7455</v>
      </c>
      <c r="I493" t="s">
        <v>7434</v>
      </c>
      <c r="J493" s="3">
        <v>2</v>
      </c>
      <c r="K493" t="s">
        <v>7491</v>
      </c>
      <c r="L493" s="2">
        <v>46072</v>
      </c>
      <c r="M493" t="s">
        <v>7508</v>
      </c>
      <c r="N493" t="s">
        <v>7475</v>
      </c>
      <c r="P493">
        <f ca="1">IF(tblLog[[#This Row],[Log Date]]="","",TODAY()-tblLog[[#This Row],[Log Date]])</f>
        <v>7</v>
      </c>
      <c r="Q493" t="str">
        <f>IF(tblLog[[#This Row],[Log Date]]="","",IF(TRIM(tblLog[[#This Row],[Cycle Stage]])="Asked to be removed from database","NO","YES"))</f>
        <v>YES</v>
      </c>
      <c r="R49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4" spans="1:18" ht="15" customHeight="1">
      <c r="A494" t="s">
        <v>8116</v>
      </c>
      <c r="B494" t="str">
        <f>IFERROR(_xlfn.XLOOKUP(tblLog[[#This Row],[Unique ID]], tblMaster[Unique ID], tblMaster[First Name], ""), "")</f>
        <v xml:space="preserve">Esteban </v>
      </c>
      <c r="C494" t="str">
        <f>IFERROR(_xlfn.XLOOKUP(tblLog[[#This Row],[Unique ID]], tblMaster[Unique ID], tblMaster[Last Name], ""), "")</f>
        <v xml:space="preserve">Carrillo </v>
      </c>
      <c r="D494" t="str">
        <f>IFERROR(_xlfn.XLOOKUP(tblLog[[#This Row],[Unique ID]], tblMaster[Unique ID], tblMaster[Email_Clean], ""), "")</f>
        <v>estebancar@gmail.com</v>
      </c>
      <c r="E494">
        <f>IFERROR(_xlfn.XLOOKUP(tblLog[[#This Row],[Unique ID]], tblMaster[Unique ID], tblMaster[Phone], ""), "")</f>
        <v>0</v>
      </c>
      <c r="F494" t="str">
        <f>IFERROR(_xlfn.XLOOKUP(tblLog[[#This Row],[Unique ID]], tblMaster[Unique ID], tblMaster[Recruiter], ""), "")</f>
        <v xml:space="preserve">Enrique Ortiz </v>
      </c>
      <c r="G494" t="str">
        <f>IFERROR(_xlfn.XLOOKUP(tblLog[[#This Row],[Unique ID]], tblMaster[Unique ID], tblMaster[Recruitment Cycle], ""), "")</f>
        <v xml:space="preserve">New Submission/ Lead </v>
      </c>
      <c r="H494" t="s">
        <v>7455</v>
      </c>
      <c r="I494" t="s">
        <v>4</v>
      </c>
      <c r="J494" s="3">
        <v>1</v>
      </c>
      <c r="K494" t="s">
        <v>7491</v>
      </c>
      <c r="L494" s="2">
        <v>46072</v>
      </c>
      <c r="M494" t="s">
        <v>7508</v>
      </c>
      <c r="N494" t="s">
        <v>7475</v>
      </c>
      <c r="P494">
        <f ca="1">IF(tblLog[[#This Row],[Log Date]]="","",TODAY()-tblLog[[#This Row],[Log Date]])</f>
        <v>7</v>
      </c>
      <c r="Q494" t="str">
        <f>IF(tblLog[[#This Row],[Log Date]]="","",IF(TRIM(tblLog[[#This Row],[Cycle Stage]])="Asked to be removed from database","NO","YES"))</f>
        <v>YES</v>
      </c>
      <c r="R49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5" spans="1:18" ht="15" customHeight="1">
      <c r="A495" t="s">
        <v>8117</v>
      </c>
      <c r="B495" t="str">
        <f>IFERROR(_xlfn.XLOOKUP(tblLog[[#This Row],[Unique ID]], tblMaster[Unique ID], tblMaster[First Name], ""), "")</f>
        <v xml:space="preserve">James </v>
      </c>
      <c r="C495" t="str">
        <f>IFERROR(_xlfn.XLOOKUP(tblLog[[#This Row],[Unique ID]], tblMaster[Unique ID], tblMaster[Last Name], ""), "")</f>
        <v xml:space="preserve"> Suber </v>
      </c>
      <c r="D495" t="str">
        <f>IFERROR(_xlfn.XLOOKUP(tblLog[[#This Row],[Unique ID]], tblMaster[Unique ID], tblMaster[Email_Clean], ""), "")</f>
        <v>xxsuberxx18@gmail.com</v>
      </c>
      <c r="E495" t="str">
        <f>IFERROR(_xlfn.XLOOKUP(tblLog[[#This Row],[Unique ID]], tblMaster[Unique ID], tblMaster[Phone], ""), "")</f>
        <v xml:space="preserve">(401) 775-9539 </v>
      </c>
      <c r="F495" t="str">
        <f>IFERROR(_xlfn.XLOOKUP(tblLog[[#This Row],[Unique ID]], tblMaster[Unique ID], tblMaster[Recruiter], ""), "")</f>
        <v xml:space="preserve">Enrique Ortiz </v>
      </c>
      <c r="G495" t="str">
        <f>IFERROR(_xlfn.XLOOKUP(tblLog[[#This Row],[Unique ID]], tblMaster[Unique ID], tblMaster[Recruitment Cycle], ""), "")</f>
        <v xml:space="preserve">New Submission/ Lead </v>
      </c>
      <c r="H495" t="s">
        <v>7455</v>
      </c>
      <c r="I495" t="s">
        <v>7434</v>
      </c>
      <c r="J495" s="3">
        <v>2</v>
      </c>
      <c r="K495" t="s">
        <v>7491</v>
      </c>
      <c r="L495" s="2">
        <v>46072</v>
      </c>
      <c r="M495" t="s">
        <v>7485</v>
      </c>
      <c r="N495" t="s">
        <v>7475</v>
      </c>
      <c r="O495" t="s">
        <v>8106</v>
      </c>
      <c r="P495">
        <f ca="1">IF(tblLog[[#This Row],[Log Date]]="","",TODAY()-tblLog[[#This Row],[Log Date]])</f>
        <v>7</v>
      </c>
      <c r="Q495" t="str">
        <f>IF(tblLog[[#This Row],[Log Date]]="","",IF(TRIM(tblLog[[#This Row],[Cycle Stage]])="Asked to be removed from database","NO","YES"))</f>
        <v>YES</v>
      </c>
      <c r="R495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6" spans="1:18" ht="15" customHeight="1">
      <c r="A496" t="s">
        <v>8118</v>
      </c>
      <c r="B496" t="str">
        <f>IFERROR(_xlfn.XLOOKUP(tblLog[[#This Row],[Unique ID]], tblMaster[Unique ID], tblMaster[First Name], ""), "")</f>
        <v>Cassandra</v>
      </c>
      <c r="C496" t="str">
        <f>IFERROR(_xlfn.XLOOKUP(tblLog[[#This Row],[Unique ID]], tblMaster[Unique ID], tblMaster[Last Name], ""), "")</f>
        <v xml:space="preserve"> Haile </v>
      </c>
      <c r="D496" t="str">
        <f>IFERROR(_xlfn.XLOOKUP(tblLog[[#This Row],[Unique ID]], tblMaster[Unique ID], tblMaster[Email_Clean], ""), "")</f>
        <v>chaile90@icloud.com</v>
      </c>
      <c r="E496" t="str">
        <f>IFERROR(_xlfn.XLOOKUP(tblLog[[#This Row],[Unique ID]], tblMaster[Unique ID], tblMaster[Phone], ""), "")</f>
        <v xml:space="preserve">(413) 364-5080 </v>
      </c>
      <c r="F496" t="str">
        <f>IFERROR(_xlfn.XLOOKUP(tblLog[[#This Row],[Unique ID]], tblMaster[Unique ID], tblMaster[Recruiter], ""), "")</f>
        <v xml:space="preserve">Enrique Ortiz </v>
      </c>
      <c r="G496" t="str">
        <f>IFERROR(_xlfn.XLOOKUP(tblLog[[#This Row],[Unique ID]], tblMaster[Unique ID], tblMaster[Recruitment Cycle], ""), "")</f>
        <v xml:space="preserve">New Submission/ Lead </v>
      </c>
      <c r="H496" t="s">
        <v>7455</v>
      </c>
      <c r="I496" t="s">
        <v>7434</v>
      </c>
      <c r="J496" s="3">
        <v>3</v>
      </c>
      <c r="K496" t="s">
        <v>7435</v>
      </c>
      <c r="L496" s="2">
        <v>46072</v>
      </c>
      <c r="M496" t="s">
        <v>7452</v>
      </c>
      <c r="N496" t="s">
        <v>7487</v>
      </c>
      <c r="O496" t="s">
        <v>8119</v>
      </c>
      <c r="P496">
        <f ca="1">IF(tblLog[[#This Row],[Log Date]]="","",TODAY()-tblLog[[#This Row],[Log Date]])</f>
        <v>7</v>
      </c>
      <c r="Q496" t="str">
        <f>IF(tblLog[[#This Row],[Log Date]]="","",IF(TRIM(tblLog[[#This Row],[Cycle Stage]])="Asked to be removed from database","NO","YES"))</f>
        <v>YES</v>
      </c>
      <c r="R49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7" spans="1:18" ht="15" customHeight="1">
      <c r="A497" t="s">
        <v>8120</v>
      </c>
      <c r="B497" t="str">
        <f>IFERROR(_xlfn.XLOOKUP(tblLog[[#This Row],[Unique ID]], tblMaster[Unique ID], tblMaster[First Name], ""), "")</f>
        <v xml:space="preserve">Chelsea </v>
      </c>
      <c r="C497" t="str">
        <f>IFERROR(_xlfn.XLOOKUP(tblLog[[#This Row],[Unique ID]], tblMaster[Unique ID], tblMaster[Last Name], ""), "")</f>
        <v xml:space="preserve">Motta </v>
      </c>
      <c r="D497" t="str">
        <f>IFERROR(_xlfn.XLOOKUP(tblLog[[#This Row],[Unique ID]], tblMaster[Unique ID], tblMaster[Email_Clean], ""), "")</f>
        <v>chel.leigh98@icloud.com</v>
      </c>
      <c r="E497" t="str">
        <f>IFERROR(_xlfn.XLOOKUP(tblLog[[#This Row],[Unique ID]], tblMaster[Unique ID], tblMaster[Phone], ""), "")</f>
        <v xml:space="preserve">      (764)-510-6304</v>
      </c>
      <c r="F497" t="str">
        <f>IFERROR(_xlfn.XLOOKUP(tblLog[[#This Row],[Unique ID]], tblMaster[Unique ID], tblMaster[Recruiter], ""), "")</f>
        <v xml:space="preserve">Enrique Ortiz </v>
      </c>
      <c r="G497" t="str">
        <f>IFERROR(_xlfn.XLOOKUP(tblLog[[#This Row],[Unique ID]], tblMaster[Unique ID], tblMaster[Recruitment Cycle], ""), "")</f>
        <v xml:space="preserve">New Submission/ Lead </v>
      </c>
      <c r="H497" t="s">
        <v>7455</v>
      </c>
      <c r="I497" t="s">
        <v>7434</v>
      </c>
      <c r="J497" s="3">
        <v>2</v>
      </c>
      <c r="K497" t="s">
        <v>7491</v>
      </c>
      <c r="L497" s="2">
        <v>46072</v>
      </c>
      <c r="M497" t="s">
        <v>7485</v>
      </c>
      <c r="N497" t="s">
        <v>7475</v>
      </c>
      <c r="O497" t="s">
        <v>8106</v>
      </c>
      <c r="P497">
        <f ca="1">IF(tblLog[[#This Row],[Log Date]]="","",TODAY()-tblLog[[#This Row],[Log Date]])</f>
        <v>7</v>
      </c>
      <c r="Q497" t="str">
        <f>IF(tblLog[[#This Row],[Log Date]]="","",IF(TRIM(tblLog[[#This Row],[Cycle Stage]])="Asked to be removed from database","NO","YES"))</f>
        <v>YES</v>
      </c>
      <c r="R49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8" spans="1:18" ht="15" customHeight="1">
      <c r="A498" t="s">
        <v>8121</v>
      </c>
      <c r="B498" t="str">
        <f>IFERROR(_xlfn.XLOOKUP(tblLog[[#This Row],[Unique ID]], tblMaster[Unique ID], tblMaster[First Name], ""), "")</f>
        <v>Jahairi</v>
      </c>
      <c r="C498" t="str">
        <f>IFERROR(_xlfn.XLOOKUP(tblLog[[#This Row],[Unique ID]], tblMaster[Unique ID], tblMaster[Last Name], ""), "")</f>
        <v xml:space="preserve"> Blackwood </v>
      </c>
      <c r="D498" t="str">
        <f>IFERROR(_xlfn.XLOOKUP(tblLog[[#This Row],[Unique ID]], tblMaster[Unique ID], tblMaster[Email_Clean], ""), "")</f>
        <v>jahairi24@gmail.com</v>
      </c>
      <c r="E498" t="str">
        <f>IFERROR(_xlfn.XLOOKUP(tblLog[[#This Row],[Unique ID]], tblMaster[Unique ID], tblMaster[Phone], ""), "")</f>
        <v xml:space="preserve">(413) 326-1809 </v>
      </c>
      <c r="F498" t="str">
        <f>IFERROR(_xlfn.XLOOKUP(tblLog[[#This Row],[Unique ID]], tblMaster[Unique ID], tblMaster[Recruiter], ""), "")</f>
        <v xml:space="preserve">Enrique Ortiz </v>
      </c>
      <c r="G498" t="str">
        <f>IFERROR(_xlfn.XLOOKUP(tblLog[[#This Row],[Unique ID]], tblMaster[Unique ID], tblMaster[Recruitment Cycle], ""), "")</f>
        <v xml:space="preserve">New Submission/ Lead </v>
      </c>
      <c r="H498" t="s">
        <v>7455</v>
      </c>
      <c r="I498" t="s">
        <v>7434</v>
      </c>
      <c r="J498" s="3">
        <v>3</v>
      </c>
      <c r="K498" t="s">
        <v>7491</v>
      </c>
      <c r="L498" s="2">
        <v>46072</v>
      </c>
      <c r="M498" t="s">
        <v>7508</v>
      </c>
      <c r="N498" t="s">
        <v>7475</v>
      </c>
      <c r="O498" t="s">
        <v>8111</v>
      </c>
      <c r="P498">
        <f ca="1">IF(tblLog[[#This Row],[Log Date]]="","",TODAY()-tblLog[[#This Row],[Log Date]])</f>
        <v>7</v>
      </c>
      <c r="Q498" t="str">
        <f>IF(tblLog[[#This Row],[Log Date]]="","",IF(TRIM(tblLog[[#This Row],[Cycle Stage]])="Asked to be removed from database","NO","YES"))</f>
        <v>YES</v>
      </c>
      <c r="R49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499" spans="1:18" ht="15" customHeight="1">
      <c r="A499" t="s">
        <v>8122</v>
      </c>
      <c r="B499" t="str">
        <f>IFERROR(_xlfn.XLOOKUP(tblLog[[#This Row],[Unique ID]], tblMaster[Unique ID], tblMaster[First Name], ""), "")</f>
        <v xml:space="preserve">Locke </v>
      </c>
      <c r="C499" t="str">
        <f>IFERROR(_xlfn.XLOOKUP(tblLog[[#This Row],[Unique ID]], tblMaster[Unique ID], tblMaster[Last Name], ""), "")</f>
        <v xml:space="preserve">Meas </v>
      </c>
      <c r="D499" t="str">
        <f>IFERROR(_xlfn.XLOOKUP(tblLog[[#This Row],[Unique ID]], tblMaster[Unique ID], tblMaster[Email_Clean], ""), "")</f>
        <v>lockesmeas@gmail.com</v>
      </c>
      <c r="E499" t="str">
        <f>IFERROR(_xlfn.XLOOKUP(tblLog[[#This Row],[Unique ID]], tblMaster[Unique ID], tblMaster[Phone], ""), "")</f>
        <v>(650) 278-5970</v>
      </c>
      <c r="F499" t="str">
        <f>IFERROR(_xlfn.XLOOKUP(tblLog[[#This Row],[Unique ID]], tblMaster[Unique ID], tblMaster[Recruiter], ""), "")</f>
        <v xml:space="preserve">Enrique Ortiz </v>
      </c>
      <c r="G499" t="str">
        <f>IFERROR(_xlfn.XLOOKUP(tblLog[[#This Row],[Unique ID]], tblMaster[Unique ID], tblMaster[Recruitment Cycle], ""), "")</f>
        <v xml:space="preserve">New Submission/ Lead </v>
      </c>
      <c r="H499" t="s">
        <v>7455</v>
      </c>
      <c r="I499" t="s">
        <v>7434</v>
      </c>
      <c r="J499" s="3">
        <v>2</v>
      </c>
      <c r="K499" t="s">
        <v>7491</v>
      </c>
      <c r="L499" s="2">
        <v>46072</v>
      </c>
      <c r="M499" t="s">
        <v>7485</v>
      </c>
      <c r="N499" t="s">
        <v>7475</v>
      </c>
      <c r="O499" t="s">
        <v>8040</v>
      </c>
      <c r="P499">
        <f ca="1">IF(tblLog[[#This Row],[Log Date]]="","",TODAY()-tblLog[[#This Row],[Log Date]])</f>
        <v>7</v>
      </c>
      <c r="Q499" t="str">
        <f>IF(tblLog[[#This Row],[Log Date]]="","",IF(TRIM(tblLog[[#This Row],[Cycle Stage]])="Asked to be removed from database","NO","YES"))</f>
        <v>YES</v>
      </c>
      <c r="R49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0" spans="1:18" ht="15" customHeight="1">
      <c r="A500" t="s">
        <v>8123</v>
      </c>
      <c r="B500" t="str">
        <f>IFERROR(_xlfn.XLOOKUP(tblLog[[#This Row],[Unique ID]], tblMaster[Unique ID], tblMaster[First Name], ""), "")</f>
        <v xml:space="preserve">Alexander </v>
      </c>
      <c r="C500" t="str">
        <f>IFERROR(_xlfn.XLOOKUP(tblLog[[#This Row],[Unique ID]], tblMaster[Unique ID], tblMaster[Last Name], ""), "")</f>
        <v xml:space="preserve">Parke </v>
      </c>
      <c r="D500" t="str">
        <f>IFERROR(_xlfn.XLOOKUP(tblLog[[#This Row],[Unique ID]], tblMaster[Unique ID], tblMaster[Email_Clean], ""), "")</f>
        <v>alexander.t.parke@gmail.com</v>
      </c>
      <c r="E500" t="str">
        <f>IFERROR(_xlfn.XLOOKUP(tblLog[[#This Row],[Unique ID]], tblMaster[Unique ID], tblMaster[Phone], ""), "")</f>
        <v>419 360 7770</v>
      </c>
      <c r="F500" t="str">
        <f>IFERROR(_xlfn.XLOOKUP(tblLog[[#This Row],[Unique ID]], tblMaster[Unique ID], tblMaster[Recruiter], ""), "")</f>
        <v xml:space="preserve">Enrique Ortiz </v>
      </c>
      <c r="G500" t="str">
        <f>IFERROR(_xlfn.XLOOKUP(tblLog[[#This Row],[Unique ID]], tblMaster[Unique ID], tblMaster[Recruitment Cycle], ""), "")</f>
        <v xml:space="preserve">New Submission/ Lead </v>
      </c>
      <c r="H500" t="s">
        <v>7455</v>
      </c>
      <c r="I500" t="s">
        <v>7434</v>
      </c>
      <c r="J500" s="3">
        <v>2</v>
      </c>
      <c r="K500" t="s">
        <v>7491</v>
      </c>
      <c r="L500" s="2">
        <v>46072</v>
      </c>
      <c r="M500" t="s">
        <v>7485</v>
      </c>
      <c r="N500" t="s">
        <v>7475</v>
      </c>
      <c r="O500" t="s">
        <v>8040</v>
      </c>
      <c r="P500">
        <f ca="1">IF(tblLog[[#This Row],[Log Date]]="","",TODAY()-tblLog[[#This Row],[Log Date]])</f>
        <v>7</v>
      </c>
      <c r="Q500" t="str">
        <f>IF(tblLog[[#This Row],[Log Date]]="","",IF(TRIM(tblLog[[#This Row],[Cycle Stage]])="Asked to be removed from database","NO","YES"))</f>
        <v>YES</v>
      </c>
      <c r="R50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1" spans="1:18" ht="15" customHeight="1">
      <c r="A501" t="s">
        <v>8124</v>
      </c>
      <c r="B501" t="str">
        <f>IFERROR(_xlfn.XLOOKUP(tblLog[[#This Row],[Unique ID]], tblMaster[Unique ID], tblMaster[First Name], ""), "")</f>
        <v>Mohammed</v>
      </c>
      <c r="C501" t="str">
        <f>IFERROR(_xlfn.XLOOKUP(tblLog[[#This Row],[Unique ID]], tblMaster[Unique ID], tblMaster[Last Name], ""), "")</f>
        <v>Mohammed</v>
      </c>
      <c r="D501" t="str">
        <f>IFERROR(_xlfn.XLOOKUP(tblLog[[#This Row],[Unique ID]], tblMaster[Unique ID], tblMaster[Email_Clean], ""), "")</f>
        <v>zainh75@yahoo.com</v>
      </c>
      <c r="E501" t="str">
        <f>IFERROR(_xlfn.XLOOKUP(tblLog[[#This Row],[Unique ID]], tblMaster[Unique ID], tblMaster[Phone], ""), "")</f>
        <v xml:space="preserve">
(413) 250-6914</v>
      </c>
      <c r="F501" t="str">
        <f>IFERROR(_xlfn.XLOOKUP(tblLog[[#This Row],[Unique ID]], tblMaster[Unique ID], tblMaster[Recruiter], ""), "")</f>
        <v xml:space="preserve">Enrique Ortiz </v>
      </c>
      <c r="G501" t="str">
        <f>IFERROR(_xlfn.XLOOKUP(tblLog[[#This Row],[Unique ID]], tblMaster[Unique ID], tblMaster[Recruitment Cycle], ""), "")</f>
        <v xml:space="preserve">New Submission/ Lead </v>
      </c>
      <c r="H501" t="s">
        <v>7455</v>
      </c>
      <c r="I501" t="s">
        <v>7434</v>
      </c>
      <c r="J501" s="3">
        <v>3</v>
      </c>
      <c r="K501" t="s">
        <v>7435</v>
      </c>
      <c r="L501" s="2">
        <v>46072</v>
      </c>
      <c r="M501" t="s">
        <v>7452</v>
      </c>
      <c r="N501" t="s">
        <v>7475</v>
      </c>
      <c r="P501">
        <f ca="1">IF(tblLog[[#This Row],[Log Date]]="","",TODAY()-tblLog[[#This Row],[Log Date]])</f>
        <v>7</v>
      </c>
      <c r="Q501" t="str">
        <f>IF(tblLog[[#This Row],[Log Date]]="","",IF(TRIM(tblLog[[#This Row],[Cycle Stage]])="Asked to be removed from database","NO","YES"))</f>
        <v>YES</v>
      </c>
      <c r="R50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2" spans="1:18" ht="15" customHeight="1">
      <c r="A502" t="s">
        <v>8125</v>
      </c>
      <c r="B502" t="str">
        <f>IFERROR(_xlfn.XLOOKUP(tblLog[[#This Row],[Unique ID]], tblMaster[Unique ID], tblMaster[First Name], ""), "")</f>
        <v>Isaiah</v>
      </c>
      <c r="C502" t="str">
        <f>IFERROR(_xlfn.XLOOKUP(tblLog[[#This Row],[Unique ID]], tblMaster[Unique ID], tblMaster[Last Name], ""), "")</f>
        <v>Prince</v>
      </c>
      <c r="D502" t="str">
        <f>IFERROR(_xlfn.XLOOKUP(tblLog[[#This Row],[Unique ID]], tblMaster[Unique ID], tblMaster[Email_Clean], ""), "")</f>
        <v>iprince23@icloud.com</v>
      </c>
      <c r="E502" t="str">
        <f>IFERROR(_xlfn.XLOOKUP(tblLog[[#This Row],[Unique ID]], tblMaster[Unique ID], tblMaster[Phone], ""), "")</f>
        <v>(603) 355-7459</v>
      </c>
      <c r="F502" t="str">
        <f>IFERROR(_xlfn.XLOOKUP(tblLog[[#This Row],[Unique ID]], tblMaster[Unique ID], tblMaster[Recruiter], ""), "")</f>
        <v xml:space="preserve">Enrique Ortiz </v>
      </c>
      <c r="G502" t="str">
        <f>IFERROR(_xlfn.XLOOKUP(tblLog[[#This Row],[Unique ID]], tblMaster[Unique ID], tblMaster[Recruitment Cycle], ""), "")</f>
        <v xml:space="preserve">New Submission/ Lead </v>
      </c>
      <c r="H502" t="s">
        <v>7455</v>
      </c>
      <c r="I502" t="s">
        <v>7434</v>
      </c>
      <c r="J502" s="3">
        <v>2</v>
      </c>
      <c r="K502" t="s">
        <v>7491</v>
      </c>
      <c r="L502" s="2">
        <v>46072</v>
      </c>
      <c r="M502" t="s">
        <v>7485</v>
      </c>
      <c r="N502" t="s">
        <v>7475</v>
      </c>
      <c r="O502" t="s">
        <v>8040</v>
      </c>
      <c r="P502">
        <f ca="1">IF(tblLog[[#This Row],[Log Date]]="","",TODAY()-tblLog[[#This Row],[Log Date]])</f>
        <v>7</v>
      </c>
      <c r="Q502" t="str">
        <f>IF(tblLog[[#This Row],[Log Date]]="","",IF(TRIM(tblLog[[#This Row],[Cycle Stage]])="Asked to be removed from database","NO","YES"))</f>
        <v>YES</v>
      </c>
      <c r="R50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3" spans="1:18" ht="15" customHeight="1">
      <c r="A503" t="s">
        <v>8126</v>
      </c>
      <c r="B503" t="str">
        <f>IFERROR(_xlfn.XLOOKUP(tblLog[[#This Row],[Unique ID]], tblMaster[Unique ID], tblMaster[First Name], ""), "")</f>
        <v>Loreno</v>
      </c>
      <c r="C503" t="str">
        <f>IFERROR(_xlfn.XLOOKUP(tblLog[[#This Row],[Unique ID]], tblMaster[Unique ID], tblMaster[Last Name], ""), "")</f>
        <v>Nikolli</v>
      </c>
      <c r="D503" t="str">
        <f>IFERROR(_xlfn.XLOOKUP(tblLog[[#This Row],[Unique ID]], tblMaster[Unique ID], tblMaster[Email_Clean], ""), "")</f>
        <v>nikolliloreno@gmail.com</v>
      </c>
      <c r="E503" t="str">
        <f>IFERROR(_xlfn.XLOOKUP(tblLog[[#This Row],[Unique ID]], tblMaster[Unique ID], tblMaster[Phone], ""), "")</f>
        <v>(860) 726-6510</v>
      </c>
      <c r="F503" t="str">
        <f>IFERROR(_xlfn.XLOOKUP(tblLog[[#This Row],[Unique ID]], tblMaster[Unique ID], tblMaster[Recruiter], ""), "")</f>
        <v xml:space="preserve">Enrique Ortiz </v>
      </c>
      <c r="G503" t="str">
        <f>IFERROR(_xlfn.XLOOKUP(tblLog[[#This Row],[Unique ID]], tblMaster[Unique ID], tblMaster[Recruitment Cycle], ""), "")</f>
        <v xml:space="preserve">New Submission/ Lead </v>
      </c>
      <c r="H503" t="s">
        <v>7455</v>
      </c>
      <c r="I503" t="s">
        <v>7434</v>
      </c>
      <c r="J503" s="3">
        <v>2</v>
      </c>
      <c r="K503" t="s">
        <v>7491</v>
      </c>
      <c r="L503" s="2">
        <v>46072</v>
      </c>
      <c r="M503" t="s">
        <v>7485</v>
      </c>
      <c r="N503" t="s">
        <v>7475</v>
      </c>
      <c r="O503" t="s">
        <v>8040</v>
      </c>
      <c r="P503">
        <f ca="1">IF(tblLog[[#This Row],[Log Date]]="","",TODAY()-tblLog[[#This Row],[Log Date]])</f>
        <v>7</v>
      </c>
      <c r="Q503" t="str">
        <f>IF(tblLog[[#This Row],[Log Date]]="","",IF(TRIM(tblLog[[#This Row],[Cycle Stage]])="Asked to be removed from database","NO","YES"))</f>
        <v>YES</v>
      </c>
      <c r="R50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4" spans="1:18" ht="15" customHeight="1">
      <c r="A504" t="s">
        <v>8127</v>
      </c>
      <c r="B504" t="str">
        <f>IFERROR(_xlfn.XLOOKUP(tblLog[[#This Row],[Unique ID]], tblMaster[Unique ID], tblMaster[First Name], ""), "")</f>
        <v>Patricia</v>
      </c>
      <c r="C504" t="str">
        <f>IFERROR(_xlfn.XLOOKUP(tblLog[[#This Row],[Unique ID]], tblMaster[Unique ID], tblMaster[Last Name], ""), "")</f>
        <v>Lopes</v>
      </c>
      <c r="D504" t="str">
        <f>IFERROR(_xlfn.XLOOKUP(tblLog[[#This Row],[Unique ID]], tblMaster[Unique ID], tblMaster[Email_Clean], ""), "")</f>
        <v>patriciadepinalopes@gmail.com</v>
      </c>
      <c r="E504" t="str">
        <f>IFERROR(_xlfn.XLOOKUP(tblLog[[#This Row],[Unique ID]], tblMaster[Unique ID], tblMaster[Phone], ""), "")</f>
        <v>(857) 939-6009</v>
      </c>
      <c r="F504" t="str">
        <f>IFERROR(_xlfn.XLOOKUP(tblLog[[#This Row],[Unique ID]], tblMaster[Unique ID], tblMaster[Recruiter], ""), "")</f>
        <v xml:space="preserve">Enrique Ortiz </v>
      </c>
      <c r="G504" t="str">
        <f>IFERROR(_xlfn.XLOOKUP(tblLog[[#This Row],[Unique ID]], tblMaster[Unique ID], tblMaster[Recruitment Cycle], ""), "")</f>
        <v xml:space="preserve">New Submission/ Lead </v>
      </c>
      <c r="H504" t="s">
        <v>7455</v>
      </c>
      <c r="I504" t="s">
        <v>7494</v>
      </c>
      <c r="J504" s="3">
        <v>3</v>
      </c>
      <c r="K504" t="s">
        <v>7491</v>
      </c>
      <c r="L504" s="2">
        <v>46070</v>
      </c>
      <c r="M504" t="s">
        <v>7508</v>
      </c>
      <c r="N504" t="s">
        <v>7475</v>
      </c>
      <c r="P504">
        <f ca="1">IF(tblLog[[#This Row],[Log Date]]="","",TODAY()-tblLog[[#This Row],[Log Date]])</f>
        <v>9</v>
      </c>
      <c r="Q504" t="str">
        <f>IF(tblLog[[#This Row],[Log Date]]="","",IF(TRIM(tblLog[[#This Row],[Cycle Stage]])="Asked to be removed from database","NO","YES"))</f>
        <v>YES</v>
      </c>
      <c r="R504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5" spans="1:18" ht="15" customHeight="1">
      <c r="A505" t="s">
        <v>8128</v>
      </c>
      <c r="B505" t="str">
        <f>IFERROR(_xlfn.XLOOKUP(tblLog[[#This Row],[Unique ID]], tblMaster[Unique ID], tblMaster[First Name], ""), "")</f>
        <v xml:space="preserve">Martin </v>
      </c>
      <c r="C505" t="str">
        <f>IFERROR(_xlfn.XLOOKUP(tblLog[[#This Row],[Unique ID]], tblMaster[Unique ID], tblMaster[Last Name], ""), "")</f>
        <v xml:space="preserve"> Diaz </v>
      </c>
      <c r="D505" t="str">
        <f>IFERROR(_xlfn.XLOOKUP(tblLog[[#This Row],[Unique ID]], tblMaster[Unique ID], tblMaster[Email_Clean], ""), "")</f>
        <v>mediazr1@icloud.com</v>
      </c>
      <c r="E505" t="str">
        <f>IFERROR(_xlfn.XLOOKUP(tblLog[[#This Row],[Unique ID]], tblMaster[Unique ID], tblMaster[Phone], ""), "")</f>
        <v xml:space="preserve">480) 487-9153 </v>
      </c>
      <c r="F505" t="str">
        <f>IFERROR(_xlfn.XLOOKUP(tblLog[[#This Row],[Unique ID]], tblMaster[Unique ID], tblMaster[Recruiter], ""), "")</f>
        <v xml:space="preserve">Jevon Brown Simpson </v>
      </c>
      <c r="G505" t="str">
        <f>IFERROR(_xlfn.XLOOKUP(tblLog[[#This Row],[Unique ID]], tblMaster[Unique ID], tblMaster[Recruitment Cycle], ""), "")</f>
        <v xml:space="preserve">New Submission/ Lead </v>
      </c>
      <c r="H505" t="s">
        <v>7484</v>
      </c>
      <c r="I505" t="s">
        <v>4</v>
      </c>
      <c r="J505" s="3">
        <v>2</v>
      </c>
      <c r="K505" t="s">
        <v>7530</v>
      </c>
      <c r="L505" s="2">
        <v>46072</v>
      </c>
      <c r="M505" t="s">
        <v>7612</v>
      </c>
      <c r="O505" t="s">
        <v>8129</v>
      </c>
      <c r="P505">
        <f ca="1">IF(tblLog[[#This Row],[Log Date]]="","",TODAY()-tblLog[[#This Row],[Log Date]])</f>
        <v>7</v>
      </c>
      <c r="Q505" t="str">
        <f>IF(tblLog[[#This Row],[Log Date]]="","",IF(TRIM(tblLog[[#This Row],[Cycle Stage]])="Asked to be removed from database","NO","YES"))</f>
        <v>NO</v>
      </c>
      <c r="R50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6" spans="1:18" ht="15" customHeight="1">
      <c r="A506" t="s">
        <v>8130</v>
      </c>
      <c r="B506" t="str">
        <f>IFERROR(_xlfn.XLOOKUP(tblLog[[#This Row],[Unique ID]], tblMaster[Unique ID], tblMaster[First Name], ""), "")</f>
        <v>Davion</v>
      </c>
      <c r="C506" t="str">
        <f>IFERROR(_xlfn.XLOOKUP(tblLog[[#This Row],[Unique ID]], tblMaster[Unique ID], tblMaster[Last Name], ""), "")</f>
        <v>Portes</v>
      </c>
      <c r="D506" t="str">
        <f>IFERROR(_xlfn.XLOOKUP(tblLog[[#This Row],[Unique ID]], tblMaster[Unique ID], tblMaster[Email_Clean], ""), "")</f>
        <v>davionportes91817@gmail.com</v>
      </c>
      <c r="E506" t="str">
        <f>IFERROR(_xlfn.XLOOKUP(tblLog[[#This Row],[Unique ID]], tblMaster[Unique ID], tblMaster[Phone], ""), "")</f>
        <v xml:space="preserve">	(401) 470-4244</v>
      </c>
      <c r="F506" t="str">
        <f>IFERROR(_xlfn.XLOOKUP(tblLog[[#This Row],[Unique ID]], tblMaster[Unique ID], tblMaster[Recruiter], ""), "")</f>
        <v xml:space="preserve">Austin Campos </v>
      </c>
      <c r="G506" t="str">
        <f>IFERROR(_xlfn.XLOOKUP(tblLog[[#This Row],[Unique ID]], tblMaster[Unique ID], tblMaster[Recruitment Cycle], ""), "")</f>
        <v xml:space="preserve">New Submission/ Lead </v>
      </c>
      <c r="H506" t="s">
        <v>7455</v>
      </c>
      <c r="I506" t="s">
        <v>7530</v>
      </c>
      <c r="J506" s="3">
        <v>2</v>
      </c>
      <c r="K506" t="s">
        <v>7530</v>
      </c>
      <c r="L506" s="2">
        <v>46073</v>
      </c>
      <c r="M506" t="s">
        <v>7452</v>
      </c>
      <c r="N506" t="s">
        <v>7475</v>
      </c>
      <c r="O506" t="s">
        <v>8131</v>
      </c>
      <c r="P506">
        <f ca="1">IF(tblLog[[#This Row],[Log Date]]="","",TODAY()-tblLog[[#This Row],[Log Date]])</f>
        <v>6</v>
      </c>
      <c r="Q506" t="str">
        <f>IF(tblLog[[#This Row],[Log Date]]="","",IF(TRIM(tblLog[[#This Row],[Cycle Stage]])="Asked to be removed from database","NO","YES"))</f>
        <v>YES</v>
      </c>
      <c r="R506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7" spans="1:18" ht="15" customHeight="1">
      <c r="A507" t="s">
        <v>8132</v>
      </c>
      <c r="B507" t="str">
        <f>IFERROR(_xlfn.XLOOKUP(tblLog[[#This Row],[Unique ID]], tblMaster[Unique ID], tblMaster[First Name], ""), "")</f>
        <v xml:space="preserve">Efrain </v>
      </c>
      <c r="C507" t="str">
        <f>IFERROR(_xlfn.XLOOKUP(tblLog[[#This Row],[Unique ID]], tblMaster[Unique ID], tblMaster[Last Name], ""), "")</f>
        <v>Matta</v>
      </c>
      <c r="D507" t="str">
        <f>IFERROR(_xlfn.XLOOKUP(tblLog[[#This Row],[Unique ID]], tblMaster[Unique ID], tblMaster[Email_Clean], ""), "")</f>
        <v>mrmatta860@gmail.com</v>
      </c>
      <c r="E507" t="str">
        <f>IFERROR(_xlfn.XLOOKUP(tblLog[[#This Row],[Unique ID]], tblMaster[Unique ID], tblMaster[Phone], ""), "")</f>
        <v>978 413 1984</v>
      </c>
      <c r="F507" t="str">
        <f>IFERROR(_xlfn.XLOOKUP(tblLog[[#This Row],[Unique ID]], tblMaster[Unique ID], tblMaster[Recruiter], ""), "")</f>
        <v>Zenon Moses</v>
      </c>
      <c r="G507" t="str">
        <f>IFERROR(_xlfn.XLOOKUP(tblLog[[#This Row],[Unique ID]], tblMaster[Unique ID], tblMaster[Recruitment Cycle], ""), "")</f>
        <v xml:space="preserve">Re-Engagment </v>
      </c>
      <c r="H507" t="s">
        <v>7496</v>
      </c>
      <c r="I507" t="s">
        <v>7434</v>
      </c>
      <c r="J507" s="3">
        <v>1</v>
      </c>
      <c r="K507" t="s">
        <v>7494</v>
      </c>
      <c r="L507" s="2">
        <v>46072</v>
      </c>
      <c r="P507">
        <f ca="1">IF(tblLog[[#This Row],[Log Date]]="","",TODAY()-tblLog[[#This Row],[Log Date]])</f>
        <v>7</v>
      </c>
      <c r="Q507" t="str">
        <f>IF(tblLog[[#This Row],[Log Date]]="","",IF(TRIM(tblLog[[#This Row],[Cycle Stage]])="Asked to be removed from database","NO","YES"))</f>
        <v>YES</v>
      </c>
      <c r="R507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8" spans="1:18" ht="15" customHeight="1">
      <c r="A508" t="s">
        <v>8133</v>
      </c>
      <c r="B508" t="str">
        <f>IFERROR(_xlfn.XLOOKUP(tblLog[[#This Row],[Unique ID]], tblMaster[Unique ID], tblMaster[First Name], ""), "")</f>
        <v>Anjealis</v>
      </c>
      <c r="C508" t="str">
        <f>IFERROR(_xlfn.XLOOKUP(tblLog[[#This Row],[Unique ID]], tblMaster[Unique ID], tblMaster[Last Name], ""), "")</f>
        <v>Rodriguez</v>
      </c>
      <c r="D508" t="str">
        <f>IFERROR(_xlfn.XLOOKUP(tblLog[[#This Row],[Unique ID]], tblMaster[Unique ID], tblMaster[Email_Clean], ""), "")</f>
        <v>rodriguezanjealis9@gmail.com</v>
      </c>
      <c r="E508" t="str">
        <f>IFERROR(_xlfn.XLOOKUP(tblLog[[#This Row],[Unique ID]], tblMaster[Unique ID], tblMaster[Phone], ""), "")</f>
        <v>(617) 435-9266</v>
      </c>
      <c r="F508" t="str">
        <f>IFERROR(_xlfn.XLOOKUP(tblLog[[#This Row],[Unique ID]], tblMaster[Unique ID], tblMaster[Recruiter], ""), "")</f>
        <v xml:space="preserve">Christopher Servello </v>
      </c>
      <c r="G508" t="str">
        <f>IFERROR(_xlfn.XLOOKUP(tblLog[[#This Row],[Unique ID]], tblMaster[Unique ID], tblMaster[Recruitment Cycle], ""), "")</f>
        <v xml:space="preserve">New Submission/ Lead </v>
      </c>
      <c r="H508" t="s">
        <v>7496</v>
      </c>
      <c r="I508" t="s">
        <v>4</v>
      </c>
      <c r="J508" s="3">
        <v>2</v>
      </c>
      <c r="K508" t="s">
        <v>7491</v>
      </c>
      <c r="L508" s="2">
        <v>46073</v>
      </c>
      <c r="M508" t="s">
        <v>7452</v>
      </c>
      <c r="N508" t="s">
        <v>7497</v>
      </c>
      <c r="O508" t="s">
        <v>8134</v>
      </c>
      <c r="P508">
        <f ca="1">IF(tblLog[[#This Row],[Log Date]]="","",TODAY()-tblLog[[#This Row],[Log Date]])</f>
        <v>6</v>
      </c>
      <c r="Q508" t="str">
        <f>IF(tblLog[[#This Row],[Log Date]]="","",IF(TRIM(tblLog[[#This Row],[Cycle Stage]])="Asked to be removed from database","NO","YES"))</f>
        <v>YES</v>
      </c>
      <c r="R508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09" spans="1:18" ht="15" customHeight="1">
      <c r="A509" t="s">
        <v>8135</v>
      </c>
      <c r="B509" t="str">
        <f>IFERROR(_xlfn.XLOOKUP(tblLog[[#This Row],[Unique ID]], tblMaster[Unique ID], tblMaster[First Name], ""), "")</f>
        <v xml:space="preserve">Peter </v>
      </c>
      <c r="C509" t="str">
        <f>IFERROR(_xlfn.XLOOKUP(tblLog[[#This Row],[Unique ID]], tblMaster[Unique ID], tblMaster[Last Name], ""), "")</f>
        <v xml:space="preserve">James </v>
      </c>
      <c r="D509" t="str">
        <f>IFERROR(_xlfn.XLOOKUP(tblLog[[#This Row],[Unique ID]], tblMaster[Unique ID], tblMaster[Email_Clean], ""), "")</f>
        <v>peter.james205@yahoo.com</v>
      </c>
      <c r="E509" t="str">
        <f>IFERROR(_xlfn.XLOOKUP(tblLog[[#This Row],[Unique ID]], tblMaster[Unique ID], tblMaster[Phone], ""), "")</f>
        <v>678-608-7486</v>
      </c>
      <c r="F509" t="str">
        <f>IFERROR(_xlfn.XLOOKUP(tblLog[[#This Row],[Unique ID]], tblMaster[Unique ID], tblMaster[Recruiter], ""), "")</f>
        <v xml:space="preserve">Tom Clark </v>
      </c>
      <c r="G509" t="str">
        <f>IFERROR(_xlfn.XLOOKUP(tblLog[[#This Row],[Unique ID]], tblMaster[Unique ID], tblMaster[Recruitment Cycle], ""), "")</f>
        <v xml:space="preserve">Re-Engagment </v>
      </c>
      <c r="H509" t="s">
        <v>7455</v>
      </c>
      <c r="I509" t="s">
        <v>7434</v>
      </c>
      <c r="J509" s="3">
        <v>6</v>
      </c>
      <c r="K509" t="s">
        <v>7446</v>
      </c>
      <c r="L509" s="2">
        <v>46073</v>
      </c>
      <c r="M509" t="s">
        <v>7452</v>
      </c>
      <c r="P509">
        <f ca="1">IF(tblLog[[#This Row],[Log Date]]="","",TODAY()-tblLog[[#This Row],[Log Date]])</f>
        <v>6</v>
      </c>
      <c r="Q509" t="str">
        <f>IF(tblLog[[#This Row],[Log Date]]="","",IF(TRIM(tblLog[[#This Row],[Cycle Stage]])="Asked to be removed from database","NO","YES"))</f>
        <v>YES</v>
      </c>
      <c r="R509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0" spans="1:18" ht="15" customHeight="1">
      <c r="A510" t="s">
        <v>8136</v>
      </c>
      <c r="B510" t="str">
        <f>IFERROR(_xlfn.XLOOKUP(tblLog[[#This Row],[Unique ID]], tblMaster[Unique ID], tblMaster[First Name], ""), "")</f>
        <v>Romuald</v>
      </c>
      <c r="C510" t="str">
        <f>IFERROR(_xlfn.XLOOKUP(tblLog[[#This Row],[Unique ID]], tblMaster[Unique ID], tblMaster[Last Name], ""), "")</f>
        <v>Colin</v>
      </c>
      <c r="D510" t="str">
        <f>IFERROR(_xlfn.XLOOKUP(tblLog[[#This Row],[Unique ID]], tblMaster[Unique ID], tblMaster[Email_Clean], ""), "")</f>
        <v>romualdcolin01821@gmail.com</v>
      </c>
      <c r="E510" t="str">
        <f>IFERROR(_xlfn.XLOOKUP(tblLog[[#This Row],[Unique ID]], tblMaster[Unique ID], tblMaster[Phone], ""), "")</f>
        <v>(781) 715-4922</v>
      </c>
      <c r="F510" t="str">
        <f>IFERROR(_xlfn.XLOOKUP(tblLog[[#This Row],[Unique ID]], tblMaster[Unique ID], tblMaster[Recruiter], ""), "")</f>
        <v>Zenon Moses</v>
      </c>
      <c r="G510" t="str">
        <f>IFERROR(_xlfn.XLOOKUP(tblLog[[#This Row],[Unique ID]], tblMaster[Unique ID], tblMaster[Recruitment Cycle], ""), "")</f>
        <v xml:space="preserve">New Submission/ Lead </v>
      </c>
      <c r="H510" t="s">
        <v>7496</v>
      </c>
      <c r="I510" t="s">
        <v>7434</v>
      </c>
      <c r="J510" s="3">
        <v>2</v>
      </c>
      <c r="K510" t="s">
        <v>4</v>
      </c>
      <c r="L510" s="2">
        <v>46073</v>
      </c>
      <c r="M510" t="s">
        <v>7452</v>
      </c>
      <c r="N510" t="s">
        <v>7497</v>
      </c>
      <c r="P510">
        <f ca="1">IF(tblLog[[#This Row],[Log Date]]="","",TODAY()-tblLog[[#This Row],[Log Date]])</f>
        <v>6</v>
      </c>
      <c r="Q510" t="str">
        <f>IF(tblLog[[#This Row],[Log Date]]="","",IF(TRIM(tblLog[[#This Row],[Cycle Stage]])="Asked to be removed from database","NO","YES"))</f>
        <v>YES</v>
      </c>
      <c r="R510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1" spans="1:18" ht="15" customHeight="1">
      <c r="A511" t="s">
        <v>8137</v>
      </c>
      <c r="B511" t="str">
        <f>IFERROR(_xlfn.XLOOKUP(tblLog[[#This Row],[Unique ID]], tblMaster[Unique ID], tblMaster[First Name], ""), "")</f>
        <v xml:space="preserve">Zachary </v>
      </c>
      <c r="C511" t="str">
        <f>IFERROR(_xlfn.XLOOKUP(tblLog[[#This Row],[Unique ID]], tblMaster[Unique ID], tblMaster[Last Name], ""), "")</f>
        <v>Luzier</v>
      </c>
      <c r="D511" t="str">
        <f>IFERROR(_xlfn.XLOOKUP(tblLog[[#This Row],[Unique ID]], tblMaster[Unique ID], tblMaster[Email_Clean], ""), "")</f>
        <v>zacharyluzier@yahoo.com</v>
      </c>
      <c r="E511" t="str">
        <f>IFERROR(_xlfn.XLOOKUP(tblLog[[#This Row],[Unique ID]], tblMaster[Unique ID], tblMaster[Phone], ""), "")</f>
        <v>978-407-0672</v>
      </c>
      <c r="F511" t="str">
        <f>IFERROR(_xlfn.XLOOKUP(tblLog[[#This Row],[Unique ID]], tblMaster[Unique ID], tblMaster[Recruiter], ""), "")</f>
        <v xml:space="preserve">Enrique Ortiz </v>
      </c>
      <c r="G511" t="str">
        <f>IFERROR(_xlfn.XLOOKUP(tblLog[[#This Row],[Unique ID]], tblMaster[Unique ID], tblMaster[Recruitment Cycle], ""), "")</f>
        <v xml:space="preserve">New Submission/ Lead </v>
      </c>
      <c r="H511" t="s">
        <v>7455</v>
      </c>
      <c r="I511" t="s">
        <v>4</v>
      </c>
      <c r="J511" s="3">
        <v>1</v>
      </c>
      <c r="K511" t="s">
        <v>7491</v>
      </c>
      <c r="L511" s="2">
        <v>46073</v>
      </c>
      <c r="M511" t="s">
        <v>7508</v>
      </c>
      <c r="N511" t="s">
        <v>7475</v>
      </c>
      <c r="P511">
        <f ca="1">IF(tblLog[[#This Row],[Log Date]]="","",TODAY()-tblLog[[#This Row],[Log Date]])</f>
        <v>6</v>
      </c>
      <c r="Q511" t="str">
        <f>IF(tblLog[[#This Row],[Log Date]]="","",IF(TRIM(tblLog[[#This Row],[Cycle Stage]])="Asked to be removed from database","NO","YES"))</f>
        <v>YES</v>
      </c>
      <c r="R511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2" spans="1:18" ht="15" customHeight="1">
      <c r="A512" t="s">
        <v>8138</v>
      </c>
      <c r="B512" t="str">
        <f>IFERROR(_xlfn.XLOOKUP(tblLog[[#This Row],[Unique ID]], tblMaster[Unique ID], tblMaster[First Name], ""), "")</f>
        <v>Dubem</v>
      </c>
      <c r="C512" t="str">
        <f>IFERROR(_xlfn.XLOOKUP(tblLog[[#This Row],[Unique ID]], tblMaster[Unique ID], tblMaster[Last Name], ""), "")</f>
        <v>Ezekwem</v>
      </c>
      <c r="D512" t="str">
        <f>IFERROR(_xlfn.XLOOKUP(tblLog[[#This Row],[Unique ID]], tblMaster[Unique ID], tblMaster[Email_Clean], ""), "")</f>
        <v>ciwezekwem@gmail.com</v>
      </c>
      <c r="E512" t="str">
        <f>IFERROR(_xlfn.XLOOKUP(tblLog[[#This Row],[Unique ID]], tblMaster[Unique ID], tblMaster[Phone], ""), "")</f>
        <v>706-908-8762</v>
      </c>
      <c r="F512" t="str">
        <f>IFERROR(_xlfn.XLOOKUP(tblLog[[#This Row],[Unique ID]], tblMaster[Unique ID], tblMaster[Recruiter], ""), "")</f>
        <v xml:space="preserve">Jevon Brown Simpson </v>
      </c>
      <c r="G512" t="str">
        <f>IFERROR(_xlfn.XLOOKUP(tblLog[[#This Row],[Unique ID]], tblMaster[Unique ID], tblMaster[Recruitment Cycle], ""), "")</f>
        <v xml:space="preserve">Re-Engagment/Post Civil Service Exam </v>
      </c>
      <c r="H512" t="s">
        <v>7496</v>
      </c>
      <c r="I512" t="s">
        <v>4</v>
      </c>
      <c r="J512" s="3">
        <v>2</v>
      </c>
      <c r="K512" t="s">
        <v>7451</v>
      </c>
      <c r="L512" s="2">
        <v>46073</v>
      </c>
      <c r="M512" t="s">
        <v>7452</v>
      </c>
      <c r="N512" t="s">
        <v>7487</v>
      </c>
      <c r="P512">
        <f ca="1">IF(tblLog[[#This Row],[Log Date]]="","",TODAY()-tblLog[[#This Row],[Log Date]])</f>
        <v>6</v>
      </c>
      <c r="Q512" t="str">
        <f>IF(tblLog[[#This Row],[Log Date]]="","",IF(TRIM(tblLog[[#This Row],[Cycle Stage]])="Asked to be removed from database","NO","YES"))</f>
        <v>YES</v>
      </c>
      <c r="R512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3" spans="1:18" ht="15" customHeight="1">
      <c r="A513" t="s">
        <v>8139</v>
      </c>
      <c r="B513" t="str">
        <f>IFERROR(_xlfn.XLOOKUP(tblLog[[#This Row],[Unique ID]], tblMaster[Unique ID], tblMaster[First Name], ""), "")</f>
        <v>Alexa</v>
      </c>
      <c r="C513" t="str">
        <f>IFERROR(_xlfn.XLOOKUP(tblLog[[#This Row],[Unique ID]], tblMaster[Unique ID], tblMaster[Last Name], ""), "")</f>
        <v>Perrotti</v>
      </c>
      <c r="D513" t="str">
        <f>IFERROR(_xlfn.XLOOKUP(tblLog[[#This Row],[Unique ID]], tblMaster[Unique ID], tblMaster[Email_Clean], ""), "")</f>
        <v>alexacperrotti@gmail.com</v>
      </c>
      <c r="E513" t="str">
        <f>IFERROR(_xlfn.XLOOKUP(tblLog[[#This Row],[Unique ID]], tblMaster[Unique ID], tblMaster[Phone], ""), "")</f>
        <v>(908) 421-9341</v>
      </c>
      <c r="F513" t="str">
        <f>IFERROR(_xlfn.XLOOKUP(tblLog[[#This Row],[Unique ID]], tblMaster[Unique ID], tblMaster[Recruiter], ""), "")</f>
        <v xml:space="preserve">Jevon Brown Simpson </v>
      </c>
      <c r="G513" t="str">
        <f>IFERROR(_xlfn.XLOOKUP(tblLog[[#This Row],[Unique ID]], tblMaster[Unique ID], tblMaster[Recruitment Cycle], ""), "")</f>
        <v xml:space="preserve">New Submission/ Lead </v>
      </c>
      <c r="H513" t="s">
        <v>7439</v>
      </c>
      <c r="I513" t="s">
        <v>7530</v>
      </c>
      <c r="J513" s="3">
        <v>3</v>
      </c>
      <c r="K513" t="s">
        <v>7701</v>
      </c>
      <c r="L513" s="2">
        <v>46073</v>
      </c>
      <c r="M513" t="s">
        <v>7452</v>
      </c>
      <c r="N513" t="s">
        <v>7487</v>
      </c>
      <c r="P513">
        <f ca="1">IF(tblLog[[#This Row],[Log Date]]="","",TODAY()-tblLog[[#This Row],[Log Date]])</f>
        <v>6</v>
      </c>
      <c r="Q513" t="str">
        <f>IF(tblLog[[#This Row],[Log Date]]="","",IF(TRIM(tblLog[[#This Row],[Cycle Stage]])="Asked to be removed from database","NO","YES"))</f>
        <v>YES</v>
      </c>
      <c r="R513" t="str">
        <f ca="1"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4" spans="1:18" ht="15" customHeight="1">
      <c r="A514" t="s">
        <v>8140</v>
      </c>
      <c r="B514" t="str">
        <f>IFERROR(_xlfn.XLOOKUP(tblLog[[#This Row],[Unique ID]], tblMaster[Unique ID], tblMaster[First Name], ""), "")</f>
        <v xml:space="preserve">Samantha </v>
      </c>
      <c r="C514" t="str">
        <f>IFERROR(_xlfn.XLOOKUP(tblLog[[#This Row],[Unique ID]], tblMaster[Unique ID], tblMaster[Last Name], ""), "")</f>
        <v xml:space="preserve"> Zaragoza Gonzalez</v>
      </c>
      <c r="D514" t="str">
        <f>IFERROR(_xlfn.XLOOKUP(tblLog[[#This Row],[Unique ID]], tblMaster[Unique ID], tblMaster[Email_Clean], ""), "")</f>
        <v>5039022sam@gmail.com</v>
      </c>
      <c r="E514" t="str">
        <f>IFERROR(_xlfn.XLOOKUP(tblLog[[#This Row],[Unique ID]], tblMaster[Unique ID], tblMaster[Phone], ""), "")</f>
        <v>508-206-0417</v>
      </c>
      <c r="F514" t="str">
        <f>IFERROR(_xlfn.XLOOKUP(tblLog[[#This Row],[Unique ID]], tblMaster[Unique ID], tblMaster[Recruiter], ""), "")</f>
        <v xml:space="preserve">Jevon Brown Simpson </v>
      </c>
      <c r="G514" t="str">
        <f>IFERROR(_xlfn.XLOOKUP(tblLog[[#This Row],[Unique ID]], tblMaster[Unique ID], tblMaster[Recruitment Cycle], ""), "")</f>
        <v xml:space="preserve">Re-Engagment/Post Civil Service Exam </v>
      </c>
      <c r="H514" t="s">
        <v>7543</v>
      </c>
      <c r="I514" t="s">
        <v>7530</v>
      </c>
      <c r="J514" s="3">
        <v>3</v>
      </c>
      <c r="K514" t="s">
        <v>7451</v>
      </c>
      <c r="P514" t="str">
        <f ca="1">IF(tblLog[[#This Row],[Log Date]]="","",TODAY()-tblLog[[#This Row],[Log Date]])</f>
        <v/>
      </c>
      <c r="Q514" t="str">
        <f>IF(tblLog[[#This Row],[Log Date]]="","",IF(TRIM(tblLog[[#This Row],[Cycle Stage]])="Asked to be removed from database","NO","YES"))</f>
        <v/>
      </c>
      <c r="R514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  <row r="515" spans="1:18" ht="15" customHeight="1">
      <c r="A515" t="s">
        <v>8141</v>
      </c>
      <c r="B515" t="str">
        <f>IFERROR(_xlfn.XLOOKUP(tblLog[[#This Row],[Unique ID]], tblMaster[Unique ID], tblMaster[First Name], ""), "")</f>
        <v xml:space="preserve">William </v>
      </c>
      <c r="C515" t="str">
        <f>IFERROR(_xlfn.XLOOKUP(tblLog[[#This Row],[Unique ID]], tblMaster[Unique ID], tblMaster[Last Name], ""), "")</f>
        <v>Kelley</v>
      </c>
      <c r="D515" t="str">
        <f>IFERROR(_xlfn.XLOOKUP(tblLog[[#This Row],[Unique ID]], tblMaster[Unique ID], tblMaster[Email_Clean], ""), "")</f>
        <v>william.luciano.kelley@gmail.com</v>
      </c>
      <c r="E515" t="str">
        <f>IFERROR(_xlfn.XLOOKUP(tblLog[[#This Row],[Unique ID]], tblMaster[Unique ID], tblMaster[Phone], ""), "")</f>
        <v>617 984 9321</v>
      </c>
      <c r="F515" t="str">
        <f>IFERROR(_xlfn.XLOOKUP(tblLog[[#This Row],[Unique ID]], tblMaster[Unique ID], tblMaster[Recruiter], ""), "")</f>
        <v xml:space="preserve">Jevon Brown Simpson </v>
      </c>
      <c r="G515" t="str">
        <f>IFERROR(_xlfn.XLOOKUP(tblLog[[#This Row],[Unique ID]], tblMaster[Unique ID], tblMaster[Recruitment Cycle], ""), "")</f>
        <v xml:space="preserve">Re-Engagment/Post Civil Service Exam </v>
      </c>
      <c r="J515" s="3"/>
      <c r="P515" t="str">
        <f ca="1">IF(tblLog[[#This Row],[Log Date]]="","",TODAY()-tblLog[[#This Row],[Log Date]])</f>
        <v/>
      </c>
      <c r="Q515" t="str">
        <f>IF(tblLog[[#This Row],[Log Date]]="","",IF(TRIM(tblLog[[#This Row],[Cycle Stage]])="Asked to be removed from database","NO","YES"))</f>
        <v/>
      </c>
      <c r="R515" t="str">
        <f>IF(tblLog[[#This Row],[Eligible_For_Followup]]&lt;&gt;"YES","",
 IF(tblLog[[#This Row],[Days_Since_Log]]&gt;=90,"90+",
 IF(tblLog[[#This Row],[Days_Since_Log]]&gt;=60,"60-89",
 IF(tblLog[[#This Row],[Days_Since_Log]]&gt;=30,"30-59",""))))</f>
        <v/>
      </c>
    </row>
  </sheetData>
  <conditionalFormatting sqref="D33">
    <cfRule type="duplicateValues" dxfId="7" priority="6"/>
    <cfRule type="expression" dxfId="6" priority="7">
      <formula>AND($E33&lt;&gt;"",COUNTIF($L:$L,$L33)&gt;1)</formula>
    </cfRule>
    <cfRule type="expression" dxfId="5" priority="8">
      <formula>AND($E34&lt;&gt;"",COUNTIF(K34,LOWER(TRIM(CLEAN(SUBSTITUTE($E34,CHAR(160)," ")))))&gt;1)</formula>
    </cfRule>
    <cfRule type="expression" dxfId="4" priority="9">
      <formula>AND($E34&lt;&gt;"",COUNTIF(tblMasterL2,LOWER(TRIM(CLEAN(SUBSTITUTE($E34,CHAR(160)," ")))))&gt;1)</formula>
    </cfRule>
    <cfRule type="expression" priority="10">
      <formula>AND($E34&lt;&gt;"",COUNTIF(tblMasterL2,LOWER(TRIM(CLEAN(SUBSTITUTE($E34,CHAR(160)," ")))))&gt;1)</formula>
    </cfRule>
  </conditionalFormatting>
  <conditionalFormatting sqref="D53">
    <cfRule type="duplicateValues" dxfId="3" priority="1"/>
    <cfRule type="expression" dxfId="2" priority="2">
      <formula>AND($E53&lt;&gt;"",COUNTIF($L:$L,$L53)&gt;1)</formula>
    </cfRule>
    <cfRule type="expression" dxfId="1" priority="3">
      <formula>AND($E54&lt;&gt;"",COUNTIF(K54,LOWER(TRIM(CLEAN(SUBSTITUTE($E54,CHAR(160)," ")))))&gt;1)</formula>
    </cfRule>
    <cfRule type="expression" dxfId="0" priority="4">
      <formula>AND($E54&lt;&gt;"",COUNTIF(tblMasterL2,LOWER(TRIM(CLEAN(SUBSTITUTE($E54,CHAR(160)," ")))))&gt;1)</formula>
    </cfRule>
    <cfRule type="expression" priority="5">
      <formula>AND($E54&lt;&gt;"",COUNTIF(tblMasterL2,LOWER(TRIM(CLEAN(SUBSTITUTE($E54,CHAR(160)," ")))))&gt;1)</formula>
    </cfRule>
  </conditionalFormatting>
  <dataValidations count="2">
    <dataValidation type="date" allowBlank="1" showInputMessage="1" showErrorMessage="1" promptTitle="Ctrl + ;  " prompt="To auto-fill today’s date_x000a_(Format: MM/DD/YYYY)" sqref="L2:L515" xr:uid="{6CA6D2F1-500A-4527-8DB9-1B6949EC8B97}">
      <formula1>45679</formula1>
      <formula2>72707</formula2>
    </dataValidation>
    <dataValidation type="list" allowBlank="1" showInputMessage="1" showErrorMessage="1" prompt="Select Cycle stage first" sqref="K2:K515" xr:uid="{997942A4-50E2-4254-AB6D-682B7D5C8B12}">
      <formula1>OFFSET(Outcomelist, MATCH(H2, Cyclestagelist, 0)-1, 0, COUNTIF(Cyclestagelist, H2), 1)</formula1>
    </dataValidation>
  </dataValidations>
  <hyperlinks>
    <hyperlink ref="D33" r:id="rId1" display="mailto:junemlemieux@gmail.com" xr:uid="{5B9C8271-8B1F-4173-8A21-9818F136C47F}"/>
    <hyperlink ref="D53" r:id="rId2" display="mailto:acaldeira362007@gmail.com" xr:uid="{C96FAD62-D574-4F16-8F5E-7890EE3CDAA2}"/>
  </hyperlinks>
  <pageMargins left="0.7" right="0.7" top="0.75" bottom="0.75" header="0.3" footer="0.3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312436-48F2-42DA-982A-C16D0F5BE7FB}">
          <x14:formula1>
            <xm:f>Lists!$F$2:$F$12</xm:f>
          </x14:formula1>
          <xm:sqref>I2:I515</xm:sqref>
        </x14:dataValidation>
        <x14:dataValidation type="list" allowBlank="1" showInputMessage="1" showErrorMessage="1" xr:uid="{8D61AB0D-DF52-4115-9708-E55397373989}">
          <x14:formula1>
            <xm:f>Lists!$E$2:$E$19</xm:f>
          </x14:formula1>
          <xm:sqref>H2:H515</xm:sqref>
        </x14:dataValidation>
        <x14:dataValidation type="list" allowBlank="1" showInputMessage="1" showErrorMessage="1" xr:uid="{84404493-328A-4129-8956-9269D6CFDAFB}">
          <x14:formula1>
            <xm:f>Lists!$H$2:$H$21</xm:f>
          </x14:formula1>
          <xm:sqref>M2:M515</xm:sqref>
        </x14:dataValidation>
        <x14:dataValidation type="list" allowBlank="1" showInputMessage="1" showErrorMessage="1" xr:uid="{E7B21EC3-50FA-4A11-AE6D-61B35B472F35}">
          <x14:formula1>
            <xm:f>Lists!$I$3:$I$16</xm:f>
          </x14:formula1>
          <xm:sqref>N2:N515</xm:sqref>
        </x14:dataValidation>
        <x14:dataValidation type="list" allowBlank="1" showInputMessage="1" showErrorMessage="1" errorTitle="Duplicate ID" error="This ID is already used. Please select a different ID" xr:uid="{24F650F3-5B73-40EC-B378-2215057E5A31}">
          <x14:formula1>
            <xm:f>Lists!$D$1:$D$10000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19E1-71FB-4A96-9275-A52E3DB2AE42}">
  <dimension ref="A1:T491"/>
  <sheetViews>
    <sheetView tabSelected="1" topLeftCell="A25" zoomScale="120" zoomScaleNormal="120" workbookViewId="0">
      <selection activeCell="G41" sqref="G41"/>
    </sheetView>
  </sheetViews>
  <sheetFormatPr defaultRowHeight="15"/>
  <cols>
    <col min="1" max="1" width="12" customWidth="1"/>
    <col min="2" max="2" width="19.5703125" bestFit="1" customWidth="1"/>
    <col min="3" max="3" width="19.85546875" bestFit="1" customWidth="1"/>
    <col min="4" max="4" width="32.5703125" bestFit="1" customWidth="1"/>
    <col min="5" max="5" width="16.140625" bestFit="1" customWidth="1"/>
    <col min="6" max="6" width="20.28515625" bestFit="1" customWidth="1"/>
    <col min="7" max="7" width="35" bestFit="1" customWidth="1"/>
    <col min="8" max="8" width="12.140625" customWidth="1"/>
    <col min="9" max="9" width="14" bestFit="1" customWidth="1"/>
    <col min="10" max="10" width="20.5703125" bestFit="1" customWidth="1"/>
    <col min="11" max="11" width="41.28515625" bestFit="1" customWidth="1"/>
    <col min="12" max="12" width="24.28515625" bestFit="1" customWidth="1"/>
    <col min="13" max="13" width="9.5703125" bestFit="1" customWidth="1"/>
    <col min="14" max="14" width="11.5703125" bestFit="1" customWidth="1"/>
    <col min="15" max="15" width="10.140625" bestFit="1" customWidth="1"/>
    <col min="16" max="16" width="34.85546875" bestFit="1" customWidth="1"/>
    <col min="17" max="17" width="18.7109375" bestFit="1" customWidth="1"/>
    <col min="18" max="18" width="23.5703125" bestFit="1" customWidth="1"/>
    <col min="19" max="19" width="19.7109375" hidden="1" customWidth="1"/>
    <col min="20" max="20" width="20.42578125" customWidth="1"/>
  </cols>
  <sheetData>
    <row r="1" spans="1:20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8142</v>
      </c>
      <c r="I1" s="12" t="s">
        <v>8143</v>
      </c>
      <c r="J1" s="9" t="s">
        <v>8144</v>
      </c>
      <c r="K1" s="9" t="s">
        <v>8145</v>
      </c>
      <c r="L1" s="9" t="s">
        <v>8146</v>
      </c>
      <c r="M1" s="9" t="s">
        <v>8147</v>
      </c>
      <c r="N1" s="9" t="s">
        <v>7424</v>
      </c>
      <c r="O1" s="9" t="s">
        <v>7425</v>
      </c>
      <c r="P1" s="9" t="s">
        <v>8148</v>
      </c>
      <c r="Q1" s="9" t="s">
        <v>7429</v>
      </c>
      <c r="R1" s="9" t="s">
        <v>7430</v>
      </c>
      <c r="S1" s="9" t="s">
        <v>7431</v>
      </c>
      <c r="T1" s="9" t="s">
        <v>7428</v>
      </c>
    </row>
    <row r="2" spans="1:20">
      <c r="A2" t="s">
        <v>8149</v>
      </c>
      <c r="B2" t="str">
        <f>IFERROR(_xlfn.XLOOKUP(tabExam[[#This Row],[Unique ID]], tblMaster[Unique ID], tblMaster[First Name], ""), "")</f>
        <v xml:space="preserve">Desmond </v>
      </c>
      <c r="C2" t="str">
        <f>IFERROR(_xlfn.XLOOKUP(tabExam[[#This Row],[Unique ID]], tblMaster[Unique ID], tblMaster[Last Name], ""), "")</f>
        <v>McPherson</v>
      </c>
      <c r="D2" t="str">
        <f>IFERROR(_xlfn.XLOOKUP(tabExam[[#This Row],[Unique ID]], tblMaster[Unique ID], tblMaster[Email_Clean], ""), "")</f>
        <v>desmondmcpherson88@gmail.com</v>
      </c>
      <c r="E2" t="str">
        <f>IFERROR(_xlfn.XLOOKUP(tabExam[[#This Row],[Unique ID]], tblMaster[Unique ID], tblMaster[Phone], ""), "")</f>
        <v xml:space="preserve">(857) 246-5373    </v>
      </c>
      <c r="F2" t="str">
        <f>IFERROR(_xlfn.XLOOKUP(tabExam[[#This Row],[Unique ID]], tblMaster[Unique ID], tblMaster[Recruiter], ""), "")</f>
        <v>Zenon Moses</v>
      </c>
      <c r="G2" t="str">
        <f>IFERROR(_xlfn.XLOOKUP(tabExam[[#This Row],[Unique ID]], tblMaster[Unique ID], tblMaster[Recruitment Cycle], ""), "")</f>
        <v xml:space="preserve">New Submission/ Lead </v>
      </c>
      <c r="H2" t="s">
        <v>8150</v>
      </c>
      <c r="I2">
        <v>2026</v>
      </c>
      <c r="J2" t="s">
        <v>7446</v>
      </c>
      <c r="K2" t="s">
        <v>8151</v>
      </c>
      <c r="L2" t="s">
        <v>7446</v>
      </c>
      <c r="M2" t="s">
        <v>7464</v>
      </c>
      <c r="N2" t="s">
        <v>7435</v>
      </c>
      <c r="O2" s="2">
        <v>46073</v>
      </c>
      <c r="P2" t="s">
        <v>8158</v>
      </c>
      <c r="Q2">
        <f ca="1">IF(tabExam[[#This Row],[Log Date]]="","",TODAY()-tabExam[[#This Row],[Log Date]])</f>
        <v>6</v>
      </c>
      <c r="R2" t="str">
        <f>IF(tabExam[[#This Row],[Log Date]]="","",IF(TRIM(tabExam[[#This Row],[Exam Cycle Stage]])="Asked to be removed from database","NO","YES"))</f>
        <v>YES</v>
      </c>
      <c r="S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" spans="1:20">
      <c r="A3" t="s">
        <v>8152</v>
      </c>
      <c r="B3" t="str">
        <f>IFERROR(_xlfn.XLOOKUP(tabExam[[#This Row],[Unique ID]], tblMaster[Unique ID], tblMaster[First Name], ""), "")</f>
        <v xml:space="preserve">Cristiano </v>
      </c>
      <c r="C3" t="str">
        <f>IFERROR(_xlfn.XLOOKUP(tabExam[[#This Row],[Unique ID]], tblMaster[Unique ID], tblMaster[Last Name], ""), "")</f>
        <v xml:space="preserve"> Virla </v>
      </c>
      <c r="D3" t="str">
        <f>IFERROR(_xlfn.XLOOKUP(tabExam[[#This Row],[Unique ID]], tblMaster[Unique ID], tblMaster[Email_Clean], ""), "")</f>
        <v>eldervirla@gmail.com</v>
      </c>
      <c r="E3" t="str">
        <f>IFERROR(_xlfn.XLOOKUP(tabExam[[#This Row],[Unique ID]], tblMaster[Unique ID], tblMaster[Phone], ""), "")</f>
        <v xml:space="preserve">(508) 353-5903 </v>
      </c>
      <c r="F3" t="str">
        <f>IFERROR(_xlfn.XLOOKUP(tabExam[[#This Row],[Unique ID]], tblMaster[Unique ID], tblMaster[Recruiter], ""), "")</f>
        <v>Zenon Moses</v>
      </c>
      <c r="G3" t="str">
        <f>IFERROR(_xlfn.XLOOKUP(tabExam[[#This Row],[Unique ID]], tblMaster[Unique ID], tblMaster[Recruitment Cycle], ""), "")</f>
        <v xml:space="preserve">New Submission/ Lead </v>
      </c>
      <c r="H3" t="s">
        <v>8150</v>
      </c>
      <c r="I3">
        <v>2026</v>
      </c>
      <c r="J3" t="s">
        <v>7446</v>
      </c>
      <c r="K3" t="s">
        <v>8153</v>
      </c>
      <c r="L3" t="s">
        <v>8154</v>
      </c>
      <c r="M3" t="s">
        <v>7434</v>
      </c>
      <c r="N3" t="s">
        <v>7435</v>
      </c>
      <c r="O3" s="2">
        <v>46073</v>
      </c>
      <c r="P3" t="s">
        <v>8158</v>
      </c>
      <c r="Q3">
        <f ca="1">IF(tabExam[[#This Row],[Log Date]]="","",TODAY()-tabExam[[#This Row],[Log Date]])</f>
        <v>6</v>
      </c>
      <c r="R3" t="str">
        <f>IF(tabExam[[#This Row],[Log Date]]="","",IF(TRIM(tabExam[[#This Row],[Exam Cycle Stage]])="Asked to be removed from database","NO","YES"))</f>
        <v>YES</v>
      </c>
      <c r="S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" spans="1:20">
      <c r="A4" t="s">
        <v>8155</v>
      </c>
      <c r="B4" t="str">
        <f>IFERROR(_xlfn.XLOOKUP(tabExam[[#This Row],[Unique ID]], tblMaster[Unique ID], tblMaster[First Name], ""), "")</f>
        <v xml:space="preserve">Adebayo  </v>
      </c>
      <c r="C4" t="str">
        <f>IFERROR(_xlfn.XLOOKUP(tabExam[[#This Row],[Unique ID]], tblMaster[Unique ID], tblMaster[Last Name], ""), "")</f>
        <v xml:space="preserve"> Animashaun </v>
      </c>
      <c r="D4" t="str">
        <f>IFERROR(_xlfn.XLOOKUP(tabExam[[#This Row],[Unique ID]], tblMaster[Unique ID], tblMaster[Email_Clean], ""), "")</f>
        <v>bayo.animashaun@yahoo.com</v>
      </c>
      <c r="E4" t="str">
        <f>IFERROR(_xlfn.XLOOKUP(tabExam[[#This Row],[Unique ID]], tblMaster[Unique ID], tblMaster[Phone], ""), "")</f>
        <v xml:space="preserve">(781) 666-8839 </v>
      </c>
      <c r="F4" t="str">
        <f>IFERROR(_xlfn.XLOOKUP(tabExam[[#This Row],[Unique ID]], tblMaster[Unique ID], tblMaster[Recruiter], ""), "")</f>
        <v xml:space="preserve">Jevon Brown Simpson </v>
      </c>
      <c r="G4" t="str">
        <f>IFERROR(_xlfn.XLOOKUP(tabExam[[#This Row],[Unique ID]], tblMaster[Unique ID], tblMaster[Recruitment Cycle], ""), "")</f>
        <v xml:space="preserve">New Submission/ Lead </v>
      </c>
      <c r="H4" t="s">
        <v>8150</v>
      </c>
      <c r="I4">
        <v>2026</v>
      </c>
      <c r="J4" t="s">
        <v>7446</v>
      </c>
      <c r="K4" t="s">
        <v>7439</v>
      </c>
      <c r="L4" t="s">
        <v>8154</v>
      </c>
      <c r="M4" t="s">
        <v>7464</v>
      </c>
      <c r="N4" t="s">
        <v>8175</v>
      </c>
      <c r="O4" s="2">
        <v>46045</v>
      </c>
      <c r="P4" t="s">
        <v>8158</v>
      </c>
      <c r="Q4">
        <f ca="1">IF(tabExam[[#This Row],[Log Date]]="","",TODAY()-tabExam[[#This Row],[Log Date]])</f>
        <v>34</v>
      </c>
      <c r="R4" t="str">
        <f>IF(tabExam[[#This Row],[Log Date]]="","",IF(TRIM(tabExam[[#This Row],[Exam Cycle Stage]])="Asked to be removed from database","NO","YES"))</f>
        <v>YES</v>
      </c>
      <c r="S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30-59</v>
      </c>
    </row>
    <row r="5" spans="1:20">
      <c r="A5" t="s">
        <v>8156</v>
      </c>
      <c r="B5" t="str">
        <f>IFERROR(_xlfn.XLOOKUP(tabExam[[#This Row],[Unique ID]], tblMaster[Unique ID], tblMaster[First Name], ""), "")</f>
        <v xml:space="preserve">William </v>
      </c>
      <c r="C5" t="str">
        <f>IFERROR(_xlfn.XLOOKUP(tabExam[[#This Row],[Unique ID]], tblMaster[Unique ID], tblMaster[Last Name], ""), "")</f>
        <v xml:space="preserve">Largy </v>
      </c>
      <c r="D5" t="str">
        <f>IFERROR(_xlfn.XLOOKUP(tabExam[[#This Row],[Unique ID]], tblMaster[Unique ID], tblMaster[Email_Clean], ""), "")</f>
        <v>william.l4rgy@outlook.com</v>
      </c>
      <c r="E5" t="str">
        <f>IFERROR(_xlfn.XLOOKUP(tabExam[[#This Row],[Unique ID]], tblMaster[Unique ID], tblMaster[Phone], ""), "")</f>
        <v xml:space="preserve">339-224-1106 </v>
      </c>
      <c r="F5" t="str">
        <f>IFERROR(_xlfn.XLOOKUP(tabExam[[#This Row],[Unique ID]], tblMaster[Unique ID], tblMaster[Recruiter], ""), "")</f>
        <v xml:space="preserve">Jevon Brown Simpson </v>
      </c>
      <c r="G5" t="str">
        <f>IFERROR(_xlfn.XLOOKUP(tabExam[[#This Row],[Unique ID]], tblMaster[Unique ID], tblMaster[Recruitment Cycle], ""), "")</f>
        <v xml:space="preserve">Re-Engagment </v>
      </c>
      <c r="H5" t="s">
        <v>8150</v>
      </c>
      <c r="I5">
        <v>2026</v>
      </c>
      <c r="J5" t="s">
        <v>7446</v>
      </c>
      <c r="K5" t="s">
        <v>7439</v>
      </c>
      <c r="L5" t="s">
        <v>8154</v>
      </c>
      <c r="M5" t="s">
        <v>7434</v>
      </c>
      <c r="N5" t="s">
        <v>8157</v>
      </c>
      <c r="O5" s="2">
        <v>46058</v>
      </c>
      <c r="P5" t="s">
        <v>8158</v>
      </c>
      <c r="Q5">
        <f ca="1">IF(tabExam[[#This Row],[Log Date]]="","",TODAY()-tabExam[[#This Row],[Log Date]])</f>
        <v>21</v>
      </c>
      <c r="R5" t="str">
        <f>IF(tabExam[[#This Row],[Log Date]]="","",IF(TRIM(tabExam[[#This Row],[Exam Cycle Stage]])="Asked to be removed from database","NO","YES"))</f>
        <v>YES</v>
      </c>
      <c r="S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" spans="1:20">
      <c r="A6" t="s">
        <v>8018</v>
      </c>
      <c r="B6" t="str">
        <f>IFERROR(_xlfn.XLOOKUP(tabExam[[#This Row],[Unique ID]], tblMaster[Unique ID], tblMaster[First Name], ""), "")</f>
        <v xml:space="preserve">Kwabena </v>
      </c>
      <c r="C6" t="str">
        <f>IFERROR(_xlfn.XLOOKUP(tabExam[[#This Row],[Unique ID]], tblMaster[Unique ID], tblMaster[Last Name], ""), "")</f>
        <v xml:space="preserve">Ohemeng-Gyebi </v>
      </c>
      <c r="D6" t="str">
        <f>IFERROR(_xlfn.XLOOKUP(tabExam[[#This Row],[Unique ID]], tblMaster[Unique ID], tblMaster[Email_Clean], ""), "")</f>
        <v>kogstarghana@gmail.com</v>
      </c>
      <c r="E6" t="str">
        <f>IFERROR(_xlfn.XLOOKUP(tabExam[[#This Row],[Unique ID]], tblMaster[Unique ID], tblMaster[Phone], ""), "")</f>
        <v xml:space="preserve">(347) 600-9629 </v>
      </c>
      <c r="F6" t="str">
        <f>IFERROR(_xlfn.XLOOKUP(tabExam[[#This Row],[Unique ID]], tblMaster[Unique ID], tblMaster[Recruiter], ""), "")</f>
        <v xml:space="preserve">Jevon Brown Simpson </v>
      </c>
      <c r="G6" t="str">
        <f>IFERROR(_xlfn.XLOOKUP(tabExam[[#This Row],[Unique ID]], tblMaster[Unique ID], tblMaster[Recruitment Cycle], ""), "")</f>
        <v xml:space="preserve">New Submission/ Lead </v>
      </c>
      <c r="H6" t="s">
        <v>8150</v>
      </c>
      <c r="I6">
        <v>2026</v>
      </c>
      <c r="J6" t="s">
        <v>7446</v>
      </c>
      <c r="K6" t="s">
        <v>7439</v>
      </c>
      <c r="L6" t="s">
        <v>8154</v>
      </c>
      <c r="M6" t="s">
        <v>7464</v>
      </c>
      <c r="N6" t="s">
        <v>7435</v>
      </c>
      <c r="O6" s="2">
        <v>46071</v>
      </c>
      <c r="Q6">
        <f ca="1">IF(tabExam[[#This Row],[Log Date]]="","",TODAY()-tabExam[[#This Row],[Log Date]])</f>
        <v>8</v>
      </c>
      <c r="R6" t="str">
        <f>IF(tabExam[[#This Row],[Log Date]]="","",IF(TRIM(tabExam[[#This Row],[Exam Cycle Stage]])="Asked to be removed from database","NO","YES"))</f>
        <v>YES</v>
      </c>
      <c r="S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" spans="1:20">
      <c r="A7" t="s">
        <v>8159</v>
      </c>
      <c r="B7" t="str">
        <f>IFERROR(_xlfn.XLOOKUP(tabExam[[#This Row],[Unique ID]], tblMaster[Unique ID], tblMaster[First Name], ""), "")</f>
        <v xml:space="preserve">quade </v>
      </c>
      <c r="C7" t="str">
        <f>IFERROR(_xlfn.XLOOKUP(tabExam[[#This Row],[Unique ID]], tblMaster[Unique ID], tblMaster[Last Name], ""), "")</f>
        <v xml:space="preserve"> Bradford </v>
      </c>
      <c r="D7" t="str">
        <f>IFERROR(_xlfn.XLOOKUP(tabExam[[#This Row],[Unique ID]], tblMaster[Unique ID], tblMaster[Email_Clean], ""), "")</f>
        <v>quavobrad22@icloud.com</v>
      </c>
      <c r="E7" t="str">
        <f>IFERROR(_xlfn.XLOOKUP(tabExam[[#This Row],[Unique ID]], tblMaster[Unique ID], tblMaster[Phone], ""), "")</f>
        <v>(914) 218-1953</v>
      </c>
      <c r="F7" t="str">
        <f>IFERROR(_xlfn.XLOOKUP(tabExam[[#This Row],[Unique ID]], tblMaster[Unique ID], tblMaster[Recruiter], ""), "")</f>
        <v xml:space="preserve">Jevon Brown Simpson </v>
      </c>
      <c r="G7" t="str">
        <f>IFERROR(_xlfn.XLOOKUP(tabExam[[#This Row],[Unique ID]], tblMaster[Unique ID], tblMaster[Recruitment Cycle], ""), "")</f>
        <v xml:space="preserve">New Submission/ Lead </v>
      </c>
      <c r="H7" t="s">
        <v>8150</v>
      </c>
      <c r="I7">
        <v>2026</v>
      </c>
      <c r="J7" t="s">
        <v>7446</v>
      </c>
      <c r="K7" t="s">
        <v>7439</v>
      </c>
      <c r="L7" t="s">
        <v>8154</v>
      </c>
      <c r="M7" t="s">
        <v>7464</v>
      </c>
      <c r="O7" s="2">
        <v>46065</v>
      </c>
      <c r="Q7">
        <f ca="1">IF(tabExam[[#This Row],[Log Date]]="","",TODAY()-tabExam[[#This Row],[Log Date]])</f>
        <v>14</v>
      </c>
      <c r="R7" t="str">
        <f>IF(tabExam[[#This Row],[Log Date]]="","",IF(TRIM(tabExam[[#This Row],[Exam Cycle Stage]])="Asked to be removed from database","NO","YES"))</f>
        <v>YES</v>
      </c>
      <c r="S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" spans="1:20">
      <c r="A8" t="s">
        <v>8160</v>
      </c>
      <c r="B8" t="str">
        <f>IFERROR(_xlfn.XLOOKUP(tabExam[[#This Row],[Unique ID]], tblMaster[Unique ID], tblMaster[First Name], ""), "")</f>
        <v>Leon</v>
      </c>
      <c r="C8" t="str">
        <f>IFERROR(_xlfn.XLOOKUP(tabExam[[#This Row],[Unique ID]], tblMaster[Unique ID], tblMaster[Last Name], ""), "")</f>
        <v xml:space="preserve">Marsh </v>
      </c>
      <c r="D8" t="str">
        <f>IFERROR(_xlfn.XLOOKUP(tabExam[[#This Row],[Unique ID]], tblMaster[Unique ID], tblMaster[Email_Clean], ""), "")</f>
        <v>leonmarsh34@gmail.com</v>
      </c>
      <c r="E8" t="str">
        <f>IFERROR(_xlfn.XLOOKUP(tabExam[[#This Row],[Unique ID]], tblMaster[Unique ID], tblMaster[Phone], ""), "")</f>
        <v xml:space="preserve">(413) 219-2586 </v>
      </c>
      <c r="F8" t="str">
        <f>IFERROR(_xlfn.XLOOKUP(tabExam[[#This Row],[Unique ID]], tblMaster[Unique ID], tblMaster[Recruiter], ""), "")</f>
        <v xml:space="preserve">Jevon Brown Simpson </v>
      </c>
      <c r="G8" t="str">
        <f>IFERROR(_xlfn.XLOOKUP(tabExam[[#This Row],[Unique ID]], tblMaster[Unique ID], tblMaster[Recruitment Cycle], ""), "")</f>
        <v xml:space="preserve">Re-Engagment </v>
      </c>
      <c r="H8" t="s">
        <v>8150</v>
      </c>
      <c r="I8">
        <v>2026</v>
      </c>
      <c r="J8" t="s">
        <v>7446</v>
      </c>
      <c r="K8" t="s">
        <v>7439</v>
      </c>
      <c r="L8" t="s">
        <v>8154</v>
      </c>
      <c r="M8" t="s">
        <v>7464</v>
      </c>
      <c r="N8" t="s">
        <v>7435</v>
      </c>
      <c r="O8" s="2">
        <v>46069</v>
      </c>
      <c r="Q8">
        <f ca="1">IF(tabExam[[#This Row],[Log Date]]="","",TODAY()-tabExam[[#This Row],[Log Date]])</f>
        <v>10</v>
      </c>
      <c r="R8" t="str">
        <f>IF(tabExam[[#This Row],[Log Date]]="","",IF(TRIM(tabExam[[#This Row],[Exam Cycle Stage]])="Asked to be removed from database","NO","YES"))</f>
        <v>YES</v>
      </c>
      <c r="S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" spans="1:20">
      <c r="A9" t="s">
        <v>8161</v>
      </c>
      <c r="B9" t="str">
        <f>IFERROR(_xlfn.XLOOKUP(tabExam[[#This Row],[Unique ID]], tblMaster[Unique ID], tblMaster[First Name], ""), "")</f>
        <v xml:space="preserve">Tatjana </v>
      </c>
      <c r="C9" t="str">
        <f>IFERROR(_xlfn.XLOOKUP(tabExam[[#This Row],[Unique ID]], tblMaster[Unique ID], tblMaster[Last Name], ""), "")</f>
        <v xml:space="preserve">Gumeni </v>
      </c>
      <c r="D9" t="str">
        <f>IFERROR(_xlfn.XLOOKUP(tabExam[[#This Row],[Unique ID]], tblMaster[Unique ID], tblMaster[Email_Clean], ""), "")</f>
        <v>gumenitatjana@yahoo.com</v>
      </c>
      <c r="E9" t="str">
        <f>IFERROR(_xlfn.XLOOKUP(tabExam[[#This Row],[Unique ID]], tblMaster[Unique ID], tblMaster[Phone], ""), "")</f>
        <v xml:space="preserve">347) 636-0647 </v>
      </c>
      <c r="F9" t="str">
        <f>IFERROR(_xlfn.XLOOKUP(tabExam[[#This Row],[Unique ID]], tblMaster[Unique ID], tblMaster[Recruiter], ""), "")</f>
        <v>Zenon Moses</v>
      </c>
      <c r="G9" t="str">
        <f>IFERROR(_xlfn.XLOOKUP(tabExam[[#This Row],[Unique ID]], tblMaster[Unique ID], tblMaster[Recruitment Cycle], ""), "")</f>
        <v xml:space="preserve">New Submission/ Lead </v>
      </c>
      <c r="H9" t="s">
        <v>8150</v>
      </c>
      <c r="I9">
        <v>2026</v>
      </c>
      <c r="J9" t="s">
        <v>7446</v>
      </c>
      <c r="K9" t="s">
        <v>8153</v>
      </c>
      <c r="L9" t="s">
        <v>8154</v>
      </c>
      <c r="M9" t="s">
        <v>7464</v>
      </c>
      <c r="N9" t="s">
        <v>7435</v>
      </c>
      <c r="O9" s="2">
        <v>46073</v>
      </c>
      <c r="P9" t="s">
        <v>8162</v>
      </c>
      <c r="Q9">
        <f ca="1">IF(tabExam[[#This Row],[Log Date]]="","",TODAY()-tabExam[[#This Row],[Log Date]])</f>
        <v>6</v>
      </c>
      <c r="R9" t="str">
        <f>IF(tabExam[[#This Row],[Log Date]]="","",IF(TRIM(tabExam[[#This Row],[Exam Cycle Stage]])="Asked to be removed from database","NO","YES"))</f>
        <v>YES</v>
      </c>
      <c r="S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" spans="1:20">
      <c r="A10" t="s">
        <v>8163</v>
      </c>
      <c r="B10" t="str">
        <f>IFERROR(_xlfn.XLOOKUP(tabExam[[#This Row],[Unique ID]], tblMaster[Unique ID], tblMaster[First Name], ""), "")</f>
        <v xml:space="preserve">Ferdinan </v>
      </c>
      <c r="C10" t="str">
        <f>IFERROR(_xlfn.XLOOKUP(tabExam[[#This Row],[Unique ID]], tblMaster[Unique ID], tblMaster[Last Name], ""), "")</f>
        <v xml:space="preserve">Ocasio III </v>
      </c>
      <c r="D10" t="str">
        <f>IFERROR(_xlfn.XLOOKUP(tabExam[[#This Row],[Unique ID]], tblMaster[Unique ID], tblMaster[Email_Clean], ""), "")</f>
        <v>ferdibirdi777@gmail.com</v>
      </c>
      <c r="E10" t="str">
        <f>IFERROR(_xlfn.XLOOKUP(tabExam[[#This Row],[Unique ID]], tblMaster[Unique ID], tblMaster[Phone], ""), "")</f>
        <v xml:space="preserve">413) 263-9800 </v>
      </c>
      <c r="F10" t="str">
        <f>IFERROR(_xlfn.XLOOKUP(tabExam[[#This Row],[Unique ID]], tblMaster[Unique ID], tblMaster[Recruiter], ""), "")</f>
        <v>Zenon Moses</v>
      </c>
      <c r="G10" t="str">
        <f>IFERROR(_xlfn.XLOOKUP(tabExam[[#This Row],[Unique ID]], tblMaster[Unique ID], tblMaster[Recruitment Cycle], ""), "")</f>
        <v xml:space="preserve">Re-Engagment </v>
      </c>
      <c r="H10" t="s">
        <v>8164</v>
      </c>
      <c r="I10">
        <v>2025</v>
      </c>
      <c r="J10" t="s">
        <v>7446</v>
      </c>
      <c r="K10" t="s">
        <v>8151</v>
      </c>
      <c r="L10" t="s">
        <v>8165</v>
      </c>
      <c r="M10" t="s">
        <v>7434</v>
      </c>
      <c r="N10" t="s">
        <v>7435</v>
      </c>
      <c r="O10" s="2">
        <v>46058</v>
      </c>
      <c r="P10" t="s">
        <v>8158</v>
      </c>
      <c r="Q10">
        <f ca="1">IF(tabExam[[#This Row],[Log Date]]="","",TODAY()-tabExam[[#This Row],[Log Date]])</f>
        <v>21</v>
      </c>
      <c r="R10" t="str">
        <f>IF(tabExam[[#This Row],[Log Date]]="","",IF(TRIM(tabExam[[#This Row],[Exam Cycle Stage]])="Asked to be removed from database","NO","YES"))</f>
        <v>YES</v>
      </c>
      <c r="S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" spans="1:20">
      <c r="A11" t="s">
        <v>8166</v>
      </c>
      <c r="B11" t="str">
        <f>IFERROR(_xlfn.XLOOKUP(tabExam[[#This Row],[Unique ID]], tblMaster[Unique ID], tblMaster[First Name], ""), "")</f>
        <v xml:space="preserve">Mary </v>
      </c>
      <c r="C11" t="str">
        <f>IFERROR(_xlfn.XLOOKUP(tabExam[[#This Row],[Unique ID]], tblMaster[Unique ID], tblMaster[Last Name], ""), "")</f>
        <v xml:space="preserve"> Ndwiga </v>
      </c>
      <c r="D11" t="str">
        <f>IFERROR(_xlfn.XLOOKUP(tabExam[[#This Row],[Unique ID]], tblMaster[Unique ID], tblMaster[Email_Clean], ""), "")</f>
        <v>twigs009@gmail.com</v>
      </c>
      <c r="E11" t="str">
        <f>IFERROR(_xlfn.XLOOKUP(tabExam[[#This Row],[Unique ID]], tblMaster[Unique ID], tblMaster[Phone], ""), "")</f>
        <v xml:space="preserve">978 398 2340 </v>
      </c>
      <c r="F11" t="str">
        <f>IFERROR(_xlfn.XLOOKUP(tabExam[[#This Row],[Unique ID]], tblMaster[Unique ID], tblMaster[Recruiter], ""), "")</f>
        <v>Zenon Moses</v>
      </c>
      <c r="G11" t="str">
        <f>IFERROR(_xlfn.XLOOKUP(tabExam[[#This Row],[Unique ID]], tblMaster[Unique ID], tblMaster[Recruitment Cycle], ""), "")</f>
        <v xml:space="preserve">Re-Engagment </v>
      </c>
      <c r="H11" t="s">
        <v>8150</v>
      </c>
      <c r="I11">
        <v>2026</v>
      </c>
      <c r="J11" t="s">
        <v>7446</v>
      </c>
      <c r="K11" t="s">
        <v>8153</v>
      </c>
      <c r="L11" t="s">
        <v>8167</v>
      </c>
      <c r="M11" t="s">
        <v>7464</v>
      </c>
      <c r="N11" t="s">
        <v>7435</v>
      </c>
      <c r="O11" s="2">
        <v>46073</v>
      </c>
      <c r="P11" t="s">
        <v>8158</v>
      </c>
      <c r="Q11">
        <f ca="1">IF(tabExam[[#This Row],[Log Date]]="","",TODAY()-tabExam[[#This Row],[Log Date]])</f>
        <v>6</v>
      </c>
      <c r="R11" t="str">
        <f>IF(tabExam[[#This Row],[Log Date]]="","",IF(TRIM(tabExam[[#This Row],[Exam Cycle Stage]])="Asked to be removed from database","NO","YES"))</f>
        <v>YES</v>
      </c>
      <c r="S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" spans="1:20">
      <c r="A12" t="s">
        <v>8168</v>
      </c>
      <c r="B12" t="str">
        <f>IFERROR(_xlfn.XLOOKUP(tabExam[[#This Row],[Unique ID]], tblMaster[Unique ID], tblMaster[First Name], ""), "")</f>
        <v xml:space="preserve">Andrew </v>
      </c>
      <c r="C12" t="str">
        <f>IFERROR(_xlfn.XLOOKUP(tabExam[[#This Row],[Unique ID]], tblMaster[Unique ID], tblMaster[Last Name], ""), "")</f>
        <v xml:space="preserve">Purington </v>
      </c>
      <c r="D12" t="str">
        <f>IFERROR(_xlfn.XLOOKUP(tabExam[[#This Row],[Unique ID]], tblMaster[Unique ID], tblMaster[Email_Clean], ""), "")</f>
        <v>andrew.purington@yahoo.com</v>
      </c>
      <c r="E12" t="str">
        <f>IFERROR(_xlfn.XLOOKUP(tabExam[[#This Row],[Unique ID]], tblMaster[Unique ID], tblMaster[Phone], ""), "")</f>
        <v xml:space="preserve">603 674 3032 </v>
      </c>
      <c r="F12" t="str">
        <f>IFERROR(_xlfn.XLOOKUP(tabExam[[#This Row],[Unique ID]], tblMaster[Unique ID], tblMaster[Recruiter], ""), "")</f>
        <v xml:space="preserve">Jevon Brown Simpson </v>
      </c>
      <c r="G12" t="str">
        <f>IFERROR(_xlfn.XLOOKUP(tabExam[[#This Row],[Unique ID]], tblMaster[Unique ID], tblMaster[Recruitment Cycle], ""), "")</f>
        <v xml:space="preserve">Re-Engagment </v>
      </c>
      <c r="H12" t="s">
        <v>8150</v>
      </c>
      <c r="I12">
        <v>2026</v>
      </c>
      <c r="J12" t="s">
        <v>7446</v>
      </c>
      <c r="K12" t="s">
        <v>7439</v>
      </c>
      <c r="L12" t="s">
        <v>8154</v>
      </c>
      <c r="M12" t="s">
        <v>7464</v>
      </c>
      <c r="O12" s="2">
        <v>46065</v>
      </c>
      <c r="Q12">
        <f ca="1">IF(tabExam[[#This Row],[Log Date]]="","",TODAY()-tabExam[[#This Row],[Log Date]])</f>
        <v>14</v>
      </c>
      <c r="R12" t="str">
        <f>IF(tabExam[[#This Row],[Log Date]]="","",IF(TRIM(tabExam[[#This Row],[Exam Cycle Stage]])="Asked to be removed from database","NO","YES"))</f>
        <v>YES</v>
      </c>
      <c r="S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" spans="1:20">
      <c r="A13" t="s">
        <v>8169</v>
      </c>
      <c r="B13" t="str">
        <f>IFERROR(_xlfn.XLOOKUP(tabExam[[#This Row],[Unique ID]], tblMaster[Unique ID], tblMaster[First Name], ""), "")</f>
        <v xml:space="preserve">Sunny </v>
      </c>
      <c r="C13" t="str">
        <f>IFERROR(_xlfn.XLOOKUP(tabExam[[#This Row],[Unique ID]], tblMaster[Unique ID], tblMaster[Last Name], ""), "")</f>
        <v xml:space="preserve"> Nwoke</v>
      </c>
      <c r="D13" t="str">
        <f>IFERROR(_xlfn.XLOOKUP(tabExam[[#This Row],[Unique ID]], tblMaster[Unique ID], tblMaster[Email_Clean], ""), "")</f>
        <v>nwokesunny22@gmail.com</v>
      </c>
      <c r="E13" t="str">
        <f>IFERROR(_xlfn.XLOOKUP(tabExam[[#This Row],[Unique ID]], tblMaster[Unique ID], tblMaster[Phone], ""), "")</f>
        <v>781 855 8673</v>
      </c>
      <c r="F13" t="str">
        <f>IFERROR(_xlfn.XLOOKUP(tabExam[[#This Row],[Unique ID]], tblMaster[Unique ID], tblMaster[Recruiter], ""), "")</f>
        <v xml:space="preserve">Jevon Brown Simpson </v>
      </c>
      <c r="G13" t="str">
        <f>IFERROR(_xlfn.XLOOKUP(tabExam[[#This Row],[Unique ID]], tblMaster[Unique ID], tblMaster[Recruitment Cycle], ""), "")</f>
        <v xml:space="preserve">New Submission/ Lead </v>
      </c>
      <c r="H13" t="s">
        <v>8150</v>
      </c>
      <c r="I13">
        <v>2026</v>
      </c>
      <c r="J13" t="s">
        <v>7446</v>
      </c>
      <c r="K13" t="s">
        <v>7439</v>
      </c>
      <c r="L13" t="s">
        <v>8154</v>
      </c>
      <c r="M13" t="s">
        <v>7464</v>
      </c>
      <c r="O13" s="2">
        <v>46065</v>
      </c>
      <c r="Q13">
        <f ca="1">IF(tabExam[[#This Row],[Log Date]]="","",TODAY()-tabExam[[#This Row],[Log Date]])</f>
        <v>14</v>
      </c>
      <c r="R13" t="str">
        <f>IF(tabExam[[#This Row],[Log Date]]="","",IF(TRIM(tabExam[[#This Row],[Exam Cycle Stage]])="Asked to be removed from database","NO","YES"))</f>
        <v>YES</v>
      </c>
      <c r="S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" spans="1:20">
      <c r="A14" t="s">
        <v>8170</v>
      </c>
      <c r="B14" t="str">
        <f>IFERROR(_xlfn.XLOOKUP(tabExam[[#This Row],[Unique ID]], tblMaster[Unique ID], tblMaster[First Name], ""), "")</f>
        <v>Fharlley</v>
      </c>
      <c r="C14" t="str">
        <f>IFERROR(_xlfn.XLOOKUP(tabExam[[#This Row],[Unique ID]], tblMaster[Unique ID], tblMaster[Last Name], ""), "")</f>
        <v xml:space="preserve">Paiva </v>
      </c>
      <c r="D14" t="str">
        <f>IFERROR(_xlfn.XLOOKUP(tabExam[[#This Row],[Unique ID]], tblMaster[Unique ID], tblMaster[Email_Clean], ""), "")</f>
        <v>fharlley.paiva@yahoo.com</v>
      </c>
      <c r="E14" t="str">
        <f>IFERROR(_xlfn.XLOOKUP(tabExam[[#This Row],[Unique ID]], tblMaster[Unique ID], tblMaster[Phone], ""), "")</f>
        <v>508-215-9430</v>
      </c>
      <c r="F14" t="str">
        <f>IFERROR(_xlfn.XLOOKUP(tabExam[[#This Row],[Unique ID]], tblMaster[Unique ID], tblMaster[Recruiter], ""), "")</f>
        <v xml:space="preserve">Jevon Brown Simpson </v>
      </c>
      <c r="G14" t="str">
        <f>IFERROR(_xlfn.XLOOKUP(tabExam[[#This Row],[Unique ID]], tblMaster[Unique ID], tblMaster[Recruitment Cycle], ""), "")</f>
        <v xml:space="preserve">New Submission/ Lead </v>
      </c>
      <c r="H14" t="s">
        <v>8150</v>
      </c>
      <c r="I14">
        <v>2026</v>
      </c>
      <c r="J14" t="s">
        <v>7446</v>
      </c>
      <c r="K14" t="s">
        <v>7439</v>
      </c>
      <c r="L14" t="s">
        <v>8154</v>
      </c>
      <c r="M14" t="s">
        <v>7464</v>
      </c>
      <c r="O14" s="2">
        <v>46065</v>
      </c>
      <c r="Q14">
        <f ca="1">IF(tabExam[[#This Row],[Log Date]]="","",TODAY()-tabExam[[#This Row],[Log Date]])</f>
        <v>14</v>
      </c>
      <c r="R14" t="str">
        <f>IF(tabExam[[#This Row],[Log Date]]="","",IF(TRIM(tabExam[[#This Row],[Exam Cycle Stage]])="Asked to be removed from database","NO","YES"))</f>
        <v>YES</v>
      </c>
      <c r="S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" spans="1:20">
      <c r="A15" t="s">
        <v>8171</v>
      </c>
      <c r="B15" t="str">
        <f>IFERROR(_xlfn.XLOOKUP(tabExam[[#This Row],[Unique ID]], tblMaster[Unique ID], tblMaster[First Name], ""), "")</f>
        <v xml:space="preserve">Angel </v>
      </c>
      <c r="C15" t="str">
        <f>IFERROR(_xlfn.XLOOKUP(tabExam[[#This Row],[Unique ID]], tblMaster[Unique ID], tblMaster[Last Name], ""), "")</f>
        <v xml:space="preserve"> De Jesus </v>
      </c>
      <c r="D15" t="str">
        <f>IFERROR(_xlfn.XLOOKUP(tabExam[[#This Row],[Unique ID]], tblMaster[Unique ID], tblMaster[Email_Clean], ""), "")</f>
        <v>elprofeta742@gmail.com</v>
      </c>
      <c r="E15" t="str">
        <f>IFERROR(_xlfn.XLOOKUP(tabExam[[#This Row],[Unique ID]], tblMaster[Unique ID], tblMaster[Phone], ""), "")</f>
        <v>978 972 0214</v>
      </c>
      <c r="F15" t="str">
        <f>IFERROR(_xlfn.XLOOKUP(tabExam[[#This Row],[Unique ID]], tblMaster[Unique ID], tblMaster[Recruiter], ""), "")</f>
        <v xml:space="preserve">Tom Clark </v>
      </c>
      <c r="G15" t="str">
        <f>IFERROR(_xlfn.XLOOKUP(tabExam[[#This Row],[Unique ID]], tblMaster[Unique ID], tblMaster[Recruitment Cycle], ""), "")</f>
        <v xml:space="preserve">New Submission/ Lead </v>
      </c>
      <c r="H15" t="s">
        <v>8150</v>
      </c>
      <c r="I15">
        <v>2026</v>
      </c>
      <c r="J15" t="s">
        <v>7446</v>
      </c>
      <c r="K15" t="s">
        <v>7439</v>
      </c>
      <c r="L15" t="s">
        <v>8154</v>
      </c>
      <c r="M15" t="s">
        <v>7434</v>
      </c>
      <c r="N15" t="s">
        <v>7435</v>
      </c>
      <c r="O15" s="2">
        <v>46059</v>
      </c>
      <c r="P15" t="s">
        <v>8158</v>
      </c>
      <c r="Q15">
        <f ca="1">IF(tabExam[[#This Row],[Log Date]]="","",TODAY()-tabExam[[#This Row],[Log Date]])</f>
        <v>20</v>
      </c>
      <c r="R15" t="str">
        <f>IF(tabExam[[#This Row],[Log Date]]="","",IF(TRIM(tabExam[[#This Row],[Exam Cycle Stage]])="Asked to be removed from database","NO","YES"))</f>
        <v>YES</v>
      </c>
      <c r="S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" spans="1:20">
      <c r="A16" t="s">
        <v>8172</v>
      </c>
      <c r="B16" t="str">
        <f>IFERROR(_xlfn.XLOOKUP(tabExam[[#This Row],[Unique ID]], tblMaster[Unique ID], tblMaster[First Name], ""), "")</f>
        <v xml:space="preserve">Patrick </v>
      </c>
      <c r="C16" t="str">
        <f>IFERROR(_xlfn.XLOOKUP(tabExam[[#This Row],[Unique ID]], tblMaster[Unique ID], tblMaster[Last Name], ""), "")</f>
        <v>Francois</v>
      </c>
      <c r="D16" t="str">
        <f>IFERROR(_xlfn.XLOOKUP(tabExam[[#This Row],[Unique ID]], tblMaster[Unique ID], tblMaster[Email_Clean], ""), "")</f>
        <v>logandream29@yahoo.com</v>
      </c>
      <c r="E16" t="str">
        <f>IFERROR(_xlfn.XLOOKUP(tabExam[[#This Row],[Unique ID]], tblMaster[Unique ID], tblMaster[Phone], ""), "")</f>
        <v>(954) 798-7163</v>
      </c>
      <c r="F16" t="str">
        <f>IFERROR(_xlfn.XLOOKUP(tabExam[[#This Row],[Unique ID]], tblMaster[Unique ID], tblMaster[Recruiter], ""), "")</f>
        <v>Zenon Moses</v>
      </c>
      <c r="G16" t="str">
        <f>IFERROR(_xlfn.XLOOKUP(tabExam[[#This Row],[Unique ID]], tblMaster[Unique ID], tblMaster[Recruitment Cycle], ""), "")</f>
        <v xml:space="preserve">New Submission/ Lead </v>
      </c>
      <c r="H16" t="s">
        <v>8150</v>
      </c>
      <c r="I16">
        <v>2026</v>
      </c>
      <c r="J16" t="s">
        <v>7446</v>
      </c>
      <c r="K16" t="s">
        <v>8153</v>
      </c>
      <c r="L16" t="s">
        <v>8154</v>
      </c>
      <c r="M16" t="s">
        <v>7464</v>
      </c>
      <c r="N16" t="s">
        <v>7435</v>
      </c>
      <c r="O16" s="2">
        <v>46073</v>
      </c>
      <c r="P16" t="s">
        <v>8158</v>
      </c>
      <c r="Q16">
        <f ca="1">IF(tabExam[[#This Row],[Log Date]]="","",TODAY()-tabExam[[#This Row],[Log Date]])</f>
        <v>6</v>
      </c>
      <c r="R16" t="str">
        <f>IF(tabExam[[#This Row],[Log Date]]="","",IF(TRIM(tabExam[[#This Row],[Exam Cycle Stage]])="Asked to be removed from database","NO","YES"))</f>
        <v>YES</v>
      </c>
      <c r="S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" spans="1:19">
      <c r="A17" t="s">
        <v>8173</v>
      </c>
      <c r="B17" t="str">
        <f>IFERROR(_xlfn.XLOOKUP(tabExam[[#This Row],[Unique ID]], tblMaster[Unique ID], tblMaster[First Name], ""), "")</f>
        <v xml:space="preserve">Harrison </v>
      </c>
      <c r="C17" t="str">
        <f>IFERROR(_xlfn.XLOOKUP(tabExam[[#This Row],[Unique ID]], tblMaster[Unique ID], tblMaster[Last Name], ""), "")</f>
        <v>Oliveira</v>
      </c>
      <c r="D17" t="str">
        <f>IFERROR(_xlfn.XLOOKUP(tabExam[[#This Row],[Unique ID]], tblMaster[Unique ID], tblMaster[Email_Clean], ""), "")</f>
        <v>holiveira2400@gmail.com</v>
      </c>
      <c r="E17" t="str">
        <f>IFERROR(_xlfn.XLOOKUP(tabExam[[#This Row],[Unique ID]], tblMaster[Unique ID], tblMaster[Phone], ""), "")</f>
        <v xml:space="preserve">(781) 985-8193 </v>
      </c>
      <c r="F17" t="str">
        <f>IFERROR(_xlfn.XLOOKUP(tabExam[[#This Row],[Unique ID]], tblMaster[Unique ID], tblMaster[Recruiter], ""), "")</f>
        <v xml:space="preserve">Jevon Brown Simpson </v>
      </c>
      <c r="G17" t="str">
        <f>IFERROR(_xlfn.XLOOKUP(tabExam[[#This Row],[Unique ID]], tblMaster[Unique ID], tblMaster[Recruitment Cycle], ""), "")</f>
        <v xml:space="preserve">New Submission/ Lead </v>
      </c>
      <c r="H17" t="s">
        <v>8150</v>
      </c>
      <c r="I17">
        <v>2026</v>
      </c>
      <c r="J17" t="s">
        <v>7446</v>
      </c>
      <c r="K17" t="s">
        <v>7439</v>
      </c>
      <c r="L17" t="s">
        <v>8154</v>
      </c>
      <c r="M17" t="s">
        <v>7464</v>
      </c>
      <c r="O17" s="2">
        <v>46065</v>
      </c>
      <c r="Q17">
        <f ca="1">IF(tabExam[[#This Row],[Log Date]]="","",TODAY()-tabExam[[#This Row],[Log Date]])</f>
        <v>14</v>
      </c>
      <c r="R17" t="str">
        <f>IF(tabExam[[#This Row],[Log Date]]="","",IF(TRIM(tabExam[[#This Row],[Exam Cycle Stage]])="Asked to be removed from database","NO","YES"))</f>
        <v>YES</v>
      </c>
      <c r="S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" spans="1:19">
      <c r="A18" t="s">
        <v>8174</v>
      </c>
      <c r="B18" t="str">
        <f>IFERROR(_xlfn.XLOOKUP(tabExam[[#This Row],[Unique ID]], tblMaster[Unique ID], tblMaster[First Name], ""), "")</f>
        <v>calvin</v>
      </c>
      <c r="C18" t="str">
        <f>IFERROR(_xlfn.XLOOKUP(tabExam[[#This Row],[Unique ID]], tblMaster[Unique ID], tblMaster[Last Name], ""), "")</f>
        <v xml:space="preserve"> king jr </v>
      </c>
      <c r="D18" t="str">
        <f>IFERROR(_xlfn.XLOOKUP(tabExam[[#This Row],[Unique ID]], tblMaster[Unique ID], tblMaster[Email_Clean], ""), "")</f>
        <v>calvinking81500@gmail.com</v>
      </c>
      <c r="E18" t="str">
        <f>IFERROR(_xlfn.XLOOKUP(tabExam[[#This Row],[Unique ID]], tblMaster[Unique ID], tblMaster[Phone], ""), "")</f>
        <v xml:space="preserve">(781) 386-7383 </v>
      </c>
      <c r="F18" t="str">
        <f>IFERROR(_xlfn.XLOOKUP(tabExam[[#This Row],[Unique ID]], tblMaster[Unique ID], tblMaster[Recruiter], ""), "")</f>
        <v>Zenon Moses</v>
      </c>
      <c r="G18" t="str">
        <f>IFERROR(_xlfn.XLOOKUP(tabExam[[#This Row],[Unique ID]], tblMaster[Unique ID], tblMaster[Recruitment Cycle], ""), "")</f>
        <v xml:space="preserve">New Submission/ Lead </v>
      </c>
      <c r="H18" t="s">
        <v>8150</v>
      </c>
      <c r="I18">
        <v>2026</v>
      </c>
      <c r="J18" t="s">
        <v>7446</v>
      </c>
      <c r="K18" t="s">
        <v>8153</v>
      </c>
      <c r="L18" t="s">
        <v>8154</v>
      </c>
      <c r="M18" t="s">
        <v>7464</v>
      </c>
      <c r="N18" t="s">
        <v>8175</v>
      </c>
      <c r="O18" s="2">
        <v>46073</v>
      </c>
      <c r="P18" t="s">
        <v>8162</v>
      </c>
      <c r="Q18">
        <f ca="1">IF(tabExam[[#This Row],[Log Date]]="","",TODAY()-tabExam[[#This Row],[Log Date]])</f>
        <v>6</v>
      </c>
      <c r="R18" t="str">
        <f>IF(tabExam[[#This Row],[Log Date]]="","",IF(TRIM(tabExam[[#This Row],[Exam Cycle Stage]])="Asked to be removed from database","NO","YES"))</f>
        <v>YES</v>
      </c>
      <c r="S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" spans="1:19">
      <c r="A19" t="s">
        <v>8011</v>
      </c>
      <c r="B19" t="str">
        <f>IFERROR(_xlfn.XLOOKUP(tabExam[[#This Row],[Unique ID]], tblMaster[Unique ID], tblMaster[First Name], ""), "")</f>
        <v>Rolanda</v>
      </c>
      <c r="C19" t="str">
        <f>IFERROR(_xlfn.XLOOKUP(tabExam[[#This Row],[Unique ID]], tblMaster[Unique ID], tblMaster[Last Name], ""), "")</f>
        <v>Lima</v>
      </c>
      <c r="D19" t="str">
        <f>IFERROR(_xlfn.XLOOKUP(tabExam[[#This Row],[Unique ID]], tblMaster[Unique ID], tblMaster[Email_Clean], ""), "")</f>
        <v>depinaalves_rolanda@icloud.com</v>
      </c>
      <c r="E19" t="str">
        <f>IFERROR(_xlfn.XLOOKUP(tabExam[[#This Row],[Unique ID]], tblMaster[Unique ID], tblMaster[Phone], ""), "")</f>
        <v>508-840-5245</v>
      </c>
      <c r="F19" t="str">
        <f>IFERROR(_xlfn.XLOOKUP(tabExam[[#This Row],[Unique ID]], tblMaster[Unique ID], tblMaster[Recruiter], ""), "")</f>
        <v xml:space="preserve">Jevon Brown Simpson </v>
      </c>
      <c r="G19" t="str">
        <f>IFERROR(_xlfn.XLOOKUP(tabExam[[#This Row],[Unique ID]], tblMaster[Unique ID], tblMaster[Recruitment Cycle], ""), "")</f>
        <v xml:space="preserve">New Submission/ Lead </v>
      </c>
      <c r="H19" t="s">
        <v>8150</v>
      </c>
      <c r="I19">
        <v>2026</v>
      </c>
      <c r="J19" t="s">
        <v>7446</v>
      </c>
      <c r="K19" t="s">
        <v>7439</v>
      </c>
      <c r="L19" t="s">
        <v>8154</v>
      </c>
      <c r="M19" t="s">
        <v>7464</v>
      </c>
      <c r="N19" t="s">
        <v>7435</v>
      </c>
      <c r="O19" s="2">
        <v>46071</v>
      </c>
      <c r="Q19">
        <f ca="1">IF(tabExam[[#This Row],[Log Date]]="","",TODAY()-tabExam[[#This Row],[Log Date]])</f>
        <v>8</v>
      </c>
      <c r="R19" t="str">
        <f>IF(tabExam[[#This Row],[Log Date]]="","",IF(TRIM(tabExam[[#This Row],[Exam Cycle Stage]])="Asked to be removed from database","NO","YES"))</f>
        <v>YES</v>
      </c>
      <c r="S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" spans="1:19">
      <c r="A20" t="s">
        <v>8176</v>
      </c>
      <c r="B20" t="str">
        <f>IFERROR(_xlfn.XLOOKUP(tabExam[[#This Row],[Unique ID]], tblMaster[Unique ID], tblMaster[First Name], ""), "")</f>
        <v xml:space="preserve">Christ </v>
      </c>
      <c r="C20" t="str">
        <f>IFERROR(_xlfn.XLOOKUP(tabExam[[#This Row],[Unique ID]], tblMaster[Unique ID], tblMaster[Last Name], ""), "")</f>
        <v xml:space="preserve"> Josaphat </v>
      </c>
      <c r="D20" t="str">
        <f>IFERROR(_xlfn.XLOOKUP(tabExam[[#This Row],[Unique ID]], tblMaster[Unique ID], tblMaster[Email_Clean], ""), "")</f>
        <v>christlovejosaphat@gmail.com</v>
      </c>
      <c r="E20" t="str">
        <f>IFERROR(_xlfn.XLOOKUP(tabExam[[#This Row],[Unique ID]], tblMaster[Unique ID], tblMaster[Phone], ""), "")</f>
        <v xml:space="preserve">774) 339-1464 </v>
      </c>
      <c r="F20" t="str">
        <f>IFERROR(_xlfn.XLOOKUP(tabExam[[#This Row],[Unique ID]], tblMaster[Unique ID], tblMaster[Recruiter], ""), "")</f>
        <v>Zenon Moses</v>
      </c>
      <c r="G20" t="str">
        <f>IFERROR(_xlfn.XLOOKUP(tabExam[[#This Row],[Unique ID]], tblMaster[Unique ID], tblMaster[Recruitment Cycle], ""), "")</f>
        <v xml:space="preserve">New Submission/ Lead </v>
      </c>
      <c r="H20" t="s">
        <v>8150</v>
      </c>
      <c r="I20">
        <v>2026</v>
      </c>
      <c r="J20" t="s">
        <v>7446</v>
      </c>
      <c r="K20" t="s">
        <v>8153</v>
      </c>
      <c r="L20" t="s">
        <v>8167</v>
      </c>
      <c r="M20" t="s">
        <v>7464</v>
      </c>
      <c r="N20" t="s">
        <v>7435</v>
      </c>
      <c r="O20" s="2">
        <v>46073</v>
      </c>
      <c r="P20" t="s">
        <v>8162</v>
      </c>
      <c r="Q20">
        <f ca="1">IF(tabExam[[#This Row],[Log Date]]="","",TODAY()-tabExam[[#This Row],[Log Date]])</f>
        <v>6</v>
      </c>
      <c r="R20" t="str">
        <f>IF(tabExam[[#This Row],[Log Date]]="","",IF(TRIM(tabExam[[#This Row],[Exam Cycle Stage]])="Asked to be removed from database","NO","YES"))</f>
        <v>YES</v>
      </c>
      <c r="S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" spans="1:19">
      <c r="A21" t="s">
        <v>7458</v>
      </c>
      <c r="B21" t="str">
        <f>IFERROR(_xlfn.XLOOKUP(tabExam[[#This Row],[Unique ID]], tblMaster[Unique ID], tblMaster[First Name], ""), "")</f>
        <v>Fresnel</v>
      </c>
      <c r="C21" t="str">
        <f>IFERROR(_xlfn.XLOOKUP(tabExam[[#This Row],[Unique ID]], tblMaster[Unique ID], tblMaster[Last Name], ""), "")</f>
        <v xml:space="preserve"> Louis </v>
      </c>
      <c r="D21" t="str">
        <f>IFERROR(_xlfn.XLOOKUP(tabExam[[#This Row],[Unique ID]], tblMaster[Unique ID], tblMaster[Email_Clean], ""), "")</f>
        <v>fresnylouis@gmail.com</v>
      </c>
      <c r="E21" t="str">
        <f>IFERROR(_xlfn.XLOOKUP(tabExam[[#This Row],[Unique ID]], tblMaster[Unique ID], tblMaster[Phone], ""), "")</f>
        <v xml:space="preserve">781) 390-0035 </v>
      </c>
      <c r="F21" t="str">
        <f>IFERROR(_xlfn.XLOOKUP(tabExam[[#This Row],[Unique ID]], tblMaster[Unique ID], tblMaster[Recruiter], ""), "")</f>
        <v>Zenon Moses</v>
      </c>
      <c r="G21" t="str">
        <f>IFERROR(_xlfn.XLOOKUP(tabExam[[#This Row],[Unique ID]], tblMaster[Unique ID], tblMaster[Recruitment Cycle], ""), "")</f>
        <v xml:space="preserve">New Submission/ Lead </v>
      </c>
      <c r="H21" t="s">
        <v>8150</v>
      </c>
      <c r="I21">
        <v>2026</v>
      </c>
      <c r="J21" t="s">
        <v>7446</v>
      </c>
      <c r="K21" t="s">
        <v>8153</v>
      </c>
      <c r="L21" t="s">
        <v>8154</v>
      </c>
      <c r="M21" t="s">
        <v>7464</v>
      </c>
      <c r="N21" t="s">
        <v>8175</v>
      </c>
      <c r="O21" s="2">
        <v>46073</v>
      </c>
      <c r="P21" t="s">
        <v>8162</v>
      </c>
      <c r="Q21">
        <f ca="1">IF(tabExam[[#This Row],[Log Date]]="","",TODAY()-tabExam[[#This Row],[Log Date]])</f>
        <v>6</v>
      </c>
      <c r="R21" t="str">
        <f>IF(tabExam[[#This Row],[Log Date]]="","",IF(TRIM(tabExam[[#This Row],[Exam Cycle Stage]])="Asked to be removed from database","NO","YES"))</f>
        <v>YES</v>
      </c>
      <c r="S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" spans="1:19">
      <c r="A22" t="s">
        <v>8177</v>
      </c>
      <c r="B22" t="str">
        <f>IFERROR(_xlfn.XLOOKUP(tabExam[[#This Row],[Unique ID]], tblMaster[Unique ID], tblMaster[First Name], ""), "")</f>
        <v xml:space="preserve">Joshua </v>
      </c>
      <c r="C22" t="str">
        <f>IFERROR(_xlfn.XLOOKUP(tabExam[[#This Row],[Unique ID]], tblMaster[Unique ID], tblMaster[Last Name], ""), "")</f>
        <v>Roberts</v>
      </c>
      <c r="D22" t="str">
        <f>IFERROR(_xlfn.XLOOKUP(tabExam[[#This Row],[Unique ID]], tblMaster[Unique ID], tblMaster[Email_Clean], ""), "")</f>
        <v>snooshi2017181920@gmail.com</v>
      </c>
      <c r="E22">
        <f>IFERROR(_xlfn.XLOOKUP(tabExam[[#This Row],[Unique ID]], tblMaster[Unique ID], tblMaster[Phone], ""), "")</f>
        <v>0</v>
      </c>
      <c r="F22" t="str">
        <f>IFERROR(_xlfn.XLOOKUP(tabExam[[#This Row],[Unique ID]], tblMaster[Unique ID], tblMaster[Recruiter], ""), "")</f>
        <v xml:space="preserve">Tom Clark </v>
      </c>
      <c r="G22" t="str">
        <f>IFERROR(_xlfn.XLOOKUP(tabExam[[#This Row],[Unique ID]], tblMaster[Unique ID], tblMaster[Recruitment Cycle], ""), "")</f>
        <v xml:space="preserve">New Submission/ Lead </v>
      </c>
      <c r="H22" t="s">
        <v>8150</v>
      </c>
      <c r="I22">
        <v>2026</v>
      </c>
      <c r="J22" t="s">
        <v>7446</v>
      </c>
      <c r="K22" t="s">
        <v>7439</v>
      </c>
      <c r="L22" t="s">
        <v>8154</v>
      </c>
      <c r="M22" t="s">
        <v>7464</v>
      </c>
      <c r="N22" t="s">
        <v>8157</v>
      </c>
      <c r="O22" s="2">
        <v>46070</v>
      </c>
      <c r="Q22">
        <f ca="1">IF(tabExam[[#This Row],[Log Date]]="","",TODAY()-tabExam[[#This Row],[Log Date]])</f>
        <v>9</v>
      </c>
      <c r="R22" t="str">
        <f>IF(tabExam[[#This Row],[Log Date]]="","",IF(TRIM(tabExam[[#This Row],[Exam Cycle Stage]])="Asked to be removed from database","NO","YES"))</f>
        <v>YES</v>
      </c>
      <c r="S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" spans="1:19">
      <c r="A23" t="s">
        <v>8178</v>
      </c>
      <c r="B23" t="str">
        <f>IFERROR(_xlfn.XLOOKUP(tabExam[[#This Row],[Unique ID]], tblMaster[Unique ID], tblMaster[First Name], ""), "")</f>
        <v xml:space="preserve">Jaythan </v>
      </c>
      <c r="C23" t="str">
        <f>IFERROR(_xlfn.XLOOKUP(tabExam[[#This Row],[Unique ID]], tblMaster[Unique ID], tblMaster[Last Name], ""), "")</f>
        <v xml:space="preserve">Lauture </v>
      </c>
      <c r="D23" t="str">
        <f>IFERROR(_xlfn.XLOOKUP(tabExam[[#This Row],[Unique ID]], tblMaster[Unique ID], tblMaster[Email_Clean], ""), "")</f>
        <v>jaythanlauture@gmail.com</v>
      </c>
      <c r="E23" t="str">
        <f>IFERROR(_xlfn.XLOOKUP(tabExam[[#This Row],[Unique ID]], tblMaster[Unique ID], tblMaster[Phone], ""), "")</f>
        <v xml:space="preserve">508) 930-8571 </v>
      </c>
      <c r="F23" t="str">
        <f>IFERROR(_xlfn.XLOOKUP(tabExam[[#This Row],[Unique ID]], tblMaster[Unique ID], tblMaster[Recruiter], ""), "")</f>
        <v>Zenon Moses</v>
      </c>
      <c r="G23" t="str">
        <f>IFERROR(_xlfn.XLOOKUP(tabExam[[#This Row],[Unique ID]], tblMaster[Unique ID], tblMaster[Recruitment Cycle], ""), "")</f>
        <v xml:space="preserve">New Submission/ Lead </v>
      </c>
      <c r="H23" t="s">
        <v>8150</v>
      </c>
      <c r="I23">
        <v>2026</v>
      </c>
      <c r="J23" t="s">
        <v>7446</v>
      </c>
      <c r="K23" t="s">
        <v>8153</v>
      </c>
      <c r="L23" t="s">
        <v>8154</v>
      </c>
      <c r="M23" t="s">
        <v>7464</v>
      </c>
      <c r="N23" t="s">
        <v>7435</v>
      </c>
      <c r="O23" s="2">
        <v>46073</v>
      </c>
      <c r="P23" t="s">
        <v>8158</v>
      </c>
      <c r="Q23">
        <f ca="1">IF(tabExam[[#This Row],[Log Date]]="","",TODAY()-tabExam[[#This Row],[Log Date]])</f>
        <v>6</v>
      </c>
      <c r="R23" t="str">
        <f>IF(tabExam[[#This Row],[Log Date]]="","",IF(TRIM(tabExam[[#This Row],[Exam Cycle Stage]])="Asked to be removed from database","NO","YES"))</f>
        <v>YES</v>
      </c>
      <c r="S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" spans="1:19">
      <c r="A24" t="s">
        <v>8179</v>
      </c>
      <c r="B24" t="str">
        <f>IFERROR(_xlfn.XLOOKUP(tabExam[[#This Row],[Unique ID]], tblMaster[Unique ID], tblMaster[First Name], ""), "")</f>
        <v xml:space="preserve">Yari </v>
      </c>
      <c r="C24" t="str">
        <f>IFERROR(_xlfn.XLOOKUP(tabExam[[#This Row],[Unique ID]], tblMaster[Unique ID], tblMaster[Last Name], ""), "")</f>
        <v xml:space="preserve">Baldwin </v>
      </c>
      <c r="D24" t="str">
        <f>IFERROR(_xlfn.XLOOKUP(tabExam[[#This Row],[Unique ID]], tblMaster[Unique ID], tblMaster[Email_Clean], ""), "")</f>
        <v>yarib19991999@gmail.com</v>
      </c>
      <c r="E24" t="str">
        <f>IFERROR(_xlfn.XLOOKUP(tabExam[[#This Row],[Unique ID]], tblMaster[Unique ID], tblMaster[Phone], ""), "")</f>
        <v xml:space="preserve">508-663-8164 </v>
      </c>
      <c r="F24" t="str">
        <f>IFERROR(_xlfn.XLOOKUP(tabExam[[#This Row],[Unique ID]], tblMaster[Unique ID], tblMaster[Recruiter], ""), "")</f>
        <v>Zenon Moses</v>
      </c>
      <c r="G24" t="str">
        <f>IFERROR(_xlfn.XLOOKUP(tabExam[[#This Row],[Unique ID]], tblMaster[Unique ID], tblMaster[Recruitment Cycle], ""), "")</f>
        <v xml:space="preserve">New Submission/ Lead </v>
      </c>
      <c r="H24" t="s">
        <v>8150</v>
      </c>
      <c r="I24">
        <v>2026</v>
      </c>
      <c r="J24" t="s">
        <v>7446</v>
      </c>
      <c r="K24" t="s">
        <v>8153</v>
      </c>
      <c r="L24" t="s">
        <v>8154</v>
      </c>
      <c r="M24" t="s">
        <v>7434</v>
      </c>
      <c r="N24" t="s">
        <v>8175</v>
      </c>
      <c r="O24" s="2">
        <v>46073</v>
      </c>
      <c r="P24" t="s">
        <v>8162</v>
      </c>
      <c r="Q24">
        <f ca="1">IF(tabExam[[#This Row],[Log Date]]="","",TODAY()-tabExam[[#This Row],[Log Date]])</f>
        <v>6</v>
      </c>
      <c r="R24" t="str">
        <f>IF(tabExam[[#This Row],[Log Date]]="","",IF(TRIM(tabExam[[#This Row],[Exam Cycle Stage]])="Asked to be removed from database","NO","YES"))</f>
        <v>YES</v>
      </c>
      <c r="S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" spans="1:19">
      <c r="A25" t="s">
        <v>8180</v>
      </c>
      <c r="B25" t="str">
        <f>IFERROR(_xlfn.XLOOKUP(tabExam[[#This Row],[Unique ID]], tblMaster[Unique ID], tblMaster[First Name], ""), "")</f>
        <v xml:space="preserve">Fred </v>
      </c>
      <c r="C25" t="str">
        <f>IFERROR(_xlfn.XLOOKUP(tabExam[[#This Row],[Unique ID]], tblMaster[Unique ID], tblMaster[Last Name], ""), "")</f>
        <v xml:space="preserve">Noel </v>
      </c>
      <c r="D25" t="str">
        <f>IFERROR(_xlfn.XLOOKUP(tabExam[[#This Row],[Unique ID]], tblMaster[Unique ID], tblMaster[Email_Clean], ""), "")</f>
        <v>moisenoel24@gmail.com</v>
      </c>
      <c r="E25" t="str">
        <f>IFERROR(_xlfn.XLOOKUP(tabExam[[#This Row],[Unique ID]], tblMaster[Unique ID], tblMaster[Phone], ""), "")</f>
        <v xml:space="preserve">786) 436-2242 </v>
      </c>
      <c r="F25" t="str">
        <f>IFERROR(_xlfn.XLOOKUP(tabExam[[#This Row],[Unique ID]], tblMaster[Unique ID], tblMaster[Recruiter], ""), "")</f>
        <v>Zenon Moses</v>
      </c>
      <c r="G25" t="str">
        <f>IFERROR(_xlfn.XLOOKUP(tabExam[[#This Row],[Unique ID]], tblMaster[Unique ID], tblMaster[Recruitment Cycle], ""), "")</f>
        <v xml:space="preserve">New Submission/ Lead </v>
      </c>
      <c r="H25" t="s">
        <v>8150</v>
      </c>
      <c r="I25">
        <v>2026</v>
      </c>
      <c r="J25" t="s">
        <v>7446</v>
      </c>
      <c r="K25" t="s">
        <v>8153</v>
      </c>
      <c r="L25" t="s">
        <v>8154</v>
      </c>
      <c r="M25" t="s">
        <v>7434</v>
      </c>
      <c r="N25" t="s">
        <v>8175</v>
      </c>
      <c r="O25" s="2">
        <v>46073</v>
      </c>
      <c r="P25" t="s">
        <v>8162</v>
      </c>
      <c r="Q25">
        <f ca="1">IF(tabExam[[#This Row],[Log Date]]="","",TODAY()-tabExam[[#This Row],[Log Date]])</f>
        <v>6</v>
      </c>
      <c r="R25" t="str">
        <f>IF(tabExam[[#This Row],[Log Date]]="","",IF(TRIM(tabExam[[#This Row],[Exam Cycle Stage]])="Asked to be removed from database","NO","YES"))</f>
        <v>YES</v>
      </c>
      <c r="S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" spans="1:19">
      <c r="A26" t="s">
        <v>8181</v>
      </c>
      <c r="B26" t="str">
        <f>IFERROR(_xlfn.XLOOKUP(tabExam[[#This Row],[Unique ID]], tblMaster[Unique ID], tblMaster[First Name], ""), "")</f>
        <v>Skyler</v>
      </c>
      <c r="C26" t="str">
        <f>IFERROR(_xlfn.XLOOKUP(tabExam[[#This Row],[Unique ID]], tblMaster[Unique ID], tblMaster[Last Name], ""), "")</f>
        <v>Blake</v>
      </c>
      <c r="D26" t="str">
        <f>IFERROR(_xlfn.XLOOKUP(tabExam[[#This Row],[Unique ID]], tblMaster[Unique ID], tblMaster[Email_Clean], ""), "")</f>
        <v>skyler.blake15@gmail.com</v>
      </c>
      <c r="E26" t="str">
        <f>IFERROR(_xlfn.XLOOKUP(tabExam[[#This Row],[Unique ID]], tblMaster[Unique ID], tblMaster[Phone], ""), "")</f>
        <v>(774) 786-0676</v>
      </c>
      <c r="F26" t="str">
        <f>IFERROR(_xlfn.XLOOKUP(tabExam[[#This Row],[Unique ID]], tblMaster[Unique ID], tblMaster[Recruiter], ""), "")</f>
        <v xml:space="preserve">Jevon Brown Simpson </v>
      </c>
      <c r="G26" t="str">
        <f>IFERROR(_xlfn.XLOOKUP(tabExam[[#This Row],[Unique ID]], tblMaster[Unique ID], tblMaster[Recruitment Cycle], ""), "")</f>
        <v xml:space="preserve">New Submission/ Lead </v>
      </c>
      <c r="H26" t="s">
        <v>8150</v>
      </c>
      <c r="I26">
        <v>2026</v>
      </c>
      <c r="J26" t="s">
        <v>7446</v>
      </c>
      <c r="K26" t="s">
        <v>7439</v>
      </c>
      <c r="L26" t="s">
        <v>8154</v>
      </c>
      <c r="M26" t="s">
        <v>7464</v>
      </c>
      <c r="O26" s="2">
        <v>46065</v>
      </c>
      <c r="Q26">
        <f ca="1">IF(tabExam[[#This Row],[Log Date]]="","",TODAY()-tabExam[[#This Row],[Log Date]])</f>
        <v>14</v>
      </c>
      <c r="R26" t="str">
        <f>IF(tabExam[[#This Row],[Log Date]]="","",IF(TRIM(tabExam[[#This Row],[Exam Cycle Stage]])="Asked to be removed from database","NO","YES"))</f>
        <v>YES</v>
      </c>
      <c r="S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" spans="1:19">
      <c r="A27" t="s">
        <v>8182</v>
      </c>
      <c r="B27" t="str">
        <f>IFERROR(_xlfn.XLOOKUP(tabExam[[#This Row],[Unique ID]], tblMaster[Unique ID], tblMaster[First Name], ""), "")</f>
        <v xml:space="preserve">Ijon </v>
      </c>
      <c r="C27" t="str">
        <f>IFERROR(_xlfn.XLOOKUP(tabExam[[#This Row],[Unique ID]], tblMaster[Unique ID], tblMaster[Last Name], ""), "")</f>
        <v xml:space="preserve">Biba </v>
      </c>
      <c r="D27" t="str">
        <f>IFERROR(_xlfn.XLOOKUP(tabExam[[#This Row],[Unique ID]], tblMaster[Unique ID], tblMaster[Email_Clean], ""), "")</f>
        <v>ijonbiba@outlook.com</v>
      </c>
      <c r="E27" t="str">
        <f>IFERROR(_xlfn.XLOOKUP(tabExam[[#This Row],[Unique ID]], tblMaster[Unique ID], tblMaster[Phone], ""), "")</f>
        <v xml:space="preserve">(508) 873-7842 </v>
      </c>
      <c r="F27" t="str">
        <f>IFERROR(_xlfn.XLOOKUP(tabExam[[#This Row],[Unique ID]], tblMaster[Unique ID], tblMaster[Recruiter], ""), "")</f>
        <v xml:space="preserve">Jevon Brown Simpson </v>
      </c>
      <c r="G27" t="str">
        <f>IFERROR(_xlfn.XLOOKUP(tabExam[[#This Row],[Unique ID]], tblMaster[Unique ID], tblMaster[Recruitment Cycle], ""), "")</f>
        <v xml:space="preserve">Re-Engagment </v>
      </c>
      <c r="H27" t="s">
        <v>8150</v>
      </c>
      <c r="I27">
        <v>2026</v>
      </c>
      <c r="J27" t="s">
        <v>7446</v>
      </c>
      <c r="K27" t="s">
        <v>7439</v>
      </c>
      <c r="L27" t="s">
        <v>8154</v>
      </c>
      <c r="M27" t="s">
        <v>7464</v>
      </c>
      <c r="O27" s="2">
        <v>46065</v>
      </c>
      <c r="Q27">
        <f ca="1">IF(tabExam[[#This Row],[Log Date]]="","",TODAY()-tabExam[[#This Row],[Log Date]])</f>
        <v>14</v>
      </c>
      <c r="R27" t="str">
        <f>IF(tabExam[[#This Row],[Log Date]]="","",IF(TRIM(tabExam[[#This Row],[Exam Cycle Stage]])="Asked to be removed from database","NO","YES"))</f>
        <v>YES</v>
      </c>
      <c r="S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" spans="1:19">
      <c r="A28" t="s">
        <v>8041</v>
      </c>
      <c r="B28" t="str">
        <f>IFERROR(_xlfn.XLOOKUP(tabExam[[#This Row],[Unique ID]], tblMaster[Unique ID], tblMaster[First Name], ""), "")</f>
        <v xml:space="preserve">Joshua </v>
      </c>
      <c r="C28" t="str">
        <f>IFERROR(_xlfn.XLOOKUP(tabExam[[#This Row],[Unique ID]], tblMaster[Unique ID], tblMaster[Last Name], ""), "")</f>
        <v xml:space="preserve">Cantillon </v>
      </c>
      <c r="D28" t="str">
        <f>IFERROR(_xlfn.XLOOKUP(tabExam[[#This Row],[Unique ID]], tblMaster[Unique ID], tblMaster[Email_Clean], ""), "")</f>
        <v>joshuacantillon1@gmail.com</v>
      </c>
      <c r="E28" t="str">
        <f>IFERROR(_xlfn.XLOOKUP(tabExam[[#This Row],[Unique ID]], tblMaster[Unique ID], tblMaster[Phone], ""), "")</f>
        <v xml:space="preserve">(774) 200-4639 </v>
      </c>
      <c r="F28" t="str">
        <f>IFERROR(_xlfn.XLOOKUP(tabExam[[#This Row],[Unique ID]], tblMaster[Unique ID], tblMaster[Recruiter], ""), "")</f>
        <v xml:space="preserve">Jevon Brown Simpson </v>
      </c>
      <c r="G28" t="str">
        <f>IFERROR(_xlfn.XLOOKUP(tabExam[[#This Row],[Unique ID]], tblMaster[Unique ID], tblMaster[Recruitment Cycle], ""), "")</f>
        <v xml:space="preserve">New Submission/ Lead </v>
      </c>
      <c r="H28" t="s">
        <v>8150</v>
      </c>
      <c r="I28">
        <v>2026</v>
      </c>
      <c r="J28" t="s">
        <v>7446</v>
      </c>
      <c r="K28" t="s">
        <v>7439</v>
      </c>
      <c r="L28" t="s">
        <v>8154</v>
      </c>
      <c r="M28" t="s">
        <v>7464</v>
      </c>
      <c r="O28" s="2">
        <v>46065</v>
      </c>
      <c r="P28" t="s">
        <v>8158</v>
      </c>
      <c r="Q28">
        <f ca="1">IF(tabExam[[#This Row],[Log Date]]="","",TODAY()-tabExam[[#This Row],[Log Date]])</f>
        <v>14</v>
      </c>
      <c r="R28" t="str">
        <f>IF(tabExam[[#This Row],[Log Date]]="","",IF(TRIM(tabExam[[#This Row],[Exam Cycle Stage]])="Asked to be removed from database","NO","YES"))</f>
        <v>YES</v>
      </c>
      <c r="S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" spans="1:19">
      <c r="A29" t="s">
        <v>8183</v>
      </c>
      <c r="B29" t="str">
        <f>IFERROR(_xlfn.XLOOKUP(tabExam[[#This Row],[Unique ID]], tblMaster[Unique ID], tblMaster[First Name], ""), "")</f>
        <v xml:space="preserve">Nectali </v>
      </c>
      <c r="C29" t="str">
        <f>IFERROR(_xlfn.XLOOKUP(tabExam[[#This Row],[Unique ID]], tblMaster[Unique ID], tblMaster[Last Name], ""), "")</f>
        <v xml:space="preserve"> Aguilar </v>
      </c>
      <c r="D29" t="str">
        <f>IFERROR(_xlfn.XLOOKUP(tabExam[[#This Row],[Unique ID]], tblMaster[Unique ID], tblMaster[Email_Clean], ""), "")</f>
        <v>nectali_aguilar@yahoo.com</v>
      </c>
      <c r="E29" t="str">
        <f>IFERROR(_xlfn.XLOOKUP(tabExam[[#This Row],[Unique ID]], tblMaster[Unique ID], tblMaster[Phone], ""), "")</f>
        <v xml:space="preserve">857) 756-3965 </v>
      </c>
      <c r="F29" t="str">
        <f>IFERROR(_xlfn.XLOOKUP(tabExam[[#This Row],[Unique ID]], tblMaster[Unique ID], tblMaster[Recruiter], ""), "")</f>
        <v>Zenon Moses</v>
      </c>
      <c r="G29" t="str">
        <f>IFERROR(_xlfn.XLOOKUP(tabExam[[#This Row],[Unique ID]], tblMaster[Unique ID], tblMaster[Recruitment Cycle], ""), "")</f>
        <v xml:space="preserve">New Submission/ Lead </v>
      </c>
      <c r="H29" t="s">
        <v>8150</v>
      </c>
      <c r="I29">
        <v>2026</v>
      </c>
      <c r="J29" t="s">
        <v>7446</v>
      </c>
      <c r="K29" t="s">
        <v>8153</v>
      </c>
      <c r="L29" t="s">
        <v>8154</v>
      </c>
      <c r="M29" t="s">
        <v>7434</v>
      </c>
      <c r="N29" t="s">
        <v>8175</v>
      </c>
      <c r="O29" s="2">
        <v>46073</v>
      </c>
      <c r="P29" t="s">
        <v>8162</v>
      </c>
      <c r="Q29">
        <f ca="1">IF(tabExam[[#This Row],[Log Date]]="","",TODAY()-tabExam[[#This Row],[Log Date]])</f>
        <v>6</v>
      </c>
      <c r="R29" t="str">
        <f>IF(tabExam[[#This Row],[Log Date]]="","",IF(TRIM(tabExam[[#This Row],[Exam Cycle Stage]])="Asked to be removed from database","NO","YES"))</f>
        <v>YES</v>
      </c>
      <c r="S2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" spans="1:19">
      <c r="A30" t="s">
        <v>8043</v>
      </c>
      <c r="B30" t="str">
        <f>IFERROR(_xlfn.XLOOKUP(tabExam[[#This Row],[Unique ID]], tblMaster[Unique ID], tblMaster[First Name], ""), "")</f>
        <v xml:space="preserve">SAMUEL </v>
      </c>
      <c r="C30" t="str">
        <f>IFERROR(_xlfn.XLOOKUP(tabExam[[#This Row],[Unique ID]], tblMaster[Unique ID], tblMaster[Last Name], ""), "")</f>
        <v xml:space="preserve"> BOAMPONG </v>
      </c>
      <c r="D30" t="str">
        <f>IFERROR(_xlfn.XLOOKUP(tabExam[[#This Row],[Unique ID]], tblMaster[Unique ID], tblMaster[Email_Clean], ""), "")</f>
        <v>oppong214@yahoo.com</v>
      </c>
      <c r="E30" t="str">
        <f>IFERROR(_xlfn.XLOOKUP(tabExam[[#This Row],[Unique ID]], tblMaster[Unique ID], tblMaster[Phone], ""), "")</f>
        <v xml:space="preserve">214) 517-2449 </v>
      </c>
      <c r="F30" t="str">
        <f>IFERROR(_xlfn.XLOOKUP(tabExam[[#This Row],[Unique ID]], tblMaster[Unique ID], tblMaster[Recruiter], ""), "")</f>
        <v xml:space="preserve">Jevon Brown Simpson </v>
      </c>
      <c r="G30" t="str">
        <f>IFERROR(_xlfn.XLOOKUP(tabExam[[#This Row],[Unique ID]], tblMaster[Unique ID], tblMaster[Recruitment Cycle], ""), "")</f>
        <v xml:space="preserve">New Submission/ Lead </v>
      </c>
      <c r="H30" t="s">
        <v>8150</v>
      </c>
      <c r="I30">
        <v>2026</v>
      </c>
      <c r="J30" t="s">
        <v>7446</v>
      </c>
      <c r="K30" t="s">
        <v>7439</v>
      </c>
      <c r="L30" t="s">
        <v>8154</v>
      </c>
      <c r="M30" t="s">
        <v>7464</v>
      </c>
      <c r="O30" s="2">
        <v>46065</v>
      </c>
      <c r="Q30">
        <f ca="1">IF(tabExam[[#This Row],[Log Date]]="","",TODAY()-tabExam[[#This Row],[Log Date]])</f>
        <v>14</v>
      </c>
      <c r="R30" t="str">
        <f>IF(tabExam[[#This Row],[Log Date]]="","",IF(TRIM(tabExam[[#This Row],[Exam Cycle Stage]])="Asked to be removed from database","NO","YES"))</f>
        <v>YES</v>
      </c>
      <c r="S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" spans="1:19">
      <c r="A31" t="s">
        <v>8184</v>
      </c>
      <c r="B31" t="str">
        <f>IFERROR(_xlfn.XLOOKUP(tabExam[[#This Row],[Unique ID]], tblMaster[Unique ID], tblMaster[First Name], ""), "")</f>
        <v>Sadiq</v>
      </c>
      <c r="C31" t="str">
        <f>IFERROR(_xlfn.XLOOKUP(tabExam[[#This Row],[Unique ID]], tblMaster[Unique ID], tblMaster[Last Name], ""), "")</f>
        <v>Mustapha Ansu</v>
      </c>
      <c r="D31" t="str">
        <f>IFERROR(_xlfn.XLOOKUP(tabExam[[#This Row],[Unique ID]], tblMaster[Unique ID], tblMaster[Email_Clean], ""), "")</f>
        <v>sadiqansu@yahoo.com</v>
      </c>
      <c r="E31" t="str">
        <f>IFERROR(_xlfn.XLOOKUP(tabExam[[#This Row],[Unique ID]], tblMaster[Unique ID], tblMaster[Phone], ""), "")</f>
        <v>774-477-1579</v>
      </c>
      <c r="F31" t="str">
        <f>IFERROR(_xlfn.XLOOKUP(tabExam[[#This Row],[Unique ID]], tblMaster[Unique ID], tblMaster[Recruiter], ""), "")</f>
        <v xml:space="preserve">Tom Clark </v>
      </c>
      <c r="G31" t="str">
        <f>IFERROR(_xlfn.XLOOKUP(tabExam[[#This Row],[Unique ID]], tblMaster[Unique ID], tblMaster[Recruitment Cycle], ""), "")</f>
        <v xml:space="preserve">New Submission/ Lead </v>
      </c>
      <c r="H31" t="s">
        <v>8150</v>
      </c>
      <c r="I31">
        <v>2026</v>
      </c>
      <c r="J31" t="s">
        <v>7446</v>
      </c>
      <c r="K31" t="s">
        <v>7439</v>
      </c>
      <c r="L31" t="s">
        <v>8154</v>
      </c>
      <c r="M31" t="s">
        <v>7434</v>
      </c>
      <c r="N31" t="s">
        <v>7435</v>
      </c>
      <c r="O31" s="2">
        <v>46070</v>
      </c>
      <c r="P31" t="s">
        <v>8158</v>
      </c>
      <c r="Q31">
        <f ca="1">IF(tabExam[[#This Row],[Log Date]]="","",TODAY()-tabExam[[#This Row],[Log Date]])</f>
        <v>9</v>
      </c>
      <c r="R31" t="str">
        <f>IF(tabExam[[#This Row],[Log Date]]="","",IF(TRIM(tabExam[[#This Row],[Exam Cycle Stage]])="Asked to be removed from database","NO","YES"))</f>
        <v>YES</v>
      </c>
      <c r="S3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" spans="1:19">
      <c r="A32" t="s">
        <v>8185</v>
      </c>
      <c r="B32" t="str">
        <f>IFERROR(_xlfn.XLOOKUP(tabExam[[#This Row],[Unique ID]], tblMaster[Unique ID], tblMaster[First Name], ""), "")</f>
        <v xml:space="preserve">Yair </v>
      </c>
      <c r="C32" t="str">
        <f>IFERROR(_xlfn.XLOOKUP(tabExam[[#This Row],[Unique ID]], tblMaster[Unique ID], tblMaster[Last Name], ""), "")</f>
        <v xml:space="preserve"> Koenig </v>
      </c>
      <c r="D32" t="str">
        <f>IFERROR(_xlfn.XLOOKUP(tabExam[[#This Row],[Unique ID]], tblMaster[Unique ID], tblMaster[Email_Clean], ""), "")</f>
        <v>yairkoenig@gmail.com</v>
      </c>
      <c r="E32" t="str">
        <f>IFERROR(_xlfn.XLOOKUP(tabExam[[#This Row],[Unique ID]], tblMaster[Unique ID], tblMaster[Phone], ""), "")</f>
        <v xml:space="preserve">(516) 603-4036 </v>
      </c>
      <c r="F32" t="str">
        <f>IFERROR(_xlfn.XLOOKUP(tabExam[[#This Row],[Unique ID]], tblMaster[Unique ID], tblMaster[Recruiter], ""), "")</f>
        <v>Zenon Moses</v>
      </c>
      <c r="G32" t="str">
        <f>IFERROR(_xlfn.XLOOKUP(tabExam[[#This Row],[Unique ID]], tblMaster[Unique ID], tblMaster[Recruitment Cycle], ""), "")</f>
        <v xml:space="preserve">New Submission/ Lead </v>
      </c>
      <c r="H32" t="s">
        <v>8186</v>
      </c>
      <c r="I32">
        <v>2026</v>
      </c>
      <c r="J32" t="s">
        <v>7436</v>
      </c>
      <c r="K32" t="s">
        <v>7445</v>
      </c>
      <c r="L32" t="s">
        <v>8154</v>
      </c>
      <c r="M32" t="s">
        <v>7434</v>
      </c>
      <c r="N32" t="s">
        <v>7435</v>
      </c>
      <c r="O32" s="2">
        <v>46059</v>
      </c>
      <c r="P32" t="s">
        <v>8162</v>
      </c>
      <c r="Q32">
        <f ca="1">IF(tabExam[[#This Row],[Log Date]]="","",TODAY()-tabExam[[#This Row],[Log Date]])</f>
        <v>20</v>
      </c>
      <c r="R32" t="str">
        <f>IF(tabExam[[#This Row],[Log Date]]="","",IF(TRIM(tabExam[[#This Row],[Exam Cycle Stage]])="Asked to be removed from database","NO","YES"))</f>
        <v>YES</v>
      </c>
      <c r="S3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" spans="1:19">
      <c r="A33" t="s">
        <v>8187</v>
      </c>
      <c r="B33" t="str">
        <f>IFERROR(_xlfn.XLOOKUP(tabExam[[#This Row],[Unique ID]], tblMaster[Unique ID], tblMaster[First Name], ""), "")</f>
        <v>Leila</v>
      </c>
      <c r="C33" t="str">
        <f>IFERROR(_xlfn.XLOOKUP(tabExam[[#This Row],[Unique ID]], tblMaster[Unique ID], tblMaster[Last Name], ""), "")</f>
        <v xml:space="preserve"> Mathieu </v>
      </c>
      <c r="D33" t="str">
        <f>IFERROR(_xlfn.XLOOKUP(tabExam[[#This Row],[Unique ID]], tblMaster[Unique ID], tblMaster[Email_Clean], ""), "")</f>
        <v>leilamathieu0@gmail.com</v>
      </c>
      <c r="E33" t="str">
        <f>IFERROR(_xlfn.XLOOKUP(tabExam[[#This Row],[Unique ID]], tblMaster[Unique ID], tblMaster[Phone], ""), "")</f>
        <v xml:space="preserve">(508) 484-3475 </v>
      </c>
      <c r="F33" t="str">
        <f>IFERROR(_xlfn.XLOOKUP(tabExam[[#This Row],[Unique ID]], tblMaster[Unique ID], tblMaster[Recruiter], ""), "")</f>
        <v>Zenon Moses</v>
      </c>
      <c r="G33" t="str">
        <f>IFERROR(_xlfn.XLOOKUP(tabExam[[#This Row],[Unique ID]], tblMaster[Unique ID], tblMaster[Recruitment Cycle], ""), "")</f>
        <v xml:space="preserve">New Submission/ Lead </v>
      </c>
      <c r="H33" t="s">
        <v>8150</v>
      </c>
      <c r="I33">
        <v>2026</v>
      </c>
      <c r="J33" t="s">
        <v>7446</v>
      </c>
      <c r="K33" t="s">
        <v>8153</v>
      </c>
      <c r="L33" t="s">
        <v>8154</v>
      </c>
      <c r="M33" t="s">
        <v>7464</v>
      </c>
      <c r="N33" t="s">
        <v>7435</v>
      </c>
      <c r="O33" s="2">
        <v>46073</v>
      </c>
      <c r="P33" t="s">
        <v>8158</v>
      </c>
      <c r="Q33">
        <f ca="1">IF(tabExam[[#This Row],[Log Date]]="","",TODAY()-tabExam[[#This Row],[Log Date]])</f>
        <v>6</v>
      </c>
      <c r="R33" t="str">
        <f>IF(tabExam[[#This Row],[Log Date]]="","",IF(TRIM(tabExam[[#This Row],[Exam Cycle Stage]])="Asked to be removed from database","NO","YES"))</f>
        <v>YES</v>
      </c>
      <c r="S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" spans="1:19">
      <c r="A34" t="s">
        <v>8188</v>
      </c>
      <c r="B34" t="str">
        <f>IFERROR(_xlfn.XLOOKUP(tabExam[[#This Row],[Unique ID]], tblMaster[Unique ID], tblMaster[First Name], ""), "")</f>
        <v xml:space="preserve">Luis </v>
      </c>
      <c r="C34" t="str">
        <f>IFERROR(_xlfn.XLOOKUP(tabExam[[#This Row],[Unique ID]], tblMaster[Unique ID], tblMaster[Last Name], ""), "")</f>
        <v xml:space="preserve"> Perez </v>
      </c>
      <c r="D34" t="str">
        <f>IFERROR(_xlfn.XLOOKUP(tabExam[[#This Row],[Unique ID]], tblMaster[Unique ID], tblMaster[Email_Clean], ""), "")</f>
        <v>morelluis2023@gmail.com</v>
      </c>
      <c r="E34" t="str">
        <f>IFERROR(_xlfn.XLOOKUP(tabExam[[#This Row],[Unique ID]], tblMaster[Unique ID], tblMaster[Phone], ""), "")</f>
        <v xml:space="preserve">(978) 860-5228 </v>
      </c>
      <c r="F34" t="str">
        <f>IFERROR(_xlfn.XLOOKUP(tabExam[[#This Row],[Unique ID]], tblMaster[Unique ID], tblMaster[Recruiter], ""), "")</f>
        <v xml:space="preserve">Tom Clark </v>
      </c>
      <c r="G34" t="str">
        <f>IFERROR(_xlfn.XLOOKUP(tabExam[[#This Row],[Unique ID]], tblMaster[Unique ID], tblMaster[Recruitment Cycle], ""), "")</f>
        <v xml:space="preserve">New Submission/ Lead </v>
      </c>
      <c r="H34" t="s">
        <v>8150</v>
      </c>
      <c r="I34">
        <v>2026</v>
      </c>
      <c r="J34" t="s">
        <v>7446</v>
      </c>
      <c r="K34" t="s">
        <v>7439</v>
      </c>
      <c r="L34" t="s">
        <v>8154</v>
      </c>
      <c r="M34" t="s">
        <v>7434</v>
      </c>
      <c r="N34" t="s">
        <v>7435</v>
      </c>
      <c r="O34" s="2">
        <v>46059</v>
      </c>
      <c r="P34" t="s">
        <v>8158</v>
      </c>
      <c r="Q34">
        <f ca="1">IF(tabExam[[#This Row],[Log Date]]="","",TODAY()-tabExam[[#This Row],[Log Date]])</f>
        <v>20</v>
      </c>
      <c r="R34" t="str">
        <f>IF(tabExam[[#This Row],[Log Date]]="","",IF(TRIM(tabExam[[#This Row],[Exam Cycle Stage]])="Asked to be removed from database","NO","YES"))</f>
        <v>YES</v>
      </c>
      <c r="S3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" spans="1:19">
      <c r="A35" t="s">
        <v>8189</v>
      </c>
      <c r="B35" t="str">
        <f>IFERROR(_xlfn.XLOOKUP(tabExam[[#This Row],[Unique ID]], tblMaster[Unique ID], tblMaster[First Name], ""), "")</f>
        <v>Ahmed</v>
      </c>
      <c r="C35" t="str">
        <f>IFERROR(_xlfn.XLOOKUP(tabExam[[#This Row],[Unique ID]], tblMaster[Unique ID], tblMaster[Last Name], ""), "")</f>
        <v xml:space="preserve"> Aadan </v>
      </c>
      <c r="D35" t="str">
        <f>IFERROR(_xlfn.XLOOKUP(tabExam[[#This Row],[Unique ID]], tblMaster[Unique ID], tblMaster[Email_Clean], ""), "")</f>
        <v>ahmedaadan389@gmail.com</v>
      </c>
      <c r="E35" t="str">
        <f>IFERROR(_xlfn.XLOOKUP(tabExam[[#This Row],[Unique ID]], tblMaster[Unique ID], tblMaster[Phone], ""), "")</f>
        <v>(617) 447-0845</v>
      </c>
      <c r="F35" t="str">
        <f>IFERROR(_xlfn.XLOOKUP(tabExam[[#This Row],[Unique ID]], tblMaster[Unique ID], tblMaster[Recruiter], ""), "")</f>
        <v>Zenon Moses</v>
      </c>
      <c r="G35" t="str">
        <f>IFERROR(_xlfn.XLOOKUP(tabExam[[#This Row],[Unique ID]], tblMaster[Unique ID], tblMaster[Recruitment Cycle], ""), "")</f>
        <v xml:space="preserve">New Submission/ Lead </v>
      </c>
      <c r="H35" t="s">
        <v>8150</v>
      </c>
      <c r="I35">
        <v>2026</v>
      </c>
      <c r="J35" t="s">
        <v>7446</v>
      </c>
      <c r="K35" t="s">
        <v>8153</v>
      </c>
      <c r="L35" t="s">
        <v>8154</v>
      </c>
      <c r="M35" t="s">
        <v>7464</v>
      </c>
      <c r="N35" t="s">
        <v>7435</v>
      </c>
      <c r="O35" s="2">
        <v>46073</v>
      </c>
      <c r="P35" t="s">
        <v>8158</v>
      </c>
      <c r="Q35">
        <f ca="1">IF(tabExam[[#This Row],[Log Date]]="","",TODAY()-tabExam[[#This Row],[Log Date]])</f>
        <v>6</v>
      </c>
      <c r="R35" t="str">
        <f>IF(tabExam[[#This Row],[Log Date]]="","",IF(TRIM(tabExam[[#This Row],[Exam Cycle Stage]])="Asked to be removed from database","NO","YES"))</f>
        <v>YES</v>
      </c>
      <c r="S3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" spans="1:19">
      <c r="A36" t="s">
        <v>8190</v>
      </c>
      <c r="B36" t="str">
        <f>IFERROR(_xlfn.XLOOKUP(tabExam[[#This Row],[Unique ID]], tblMaster[Unique ID], tblMaster[First Name], ""), "")</f>
        <v xml:space="preserve">JONATHAN </v>
      </c>
      <c r="C36" t="str">
        <f>IFERROR(_xlfn.XLOOKUP(tabExam[[#This Row],[Unique ID]], tblMaster[Unique ID], tblMaster[Last Name], ""), "")</f>
        <v>Yeo</v>
      </c>
      <c r="D36" t="str">
        <f>IFERROR(_xlfn.XLOOKUP(tabExam[[#This Row],[Unique ID]], tblMaster[Unique ID], tblMaster[Email_Clean], ""), "")</f>
        <v>jonyeo24@gmail.com</v>
      </c>
      <c r="E36" t="str">
        <f>IFERROR(_xlfn.XLOOKUP(tabExam[[#This Row],[Unique ID]], tblMaster[Unique ID], tblMaster[Phone], ""), "")</f>
        <v>(757)-812-5858</v>
      </c>
      <c r="F36" t="str">
        <f>IFERROR(_xlfn.XLOOKUP(tabExam[[#This Row],[Unique ID]], tblMaster[Unique ID], tblMaster[Recruiter], ""), "")</f>
        <v>Zenon Moses</v>
      </c>
      <c r="G36" t="str">
        <f>IFERROR(_xlfn.XLOOKUP(tabExam[[#This Row],[Unique ID]], tblMaster[Unique ID], tblMaster[Recruitment Cycle], ""), "")</f>
        <v xml:space="preserve">New Submission/ Lead </v>
      </c>
      <c r="H36" t="s">
        <v>8150</v>
      </c>
      <c r="I36">
        <v>2026</v>
      </c>
      <c r="J36" t="s">
        <v>7446</v>
      </c>
      <c r="K36" t="s">
        <v>8153</v>
      </c>
      <c r="L36" t="s">
        <v>8154</v>
      </c>
      <c r="M36" t="s">
        <v>7464</v>
      </c>
      <c r="N36" t="s">
        <v>7435</v>
      </c>
      <c r="O36" s="2">
        <v>46073</v>
      </c>
      <c r="P36" t="s">
        <v>8158</v>
      </c>
      <c r="Q36">
        <f ca="1">IF(tabExam[[#This Row],[Log Date]]="","",TODAY()-tabExam[[#This Row],[Log Date]])</f>
        <v>6</v>
      </c>
      <c r="R36" t="str">
        <f>IF(tabExam[[#This Row],[Log Date]]="","",IF(TRIM(tabExam[[#This Row],[Exam Cycle Stage]])="Asked to be removed from database","NO","YES"))</f>
        <v>YES</v>
      </c>
      <c r="S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" spans="1:19">
      <c r="A37" t="s">
        <v>8191</v>
      </c>
      <c r="B37" t="str">
        <f>IFERROR(_xlfn.XLOOKUP(tabExam[[#This Row],[Unique ID]], tblMaster[Unique ID], tblMaster[First Name], ""), "")</f>
        <v xml:space="preserve">Arthur </v>
      </c>
      <c r="C37" t="str">
        <f>IFERROR(_xlfn.XLOOKUP(tabExam[[#This Row],[Unique ID]], tblMaster[Unique ID], tblMaster[Last Name], ""), "")</f>
        <v>Bikele</v>
      </c>
      <c r="D37" t="str">
        <f>IFERROR(_xlfn.XLOOKUP(tabExam[[#This Row],[Unique ID]], tblMaster[Unique ID], tblMaster[Email_Clean], ""), "")</f>
        <v>afranbikele@gmail.com</v>
      </c>
      <c r="E37" t="str">
        <f>IFERROR(_xlfn.XLOOKUP(tabExam[[#This Row],[Unique ID]], tblMaster[Unique ID], tblMaster[Phone], ""), "")</f>
        <v>971-178-3676</v>
      </c>
      <c r="F37" t="str">
        <f>IFERROR(_xlfn.XLOOKUP(tabExam[[#This Row],[Unique ID]], tblMaster[Unique ID], tblMaster[Recruiter], ""), "")</f>
        <v>Zenon Moses</v>
      </c>
      <c r="G37" t="str">
        <f>IFERROR(_xlfn.XLOOKUP(tabExam[[#This Row],[Unique ID]], tblMaster[Unique ID], tblMaster[Recruitment Cycle], ""), "")</f>
        <v xml:space="preserve">New Submission/ Lead </v>
      </c>
      <c r="H37" t="s">
        <v>8150</v>
      </c>
      <c r="I37">
        <v>2026</v>
      </c>
      <c r="J37" t="s">
        <v>7446</v>
      </c>
      <c r="K37" t="s">
        <v>8153</v>
      </c>
      <c r="L37" t="s">
        <v>8154</v>
      </c>
      <c r="M37" t="s">
        <v>7464</v>
      </c>
      <c r="N37" t="s">
        <v>8157</v>
      </c>
      <c r="O37" s="2">
        <v>46073</v>
      </c>
      <c r="P37" t="s">
        <v>8192</v>
      </c>
      <c r="Q37">
        <f ca="1">IF(tabExam[[#This Row],[Log Date]]="","",TODAY()-tabExam[[#This Row],[Log Date]])</f>
        <v>6</v>
      </c>
      <c r="R37" t="str">
        <f>IF(tabExam[[#This Row],[Log Date]]="","",IF(TRIM(tabExam[[#This Row],[Exam Cycle Stage]])="Asked to be removed from database","NO","YES"))</f>
        <v>YES</v>
      </c>
      <c r="S3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" spans="1:19">
      <c r="A38" t="s">
        <v>8193</v>
      </c>
      <c r="B38" t="str">
        <f>IFERROR(_xlfn.XLOOKUP(tabExam[[#This Row],[Unique ID]], tblMaster[Unique ID], tblMaster[First Name], ""), "")</f>
        <v xml:space="preserve">Kyle </v>
      </c>
      <c r="C38" t="str">
        <f>IFERROR(_xlfn.XLOOKUP(tabExam[[#This Row],[Unique ID]], tblMaster[Unique ID], tblMaster[Last Name], ""), "")</f>
        <v>Dixon</v>
      </c>
      <c r="D38" t="str">
        <f>IFERROR(_xlfn.XLOOKUP(tabExam[[#This Row],[Unique ID]], tblMaster[Unique ID], tblMaster[Email_Clean], ""), "")</f>
        <v>jordanedixon83@gmail.com</v>
      </c>
      <c r="E38" t="str">
        <f>IFERROR(_xlfn.XLOOKUP(tabExam[[#This Row],[Unique ID]], tblMaster[Unique ID], tblMaster[Phone], ""), "")</f>
        <v>(617) 980-1387</v>
      </c>
      <c r="F38" t="str">
        <f>IFERROR(_xlfn.XLOOKUP(tabExam[[#This Row],[Unique ID]], tblMaster[Unique ID], tblMaster[Recruiter], ""), "")</f>
        <v xml:space="preserve">Tom Clark </v>
      </c>
      <c r="G38" t="str">
        <f>IFERROR(_xlfn.XLOOKUP(tabExam[[#This Row],[Unique ID]], tblMaster[Unique ID], tblMaster[Recruitment Cycle], ""), "")</f>
        <v xml:space="preserve">New Submission/ Lead </v>
      </c>
      <c r="H38" t="s">
        <v>8186</v>
      </c>
      <c r="I38">
        <v>2026</v>
      </c>
      <c r="J38" t="s">
        <v>7446</v>
      </c>
      <c r="K38" t="s">
        <v>7439</v>
      </c>
      <c r="L38" t="s">
        <v>8154</v>
      </c>
      <c r="M38" t="s">
        <v>7434</v>
      </c>
      <c r="N38" t="s">
        <v>7435</v>
      </c>
      <c r="O38" s="2">
        <v>46059</v>
      </c>
      <c r="P38" t="s">
        <v>8158</v>
      </c>
      <c r="Q38">
        <f ca="1">IF(tabExam[[#This Row],[Log Date]]="","",TODAY()-tabExam[[#This Row],[Log Date]])</f>
        <v>20</v>
      </c>
      <c r="R38" t="str">
        <f>IF(tabExam[[#This Row],[Log Date]]="","",IF(TRIM(tabExam[[#This Row],[Exam Cycle Stage]])="Asked to be removed from database","NO","YES"))</f>
        <v>YES</v>
      </c>
      <c r="S3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" spans="1:19">
      <c r="A39" t="s">
        <v>8194</v>
      </c>
      <c r="B39" t="str">
        <f>IFERROR(_xlfn.XLOOKUP(tabExam[[#This Row],[Unique ID]], tblMaster[Unique ID], tblMaster[First Name], ""), "")</f>
        <v>Trisha</v>
      </c>
      <c r="C39" t="str">
        <f>IFERROR(_xlfn.XLOOKUP(tabExam[[#This Row],[Unique ID]], tblMaster[Unique ID], tblMaster[Last Name], ""), "")</f>
        <v>lossi</v>
      </c>
      <c r="D39" t="str">
        <f>IFERROR(_xlfn.XLOOKUP(tabExam[[#This Row],[Unique ID]], tblMaster[Unique ID], tblMaster[Email_Clean], ""), "")</f>
        <v>trishalossi@gmail.com</v>
      </c>
      <c r="E39" t="str">
        <f>IFERROR(_xlfn.XLOOKUP(tabExam[[#This Row],[Unique ID]], tblMaster[Unique ID], tblMaster[Phone], ""), "")</f>
        <v>518-795-5406</v>
      </c>
      <c r="F39" t="str">
        <f>IFERROR(_xlfn.XLOOKUP(tabExam[[#This Row],[Unique ID]], tblMaster[Unique ID], tblMaster[Recruiter], ""), "")</f>
        <v>Zenon Moses</v>
      </c>
      <c r="G39" t="str">
        <f>IFERROR(_xlfn.XLOOKUP(tabExam[[#This Row],[Unique ID]], tblMaster[Unique ID], tblMaster[Recruitment Cycle], ""), "")</f>
        <v xml:space="preserve">Re-Engagment/Post Civil Service Exam </v>
      </c>
      <c r="H39" t="s">
        <v>8186</v>
      </c>
      <c r="I39">
        <v>2026</v>
      </c>
      <c r="J39" t="s">
        <v>7491</v>
      </c>
      <c r="K39" t="s">
        <v>7445</v>
      </c>
      <c r="L39" t="s">
        <v>8154</v>
      </c>
      <c r="M39" t="s">
        <v>7464</v>
      </c>
      <c r="N39" t="s">
        <v>7435</v>
      </c>
      <c r="O39" s="2">
        <v>46059</v>
      </c>
      <c r="P39" t="s">
        <v>8195</v>
      </c>
      <c r="Q39">
        <f ca="1">IF(tabExam[[#This Row],[Log Date]]="","",TODAY()-tabExam[[#This Row],[Log Date]])</f>
        <v>20</v>
      </c>
      <c r="R39" t="str">
        <f>IF(tabExam[[#This Row],[Log Date]]="","",IF(TRIM(tabExam[[#This Row],[Exam Cycle Stage]])="Asked to be removed from database","NO","YES"))</f>
        <v>YES</v>
      </c>
      <c r="S3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" spans="1:19">
      <c r="A40" t="s">
        <v>8196</v>
      </c>
      <c r="B40" t="str">
        <f>IFERROR(_xlfn.XLOOKUP(tabExam[[#This Row],[Unique ID]], tblMaster[Unique ID], tblMaster[First Name], ""), "")</f>
        <v>Jason</v>
      </c>
      <c r="C40" t="str">
        <f>IFERROR(_xlfn.XLOOKUP(tabExam[[#This Row],[Unique ID]], tblMaster[Unique ID], tblMaster[Last Name], ""), "")</f>
        <v>Mercado</v>
      </c>
      <c r="D40" t="str">
        <f>IFERROR(_xlfn.XLOOKUP(tabExam[[#This Row],[Unique ID]], tblMaster[Unique ID], tblMaster[Email_Clean], ""), "")</f>
        <v>jasonmercado1117@gmail.com</v>
      </c>
      <c r="E40" t="str">
        <f>IFERROR(_xlfn.XLOOKUP(tabExam[[#This Row],[Unique ID]], tblMaster[Unique ID], tblMaster[Phone], ""), "")</f>
        <v>(978) 701-3046</v>
      </c>
      <c r="F40" t="str">
        <f>IFERROR(_xlfn.XLOOKUP(tabExam[[#This Row],[Unique ID]], tblMaster[Unique ID], tblMaster[Recruiter], ""), "")</f>
        <v>Zenon Moses</v>
      </c>
      <c r="G40" t="str">
        <f>IFERROR(_xlfn.XLOOKUP(tabExam[[#This Row],[Unique ID]], tblMaster[Unique ID], tblMaster[Recruitment Cycle], ""), "")</f>
        <v xml:space="preserve">New Submission/ Lead </v>
      </c>
      <c r="H40" t="s">
        <v>8150</v>
      </c>
      <c r="I40">
        <v>2026</v>
      </c>
      <c r="J40" t="s">
        <v>7446</v>
      </c>
      <c r="K40" t="s">
        <v>8153</v>
      </c>
      <c r="L40" t="s">
        <v>8154</v>
      </c>
      <c r="M40" t="s">
        <v>7464</v>
      </c>
      <c r="N40" t="s">
        <v>8175</v>
      </c>
      <c r="O40" s="2">
        <v>46073</v>
      </c>
      <c r="P40" t="s">
        <v>8158</v>
      </c>
      <c r="Q40">
        <f ca="1">IF(tabExam[[#This Row],[Log Date]]="","",TODAY()-tabExam[[#This Row],[Log Date]])</f>
        <v>6</v>
      </c>
      <c r="R40" t="str">
        <f>IF(tabExam[[#This Row],[Log Date]]="","",IF(TRIM(tabExam[[#This Row],[Exam Cycle Stage]])="Asked to be removed from database","NO","YES"))</f>
        <v>YES</v>
      </c>
      <c r="S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" spans="1:19">
      <c r="A41" t="s">
        <v>8197</v>
      </c>
      <c r="B41" t="str">
        <f>IFERROR(_xlfn.XLOOKUP(tabExam[[#This Row],[Unique ID]], tblMaster[Unique ID], tblMaster[First Name], ""), "")</f>
        <v xml:space="preserve">Owen  </v>
      </c>
      <c r="C41" t="str">
        <f>IFERROR(_xlfn.XLOOKUP(tabExam[[#This Row],[Unique ID]], tblMaster[Unique ID], tblMaster[Last Name], ""), "")</f>
        <v xml:space="preserve">papciak </v>
      </c>
      <c r="D41" t="str">
        <f>IFERROR(_xlfn.XLOOKUP(tabExam[[#This Row],[Unique ID]], tblMaster[Unique ID], tblMaster[Email_Clean], ""), "")</f>
        <v>owenpapciak771@gmail.com</v>
      </c>
      <c r="E41" t="str">
        <f>IFERROR(_xlfn.XLOOKUP(tabExam[[#This Row],[Unique ID]], tblMaster[Unique ID], tblMaster[Phone], ""), "")</f>
        <v xml:space="preserve">283) 883-6306 </v>
      </c>
      <c r="F41" t="str">
        <f>IFERROR(_xlfn.XLOOKUP(tabExam[[#This Row],[Unique ID]], tblMaster[Unique ID], tblMaster[Recruiter], ""), "")</f>
        <v xml:space="preserve">Jevon Brown Simpson </v>
      </c>
      <c r="G41" t="str">
        <f>IFERROR(_xlfn.XLOOKUP(tabExam[[#This Row],[Unique ID]], tblMaster[Unique ID], tblMaster[Recruitment Cycle], ""), "")</f>
        <v xml:space="preserve">New Submission/ Lead </v>
      </c>
      <c r="H41" t="s">
        <v>8150</v>
      </c>
      <c r="I41">
        <v>2026</v>
      </c>
      <c r="J41" t="s">
        <v>7446</v>
      </c>
      <c r="K41" t="s">
        <v>7439</v>
      </c>
      <c r="L41" t="s">
        <v>8154</v>
      </c>
      <c r="M41" t="s">
        <v>7464</v>
      </c>
      <c r="O41" s="2">
        <v>46065</v>
      </c>
      <c r="Q41">
        <f ca="1">IF(tabExam[[#This Row],[Log Date]]="","",TODAY()-tabExam[[#This Row],[Log Date]])</f>
        <v>14</v>
      </c>
      <c r="R41" t="str">
        <f>IF(tabExam[[#This Row],[Log Date]]="","",IF(TRIM(tabExam[[#This Row],[Exam Cycle Stage]])="Asked to be removed from database","NO","YES"))</f>
        <v>YES</v>
      </c>
      <c r="S4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" spans="1:19">
      <c r="A42" t="s">
        <v>8198</v>
      </c>
      <c r="B42" t="str">
        <f>IFERROR(_xlfn.XLOOKUP(tabExam[[#This Row],[Unique ID]], tblMaster[Unique ID], tblMaster[First Name], ""), "")</f>
        <v>Denisse</v>
      </c>
      <c r="C42" t="str">
        <f>IFERROR(_xlfn.XLOOKUP(tabExam[[#This Row],[Unique ID]], tblMaster[Unique ID], tblMaster[Last Name], ""), "")</f>
        <v xml:space="preserve">Rodriguez </v>
      </c>
      <c r="D42" t="str">
        <f>IFERROR(_xlfn.XLOOKUP(tabExam[[#This Row],[Unique ID]], tblMaster[Unique ID], tblMaster[Email_Clean], ""), "")</f>
        <v>drodriguez25.dr@gmail.com</v>
      </c>
      <c r="E42" t="str">
        <f>IFERROR(_xlfn.XLOOKUP(tabExam[[#This Row],[Unique ID]], tblMaster[Unique ID], tblMaster[Phone], ""), "")</f>
        <v xml:space="preserve">(413) 883-2127 </v>
      </c>
      <c r="F42" t="str">
        <f>IFERROR(_xlfn.XLOOKUP(tabExam[[#This Row],[Unique ID]], tblMaster[Unique ID], tblMaster[Recruiter], ""), "")</f>
        <v xml:space="preserve">Tom Clark </v>
      </c>
      <c r="G42" t="str">
        <f>IFERROR(_xlfn.XLOOKUP(tabExam[[#This Row],[Unique ID]], tblMaster[Unique ID], tblMaster[Recruitment Cycle], ""), "")</f>
        <v xml:space="preserve">New Submission/ Lead </v>
      </c>
      <c r="H42" t="s">
        <v>8150</v>
      </c>
      <c r="I42">
        <v>2026</v>
      </c>
      <c r="J42" t="s">
        <v>7446</v>
      </c>
      <c r="K42" t="s">
        <v>7439</v>
      </c>
      <c r="L42" t="s">
        <v>8154</v>
      </c>
      <c r="M42" t="s">
        <v>7434</v>
      </c>
      <c r="N42" t="s">
        <v>7435</v>
      </c>
      <c r="O42" s="2">
        <v>46059</v>
      </c>
      <c r="P42" t="s">
        <v>8158</v>
      </c>
      <c r="Q42">
        <f ca="1">IF(tabExam[[#This Row],[Log Date]]="","",TODAY()-tabExam[[#This Row],[Log Date]])</f>
        <v>20</v>
      </c>
      <c r="R42" t="str">
        <f>IF(tabExam[[#This Row],[Log Date]]="","",IF(TRIM(tabExam[[#This Row],[Exam Cycle Stage]])="Asked to be removed from database","NO","YES"))</f>
        <v>YES</v>
      </c>
      <c r="S4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" spans="1:19">
      <c r="A43" t="s">
        <v>8199</v>
      </c>
      <c r="B43" t="str">
        <f>IFERROR(_xlfn.XLOOKUP(tabExam[[#This Row],[Unique ID]], tblMaster[Unique ID], tblMaster[First Name], ""), "")</f>
        <v>Aaron</v>
      </c>
      <c r="C43" t="str">
        <f>IFERROR(_xlfn.XLOOKUP(tabExam[[#This Row],[Unique ID]], tblMaster[Unique ID], tblMaster[Last Name], ""), "")</f>
        <v>Cribb</v>
      </c>
      <c r="D43" t="str">
        <f>IFERROR(_xlfn.XLOOKUP(tabExam[[#This Row],[Unique ID]], tblMaster[Unique ID], tblMaster[Email_Clean], ""), "")</f>
        <v>aaroncribb@hotmail.com</v>
      </c>
      <c r="E43" t="str">
        <f>IFERROR(_xlfn.XLOOKUP(tabExam[[#This Row],[Unique ID]], tblMaster[Unique ID], tblMaster[Phone], ""), "")</f>
        <v>(617) 202-8908</v>
      </c>
      <c r="F43" t="str">
        <f>IFERROR(_xlfn.XLOOKUP(tabExam[[#This Row],[Unique ID]], tblMaster[Unique ID], tblMaster[Recruiter], ""), "")</f>
        <v xml:space="preserve">Tom Clark </v>
      </c>
      <c r="G43" t="str">
        <f>IFERROR(_xlfn.XLOOKUP(tabExam[[#This Row],[Unique ID]], tblMaster[Unique ID], tblMaster[Recruitment Cycle], ""), "")</f>
        <v xml:space="preserve">New Submission/ Lead </v>
      </c>
      <c r="H43" t="s">
        <v>8164</v>
      </c>
      <c r="I43">
        <v>2025</v>
      </c>
      <c r="J43" t="s">
        <v>7446</v>
      </c>
      <c r="K43" t="s">
        <v>8200</v>
      </c>
      <c r="L43" t="s">
        <v>8154</v>
      </c>
      <c r="M43" t="s">
        <v>7434</v>
      </c>
      <c r="N43" t="s">
        <v>7435</v>
      </c>
      <c r="O43" s="2">
        <v>46059</v>
      </c>
      <c r="P43" t="s">
        <v>8158</v>
      </c>
      <c r="Q43">
        <f ca="1">IF(tabExam[[#This Row],[Log Date]]="","",TODAY()-tabExam[[#This Row],[Log Date]])</f>
        <v>20</v>
      </c>
      <c r="R43" t="str">
        <f>IF(tabExam[[#This Row],[Log Date]]="","",IF(TRIM(tabExam[[#This Row],[Exam Cycle Stage]])="Asked to be removed from database","NO","YES"))</f>
        <v>YES</v>
      </c>
      <c r="S4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" spans="1:19">
      <c r="A44" t="s">
        <v>7480</v>
      </c>
      <c r="B44" t="str">
        <f>IFERROR(_xlfn.XLOOKUP(tabExam[[#This Row],[Unique ID]], tblMaster[Unique ID], tblMaster[First Name], ""), "")</f>
        <v xml:space="preserve">Ruth </v>
      </c>
      <c r="C44" t="str">
        <f>IFERROR(_xlfn.XLOOKUP(tabExam[[#This Row],[Unique ID]], tblMaster[Unique ID], tblMaster[Last Name], ""), "")</f>
        <v xml:space="preserve">Marfo </v>
      </c>
      <c r="D44" t="str">
        <f>IFERROR(_xlfn.XLOOKUP(tabExam[[#This Row],[Unique ID]], tblMaster[Unique ID], tblMaster[Email_Clean], ""), "")</f>
        <v>ruthmarfo517334@gmail.com</v>
      </c>
      <c r="E44" t="str">
        <f>IFERROR(_xlfn.XLOOKUP(tabExam[[#This Row],[Unique ID]], tblMaster[Unique ID], tblMaster[Phone], ""), "")</f>
        <v>508-463-7261</v>
      </c>
      <c r="F44" t="str">
        <f>IFERROR(_xlfn.XLOOKUP(tabExam[[#This Row],[Unique ID]], tblMaster[Unique ID], tblMaster[Recruiter], ""), "")</f>
        <v>Zenon Moses</v>
      </c>
      <c r="G44" t="str">
        <f>IFERROR(_xlfn.XLOOKUP(tabExam[[#This Row],[Unique ID]], tblMaster[Unique ID], tblMaster[Recruitment Cycle], ""), "")</f>
        <v xml:space="preserve">Re-Engagment </v>
      </c>
      <c r="H44" t="s">
        <v>8164</v>
      </c>
      <c r="I44">
        <v>2025</v>
      </c>
      <c r="J44" t="s">
        <v>7446</v>
      </c>
      <c r="K44" t="s">
        <v>8200</v>
      </c>
      <c r="L44" t="s">
        <v>8154</v>
      </c>
      <c r="M44" t="s">
        <v>7434</v>
      </c>
      <c r="N44" t="s">
        <v>7435</v>
      </c>
      <c r="O44" s="2">
        <v>46059</v>
      </c>
      <c r="P44" t="s">
        <v>8162</v>
      </c>
      <c r="Q44">
        <f ca="1">IF(tabExam[[#This Row],[Log Date]]="","",TODAY()-tabExam[[#This Row],[Log Date]])</f>
        <v>20</v>
      </c>
      <c r="R44" t="str">
        <f>IF(tabExam[[#This Row],[Log Date]]="","",IF(TRIM(tabExam[[#This Row],[Exam Cycle Stage]])="Asked to be removed from database","NO","YES"))</f>
        <v>YES</v>
      </c>
      <c r="S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" spans="1:19">
      <c r="A45" t="s">
        <v>8201</v>
      </c>
      <c r="B45" t="str">
        <f>IFERROR(_xlfn.XLOOKUP(tabExam[[#This Row],[Unique ID]], tblMaster[Unique ID], tblMaster[First Name], ""), "")</f>
        <v xml:space="preserve">Maya </v>
      </c>
      <c r="C45" t="str">
        <f>IFERROR(_xlfn.XLOOKUP(tabExam[[#This Row],[Unique ID]], tblMaster[Unique ID], tblMaster[Last Name], ""), "")</f>
        <v xml:space="preserve">Braz </v>
      </c>
      <c r="D45" t="str">
        <f>IFERROR(_xlfn.XLOOKUP(tabExam[[#This Row],[Unique ID]], tblMaster[Unique ID], tblMaster[Email_Clean], ""), "")</f>
        <v>mayabraz76@gmail.com</v>
      </c>
      <c r="E45" t="str">
        <f>IFERROR(_xlfn.XLOOKUP(tabExam[[#This Row],[Unique ID]], tblMaster[Unique ID], tblMaster[Phone], ""), "")</f>
        <v xml:space="preserve">(508) 971-3822 </v>
      </c>
      <c r="F45" t="str">
        <f>IFERROR(_xlfn.XLOOKUP(tabExam[[#This Row],[Unique ID]], tblMaster[Unique ID], tblMaster[Recruiter], ""), "")</f>
        <v xml:space="preserve">Tom Clark </v>
      </c>
      <c r="G45" t="str">
        <f>IFERROR(_xlfn.XLOOKUP(tabExam[[#This Row],[Unique ID]], tblMaster[Unique ID], tblMaster[Recruitment Cycle], ""), "")</f>
        <v xml:space="preserve">New Submission/ Lead </v>
      </c>
      <c r="H45" t="s">
        <v>8150</v>
      </c>
      <c r="I45">
        <v>2026</v>
      </c>
      <c r="J45" t="s">
        <v>7446</v>
      </c>
      <c r="K45" t="s">
        <v>7439</v>
      </c>
      <c r="L45" t="s">
        <v>8154</v>
      </c>
      <c r="M45" t="s">
        <v>7434</v>
      </c>
      <c r="N45" t="s">
        <v>7435</v>
      </c>
      <c r="O45" s="2">
        <v>46070</v>
      </c>
      <c r="P45" t="s">
        <v>8158</v>
      </c>
      <c r="Q45">
        <f ca="1">IF(tabExam[[#This Row],[Log Date]]="","",TODAY()-tabExam[[#This Row],[Log Date]])</f>
        <v>9</v>
      </c>
      <c r="R45" t="str">
        <f>IF(tabExam[[#This Row],[Log Date]]="","",IF(TRIM(tabExam[[#This Row],[Exam Cycle Stage]])="Asked to be removed from database","NO","YES"))</f>
        <v>YES</v>
      </c>
      <c r="S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" spans="1:19">
      <c r="A46" t="s">
        <v>8202</v>
      </c>
      <c r="B46" t="str">
        <f>IFERROR(_xlfn.XLOOKUP(tabExam[[#This Row],[Unique ID]], tblMaster[Unique ID], tblMaster[First Name], ""), "")</f>
        <v xml:space="preserve">Brieyana </v>
      </c>
      <c r="C46" t="str">
        <f>IFERROR(_xlfn.XLOOKUP(tabExam[[#This Row],[Unique ID]], tblMaster[Unique ID], tblMaster[Last Name], ""), "")</f>
        <v xml:space="preserve">Santana </v>
      </c>
      <c r="D46" t="str">
        <f>IFERROR(_xlfn.XLOOKUP(tabExam[[#This Row],[Unique ID]], tblMaster[Unique ID], tblMaster[Email_Clean], ""), "")</f>
        <v>brieyanasantana@outlook.com</v>
      </c>
      <c r="E46" t="str">
        <f>IFERROR(_xlfn.XLOOKUP(tabExam[[#This Row],[Unique ID]], tblMaster[Unique ID], tblMaster[Phone], ""), "")</f>
        <v>978-727-6323</v>
      </c>
      <c r="F46" t="str">
        <f>IFERROR(_xlfn.XLOOKUP(tabExam[[#This Row],[Unique ID]], tblMaster[Unique ID], tblMaster[Recruiter], ""), "")</f>
        <v xml:space="preserve">Tom Clark </v>
      </c>
      <c r="G46" t="str">
        <f>IFERROR(_xlfn.XLOOKUP(tabExam[[#This Row],[Unique ID]], tblMaster[Unique ID], tblMaster[Recruitment Cycle], ""), "")</f>
        <v xml:space="preserve">New Submission/ Lead </v>
      </c>
      <c r="H46" t="s">
        <v>8150</v>
      </c>
      <c r="I46">
        <v>2026</v>
      </c>
      <c r="J46" t="s">
        <v>7446</v>
      </c>
      <c r="K46" t="s">
        <v>7439</v>
      </c>
      <c r="L46" t="s">
        <v>8154</v>
      </c>
      <c r="M46" t="s">
        <v>7434</v>
      </c>
      <c r="N46" t="s">
        <v>8175</v>
      </c>
      <c r="O46" s="2">
        <v>46070</v>
      </c>
      <c r="P46" t="s">
        <v>8158</v>
      </c>
      <c r="Q46">
        <f ca="1">IF(tabExam[[#This Row],[Log Date]]="","",TODAY()-tabExam[[#This Row],[Log Date]])</f>
        <v>9</v>
      </c>
      <c r="R46" t="str">
        <f>IF(tabExam[[#This Row],[Log Date]]="","",IF(TRIM(tabExam[[#This Row],[Exam Cycle Stage]])="Asked to be removed from database","NO","YES"))</f>
        <v>YES</v>
      </c>
      <c r="S4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" spans="1:19">
      <c r="A47" t="s">
        <v>8203</v>
      </c>
      <c r="B47" t="str">
        <f>IFERROR(_xlfn.XLOOKUP(tabExam[[#This Row],[Unique ID]], tblMaster[Unique ID], tblMaster[First Name], ""), "")</f>
        <v>Cameron</v>
      </c>
      <c r="C47" t="str">
        <f>IFERROR(_xlfn.XLOOKUP(tabExam[[#This Row],[Unique ID]], tblMaster[Unique ID], tblMaster[Last Name], ""), "")</f>
        <v xml:space="preserve"> Cassidy </v>
      </c>
      <c r="D47" t="str">
        <f>IFERROR(_xlfn.XLOOKUP(tabExam[[#This Row],[Unique ID]], tblMaster[Unique ID], tblMaster[Email_Clean], ""), "")</f>
        <v>camcassidy06@gmail.com</v>
      </c>
      <c r="E47" t="str">
        <f>IFERROR(_xlfn.XLOOKUP(tabExam[[#This Row],[Unique ID]], tblMaster[Unique ID], tblMaster[Phone], ""), "")</f>
        <v xml:space="preserve">774) 462-2040 </v>
      </c>
      <c r="F47" t="str">
        <f>IFERROR(_xlfn.XLOOKUP(tabExam[[#This Row],[Unique ID]], tblMaster[Unique ID], tblMaster[Recruiter], ""), "")</f>
        <v xml:space="preserve">Tom Clark </v>
      </c>
      <c r="G47" t="str">
        <f>IFERROR(_xlfn.XLOOKUP(tabExam[[#This Row],[Unique ID]], tblMaster[Unique ID], tblMaster[Recruitment Cycle], ""), "")</f>
        <v xml:space="preserve">New Submission/ Lead </v>
      </c>
      <c r="H47" t="s">
        <v>8150</v>
      </c>
      <c r="I47">
        <v>2026</v>
      </c>
      <c r="J47" t="s">
        <v>7446</v>
      </c>
      <c r="K47" t="s">
        <v>7439</v>
      </c>
      <c r="L47" t="s">
        <v>8154</v>
      </c>
      <c r="M47" t="s">
        <v>7434</v>
      </c>
      <c r="N47" t="s">
        <v>7435</v>
      </c>
      <c r="O47" s="2">
        <v>46059</v>
      </c>
      <c r="P47" t="s">
        <v>8158</v>
      </c>
      <c r="Q47">
        <f ca="1">IF(tabExam[[#This Row],[Log Date]]="","",TODAY()-tabExam[[#This Row],[Log Date]])</f>
        <v>20</v>
      </c>
      <c r="R47" t="str">
        <f>IF(tabExam[[#This Row],[Log Date]]="","",IF(TRIM(tabExam[[#This Row],[Exam Cycle Stage]])="Asked to be removed from database","NO","YES"))</f>
        <v>YES</v>
      </c>
      <c r="S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" spans="1:19">
      <c r="A48" t="s">
        <v>8204</v>
      </c>
      <c r="B48" t="str">
        <f>IFERROR(_xlfn.XLOOKUP(tabExam[[#This Row],[Unique ID]], tblMaster[Unique ID], tblMaster[First Name], ""), "")</f>
        <v>Deborah</v>
      </c>
      <c r="C48" t="str">
        <f>IFERROR(_xlfn.XLOOKUP(tabExam[[#This Row],[Unique ID]], tblMaster[Unique ID], tblMaster[Last Name], ""), "")</f>
        <v xml:space="preserve"> Sieron Souza</v>
      </c>
      <c r="D48" t="str">
        <f>IFERROR(_xlfn.XLOOKUP(tabExam[[#This Row],[Unique ID]], tblMaster[Unique ID], tblMaster[Email_Clean], ""), "")</f>
        <v>deborahnellydesouza@icloud.com</v>
      </c>
      <c r="E48" t="str">
        <f>IFERROR(_xlfn.XLOOKUP(tabExam[[#This Row],[Unique ID]], tblMaster[Unique ID], tblMaster[Phone], ""), "")</f>
        <v>(781-496-6992)</v>
      </c>
      <c r="F48" t="str">
        <f>IFERROR(_xlfn.XLOOKUP(tabExam[[#This Row],[Unique ID]], tblMaster[Unique ID], tblMaster[Recruiter], ""), "")</f>
        <v xml:space="preserve">Jevon Brown Simpson </v>
      </c>
      <c r="G48" t="str">
        <f>IFERROR(_xlfn.XLOOKUP(tabExam[[#This Row],[Unique ID]], tblMaster[Unique ID], tblMaster[Recruitment Cycle], ""), "")</f>
        <v xml:space="preserve">New Submission/ Lead </v>
      </c>
      <c r="H48" t="s">
        <v>8150</v>
      </c>
      <c r="I48">
        <v>2026</v>
      </c>
      <c r="J48" t="s">
        <v>7446</v>
      </c>
      <c r="K48" t="s">
        <v>7439</v>
      </c>
      <c r="L48" t="s">
        <v>8154</v>
      </c>
      <c r="M48" t="s">
        <v>7464</v>
      </c>
      <c r="O48" s="2">
        <v>46065</v>
      </c>
      <c r="Q48">
        <f ca="1">IF(tabExam[[#This Row],[Log Date]]="","",TODAY()-tabExam[[#This Row],[Log Date]])</f>
        <v>14</v>
      </c>
      <c r="R48" t="str">
        <f>IF(tabExam[[#This Row],[Log Date]]="","",IF(TRIM(tabExam[[#This Row],[Exam Cycle Stage]])="Asked to be removed from database","NO","YES"))</f>
        <v>YES</v>
      </c>
      <c r="S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" spans="1:19">
      <c r="A49" t="s">
        <v>8205</v>
      </c>
      <c r="B49" t="str">
        <f>IFERROR(_xlfn.XLOOKUP(tabExam[[#This Row],[Unique ID]], tblMaster[Unique ID], tblMaster[First Name], ""), "")</f>
        <v xml:space="preserve">Jaelyn </v>
      </c>
      <c r="C49" t="str">
        <f>IFERROR(_xlfn.XLOOKUP(tabExam[[#This Row],[Unique ID]], tblMaster[Unique ID], tblMaster[Last Name], ""), "")</f>
        <v xml:space="preserve">Excellent </v>
      </c>
      <c r="D49" t="str">
        <f>IFERROR(_xlfn.XLOOKUP(tabExam[[#This Row],[Unique ID]], tblMaster[Unique ID], tblMaster[Email_Clean], ""), "")</f>
        <v>jaelynexcellent@gmail.com</v>
      </c>
      <c r="E49" t="str">
        <f>IFERROR(_xlfn.XLOOKUP(tabExam[[#This Row],[Unique ID]], tblMaster[Unique ID], tblMaster[Phone], ""), "")</f>
        <v xml:space="preserve">857) 343-9325 </v>
      </c>
      <c r="F49" t="str">
        <f>IFERROR(_xlfn.XLOOKUP(tabExam[[#This Row],[Unique ID]], tblMaster[Unique ID], tblMaster[Recruiter], ""), "")</f>
        <v>Zenon Moses</v>
      </c>
      <c r="G49" t="str">
        <f>IFERROR(_xlfn.XLOOKUP(tabExam[[#This Row],[Unique ID]], tblMaster[Unique ID], tblMaster[Recruitment Cycle], ""), "")</f>
        <v xml:space="preserve">New Submission/ Lead </v>
      </c>
      <c r="H49" t="s">
        <v>8150</v>
      </c>
      <c r="I49">
        <v>2026</v>
      </c>
      <c r="J49" t="s">
        <v>7446</v>
      </c>
      <c r="K49" t="s">
        <v>8153</v>
      </c>
      <c r="L49" t="s">
        <v>8154</v>
      </c>
      <c r="M49" t="s">
        <v>7464</v>
      </c>
      <c r="N49" t="s">
        <v>8157</v>
      </c>
      <c r="O49" s="2">
        <v>46073</v>
      </c>
      <c r="P49" t="s">
        <v>8162</v>
      </c>
      <c r="Q49">
        <f ca="1">IF(tabExam[[#This Row],[Log Date]]="","",TODAY()-tabExam[[#This Row],[Log Date]])</f>
        <v>6</v>
      </c>
      <c r="R49" t="str">
        <f>IF(tabExam[[#This Row],[Log Date]]="","",IF(TRIM(tabExam[[#This Row],[Exam Cycle Stage]])="Asked to be removed from database","NO","YES"))</f>
        <v>YES</v>
      </c>
      <c r="S4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0" spans="1:19">
      <c r="A50" t="s">
        <v>8206</v>
      </c>
      <c r="B50" t="str">
        <f>IFERROR(_xlfn.XLOOKUP(tabExam[[#This Row],[Unique ID]], tblMaster[Unique ID], tblMaster[First Name], ""), "")</f>
        <v xml:space="preserve">Robert </v>
      </c>
      <c r="C50" t="str">
        <f>IFERROR(_xlfn.XLOOKUP(tabExam[[#This Row],[Unique ID]], tblMaster[Unique ID], tblMaster[Last Name], ""), "")</f>
        <v xml:space="preserve"> MacNeil </v>
      </c>
      <c r="D50" t="str">
        <f>IFERROR(_xlfn.XLOOKUP(tabExam[[#This Row],[Unique ID]], tblMaster[Unique ID], tblMaster[Email_Clean], ""), "")</f>
        <v>bob.macneil08@gmail.com</v>
      </c>
      <c r="E50" t="str">
        <f>IFERROR(_xlfn.XLOOKUP(tabExam[[#This Row],[Unique ID]], tblMaster[Unique ID], tblMaster[Phone], ""), "")</f>
        <v xml:space="preserve">(781) 206-5706 </v>
      </c>
      <c r="F50" t="str">
        <f>IFERROR(_xlfn.XLOOKUP(tabExam[[#This Row],[Unique ID]], tblMaster[Unique ID], tblMaster[Recruiter], ""), "")</f>
        <v xml:space="preserve">Tom Clark </v>
      </c>
      <c r="G50" t="str">
        <f>IFERROR(_xlfn.XLOOKUP(tabExam[[#This Row],[Unique ID]], tblMaster[Unique ID], tblMaster[Recruitment Cycle], ""), "")</f>
        <v xml:space="preserve">New Submission/ Lead </v>
      </c>
      <c r="H50" t="s">
        <v>8150</v>
      </c>
      <c r="I50">
        <v>2026</v>
      </c>
      <c r="J50" t="s">
        <v>7446</v>
      </c>
      <c r="K50" t="s">
        <v>7439</v>
      </c>
      <c r="L50" t="s">
        <v>8154</v>
      </c>
      <c r="M50" t="s">
        <v>7434</v>
      </c>
      <c r="N50" t="s">
        <v>8175</v>
      </c>
      <c r="O50" s="2">
        <v>46059</v>
      </c>
      <c r="P50" t="s">
        <v>8158</v>
      </c>
      <c r="Q50">
        <f ca="1">IF(tabExam[[#This Row],[Log Date]]="","",TODAY()-tabExam[[#This Row],[Log Date]])</f>
        <v>20</v>
      </c>
      <c r="R50" t="str">
        <f>IF(tabExam[[#This Row],[Log Date]]="","",IF(TRIM(tabExam[[#This Row],[Exam Cycle Stage]])="Asked to be removed from database","NO","YES"))</f>
        <v>YES</v>
      </c>
      <c r="S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1" spans="1:19">
      <c r="A51" t="s">
        <v>8207</v>
      </c>
      <c r="B51" t="str">
        <f>IFERROR(_xlfn.XLOOKUP(tabExam[[#This Row],[Unique ID]], tblMaster[Unique ID], tblMaster[First Name], ""), "")</f>
        <v>Nicholas</v>
      </c>
      <c r="C51" t="str">
        <f>IFERROR(_xlfn.XLOOKUP(tabExam[[#This Row],[Unique ID]], tblMaster[Unique ID], tblMaster[Last Name], ""), "")</f>
        <v>Nassar</v>
      </c>
      <c r="D51" t="str">
        <f>IFERROR(_xlfn.XLOOKUP(tabExam[[#This Row],[Unique ID]], tblMaster[Unique ID], tblMaster[Email_Clean], ""), "")</f>
        <v>nicholasnassar367@gmail.com</v>
      </c>
      <c r="E51" t="str">
        <f>IFERROR(_xlfn.XLOOKUP(tabExam[[#This Row],[Unique ID]], tblMaster[Unique ID], tblMaster[Phone], ""), "")</f>
        <v>(774) 535-5085</v>
      </c>
      <c r="F51" t="str">
        <f>IFERROR(_xlfn.XLOOKUP(tabExam[[#This Row],[Unique ID]], tblMaster[Unique ID], tblMaster[Recruiter], ""), "")</f>
        <v xml:space="preserve">Tom Clark </v>
      </c>
      <c r="G51" t="str">
        <f>IFERROR(_xlfn.XLOOKUP(tabExam[[#This Row],[Unique ID]], tblMaster[Unique ID], tblMaster[Recruitment Cycle], ""), "")</f>
        <v xml:space="preserve">New Submission/ Lead </v>
      </c>
      <c r="H51" t="s">
        <v>8150</v>
      </c>
      <c r="I51">
        <v>2026</v>
      </c>
      <c r="J51" t="s">
        <v>7446</v>
      </c>
      <c r="K51" t="s">
        <v>7439</v>
      </c>
      <c r="L51" t="s">
        <v>8154</v>
      </c>
      <c r="M51" t="s">
        <v>7434</v>
      </c>
      <c r="N51" t="s">
        <v>8175</v>
      </c>
      <c r="O51" s="2">
        <v>46059</v>
      </c>
      <c r="P51" t="s">
        <v>8158</v>
      </c>
      <c r="Q51">
        <f ca="1">IF(tabExam[[#This Row],[Log Date]]="","",TODAY()-tabExam[[#This Row],[Log Date]])</f>
        <v>20</v>
      </c>
      <c r="R51" t="str">
        <f>IF(tabExam[[#This Row],[Log Date]]="","",IF(TRIM(tabExam[[#This Row],[Exam Cycle Stage]])="Asked to be removed from database","NO","YES"))</f>
        <v>YES</v>
      </c>
      <c r="S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2" spans="1:19">
      <c r="A52" t="s">
        <v>8139</v>
      </c>
      <c r="B52" t="str">
        <f>IFERROR(_xlfn.XLOOKUP(tabExam[[#This Row],[Unique ID]], tblMaster[Unique ID], tblMaster[First Name], ""), "")</f>
        <v>Alexa</v>
      </c>
      <c r="C52" t="str">
        <f>IFERROR(_xlfn.XLOOKUP(tabExam[[#This Row],[Unique ID]], tblMaster[Unique ID], tblMaster[Last Name], ""), "")</f>
        <v>Perrotti</v>
      </c>
      <c r="D52" t="str">
        <f>IFERROR(_xlfn.XLOOKUP(tabExam[[#This Row],[Unique ID]], tblMaster[Unique ID], tblMaster[Email_Clean], ""), "")</f>
        <v>alexacperrotti@gmail.com</v>
      </c>
      <c r="E52" t="str">
        <f>IFERROR(_xlfn.XLOOKUP(tabExam[[#This Row],[Unique ID]], tblMaster[Unique ID], tblMaster[Phone], ""), "")</f>
        <v>(908) 421-9341</v>
      </c>
      <c r="F52" t="str">
        <f>IFERROR(_xlfn.XLOOKUP(tabExam[[#This Row],[Unique ID]], tblMaster[Unique ID], tblMaster[Recruiter], ""), "")</f>
        <v xml:space="preserve">Jevon Brown Simpson </v>
      </c>
      <c r="G52" t="str">
        <f>IFERROR(_xlfn.XLOOKUP(tabExam[[#This Row],[Unique ID]], tblMaster[Unique ID], tblMaster[Recruitment Cycle], ""), "")</f>
        <v xml:space="preserve">New Submission/ Lead </v>
      </c>
      <c r="H52" t="s">
        <v>8150</v>
      </c>
      <c r="I52">
        <v>2026</v>
      </c>
      <c r="J52" t="s">
        <v>7446</v>
      </c>
      <c r="K52" t="s">
        <v>7439</v>
      </c>
      <c r="L52" t="s">
        <v>8154</v>
      </c>
      <c r="M52" t="s">
        <v>7464</v>
      </c>
      <c r="O52" s="2">
        <v>46065</v>
      </c>
      <c r="Q52">
        <f ca="1">IF(tabExam[[#This Row],[Log Date]]="","",TODAY()-tabExam[[#This Row],[Log Date]])</f>
        <v>14</v>
      </c>
      <c r="R52" t="str">
        <f>IF(tabExam[[#This Row],[Log Date]]="","",IF(TRIM(tabExam[[#This Row],[Exam Cycle Stage]])="Asked to be removed from database","NO","YES"))</f>
        <v>YES</v>
      </c>
      <c r="S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3" spans="1:19">
      <c r="A53" t="s">
        <v>8208</v>
      </c>
      <c r="B53" t="str">
        <f>IFERROR(_xlfn.XLOOKUP(tabExam[[#This Row],[Unique ID]], tblMaster[Unique ID], tblMaster[First Name], ""), "")</f>
        <v xml:space="preserve">Yalisha </v>
      </c>
      <c r="C53" t="str">
        <f>IFERROR(_xlfn.XLOOKUP(tabExam[[#This Row],[Unique ID]], tblMaster[Unique ID], tblMaster[Last Name], ""), "")</f>
        <v xml:space="preserve"> Colon </v>
      </c>
      <c r="D53" t="str">
        <f>IFERROR(_xlfn.XLOOKUP(tabExam[[#This Row],[Unique ID]], tblMaster[Unique ID], tblMaster[Email_Clean], ""), "")</f>
        <v>mlcolon2401@student.stcc.edu</v>
      </c>
      <c r="E53" t="str">
        <f>IFERROR(_xlfn.XLOOKUP(tabExam[[#This Row],[Unique ID]], tblMaster[Unique ID], tblMaster[Phone], ""), "")</f>
        <v xml:space="preserve">(413) 421-0495 </v>
      </c>
      <c r="F53" t="str">
        <f>IFERROR(_xlfn.XLOOKUP(tabExam[[#This Row],[Unique ID]], tblMaster[Unique ID], tblMaster[Recruiter], ""), "")</f>
        <v xml:space="preserve">Jevon Brown Simpson </v>
      </c>
      <c r="G53" t="str">
        <f>IFERROR(_xlfn.XLOOKUP(tabExam[[#This Row],[Unique ID]], tblMaster[Unique ID], tblMaster[Recruitment Cycle], ""), "")</f>
        <v xml:space="preserve">New Submission/ Lead </v>
      </c>
      <c r="H53" t="s">
        <v>8150</v>
      </c>
      <c r="I53">
        <v>2026</v>
      </c>
      <c r="J53" t="s">
        <v>7446</v>
      </c>
      <c r="K53" t="s">
        <v>7439</v>
      </c>
      <c r="L53" t="s">
        <v>8154</v>
      </c>
      <c r="M53" t="s">
        <v>7464</v>
      </c>
      <c r="O53" s="2">
        <v>46065</v>
      </c>
      <c r="Q53">
        <f ca="1">IF(tabExam[[#This Row],[Log Date]]="","",TODAY()-tabExam[[#This Row],[Log Date]])</f>
        <v>14</v>
      </c>
      <c r="R53" t="str">
        <f>IF(tabExam[[#This Row],[Log Date]]="","",IF(TRIM(tabExam[[#This Row],[Exam Cycle Stage]])="Asked to be removed from database","NO","YES"))</f>
        <v>YES</v>
      </c>
      <c r="S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4" spans="1:19">
      <c r="A54" t="s">
        <v>8050</v>
      </c>
      <c r="B54" t="str">
        <f>IFERROR(_xlfn.XLOOKUP(tabExam[[#This Row],[Unique ID]], tblMaster[Unique ID], tblMaster[First Name], ""), "")</f>
        <v xml:space="preserve">Bryan </v>
      </c>
      <c r="C54" t="str">
        <f>IFERROR(_xlfn.XLOOKUP(tabExam[[#This Row],[Unique ID]], tblMaster[Unique ID], tblMaster[Last Name], ""), "")</f>
        <v xml:space="preserve"> Beckford </v>
      </c>
      <c r="D54" t="str">
        <f>IFERROR(_xlfn.XLOOKUP(tabExam[[#This Row],[Unique ID]], tblMaster[Unique ID], tblMaster[Email_Clean], ""), "")</f>
        <v>tj.beckford29@yahoo.com</v>
      </c>
      <c r="E54" t="str">
        <f>IFERROR(_xlfn.XLOOKUP(tabExam[[#This Row],[Unique ID]], tblMaster[Unique ID], tblMaster[Phone], ""), "")</f>
        <v xml:space="preserve">(860) 244-3667 </v>
      </c>
      <c r="F54" t="str">
        <f>IFERROR(_xlfn.XLOOKUP(tabExam[[#This Row],[Unique ID]], tblMaster[Unique ID], tblMaster[Recruiter], ""), "")</f>
        <v xml:space="preserve">Jevon Brown Simpson </v>
      </c>
      <c r="G54" t="str">
        <f>IFERROR(_xlfn.XLOOKUP(tabExam[[#This Row],[Unique ID]], tblMaster[Unique ID], tblMaster[Recruitment Cycle], ""), "")</f>
        <v xml:space="preserve">New Submission/ Lead </v>
      </c>
      <c r="H54" t="s">
        <v>8150</v>
      </c>
      <c r="I54">
        <v>2026</v>
      </c>
      <c r="J54" t="s">
        <v>7446</v>
      </c>
      <c r="K54" t="s">
        <v>7439</v>
      </c>
      <c r="L54" t="s">
        <v>8154</v>
      </c>
      <c r="M54" t="s">
        <v>7464</v>
      </c>
      <c r="O54" s="2">
        <v>46065</v>
      </c>
      <c r="Q54">
        <f ca="1">IF(tabExam[[#This Row],[Log Date]]="","",TODAY()-tabExam[[#This Row],[Log Date]])</f>
        <v>14</v>
      </c>
      <c r="R54" t="str">
        <f>IF(tabExam[[#This Row],[Log Date]]="","",IF(TRIM(tabExam[[#This Row],[Exam Cycle Stage]])="Asked to be removed from database","NO","YES"))</f>
        <v>YES</v>
      </c>
      <c r="S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5" spans="1:19">
      <c r="A55" t="s">
        <v>8209</v>
      </c>
      <c r="B55" t="str">
        <f>IFERROR(_xlfn.XLOOKUP(tabExam[[#This Row],[Unique ID]], tblMaster[Unique ID], tblMaster[First Name], ""), "")</f>
        <v xml:space="preserve">Sindrick </v>
      </c>
      <c r="C55" t="str">
        <f>IFERROR(_xlfn.XLOOKUP(tabExam[[#This Row],[Unique ID]], tblMaster[Unique ID], tblMaster[Last Name], ""), "")</f>
        <v xml:space="preserve">simplice </v>
      </c>
      <c r="D55" t="str">
        <f>IFERROR(_xlfn.XLOOKUP(tabExam[[#This Row],[Unique ID]], tblMaster[Unique ID], tblMaster[Email_Clean], ""), "")</f>
        <v>ceddycuz@gmail.com</v>
      </c>
      <c r="E55" t="str">
        <f>IFERROR(_xlfn.XLOOKUP(tabExam[[#This Row],[Unique ID]], tblMaster[Unique ID], tblMaster[Phone], ""), "")</f>
        <v xml:space="preserve">(617) 922-1812 </v>
      </c>
      <c r="F55" t="str">
        <f>IFERROR(_xlfn.XLOOKUP(tabExam[[#This Row],[Unique ID]], tblMaster[Unique ID], tblMaster[Recruiter], ""), "")</f>
        <v xml:space="preserve">Jevon Brown Simpson </v>
      </c>
      <c r="G55" t="str">
        <f>IFERROR(_xlfn.XLOOKUP(tabExam[[#This Row],[Unique ID]], tblMaster[Unique ID], tblMaster[Recruitment Cycle], ""), "")</f>
        <v xml:space="preserve">Re-Engagment </v>
      </c>
      <c r="H55" t="s">
        <v>8150</v>
      </c>
      <c r="I55">
        <v>2026</v>
      </c>
      <c r="J55" t="s">
        <v>7446</v>
      </c>
      <c r="K55" t="s">
        <v>7439</v>
      </c>
      <c r="L55" t="s">
        <v>8154</v>
      </c>
      <c r="M55" t="s">
        <v>7464</v>
      </c>
      <c r="O55" s="2">
        <v>46065</v>
      </c>
      <c r="Q55">
        <f ca="1">IF(tabExam[[#This Row],[Log Date]]="","",TODAY()-tabExam[[#This Row],[Log Date]])</f>
        <v>14</v>
      </c>
      <c r="R55" t="str">
        <f>IF(tabExam[[#This Row],[Log Date]]="","",IF(TRIM(tabExam[[#This Row],[Exam Cycle Stage]])="Asked to be removed from database","NO","YES"))</f>
        <v>YES</v>
      </c>
      <c r="S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6" spans="1:19">
      <c r="A56" t="s">
        <v>8210</v>
      </c>
      <c r="B56" t="str">
        <f>IFERROR(_xlfn.XLOOKUP(tabExam[[#This Row],[Unique ID]], tblMaster[Unique ID], tblMaster[First Name], ""), "")</f>
        <v>RAUL</v>
      </c>
      <c r="C56" t="str">
        <f>IFERROR(_xlfn.XLOOKUP(tabExam[[#This Row],[Unique ID]], tblMaster[Unique ID], tblMaster[Last Name], ""), "")</f>
        <v>ORTIZ</v>
      </c>
      <c r="D56" t="str">
        <f>IFERROR(_xlfn.XLOOKUP(tabExam[[#This Row],[Unique ID]], tblMaster[Unique ID], tblMaster[Email_Clean], ""), "")</f>
        <v>ortiz.raul64@gmail.com</v>
      </c>
      <c r="E56" t="str">
        <f>IFERROR(_xlfn.XLOOKUP(tabExam[[#This Row],[Unique ID]], tblMaster[Unique ID], tblMaster[Phone], ""), "")</f>
        <v>617-309-6383</v>
      </c>
      <c r="F56" t="str">
        <f>IFERROR(_xlfn.XLOOKUP(tabExam[[#This Row],[Unique ID]], tblMaster[Unique ID], tblMaster[Recruiter], ""), "")</f>
        <v xml:space="preserve">Tom Clark </v>
      </c>
      <c r="G56" t="str">
        <f>IFERROR(_xlfn.XLOOKUP(tabExam[[#This Row],[Unique ID]], tblMaster[Unique ID], tblMaster[Recruitment Cycle], ""), "")</f>
        <v xml:space="preserve">New Submission/ Lead </v>
      </c>
      <c r="H56" t="s">
        <v>8150</v>
      </c>
      <c r="I56">
        <v>2026</v>
      </c>
      <c r="J56" t="s">
        <v>7446</v>
      </c>
      <c r="K56" t="s">
        <v>7439</v>
      </c>
      <c r="L56" t="s">
        <v>8154</v>
      </c>
      <c r="M56" t="s">
        <v>7434</v>
      </c>
      <c r="N56" t="s">
        <v>8175</v>
      </c>
      <c r="O56" s="2">
        <v>46070</v>
      </c>
      <c r="Q56">
        <f ca="1">IF(tabExam[[#This Row],[Log Date]]="","",TODAY()-tabExam[[#This Row],[Log Date]])</f>
        <v>9</v>
      </c>
      <c r="R56" t="str">
        <f>IF(tabExam[[#This Row],[Log Date]]="","",IF(TRIM(tabExam[[#This Row],[Exam Cycle Stage]])="Asked to be removed from database","NO","YES"))</f>
        <v>YES</v>
      </c>
      <c r="S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7" spans="1:19">
      <c r="A57" t="s">
        <v>8211</v>
      </c>
      <c r="B57" t="str">
        <f>IFERROR(_xlfn.XLOOKUP(tabExam[[#This Row],[Unique ID]], tblMaster[Unique ID], tblMaster[First Name], ""), "")</f>
        <v xml:space="preserve">Michael </v>
      </c>
      <c r="C57" t="str">
        <f>IFERROR(_xlfn.XLOOKUP(tabExam[[#This Row],[Unique ID]], tblMaster[Unique ID], tblMaster[Last Name], ""), "")</f>
        <v xml:space="preserve">Sputo Jr </v>
      </c>
      <c r="D57" t="str">
        <f>IFERROR(_xlfn.XLOOKUP(tabExam[[#This Row],[Unique ID]], tblMaster[Unique ID], tblMaster[Email_Clean], ""), "")</f>
        <v>mikesputo@icloud.com</v>
      </c>
      <c r="E57" t="str">
        <f>IFERROR(_xlfn.XLOOKUP(tabExam[[#This Row],[Unique ID]], tblMaster[Unique ID], tblMaster[Phone], ""), "")</f>
        <v xml:space="preserve">(774) 275-7702 </v>
      </c>
      <c r="F57" t="str">
        <f>IFERROR(_xlfn.XLOOKUP(tabExam[[#This Row],[Unique ID]], tblMaster[Unique ID], tblMaster[Recruiter], ""), "")</f>
        <v xml:space="preserve">Jevon Brown Simpson </v>
      </c>
      <c r="G57" t="str">
        <f>IFERROR(_xlfn.XLOOKUP(tabExam[[#This Row],[Unique ID]], tblMaster[Unique ID], tblMaster[Recruitment Cycle], ""), "")</f>
        <v xml:space="preserve">Re-Engagment </v>
      </c>
      <c r="H57" t="s">
        <v>8150</v>
      </c>
      <c r="I57">
        <v>2026</v>
      </c>
      <c r="J57" t="s">
        <v>7446</v>
      </c>
      <c r="K57" t="s">
        <v>7439</v>
      </c>
      <c r="L57" t="s">
        <v>8154</v>
      </c>
      <c r="M57" t="s">
        <v>7464</v>
      </c>
      <c r="O57" s="2">
        <v>46065</v>
      </c>
      <c r="Q57">
        <f ca="1">IF(tabExam[[#This Row],[Log Date]]="","",TODAY()-tabExam[[#This Row],[Log Date]])</f>
        <v>14</v>
      </c>
      <c r="R57" t="str">
        <f>IF(tabExam[[#This Row],[Log Date]]="","",IF(TRIM(tabExam[[#This Row],[Exam Cycle Stage]])="Asked to be removed from database","NO","YES"))</f>
        <v>YES</v>
      </c>
      <c r="S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8" spans="1:19">
      <c r="A58" t="s">
        <v>8212</v>
      </c>
      <c r="B58" t="str">
        <f>IFERROR(_xlfn.XLOOKUP(tabExam[[#This Row],[Unique ID]], tblMaster[Unique ID], tblMaster[First Name], ""), "")</f>
        <v xml:space="preserve">Molege </v>
      </c>
      <c r="C58" t="str">
        <f>IFERROR(_xlfn.XLOOKUP(tabExam[[#This Row],[Unique ID]], tblMaster[Unique ID], tblMaster[Last Name], ""), "")</f>
        <v xml:space="preserve">Ertilien </v>
      </c>
      <c r="D58" t="str">
        <f>IFERROR(_xlfn.XLOOKUP(tabExam[[#This Row],[Unique ID]], tblMaster[Unique ID], tblMaster[Email_Clean], ""), "")</f>
        <v>molegeertilien@gmail.com</v>
      </c>
      <c r="E58" t="str">
        <f>IFERROR(_xlfn.XLOOKUP(tabExam[[#This Row],[Unique ID]], tblMaster[Unique ID], tblMaster[Phone], ""), "")</f>
        <v>862)224-6896</v>
      </c>
      <c r="F58" t="str">
        <f>IFERROR(_xlfn.XLOOKUP(tabExam[[#This Row],[Unique ID]], tblMaster[Unique ID], tblMaster[Recruiter], ""), "")</f>
        <v>Zenon Moses</v>
      </c>
      <c r="G58" t="str">
        <f>IFERROR(_xlfn.XLOOKUP(tabExam[[#This Row],[Unique ID]], tblMaster[Unique ID], tblMaster[Recruitment Cycle], ""), "")</f>
        <v xml:space="preserve">Re-Engagment </v>
      </c>
      <c r="H58" t="s">
        <v>8164</v>
      </c>
      <c r="I58">
        <v>2025</v>
      </c>
      <c r="J58" t="s">
        <v>7446</v>
      </c>
      <c r="K58" t="s">
        <v>8151</v>
      </c>
      <c r="L58" t="s">
        <v>8165</v>
      </c>
      <c r="M58" t="s">
        <v>7434</v>
      </c>
      <c r="N58" t="s">
        <v>7435</v>
      </c>
      <c r="O58" s="2">
        <v>46065</v>
      </c>
      <c r="P58" t="s">
        <v>8158</v>
      </c>
      <c r="Q58">
        <f ca="1">IF(tabExam[[#This Row],[Log Date]]="","",TODAY()-tabExam[[#This Row],[Log Date]])</f>
        <v>14</v>
      </c>
      <c r="R58" t="str">
        <f>IF(tabExam[[#This Row],[Log Date]]="","",IF(TRIM(tabExam[[#This Row],[Exam Cycle Stage]])="Asked to be removed from database","NO","YES"))</f>
        <v>YES</v>
      </c>
      <c r="S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59" spans="1:19">
      <c r="A59" t="s">
        <v>8213</v>
      </c>
      <c r="B59" t="str">
        <f>IFERROR(_xlfn.XLOOKUP(tabExam[[#This Row],[Unique ID]], tblMaster[Unique ID], tblMaster[First Name], ""), "")</f>
        <v>Mathew</v>
      </c>
      <c r="C59" t="str">
        <f>IFERROR(_xlfn.XLOOKUP(tabExam[[#This Row],[Unique ID]], tblMaster[Unique ID], tblMaster[Last Name], ""), "")</f>
        <v xml:space="preserve"> H Corliss </v>
      </c>
      <c r="D59" t="str">
        <f>IFERROR(_xlfn.XLOOKUP(tabExam[[#This Row],[Unique ID]], tblMaster[Unique ID], tblMaster[Email_Clean], ""), "")</f>
        <v>mhcorliss@gmail.com</v>
      </c>
      <c r="E59" t="str">
        <f>IFERROR(_xlfn.XLOOKUP(tabExam[[#This Row],[Unique ID]], tblMaster[Unique ID], tblMaster[Phone], ""), "")</f>
        <v xml:space="preserve">(508) 789-9485 </v>
      </c>
      <c r="F59" t="str">
        <f>IFERROR(_xlfn.XLOOKUP(tabExam[[#This Row],[Unique ID]], tblMaster[Unique ID], tblMaster[Recruiter], ""), "")</f>
        <v xml:space="preserve">Tom Clark </v>
      </c>
      <c r="G59" t="str">
        <f>IFERROR(_xlfn.XLOOKUP(tabExam[[#This Row],[Unique ID]], tblMaster[Unique ID], tblMaster[Recruitment Cycle], ""), "")</f>
        <v xml:space="preserve">New Submission/ Lead </v>
      </c>
      <c r="H59" t="s">
        <v>8150</v>
      </c>
      <c r="I59">
        <v>2026</v>
      </c>
      <c r="J59" t="s">
        <v>7446</v>
      </c>
      <c r="K59" t="s">
        <v>7439</v>
      </c>
      <c r="L59" t="s">
        <v>8154</v>
      </c>
      <c r="M59" t="s">
        <v>7434</v>
      </c>
      <c r="N59" t="s">
        <v>7435</v>
      </c>
      <c r="O59" s="2">
        <v>46059</v>
      </c>
      <c r="P59" t="s">
        <v>8158</v>
      </c>
      <c r="Q59">
        <f ca="1">IF(tabExam[[#This Row],[Log Date]]="","",TODAY()-tabExam[[#This Row],[Log Date]])</f>
        <v>20</v>
      </c>
      <c r="R59" t="str">
        <f>IF(tabExam[[#This Row],[Log Date]]="","",IF(TRIM(tabExam[[#This Row],[Exam Cycle Stage]])="Asked to be removed from database","NO","YES"))</f>
        <v>YES</v>
      </c>
      <c r="S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0" spans="1:19">
      <c r="A60" t="s">
        <v>8214</v>
      </c>
      <c r="B60" t="str">
        <f>IFERROR(_xlfn.XLOOKUP(tabExam[[#This Row],[Unique ID]], tblMaster[Unique ID], tblMaster[First Name], ""), "")</f>
        <v xml:space="preserve">Sebastian </v>
      </c>
      <c r="C60" t="str">
        <f>IFERROR(_xlfn.XLOOKUP(tabExam[[#This Row],[Unique ID]], tblMaster[Unique ID], tblMaster[Last Name], ""), "")</f>
        <v xml:space="preserve"> Lariosa </v>
      </c>
      <c r="D60" t="str">
        <f>IFERROR(_xlfn.XLOOKUP(tabExam[[#This Row],[Unique ID]], tblMaster[Unique ID], tblMaster[Email_Clean], ""), "")</f>
        <v>sebastianlariosa@yahoo.com</v>
      </c>
      <c r="E60" t="str">
        <f>IFERROR(_xlfn.XLOOKUP(tabExam[[#This Row],[Unique ID]], tblMaster[Unique ID], tblMaster[Phone], ""), "")</f>
        <v xml:space="preserve">(508) 713-3739 </v>
      </c>
      <c r="F60" t="str">
        <f>IFERROR(_xlfn.XLOOKUP(tabExam[[#This Row],[Unique ID]], tblMaster[Unique ID], tblMaster[Recruiter], ""), "")</f>
        <v>Zenon Moses</v>
      </c>
      <c r="G60" t="str">
        <f>IFERROR(_xlfn.XLOOKUP(tabExam[[#This Row],[Unique ID]], tblMaster[Unique ID], tblMaster[Recruitment Cycle], ""), "")</f>
        <v xml:space="preserve">New Submission/ Lead </v>
      </c>
      <c r="H60" t="s">
        <v>8150</v>
      </c>
      <c r="I60">
        <v>2026</v>
      </c>
      <c r="J60" t="s">
        <v>7446</v>
      </c>
      <c r="K60" t="s">
        <v>8153</v>
      </c>
      <c r="L60" t="s">
        <v>8154</v>
      </c>
      <c r="M60" t="s">
        <v>7464</v>
      </c>
      <c r="N60" t="s">
        <v>7435</v>
      </c>
      <c r="O60" s="2">
        <v>46073</v>
      </c>
      <c r="P60" t="s">
        <v>8158</v>
      </c>
      <c r="Q60">
        <f ca="1">IF(tabExam[[#This Row],[Log Date]]="","",TODAY()-tabExam[[#This Row],[Log Date]])</f>
        <v>6</v>
      </c>
      <c r="R60" t="str">
        <f>IF(tabExam[[#This Row],[Log Date]]="","",IF(TRIM(tabExam[[#This Row],[Exam Cycle Stage]])="Asked to be removed from database","NO","YES"))</f>
        <v>YES</v>
      </c>
      <c r="S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1" spans="1:19">
      <c r="A61" t="s">
        <v>8215</v>
      </c>
      <c r="B61" t="str">
        <f>IFERROR(_xlfn.XLOOKUP(tabExam[[#This Row],[Unique ID]], tblMaster[Unique ID], tblMaster[First Name], ""), "")</f>
        <v xml:space="preserve">Karen </v>
      </c>
      <c r="C61" t="str">
        <f>IFERROR(_xlfn.XLOOKUP(tabExam[[#This Row],[Unique ID]], tblMaster[Unique ID], tblMaster[Last Name], ""), "")</f>
        <v xml:space="preserve"> Pierre </v>
      </c>
      <c r="D61" t="str">
        <f>IFERROR(_xlfn.XLOOKUP(tabExam[[#This Row],[Unique ID]], tblMaster[Unique ID], tblMaster[Email_Clean], ""), "")</f>
        <v>karenmms305@gmail.com</v>
      </c>
      <c r="E61" t="str">
        <f>IFERROR(_xlfn.XLOOKUP(tabExam[[#This Row],[Unique ID]], tblMaster[Unique ID], tblMaster[Phone], ""), "")</f>
        <v xml:space="preserve">508) 897-7729 </v>
      </c>
      <c r="F61" t="str">
        <f>IFERROR(_xlfn.XLOOKUP(tabExam[[#This Row],[Unique ID]], tblMaster[Unique ID], tblMaster[Recruiter], ""), "")</f>
        <v>Zenon Moses</v>
      </c>
      <c r="G61" t="str">
        <f>IFERROR(_xlfn.XLOOKUP(tabExam[[#This Row],[Unique ID]], tblMaster[Unique ID], tblMaster[Recruitment Cycle], ""), "")</f>
        <v xml:space="preserve">New Submission/ Lead </v>
      </c>
      <c r="H61" t="s">
        <v>8150</v>
      </c>
      <c r="I61">
        <v>2026</v>
      </c>
      <c r="J61" t="s">
        <v>7446</v>
      </c>
      <c r="K61" t="s">
        <v>8153</v>
      </c>
      <c r="L61" t="s">
        <v>8154</v>
      </c>
      <c r="M61" t="s">
        <v>7464</v>
      </c>
      <c r="N61" t="s">
        <v>8157</v>
      </c>
      <c r="O61" s="2">
        <v>46073</v>
      </c>
      <c r="P61" t="s">
        <v>8162</v>
      </c>
      <c r="Q61">
        <f ca="1">IF(tabExam[[#This Row],[Log Date]]="","",TODAY()-tabExam[[#This Row],[Log Date]])</f>
        <v>6</v>
      </c>
      <c r="R61" t="str">
        <f>IF(tabExam[[#This Row],[Log Date]]="","",IF(TRIM(tabExam[[#This Row],[Exam Cycle Stage]])="Asked to be removed from database","NO","YES"))</f>
        <v>YES</v>
      </c>
      <c r="S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2" spans="1:19">
      <c r="A62" t="s">
        <v>8008</v>
      </c>
      <c r="B62" t="str">
        <f>IFERROR(_xlfn.XLOOKUP(tabExam[[#This Row],[Unique ID]], tblMaster[Unique ID], tblMaster[First Name], ""), "")</f>
        <v xml:space="preserve">Travis </v>
      </c>
      <c r="C62" t="str">
        <f>IFERROR(_xlfn.XLOOKUP(tabExam[[#This Row],[Unique ID]], tblMaster[Unique ID], tblMaster[Last Name], ""), "")</f>
        <v>Henshaw</v>
      </c>
      <c r="D62" t="str">
        <f>IFERROR(_xlfn.XLOOKUP(tabExam[[#This Row],[Unique ID]], tblMaster[Unique ID], tblMaster[Email_Clean], ""), "")</f>
        <v>travishenshaw@yahoo.com</v>
      </c>
      <c r="E62" t="str">
        <f>IFERROR(_xlfn.XLOOKUP(tabExam[[#This Row],[Unique ID]], tblMaster[Unique ID], tblMaster[Phone], ""), "")</f>
        <v xml:space="preserve">401-374-0169 </v>
      </c>
      <c r="F62" t="str">
        <f>IFERROR(_xlfn.XLOOKUP(tabExam[[#This Row],[Unique ID]], tblMaster[Unique ID], tblMaster[Recruiter], ""), "")</f>
        <v xml:space="preserve">Jevon Brown Simpson </v>
      </c>
      <c r="G62" t="str">
        <f>IFERROR(_xlfn.XLOOKUP(tabExam[[#This Row],[Unique ID]], tblMaster[Unique ID], tblMaster[Recruitment Cycle], ""), "")</f>
        <v xml:space="preserve">New Submission/ Lead </v>
      </c>
      <c r="H62" t="s">
        <v>8150</v>
      </c>
      <c r="I62">
        <v>2026</v>
      </c>
      <c r="J62" t="s">
        <v>7446</v>
      </c>
      <c r="K62" t="s">
        <v>7439</v>
      </c>
      <c r="L62" t="s">
        <v>8154</v>
      </c>
      <c r="M62" t="s">
        <v>7464</v>
      </c>
      <c r="O62" s="2">
        <v>46065</v>
      </c>
      <c r="Q62">
        <f ca="1">IF(tabExam[[#This Row],[Log Date]]="","",TODAY()-tabExam[[#This Row],[Log Date]])</f>
        <v>14</v>
      </c>
      <c r="R62" t="str">
        <f>IF(tabExam[[#This Row],[Log Date]]="","",IF(TRIM(tabExam[[#This Row],[Exam Cycle Stage]])="Asked to be removed from database","NO","YES"))</f>
        <v>YES</v>
      </c>
      <c r="S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3" spans="1:19">
      <c r="A63" t="s">
        <v>8216</v>
      </c>
      <c r="B63" t="str">
        <f>IFERROR(_xlfn.XLOOKUP(tabExam[[#This Row],[Unique ID]], tblMaster[Unique ID], tblMaster[First Name], ""), "")</f>
        <v xml:space="preserve">Sankale </v>
      </c>
      <c r="C63" t="str">
        <f>IFERROR(_xlfn.XLOOKUP(tabExam[[#This Row],[Unique ID]], tblMaster[Unique ID], tblMaster[Last Name], ""), "")</f>
        <v xml:space="preserve"> Kennedy</v>
      </c>
      <c r="D63" t="str">
        <f>IFERROR(_xlfn.XLOOKUP(tabExam[[#This Row],[Unique ID]], tblMaster[Unique ID], tblMaster[Email_Clean], ""), "")</f>
        <v>olesankale9@gmail.com</v>
      </c>
      <c r="E63" t="str">
        <f>IFERROR(_xlfn.XLOOKUP(tabExam[[#This Row],[Unique ID]], tblMaster[Unique ID], tblMaster[Phone], ""), "")</f>
        <v>971-380-9995</v>
      </c>
      <c r="F63" t="str">
        <f>IFERROR(_xlfn.XLOOKUP(tabExam[[#This Row],[Unique ID]], tblMaster[Unique ID], tblMaster[Recruiter], ""), "")</f>
        <v xml:space="preserve">Jevon Brown Simpson </v>
      </c>
      <c r="G63" t="str">
        <f>IFERROR(_xlfn.XLOOKUP(tabExam[[#This Row],[Unique ID]], tblMaster[Unique ID], tblMaster[Recruitment Cycle], ""), "")</f>
        <v xml:space="preserve">Re-Engagment/Post Civil Service Exam </v>
      </c>
      <c r="H63" t="s">
        <v>8150</v>
      </c>
      <c r="I63">
        <v>2026</v>
      </c>
      <c r="J63" t="s">
        <v>7446</v>
      </c>
      <c r="K63" t="s">
        <v>7439</v>
      </c>
      <c r="L63" t="s">
        <v>8154</v>
      </c>
      <c r="M63" t="s">
        <v>7464</v>
      </c>
      <c r="O63" s="2">
        <v>46065</v>
      </c>
      <c r="Q63">
        <f ca="1">IF(tabExam[[#This Row],[Log Date]]="","",TODAY()-tabExam[[#This Row],[Log Date]])</f>
        <v>14</v>
      </c>
      <c r="R63" t="str">
        <f>IF(tabExam[[#This Row],[Log Date]]="","",IF(TRIM(tabExam[[#This Row],[Exam Cycle Stage]])="Asked to be removed from database","NO","YES"))</f>
        <v>YES</v>
      </c>
      <c r="S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4" spans="1:19">
      <c r="A64" t="s">
        <v>8217</v>
      </c>
      <c r="B64" t="str">
        <f>IFERROR(_xlfn.XLOOKUP(tabExam[[#This Row],[Unique ID]], tblMaster[Unique ID], tblMaster[First Name], ""), "")</f>
        <v xml:space="preserve">Joseph </v>
      </c>
      <c r="C64" t="str">
        <f>IFERROR(_xlfn.XLOOKUP(tabExam[[#This Row],[Unique ID]], tblMaster[Unique ID], tblMaster[Last Name], ""), "")</f>
        <v xml:space="preserve">Joseph Shumsky </v>
      </c>
      <c r="D64" t="str">
        <f>IFERROR(_xlfn.XLOOKUP(tabExam[[#This Row],[Unique ID]], tblMaster[Unique ID], tblMaster[Email_Clean], ""), "")</f>
        <v>josephshumsky@protonmail.com</v>
      </c>
      <c r="E64" t="str">
        <f>IFERROR(_xlfn.XLOOKUP(tabExam[[#This Row],[Unique ID]], tblMaster[Unique ID], tblMaster[Phone], ""), "")</f>
        <v xml:space="preserve">(978) 868-8909 </v>
      </c>
      <c r="F64" t="str">
        <f>IFERROR(_xlfn.XLOOKUP(tabExam[[#This Row],[Unique ID]], tblMaster[Unique ID], tblMaster[Recruiter], ""), "")</f>
        <v xml:space="preserve">Tom Clark </v>
      </c>
      <c r="G64" t="str">
        <f>IFERROR(_xlfn.XLOOKUP(tabExam[[#This Row],[Unique ID]], tblMaster[Unique ID], tblMaster[Recruitment Cycle], ""), "")</f>
        <v xml:space="preserve">New Submission/ Lead </v>
      </c>
      <c r="H64" t="s">
        <v>8150</v>
      </c>
      <c r="I64">
        <v>2026</v>
      </c>
      <c r="J64" t="s">
        <v>7446</v>
      </c>
      <c r="K64" t="s">
        <v>7439</v>
      </c>
      <c r="L64" t="s">
        <v>8154</v>
      </c>
      <c r="M64" t="s">
        <v>7434</v>
      </c>
      <c r="N64" t="s">
        <v>8175</v>
      </c>
      <c r="O64" s="2">
        <v>46070</v>
      </c>
      <c r="P64" t="s">
        <v>8158</v>
      </c>
      <c r="Q64">
        <f ca="1">IF(tabExam[[#This Row],[Log Date]]="","",TODAY()-tabExam[[#This Row],[Log Date]])</f>
        <v>9</v>
      </c>
      <c r="R64" t="str">
        <f>IF(tabExam[[#This Row],[Log Date]]="","",IF(TRIM(tabExam[[#This Row],[Exam Cycle Stage]])="Asked to be removed from database","NO","YES"))</f>
        <v>YES</v>
      </c>
      <c r="S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5" spans="1:19">
      <c r="A65" t="s">
        <v>8218</v>
      </c>
      <c r="B65" t="str">
        <f>IFERROR(_xlfn.XLOOKUP(tabExam[[#This Row],[Unique ID]], tblMaster[Unique ID], tblMaster[First Name], ""), "")</f>
        <v xml:space="preserve">Moises </v>
      </c>
      <c r="C65" t="str">
        <f>IFERROR(_xlfn.XLOOKUP(tabExam[[#This Row],[Unique ID]], tblMaster[Unique ID], tblMaster[Last Name], ""), "")</f>
        <v>Viana da Silva</v>
      </c>
      <c r="D65" t="str">
        <f>IFERROR(_xlfn.XLOOKUP(tabExam[[#This Row],[Unique ID]], tblMaster[Unique ID], tblMaster[Email_Clean], ""), "")</f>
        <v>moisesviana1975@gmail.com</v>
      </c>
      <c r="E65" t="str">
        <f>IFERROR(_xlfn.XLOOKUP(tabExam[[#This Row],[Unique ID]], tblMaster[Unique ID], tblMaster[Phone], ""), "")</f>
        <v>508) 739-3953</v>
      </c>
      <c r="F65" t="str">
        <f>IFERROR(_xlfn.XLOOKUP(tabExam[[#This Row],[Unique ID]], tblMaster[Unique ID], tblMaster[Recruiter], ""), "")</f>
        <v>Zenon Moses</v>
      </c>
      <c r="G65" t="str">
        <f>IFERROR(_xlfn.XLOOKUP(tabExam[[#This Row],[Unique ID]], tblMaster[Unique ID], tblMaster[Recruitment Cycle], ""), "")</f>
        <v xml:space="preserve">New Submission/ Lead </v>
      </c>
      <c r="H65" t="s">
        <v>8150</v>
      </c>
      <c r="I65">
        <v>2026</v>
      </c>
      <c r="J65" t="s">
        <v>7446</v>
      </c>
      <c r="K65" t="s">
        <v>8153</v>
      </c>
      <c r="L65" t="s">
        <v>8154</v>
      </c>
      <c r="M65" t="s">
        <v>7464</v>
      </c>
      <c r="N65" t="s">
        <v>8175</v>
      </c>
      <c r="O65" s="2">
        <v>46073</v>
      </c>
      <c r="P65" t="s">
        <v>8162</v>
      </c>
      <c r="Q65">
        <f ca="1">IF(tabExam[[#This Row],[Log Date]]="","",TODAY()-tabExam[[#This Row],[Log Date]])</f>
        <v>6</v>
      </c>
      <c r="R65" t="str">
        <f>IF(tabExam[[#This Row],[Log Date]]="","",IF(TRIM(tabExam[[#This Row],[Exam Cycle Stage]])="Asked to be removed from database","NO","YES"))</f>
        <v>YES</v>
      </c>
      <c r="S6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6" spans="1:19">
      <c r="A66" t="s">
        <v>8219</v>
      </c>
      <c r="B66" t="str">
        <f>IFERROR(_xlfn.XLOOKUP(tabExam[[#This Row],[Unique ID]], tblMaster[Unique ID], tblMaster[First Name], ""), "")</f>
        <v>Karl</v>
      </c>
      <c r="C66" t="str">
        <f>IFERROR(_xlfn.XLOOKUP(tabExam[[#This Row],[Unique ID]], tblMaster[Unique ID], tblMaster[Last Name], ""), "")</f>
        <v xml:space="preserve">Brown </v>
      </c>
      <c r="D66" t="str">
        <f>IFERROR(_xlfn.XLOOKUP(tabExam[[#This Row],[Unique ID]], tblMaster[Unique ID], tblMaster[Email_Clean], ""), "")</f>
        <v>tecaterunner@gmail.com</v>
      </c>
      <c r="E66" t="str">
        <f>IFERROR(_xlfn.XLOOKUP(tabExam[[#This Row],[Unique ID]], tblMaster[Unique ID], tblMaster[Phone], ""), "")</f>
        <v xml:space="preserve">508) 579-1817 </v>
      </c>
      <c r="F66" t="str">
        <f>IFERROR(_xlfn.XLOOKUP(tabExam[[#This Row],[Unique ID]], tblMaster[Unique ID], tblMaster[Recruiter], ""), "")</f>
        <v>Zenon Moses</v>
      </c>
      <c r="G66" t="str">
        <f>IFERROR(_xlfn.XLOOKUP(tabExam[[#This Row],[Unique ID]], tblMaster[Unique ID], tblMaster[Recruitment Cycle], ""), "")</f>
        <v xml:space="preserve">New Submission/ Lead </v>
      </c>
      <c r="H66" t="s">
        <v>8186</v>
      </c>
      <c r="I66">
        <v>2026</v>
      </c>
      <c r="J66" t="s">
        <v>7436</v>
      </c>
      <c r="K66" t="s">
        <v>7445</v>
      </c>
      <c r="L66" t="s">
        <v>8154</v>
      </c>
      <c r="M66" t="s">
        <v>7434</v>
      </c>
      <c r="N66" t="s">
        <v>8175</v>
      </c>
      <c r="O66" s="2">
        <v>46059</v>
      </c>
      <c r="P66" t="s">
        <v>8158</v>
      </c>
      <c r="Q66">
        <f ca="1">IF(tabExam[[#This Row],[Log Date]]="","",TODAY()-tabExam[[#This Row],[Log Date]])</f>
        <v>20</v>
      </c>
      <c r="R66" t="str">
        <f>IF(tabExam[[#This Row],[Log Date]]="","",IF(TRIM(tabExam[[#This Row],[Exam Cycle Stage]])="Asked to be removed from database","NO","YES"))</f>
        <v>YES</v>
      </c>
      <c r="S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7" spans="1:19">
      <c r="A67" t="s">
        <v>7909</v>
      </c>
      <c r="B67" t="str">
        <f>IFERROR(_xlfn.XLOOKUP(tabExam[[#This Row],[Unique ID]], tblMaster[Unique ID], tblMaster[First Name], ""), "")</f>
        <v xml:space="preserve">Othoniel </v>
      </c>
      <c r="C67" t="str">
        <f>IFERROR(_xlfn.XLOOKUP(tabExam[[#This Row],[Unique ID]], tblMaster[Unique ID], tblMaster[Last Name], ""), "")</f>
        <v>Medina</v>
      </c>
      <c r="D67" t="str">
        <f>IFERROR(_xlfn.XLOOKUP(tabExam[[#This Row],[Unique ID]], tblMaster[Unique ID], tblMaster[Email_Clean], ""), "")</f>
        <v>tmtito@gmail.com</v>
      </c>
      <c r="E67" t="str">
        <f>IFERROR(_xlfn.XLOOKUP(tabExam[[#This Row],[Unique ID]], tblMaster[Unique ID], tblMaster[Phone], ""), "")</f>
        <v>774 433 0022</v>
      </c>
      <c r="F67" t="str">
        <f>IFERROR(_xlfn.XLOOKUP(tabExam[[#This Row],[Unique ID]], tblMaster[Unique ID], tblMaster[Recruiter], ""), "")</f>
        <v>Zenon Moses</v>
      </c>
      <c r="G67" t="str">
        <f>IFERROR(_xlfn.XLOOKUP(tabExam[[#This Row],[Unique ID]], tblMaster[Unique ID], tblMaster[Recruitment Cycle], ""), "")</f>
        <v xml:space="preserve">New Submission/ Lead </v>
      </c>
      <c r="H67" t="s">
        <v>8150</v>
      </c>
      <c r="I67">
        <v>2026</v>
      </c>
      <c r="J67" t="s">
        <v>7446</v>
      </c>
      <c r="K67" t="s">
        <v>8153</v>
      </c>
      <c r="L67" t="s">
        <v>8167</v>
      </c>
      <c r="M67" t="s">
        <v>7464</v>
      </c>
      <c r="N67" t="s">
        <v>7435</v>
      </c>
      <c r="O67" s="2">
        <v>46073</v>
      </c>
      <c r="P67" t="s">
        <v>8158</v>
      </c>
      <c r="Q67">
        <f ca="1">IF(tabExam[[#This Row],[Log Date]]="","",TODAY()-tabExam[[#This Row],[Log Date]])</f>
        <v>6</v>
      </c>
      <c r="R67" t="str">
        <f>IF(tabExam[[#This Row],[Log Date]]="","",IF(TRIM(tabExam[[#This Row],[Exam Cycle Stage]])="Asked to be removed from database","NO","YES"))</f>
        <v>YES</v>
      </c>
      <c r="S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8" spans="1:19">
      <c r="A68" t="s">
        <v>8088</v>
      </c>
      <c r="B68" t="str">
        <f>IFERROR(_xlfn.XLOOKUP(tabExam[[#This Row],[Unique ID]], tblMaster[Unique ID], tblMaster[First Name], ""), "")</f>
        <v>Sarah</v>
      </c>
      <c r="C68" t="str">
        <f>IFERROR(_xlfn.XLOOKUP(tabExam[[#This Row],[Unique ID]], tblMaster[Unique ID], tblMaster[Last Name], ""), "")</f>
        <v>Ribeiro</v>
      </c>
      <c r="D68" t="str">
        <f>IFERROR(_xlfn.XLOOKUP(tabExam[[#This Row],[Unique ID]], tblMaster[Unique ID], tblMaster[Email_Clean], ""), "")</f>
        <v>sarah.ribeiro001@umb.edu</v>
      </c>
      <c r="E68" t="str">
        <f>IFERROR(_xlfn.XLOOKUP(tabExam[[#This Row],[Unique ID]], tblMaster[Unique ID], tblMaster[Phone], ""), "")</f>
        <v>774-778-3277</v>
      </c>
      <c r="F68" t="str">
        <f>IFERROR(_xlfn.XLOOKUP(tabExam[[#This Row],[Unique ID]], tblMaster[Unique ID], tblMaster[Recruiter], ""), "")</f>
        <v xml:space="preserve">Jevon Brown Simpson </v>
      </c>
      <c r="G68" t="str">
        <f>IFERROR(_xlfn.XLOOKUP(tabExam[[#This Row],[Unique ID]], tblMaster[Unique ID], tblMaster[Recruitment Cycle], ""), "")</f>
        <v xml:space="preserve">Re-Engagment </v>
      </c>
      <c r="H68" t="s">
        <v>8150</v>
      </c>
      <c r="I68">
        <v>2026</v>
      </c>
      <c r="J68" t="s">
        <v>7446</v>
      </c>
      <c r="K68" t="s">
        <v>7439</v>
      </c>
      <c r="L68" t="s">
        <v>8154</v>
      </c>
      <c r="M68" t="s">
        <v>7464</v>
      </c>
      <c r="N68" t="s">
        <v>7435</v>
      </c>
      <c r="O68" s="2">
        <v>46069</v>
      </c>
      <c r="Q68">
        <f ca="1">IF(tabExam[[#This Row],[Log Date]]="","",TODAY()-tabExam[[#This Row],[Log Date]])</f>
        <v>10</v>
      </c>
      <c r="R68" t="str">
        <f>IF(tabExam[[#This Row],[Log Date]]="","",IF(TRIM(tabExam[[#This Row],[Exam Cycle Stage]])="Asked to be removed from database","NO","YES"))</f>
        <v>YES</v>
      </c>
      <c r="S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69" spans="1:19">
      <c r="A69" t="s">
        <v>8220</v>
      </c>
      <c r="B69" t="str">
        <f>IFERROR(_xlfn.XLOOKUP(tabExam[[#This Row],[Unique ID]], tblMaster[Unique ID], tblMaster[First Name], ""), "")</f>
        <v>Anthony</v>
      </c>
      <c r="C69" t="str">
        <f>IFERROR(_xlfn.XLOOKUP(tabExam[[#This Row],[Unique ID]], tblMaster[Unique ID], tblMaster[Last Name], ""), "")</f>
        <v xml:space="preserve">Amponsah </v>
      </c>
      <c r="D69" t="str">
        <f>IFERROR(_xlfn.XLOOKUP(tabExam[[#This Row],[Unique ID]], tblMaster[Unique ID], tblMaster[Email_Clean], ""), "")</f>
        <v>anthonyamponsah42@gmail.com</v>
      </c>
      <c r="E69" t="str">
        <f>IFERROR(_xlfn.XLOOKUP(tabExam[[#This Row],[Unique ID]], tblMaster[Unique ID], tblMaster[Phone], ""), "")</f>
        <v xml:space="preserve">(646) 875-9040 </v>
      </c>
      <c r="F69" t="str">
        <f>IFERROR(_xlfn.XLOOKUP(tabExam[[#This Row],[Unique ID]], tblMaster[Unique ID], tblMaster[Recruiter], ""), "")</f>
        <v xml:space="preserve">Tom Clark </v>
      </c>
      <c r="G69" t="str">
        <f>IFERROR(_xlfn.XLOOKUP(tabExam[[#This Row],[Unique ID]], tblMaster[Unique ID], tblMaster[Recruitment Cycle], ""), "")</f>
        <v xml:space="preserve">Re-Engagment </v>
      </c>
      <c r="H69" t="s">
        <v>8150</v>
      </c>
      <c r="I69">
        <v>2026</v>
      </c>
      <c r="J69" t="s">
        <v>7446</v>
      </c>
      <c r="K69" t="s">
        <v>7439</v>
      </c>
      <c r="L69" t="s">
        <v>8154</v>
      </c>
      <c r="M69" t="s">
        <v>7434</v>
      </c>
      <c r="N69" t="s">
        <v>7435</v>
      </c>
      <c r="O69" s="2">
        <v>46059</v>
      </c>
      <c r="P69" t="s">
        <v>8158</v>
      </c>
      <c r="Q69">
        <f ca="1">IF(tabExam[[#This Row],[Log Date]]="","",TODAY()-tabExam[[#This Row],[Log Date]])</f>
        <v>20</v>
      </c>
      <c r="R69" t="str">
        <f>IF(tabExam[[#This Row],[Log Date]]="","",IF(TRIM(tabExam[[#This Row],[Exam Cycle Stage]])="Asked to be removed from database","NO","YES"))</f>
        <v>YES</v>
      </c>
      <c r="S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0" spans="1:19">
      <c r="A70" t="s">
        <v>8221</v>
      </c>
      <c r="B70" t="str">
        <f>IFERROR(_xlfn.XLOOKUP(tabExam[[#This Row],[Unique ID]], tblMaster[Unique ID], tblMaster[First Name], ""), "")</f>
        <v>Dyneisha</v>
      </c>
      <c r="C70" t="str">
        <f>IFERROR(_xlfn.XLOOKUP(tabExam[[#This Row],[Unique ID]], tblMaster[Unique ID], tblMaster[Last Name], ""), "")</f>
        <v>Corbett</v>
      </c>
      <c r="D70" t="str">
        <f>IFERROR(_xlfn.XLOOKUP(tabExam[[#This Row],[Unique ID]], tblMaster[Unique ID], tblMaster[Email_Clean], ""), "")</f>
        <v>dyneishacorbett03@gmail.com</v>
      </c>
      <c r="E70" t="str">
        <f>IFERROR(_xlfn.XLOOKUP(tabExam[[#This Row],[Unique ID]], tblMaster[Unique ID], tblMaster[Phone], ""), "")</f>
        <v>781-809-5102</v>
      </c>
      <c r="F70" t="str">
        <f>IFERROR(_xlfn.XLOOKUP(tabExam[[#This Row],[Unique ID]], tblMaster[Unique ID], tblMaster[Recruiter], ""), "")</f>
        <v xml:space="preserve">Tom Clark </v>
      </c>
      <c r="G70" t="str">
        <f>IFERROR(_xlfn.XLOOKUP(tabExam[[#This Row],[Unique ID]], tblMaster[Unique ID], tblMaster[Recruitment Cycle], ""), "")</f>
        <v xml:space="preserve">New Submission/ Lead </v>
      </c>
      <c r="H70" t="s">
        <v>8150</v>
      </c>
      <c r="I70">
        <v>2026</v>
      </c>
      <c r="J70" t="s">
        <v>7446</v>
      </c>
      <c r="K70" t="s">
        <v>7439</v>
      </c>
      <c r="L70" t="s">
        <v>8154</v>
      </c>
      <c r="M70" t="s">
        <v>7434</v>
      </c>
      <c r="N70" t="s">
        <v>7435</v>
      </c>
      <c r="O70" s="2">
        <v>46070</v>
      </c>
      <c r="P70" t="s">
        <v>8158</v>
      </c>
      <c r="Q70">
        <f ca="1">IF(tabExam[[#This Row],[Log Date]]="","",TODAY()-tabExam[[#This Row],[Log Date]])</f>
        <v>9</v>
      </c>
      <c r="R70" t="str">
        <f>IF(tabExam[[#This Row],[Log Date]]="","",IF(TRIM(tabExam[[#This Row],[Exam Cycle Stage]])="Asked to be removed from database","NO","YES"))</f>
        <v>YES</v>
      </c>
      <c r="S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1" spans="1:19">
      <c r="A71" t="s">
        <v>8222</v>
      </c>
      <c r="B71" t="str">
        <f>IFERROR(_xlfn.XLOOKUP(tabExam[[#This Row],[Unique ID]], tblMaster[Unique ID], tblMaster[First Name], ""), "")</f>
        <v xml:space="preserve">Robson </v>
      </c>
      <c r="C71" t="str">
        <f>IFERROR(_xlfn.XLOOKUP(tabExam[[#This Row],[Unique ID]], tblMaster[Unique ID], tblMaster[Last Name], ""), "")</f>
        <v xml:space="preserve"> Desousa</v>
      </c>
      <c r="D71" t="str">
        <f>IFERROR(_xlfn.XLOOKUP(tabExam[[#This Row],[Unique ID]], tblMaster[Unique ID], tblMaster[Email_Clean], ""), "")</f>
        <v>desousar347@gmail.com</v>
      </c>
      <c r="E71" t="str">
        <f>IFERROR(_xlfn.XLOOKUP(tabExam[[#This Row],[Unique ID]], tblMaster[Unique ID], tblMaster[Phone], ""), "")</f>
        <v xml:space="preserve">774-737-4117 </v>
      </c>
      <c r="F71" t="str">
        <f>IFERROR(_xlfn.XLOOKUP(tabExam[[#This Row],[Unique ID]], tblMaster[Unique ID], tblMaster[Recruiter], ""), "")</f>
        <v xml:space="preserve">Tom Clark </v>
      </c>
      <c r="G71" t="str">
        <f>IFERROR(_xlfn.XLOOKUP(tabExam[[#This Row],[Unique ID]], tblMaster[Unique ID], tblMaster[Recruitment Cycle], ""), "")</f>
        <v xml:space="preserve">New Submission/ Lead </v>
      </c>
      <c r="H71" t="s">
        <v>8150</v>
      </c>
      <c r="I71">
        <v>2026</v>
      </c>
      <c r="J71" t="s">
        <v>7446</v>
      </c>
      <c r="K71" t="s">
        <v>7439</v>
      </c>
      <c r="L71" t="s">
        <v>8154</v>
      </c>
      <c r="M71" t="s">
        <v>7434</v>
      </c>
      <c r="N71" t="s">
        <v>7435</v>
      </c>
      <c r="O71" s="2">
        <v>46059</v>
      </c>
      <c r="P71" t="s">
        <v>8158</v>
      </c>
      <c r="Q71">
        <f ca="1">IF(tabExam[[#This Row],[Log Date]]="","",TODAY()-tabExam[[#This Row],[Log Date]])</f>
        <v>20</v>
      </c>
      <c r="R71" t="str">
        <f>IF(tabExam[[#This Row],[Log Date]]="","",IF(TRIM(tabExam[[#This Row],[Exam Cycle Stage]])="Asked to be removed from database","NO","YES"))</f>
        <v>YES</v>
      </c>
      <c r="S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2" spans="1:19">
      <c r="A72" t="s">
        <v>8223</v>
      </c>
      <c r="B72" t="str">
        <f>IFERROR(_xlfn.XLOOKUP(tabExam[[#This Row],[Unique ID]], tblMaster[Unique ID], tblMaster[First Name], ""), "")</f>
        <v xml:space="preserve">Jessica </v>
      </c>
      <c r="C72" t="str">
        <f>IFERROR(_xlfn.XLOOKUP(tabExam[[#This Row],[Unique ID]], tblMaster[Unique ID], tblMaster[Last Name], ""), "")</f>
        <v xml:space="preserve"> Flagg </v>
      </c>
      <c r="D72" t="str">
        <f>IFERROR(_xlfn.XLOOKUP(tabExam[[#This Row],[Unique ID]], tblMaster[Unique ID], tblMaster[Email_Clean], ""), "")</f>
        <v>purplepop1685@gmail.com</v>
      </c>
      <c r="E72" t="str">
        <f>IFERROR(_xlfn.XLOOKUP(tabExam[[#This Row],[Unique ID]], tblMaster[Unique ID], tblMaster[Phone], ""), "")</f>
        <v xml:space="preserve">(508) 744-8841 </v>
      </c>
      <c r="F72" t="str">
        <f>IFERROR(_xlfn.XLOOKUP(tabExam[[#This Row],[Unique ID]], tblMaster[Unique ID], tblMaster[Recruiter], ""), "")</f>
        <v xml:space="preserve">Tom Clark </v>
      </c>
      <c r="G72" t="str">
        <f>IFERROR(_xlfn.XLOOKUP(tabExam[[#This Row],[Unique ID]], tblMaster[Unique ID], tblMaster[Recruitment Cycle], ""), "")</f>
        <v xml:space="preserve">New Submission/ Lead </v>
      </c>
      <c r="H72" t="s">
        <v>8186</v>
      </c>
      <c r="I72">
        <v>2026</v>
      </c>
      <c r="J72" t="s">
        <v>7446</v>
      </c>
      <c r="K72" t="s">
        <v>7439</v>
      </c>
      <c r="L72" t="s">
        <v>8154</v>
      </c>
      <c r="M72" t="s">
        <v>7434</v>
      </c>
      <c r="N72" t="s">
        <v>7435</v>
      </c>
      <c r="O72" s="2">
        <v>46059</v>
      </c>
      <c r="P72" t="s">
        <v>8192</v>
      </c>
      <c r="Q72">
        <f ca="1">IF(tabExam[[#This Row],[Log Date]]="","",TODAY()-tabExam[[#This Row],[Log Date]])</f>
        <v>20</v>
      </c>
      <c r="R72" t="str">
        <f>IF(tabExam[[#This Row],[Log Date]]="","",IF(TRIM(tabExam[[#This Row],[Exam Cycle Stage]])="Asked to be removed from database","NO","YES"))</f>
        <v>YES</v>
      </c>
      <c r="S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3" spans="1:19">
      <c r="A73" t="s">
        <v>8224</v>
      </c>
      <c r="B73" t="str">
        <f>IFERROR(_xlfn.XLOOKUP(tabExam[[#This Row],[Unique ID]], tblMaster[Unique ID], tblMaster[First Name], ""), "")</f>
        <v>Xavier</v>
      </c>
      <c r="C73" t="str">
        <f>IFERROR(_xlfn.XLOOKUP(tabExam[[#This Row],[Unique ID]], tblMaster[Unique ID], tblMaster[Last Name], ""), "")</f>
        <v xml:space="preserve">Vinnie </v>
      </c>
      <c r="D73" t="str">
        <f>IFERROR(_xlfn.XLOOKUP(tabExam[[#This Row],[Unique ID]], tblMaster[Unique ID], tblMaster[Email_Clean], ""), "")</f>
        <v>xaviervinnie6@icloud.com</v>
      </c>
      <c r="E73" t="str">
        <f>IFERROR(_xlfn.XLOOKUP(tabExam[[#This Row],[Unique ID]], tblMaster[Unique ID], tblMaster[Phone], ""), "")</f>
        <v>(774) 218-0614</v>
      </c>
      <c r="F73" t="str">
        <f>IFERROR(_xlfn.XLOOKUP(tabExam[[#This Row],[Unique ID]], tblMaster[Unique ID], tblMaster[Recruiter], ""), "")</f>
        <v xml:space="preserve">Tom Clark </v>
      </c>
      <c r="G73" t="str">
        <f>IFERROR(_xlfn.XLOOKUP(tabExam[[#This Row],[Unique ID]], tblMaster[Unique ID], tblMaster[Recruitment Cycle], ""), "")</f>
        <v xml:space="preserve">New Submission/ Lead </v>
      </c>
      <c r="H73" t="s">
        <v>8150</v>
      </c>
      <c r="I73">
        <v>2026</v>
      </c>
      <c r="J73" t="s">
        <v>7446</v>
      </c>
      <c r="K73" t="s">
        <v>7439</v>
      </c>
      <c r="L73" t="s">
        <v>8154</v>
      </c>
      <c r="M73" t="s">
        <v>7434</v>
      </c>
      <c r="N73" t="s">
        <v>8175</v>
      </c>
      <c r="O73" s="2">
        <v>46070</v>
      </c>
      <c r="Q73">
        <f ca="1">IF(tabExam[[#This Row],[Log Date]]="","",TODAY()-tabExam[[#This Row],[Log Date]])</f>
        <v>9</v>
      </c>
      <c r="R73" t="str">
        <f>IF(tabExam[[#This Row],[Log Date]]="","",IF(TRIM(tabExam[[#This Row],[Exam Cycle Stage]])="Asked to be removed from database","NO","YES"))</f>
        <v>YES</v>
      </c>
      <c r="S7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4" spans="1:19">
      <c r="A74" t="s">
        <v>8096</v>
      </c>
      <c r="B74" t="str">
        <f>IFERROR(_xlfn.XLOOKUP(tabExam[[#This Row],[Unique ID]], tblMaster[Unique ID], tblMaster[First Name], ""), "")</f>
        <v>Elias</v>
      </c>
      <c r="C74" t="str">
        <f>IFERROR(_xlfn.XLOOKUP(tabExam[[#This Row],[Unique ID]], tblMaster[Unique ID], tblMaster[Last Name], ""), "")</f>
        <v>Flores</v>
      </c>
      <c r="D74" t="str">
        <f>IFERROR(_xlfn.XLOOKUP(tabExam[[#This Row],[Unique ID]], tblMaster[Unique ID], tblMaster[Email_Clean], ""), "")</f>
        <v>eliasjflores18@gmail.com</v>
      </c>
      <c r="E74" t="str">
        <f>IFERROR(_xlfn.XLOOKUP(tabExam[[#This Row],[Unique ID]], tblMaster[Unique ID], tblMaster[Phone], ""), "")</f>
        <v>401-837-9383</v>
      </c>
      <c r="F74" t="str">
        <f>IFERROR(_xlfn.XLOOKUP(tabExam[[#This Row],[Unique ID]], tblMaster[Unique ID], tblMaster[Recruiter], ""), "")</f>
        <v xml:space="preserve">Jevon Brown Simpson </v>
      </c>
      <c r="G74" t="str">
        <f>IFERROR(_xlfn.XLOOKUP(tabExam[[#This Row],[Unique ID]], tblMaster[Unique ID], tblMaster[Recruitment Cycle], ""), "")</f>
        <v xml:space="preserve">Re-Engagment/Post Civil Service Exam </v>
      </c>
      <c r="H74" t="s">
        <v>8164</v>
      </c>
      <c r="I74">
        <v>2025</v>
      </c>
      <c r="J74" t="s">
        <v>7446</v>
      </c>
      <c r="K74" t="s">
        <v>8200</v>
      </c>
      <c r="L74" t="s">
        <v>8154</v>
      </c>
      <c r="Q74" t="str">
        <f ca="1">IF(tabExam[[#This Row],[Log Date]]="","",TODAY()-tabExam[[#This Row],[Log Date]])</f>
        <v/>
      </c>
      <c r="R74" t="str">
        <f>IF(tabExam[[#This Row],[Log Date]]="","",IF(TRIM(tabExam[[#This Row],[Exam Cycle Stage]])="Asked to be removed from database","NO","YES"))</f>
        <v/>
      </c>
      <c r="S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5" spans="1:19">
      <c r="A75" t="s">
        <v>8225</v>
      </c>
      <c r="B75" t="str">
        <f>IFERROR(_xlfn.XLOOKUP(tabExam[[#This Row],[Unique ID]], tblMaster[Unique ID], tblMaster[First Name], ""), "")</f>
        <v xml:space="preserve">Aleah </v>
      </c>
      <c r="C75" t="str">
        <f>IFERROR(_xlfn.XLOOKUP(tabExam[[#This Row],[Unique ID]], tblMaster[Unique ID], tblMaster[Last Name], ""), "")</f>
        <v>Johnson</v>
      </c>
      <c r="D75" t="str">
        <f>IFERROR(_xlfn.XLOOKUP(tabExam[[#This Row],[Unique ID]], tblMaster[Unique ID], tblMaster[Email_Clean], ""), "")</f>
        <v>aleah52002@gmail.com</v>
      </c>
      <c r="E75" t="str">
        <f>IFERROR(_xlfn.XLOOKUP(tabExam[[#This Row],[Unique ID]], tblMaster[Unique ID], tblMaster[Phone], ""), "")</f>
        <v>347-814-4483</v>
      </c>
      <c r="F75" t="str">
        <f>IFERROR(_xlfn.XLOOKUP(tabExam[[#This Row],[Unique ID]], tblMaster[Unique ID], tblMaster[Recruiter], ""), "")</f>
        <v xml:space="preserve">Jevon Brown Simpson </v>
      </c>
      <c r="G75" t="str">
        <f>IFERROR(_xlfn.XLOOKUP(tabExam[[#This Row],[Unique ID]], tblMaster[Unique ID], tblMaster[Recruitment Cycle], ""), "")</f>
        <v xml:space="preserve">Re-Engagment </v>
      </c>
      <c r="H75" t="s">
        <v>8150</v>
      </c>
      <c r="I75">
        <v>2026</v>
      </c>
      <c r="J75" t="s">
        <v>7446</v>
      </c>
      <c r="K75" t="s">
        <v>7439</v>
      </c>
      <c r="L75" t="s">
        <v>8154</v>
      </c>
      <c r="M75" t="s">
        <v>7464</v>
      </c>
      <c r="O75" s="2">
        <v>46065</v>
      </c>
      <c r="Q75">
        <f ca="1">IF(tabExam[[#This Row],[Log Date]]="","",TODAY()-tabExam[[#This Row],[Log Date]])</f>
        <v>14</v>
      </c>
      <c r="R75" t="str">
        <f>IF(tabExam[[#This Row],[Log Date]]="","",IF(TRIM(tabExam[[#This Row],[Exam Cycle Stage]])="Asked to be removed from database","NO","YES"))</f>
        <v>YES</v>
      </c>
      <c r="S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6" spans="1:19">
      <c r="B76" t="str">
        <f>IFERROR(_xlfn.XLOOKUP(tabExam[[#This Row],[Unique ID]], tblMaster[Unique ID], tblMaster[First Name], ""), "")</f>
        <v/>
      </c>
      <c r="C76" t="str">
        <f>IFERROR(_xlfn.XLOOKUP(tabExam[[#This Row],[Unique ID]], tblMaster[Unique ID], tblMaster[Last Name], ""), "")</f>
        <v/>
      </c>
      <c r="D76" t="str">
        <f>IFERROR(_xlfn.XLOOKUP(tabExam[[#This Row],[Unique ID]], tblMaster[Unique ID], tblMaster[Email_Clean], ""), "")</f>
        <v/>
      </c>
      <c r="E76" t="str">
        <f>IFERROR(_xlfn.XLOOKUP(tabExam[[#This Row],[Unique ID]], tblMaster[Unique ID], tblMaster[Phone], ""), "")</f>
        <v/>
      </c>
      <c r="F76" t="str">
        <f>IFERROR(_xlfn.XLOOKUP(tabExam[[#This Row],[Unique ID]], tblMaster[Unique ID], tblMaster[Recruiter], ""), "")</f>
        <v/>
      </c>
      <c r="G76" t="str">
        <f>IFERROR(_xlfn.XLOOKUP(tabExam[[#This Row],[Unique ID]], tblMaster[Unique ID], tblMaster[Recruitment Cycle], ""), "")</f>
        <v/>
      </c>
      <c r="H76" t="s">
        <v>8150</v>
      </c>
      <c r="I76">
        <v>2026</v>
      </c>
      <c r="J76" t="s">
        <v>7446</v>
      </c>
      <c r="K76" t="s">
        <v>7439</v>
      </c>
      <c r="L76" t="s">
        <v>8154</v>
      </c>
      <c r="M76" t="s">
        <v>7434</v>
      </c>
      <c r="N76" t="s">
        <v>8175</v>
      </c>
      <c r="O76" s="2">
        <v>46059</v>
      </c>
      <c r="P76" t="s">
        <v>8162</v>
      </c>
      <c r="Q76">
        <f ca="1">IF(tabExam[[#This Row],[Log Date]]="","",TODAY()-tabExam[[#This Row],[Log Date]])</f>
        <v>20</v>
      </c>
      <c r="R76" t="str">
        <f>IF(tabExam[[#This Row],[Log Date]]="","",IF(TRIM(tabExam[[#This Row],[Exam Cycle Stage]])="Asked to be removed from database","NO","YES"))</f>
        <v>YES</v>
      </c>
      <c r="S7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7" spans="1:19">
      <c r="A77" t="s">
        <v>8226</v>
      </c>
      <c r="B77" t="str">
        <f>IFERROR(_xlfn.XLOOKUP(tabExam[[#This Row],[Unique ID]], tblMaster[Unique ID], tblMaster[First Name], ""), "")</f>
        <v xml:space="preserve">Artemio </v>
      </c>
      <c r="C77" t="str">
        <f>IFERROR(_xlfn.XLOOKUP(tabExam[[#This Row],[Unique ID]], tblMaster[Unique ID], tblMaster[Last Name], ""), "")</f>
        <v xml:space="preserve">Cruz Morales </v>
      </c>
      <c r="D77" t="str">
        <f>IFERROR(_xlfn.XLOOKUP(tabExam[[#This Row],[Unique ID]], tblMaster[Unique ID], tblMaster[Email_Clean], ""), "")</f>
        <v>artcm711@gmail.com</v>
      </c>
      <c r="E77" t="str">
        <f>IFERROR(_xlfn.XLOOKUP(tabExam[[#This Row],[Unique ID]], tblMaster[Unique ID], tblMaster[Phone], ""), "")</f>
        <v xml:space="preserve">413-966-7407 </v>
      </c>
      <c r="F77" t="str">
        <f>IFERROR(_xlfn.XLOOKUP(tabExam[[#This Row],[Unique ID]], tblMaster[Unique ID], tblMaster[Recruiter], ""), "")</f>
        <v>Zenon Moses</v>
      </c>
      <c r="G77" t="str">
        <f>IFERROR(_xlfn.XLOOKUP(tabExam[[#This Row],[Unique ID]], tblMaster[Unique ID], tblMaster[Recruitment Cycle], ""), "")</f>
        <v xml:space="preserve">New Submission/ Lead </v>
      </c>
      <c r="H77" t="s">
        <v>8150</v>
      </c>
      <c r="I77">
        <v>2026</v>
      </c>
      <c r="J77" t="s">
        <v>7446</v>
      </c>
      <c r="K77" t="s">
        <v>8153</v>
      </c>
      <c r="L77" t="s">
        <v>8167</v>
      </c>
      <c r="M77" t="s">
        <v>7464</v>
      </c>
      <c r="N77" t="s">
        <v>7435</v>
      </c>
      <c r="O77" s="2">
        <v>46073</v>
      </c>
      <c r="P77" t="s">
        <v>8158</v>
      </c>
      <c r="Q77">
        <f ca="1">IF(tabExam[[#This Row],[Log Date]]="","",TODAY()-tabExam[[#This Row],[Log Date]])</f>
        <v>6</v>
      </c>
      <c r="R77" t="str">
        <f>IF(tabExam[[#This Row],[Log Date]]="","",IF(TRIM(tabExam[[#This Row],[Exam Cycle Stage]])="Asked to be removed from database","NO","YES"))</f>
        <v>YES</v>
      </c>
      <c r="S7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8" spans="1:19">
      <c r="A78" t="s">
        <v>8227</v>
      </c>
      <c r="B78" t="str">
        <f>IFERROR(_xlfn.XLOOKUP(tabExam[[#This Row],[Unique ID]], tblMaster[Unique ID], tblMaster[First Name], ""), "")</f>
        <v xml:space="preserve">jose carlos </v>
      </c>
      <c r="C78" t="str">
        <f>IFERROR(_xlfn.XLOOKUP(tabExam[[#This Row],[Unique ID]], tblMaster[Unique ID], tblMaster[Last Name], ""), "")</f>
        <v>cordero figueroa</v>
      </c>
      <c r="D78" t="str">
        <f>IFERROR(_xlfn.XLOOKUP(tabExam[[#This Row],[Unique ID]], tblMaster[Unique ID], tblMaster[Email_Clean], ""), "")</f>
        <v>jccordero092@gmail.com</v>
      </c>
      <c r="E78" t="str">
        <f>IFERROR(_xlfn.XLOOKUP(tabExam[[#This Row],[Unique ID]], tblMaster[Unique ID], tblMaster[Phone], ""), "")</f>
        <v>413 204 3174</v>
      </c>
      <c r="F78" t="str">
        <f>IFERROR(_xlfn.XLOOKUP(tabExam[[#This Row],[Unique ID]], tblMaster[Unique ID], tblMaster[Recruiter], ""), "")</f>
        <v xml:space="preserve">Jevon Brown Simpson </v>
      </c>
      <c r="G78" t="str">
        <f>IFERROR(_xlfn.XLOOKUP(tabExam[[#This Row],[Unique ID]], tblMaster[Unique ID], tblMaster[Recruitment Cycle], ""), "")</f>
        <v xml:space="preserve">Re-Engagment </v>
      </c>
      <c r="H78" t="s">
        <v>8150</v>
      </c>
      <c r="I78">
        <v>2026</v>
      </c>
      <c r="J78" t="s">
        <v>7446</v>
      </c>
      <c r="K78" t="s">
        <v>7439</v>
      </c>
      <c r="L78" t="s">
        <v>8154</v>
      </c>
      <c r="M78" t="s">
        <v>7464</v>
      </c>
      <c r="O78" s="2">
        <v>46065</v>
      </c>
      <c r="Q78">
        <f ca="1">IF(tabExam[[#This Row],[Log Date]]="","",TODAY()-tabExam[[#This Row],[Log Date]])</f>
        <v>14</v>
      </c>
      <c r="R78" t="str">
        <f>IF(tabExam[[#This Row],[Log Date]]="","",IF(TRIM(tabExam[[#This Row],[Exam Cycle Stage]])="Asked to be removed from database","NO","YES"))</f>
        <v>YES</v>
      </c>
      <c r="S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79" spans="1:19">
      <c r="A79" t="s">
        <v>8228</v>
      </c>
      <c r="B79" t="str">
        <f>IFERROR(_xlfn.XLOOKUP(tabExam[[#This Row],[Unique ID]], tblMaster[Unique ID], tblMaster[First Name], ""), "")</f>
        <v xml:space="preserve">Azaria </v>
      </c>
      <c r="C79" t="str">
        <f>IFERROR(_xlfn.XLOOKUP(tabExam[[#This Row],[Unique ID]], tblMaster[Unique ID], tblMaster[Last Name], ""), "")</f>
        <v xml:space="preserve">Shipman </v>
      </c>
      <c r="D79" t="str">
        <f>IFERROR(_xlfn.XLOOKUP(tabExam[[#This Row],[Unique ID]], tblMaster[Unique ID], tblMaster[Email_Clean], ""), "")</f>
        <v>azariashipman@gmail.com</v>
      </c>
      <c r="E79" t="str">
        <f>IFERROR(_xlfn.XLOOKUP(tabExam[[#This Row],[Unique ID]], tblMaster[Unique ID], tblMaster[Phone], ""), "")</f>
        <v xml:space="preserve">(774) 746-0377 </v>
      </c>
      <c r="F79" t="str">
        <f>IFERROR(_xlfn.XLOOKUP(tabExam[[#This Row],[Unique ID]], tblMaster[Unique ID], tblMaster[Recruiter], ""), "")</f>
        <v xml:space="preserve">Tom Clark </v>
      </c>
      <c r="G79" t="str">
        <f>IFERROR(_xlfn.XLOOKUP(tabExam[[#This Row],[Unique ID]], tblMaster[Unique ID], tblMaster[Recruitment Cycle], ""), "")</f>
        <v xml:space="preserve">New Submission/ Lead </v>
      </c>
      <c r="H79" t="s">
        <v>8150</v>
      </c>
      <c r="I79">
        <v>2026</v>
      </c>
      <c r="J79" t="s">
        <v>7446</v>
      </c>
      <c r="K79" t="s">
        <v>7439</v>
      </c>
      <c r="L79" t="s">
        <v>8154</v>
      </c>
      <c r="M79" t="s">
        <v>7434</v>
      </c>
      <c r="N79" t="s">
        <v>7435</v>
      </c>
      <c r="O79" s="2">
        <v>46059</v>
      </c>
      <c r="P79" t="s">
        <v>8158</v>
      </c>
      <c r="Q79">
        <f ca="1">IF(tabExam[[#This Row],[Log Date]]="","",TODAY()-tabExam[[#This Row],[Log Date]])</f>
        <v>20</v>
      </c>
      <c r="R79" t="str">
        <f>IF(tabExam[[#This Row],[Log Date]]="","",IF(TRIM(tabExam[[#This Row],[Exam Cycle Stage]])="Asked to be removed from database","NO","YES"))</f>
        <v>YES</v>
      </c>
      <c r="S7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0" spans="1:19">
      <c r="A80" t="s">
        <v>8229</v>
      </c>
      <c r="B80" t="str">
        <f>IFERROR(_xlfn.XLOOKUP(tabExam[[#This Row],[Unique ID]], tblMaster[Unique ID], tblMaster[First Name], ""), "")</f>
        <v xml:space="preserve">Marcos </v>
      </c>
      <c r="C80" t="str">
        <f>IFERROR(_xlfn.XLOOKUP(tabExam[[#This Row],[Unique ID]], tblMaster[Unique ID], tblMaster[Last Name], ""), "")</f>
        <v xml:space="preserve"> Darosa </v>
      </c>
      <c r="D80" t="str">
        <f>IFERROR(_xlfn.XLOOKUP(tabExam[[#This Row],[Unique ID]], tblMaster[Unique ID], tblMaster[Email_Clean], ""), "")</f>
        <v>malazarte07@gmail.com</v>
      </c>
      <c r="E80" t="str">
        <f>IFERROR(_xlfn.XLOOKUP(tabExam[[#This Row],[Unique ID]], tblMaster[Unique ID], tblMaster[Phone], ""), "")</f>
        <v xml:space="preserve">(508) 400-1906 </v>
      </c>
      <c r="F80" t="str">
        <f>IFERROR(_xlfn.XLOOKUP(tabExam[[#This Row],[Unique ID]], tblMaster[Unique ID], tblMaster[Recruiter], ""), "")</f>
        <v>Zenon Moses</v>
      </c>
      <c r="G80" t="str">
        <f>IFERROR(_xlfn.XLOOKUP(tabExam[[#This Row],[Unique ID]], tblMaster[Unique ID], tblMaster[Recruitment Cycle], ""), "")</f>
        <v xml:space="preserve">New Submission/ Lead </v>
      </c>
      <c r="H80" t="s">
        <v>8150</v>
      </c>
      <c r="I80">
        <v>2026</v>
      </c>
      <c r="J80" t="s">
        <v>7446</v>
      </c>
      <c r="K80" t="s">
        <v>8153</v>
      </c>
      <c r="L80" t="s">
        <v>8154</v>
      </c>
      <c r="M80" t="s">
        <v>7464</v>
      </c>
      <c r="N80" t="s">
        <v>8157</v>
      </c>
      <c r="O80" s="2">
        <v>46073</v>
      </c>
      <c r="P80" t="s">
        <v>8158</v>
      </c>
      <c r="Q80">
        <f ca="1">IF(tabExam[[#This Row],[Log Date]]="","",TODAY()-tabExam[[#This Row],[Log Date]])</f>
        <v>6</v>
      </c>
      <c r="R80" t="str">
        <f>IF(tabExam[[#This Row],[Log Date]]="","",IF(TRIM(tabExam[[#This Row],[Exam Cycle Stage]])="Asked to be removed from database","NO","YES"))</f>
        <v>YES</v>
      </c>
      <c r="S8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1" spans="1:19">
      <c r="A81" t="s">
        <v>8230</v>
      </c>
      <c r="B81" t="str">
        <f>IFERROR(_xlfn.XLOOKUP(tabExam[[#This Row],[Unique ID]], tblMaster[Unique ID], tblMaster[First Name], ""), "")</f>
        <v xml:space="preserve">Luis </v>
      </c>
      <c r="C81" t="str">
        <f>IFERROR(_xlfn.XLOOKUP(tabExam[[#This Row],[Unique ID]], tblMaster[Unique ID], tblMaster[Last Name], ""), "")</f>
        <v xml:space="preserve"> Rodriguez</v>
      </c>
      <c r="D81" t="str">
        <f>IFERROR(_xlfn.XLOOKUP(tabExam[[#This Row],[Unique ID]], tblMaster[Unique ID], tblMaster[Email_Clean], ""), "")</f>
        <v>luisrodt90@gmail.com</v>
      </c>
      <c r="E81" t="str">
        <f>IFERROR(_xlfn.XLOOKUP(tabExam[[#This Row],[Unique ID]], tblMaster[Unique ID], tblMaster[Phone], ""), "")</f>
        <v>508-414-8180</v>
      </c>
      <c r="F81" t="str">
        <f>IFERROR(_xlfn.XLOOKUP(tabExam[[#This Row],[Unique ID]], tblMaster[Unique ID], tblMaster[Recruiter], ""), "")</f>
        <v>Zenon Moses</v>
      </c>
      <c r="G81" t="str">
        <f>IFERROR(_xlfn.XLOOKUP(tabExam[[#This Row],[Unique ID]], tblMaster[Unique ID], tblMaster[Recruitment Cycle], ""), "")</f>
        <v xml:space="preserve">Re-Engagment </v>
      </c>
      <c r="H81" t="s">
        <v>8150</v>
      </c>
      <c r="I81">
        <v>2026</v>
      </c>
      <c r="J81" t="s">
        <v>7446</v>
      </c>
      <c r="K81" t="s">
        <v>7445</v>
      </c>
      <c r="L81" t="s">
        <v>7615</v>
      </c>
      <c r="M81" t="s">
        <v>7434</v>
      </c>
      <c r="N81" t="s">
        <v>7435</v>
      </c>
      <c r="O81" s="2">
        <v>46059</v>
      </c>
      <c r="P81" t="s">
        <v>8162</v>
      </c>
      <c r="Q81">
        <f ca="1">IF(tabExam[[#This Row],[Log Date]]="","",TODAY()-tabExam[[#This Row],[Log Date]])</f>
        <v>20</v>
      </c>
      <c r="R81" t="str">
        <f>IF(tabExam[[#This Row],[Log Date]]="","",IF(TRIM(tabExam[[#This Row],[Exam Cycle Stage]])="Asked to be removed from database","NO","YES"))</f>
        <v>YES</v>
      </c>
      <c r="S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2" spans="1:19">
      <c r="A82" t="s">
        <v>8231</v>
      </c>
      <c r="B82" t="str">
        <f>IFERROR(_xlfn.XLOOKUP(tabExam[[#This Row],[Unique ID]], tblMaster[Unique ID], tblMaster[First Name], ""), "")</f>
        <v>Richard</v>
      </c>
      <c r="C82" t="str">
        <f>IFERROR(_xlfn.XLOOKUP(tabExam[[#This Row],[Unique ID]], tblMaster[Unique ID], tblMaster[Last Name], ""), "")</f>
        <v>Labritz</v>
      </c>
      <c r="D82" t="str">
        <f>IFERROR(_xlfn.XLOOKUP(tabExam[[#This Row],[Unique ID]], tblMaster[Unique ID], tblMaster[Email_Clean], ""), "")</f>
        <v>richie.labritz@gmail.com</v>
      </c>
      <c r="E82" t="str">
        <f>IFERROR(_xlfn.XLOOKUP(tabExam[[#This Row],[Unique ID]], tblMaster[Unique ID], tblMaster[Phone], ""), "")</f>
        <v>(978) 519-9377</v>
      </c>
      <c r="F82" t="str">
        <f>IFERROR(_xlfn.XLOOKUP(tabExam[[#This Row],[Unique ID]], tblMaster[Unique ID], tblMaster[Recruiter], ""), "")</f>
        <v xml:space="preserve">Tom Clark </v>
      </c>
      <c r="G82" t="str">
        <f>IFERROR(_xlfn.XLOOKUP(tabExam[[#This Row],[Unique ID]], tblMaster[Unique ID], tblMaster[Recruitment Cycle], ""), "")</f>
        <v xml:space="preserve">New Submission/ Lead </v>
      </c>
      <c r="H82" t="s">
        <v>8150</v>
      </c>
      <c r="I82">
        <v>2026</v>
      </c>
      <c r="J82" t="s">
        <v>7446</v>
      </c>
      <c r="K82" t="s">
        <v>7439</v>
      </c>
      <c r="L82" t="s">
        <v>8154</v>
      </c>
      <c r="M82" t="s">
        <v>7434</v>
      </c>
      <c r="N82" t="s">
        <v>8175</v>
      </c>
      <c r="O82" s="2">
        <v>46070</v>
      </c>
      <c r="Q82">
        <f ca="1">IF(tabExam[[#This Row],[Log Date]]="","",TODAY()-tabExam[[#This Row],[Log Date]])</f>
        <v>9</v>
      </c>
      <c r="R82" t="str">
        <f>IF(tabExam[[#This Row],[Log Date]]="","",IF(TRIM(tabExam[[#This Row],[Exam Cycle Stage]])="Asked to be removed from database","NO","YES"))</f>
        <v>YES</v>
      </c>
      <c r="S8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3" spans="1:19">
      <c r="A83" t="s">
        <v>8232</v>
      </c>
      <c r="B83" t="str">
        <f>IFERROR(_xlfn.XLOOKUP(tabExam[[#This Row],[Unique ID]], tblMaster[Unique ID], tblMaster[First Name], ""), "")</f>
        <v xml:space="preserve">Carlos </v>
      </c>
      <c r="C83" t="str">
        <f>IFERROR(_xlfn.XLOOKUP(tabExam[[#This Row],[Unique ID]], tblMaster[Unique ID], tblMaster[Last Name], ""), "")</f>
        <v xml:space="preserve"> Barbosa </v>
      </c>
      <c r="D83" t="str">
        <f>IFERROR(_xlfn.XLOOKUP(tabExam[[#This Row],[Unique ID]], tblMaster[Unique ID], tblMaster[Email_Clean], ""), "")</f>
        <v>mrcarlosbarbosa@gmail.com</v>
      </c>
      <c r="E83" t="str">
        <f>IFERROR(_xlfn.XLOOKUP(tabExam[[#This Row],[Unique ID]], tblMaster[Unique ID], tblMaster[Phone], ""), "")</f>
        <v xml:space="preserve">(857) 302-9214 </v>
      </c>
      <c r="F83" t="str">
        <f>IFERROR(_xlfn.XLOOKUP(tabExam[[#This Row],[Unique ID]], tblMaster[Unique ID], tblMaster[Recruiter], ""), "")</f>
        <v>Zenon Moses</v>
      </c>
      <c r="G83" t="str">
        <f>IFERROR(_xlfn.XLOOKUP(tabExam[[#This Row],[Unique ID]], tblMaster[Unique ID], tblMaster[Recruitment Cycle], ""), "")</f>
        <v xml:space="preserve">New Submission/ Lead </v>
      </c>
      <c r="H83" t="s">
        <v>8186</v>
      </c>
      <c r="I83">
        <v>2026</v>
      </c>
      <c r="J83" t="s">
        <v>7436</v>
      </c>
      <c r="K83" t="s">
        <v>7445</v>
      </c>
      <c r="L83" t="s">
        <v>7436</v>
      </c>
      <c r="M83" t="s">
        <v>7434</v>
      </c>
      <c r="N83" t="s">
        <v>7435</v>
      </c>
      <c r="O83" s="2">
        <v>46059</v>
      </c>
      <c r="P83" t="s">
        <v>8195</v>
      </c>
      <c r="Q83">
        <f ca="1">IF(tabExam[[#This Row],[Log Date]]="","",TODAY()-tabExam[[#This Row],[Log Date]])</f>
        <v>20</v>
      </c>
      <c r="R83" t="str">
        <f>IF(tabExam[[#This Row],[Log Date]]="","",IF(TRIM(tabExam[[#This Row],[Exam Cycle Stage]])="Asked to be removed from database","NO","YES"))</f>
        <v>YES</v>
      </c>
      <c r="S8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4" spans="1:19">
      <c r="A84" t="s">
        <v>8233</v>
      </c>
      <c r="B84" t="str">
        <f>IFERROR(_xlfn.XLOOKUP(tabExam[[#This Row],[Unique ID]], tblMaster[Unique ID], tblMaster[First Name], ""), "")</f>
        <v>MUTESASIRA</v>
      </c>
      <c r="C84" t="str">
        <f>IFERROR(_xlfn.XLOOKUP(tabExam[[#This Row],[Unique ID]], tblMaster[Unique ID], tblMaster[Last Name], ""), "")</f>
        <v>HENRY</v>
      </c>
      <c r="D84" t="str">
        <f>IFERROR(_xlfn.XLOOKUP(tabExam[[#This Row],[Unique ID]], tblMaster[Unique ID], tblMaster[Email_Clean], ""), "")</f>
        <v>henrymutes8@gmail.com</v>
      </c>
      <c r="E84" t="str">
        <f>IFERROR(_xlfn.XLOOKUP(tabExam[[#This Row],[Unique ID]], tblMaster[Unique ID], tblMaster[Phone], ""), "")</f>
        <v>774-423-8441</v>
      </c>
      <c r="F84" t="str">
        <f>IFERROR(_xlfn.XLOOKUP(tabExam[[#This Row],[Unique ID]], tblMaster[Unique ID], tblMaster[Recruiter], ""), "")</f>
        <v xml:space="preserve">Tom Clark </v>
      </c>
      <c r="G84" t="str">
        <f>IFERROR(_xlfn.XLOOKUP(tabExam[[#This Row],[Unique ID]], tblMaster[Unique ID], tblMaster[Recruitment Cycle], ""), "")</f>
        <v xml:space="preserve">New Submission/ Lead </v>
      </c>
      <c r="H84" t="s">
        <v>8150</v>
      </c>
      <c r="I84">
        <v>2026</v>
      </c>
      <c r="J84" t="s">
        <v>7446</v>
      </c>
      <c r="K84" t="s">
        <v>7439</v>
      </c>
      <c r="L84" t="s">
        <v>8154</v>
      </c>
      <c r="M84" t="s">
        <v>7434</v>
      </c>
      <c r="N84" t="s">
        <v>7435</v>
      </c>
      <c r="O84" s="2">
        <v>46059</v>
      </c>
      <c r="Q84">
        <f ca="1">IF(tabExam[[#This Row],[Log Date]]="","",TODAY()-tabExam[[#This Row],[Log Date]])</f>
        <v>20</v>
      </c>
      <c r="R84" t="str">
        <f>IF(tabExam[[#This Row],[Log Date]]="","",IF(TRIM(tabExam[[#This Row],[Exam Cycle Stage]])="Asked to be removed from database","NO","YES"))</f>
        <v>YES</v>
      </c>
      <c r="S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5" spans="1:19">
      <c r="A85" t="s">
        <v>8234</v>
      </c>
      <c r="B85" t="str">
        <f>IFERROR(_xlfn.XLOOKUP(tabExam[[#This Row],[Unique ID]], tblMaster[Unique ID], tblMaster[First Name], ""), "")</f>
        <v xml:space="preserve">Adam </v>
      </c>
      <c r="C85" t="str">
        <f>IFERROR(_xlfn.XLOOKUP(tabExam[[#This Row],[Unique ID]], tblMaster[Unique ID], tblMaster[Last Name], ""), "")</f>
        <v xml:space="preserve"> Hakizimana </v>
      </c>
      <c r="D85" t="str">
        <f>IFERROR(_xlfn.XLOOKUP(tabExam[[#This Row],[Unique ID]], tblMaster[Unique ID], tblMaster[Email_Clean], ""), "")</f>
        <v>adam.hakizimana@gmail.com</v>
      </c>
      <c r="E85" t="str">
        <f>IFERROR(_xlfn.XLOOKUP(tabExam[[#This Row],[Unique ID]], tblMaster[Unique ID], tblMaster[Phone], ""), "")</f>
        <v xml:space="preserve">207 618 2942 </v>
      </c>
      <c r="F85" t="str">
        <f>IFERROR(_xlfn.XLOOKUP(tabExam[[#This Row],[Unique ID]], tblMaster[Unique ID], tblMaster[Recruiter], ""), "")</f>
        <v>Zenon Moses</v>
      </c>
      <c r="G85" t="str">
        <f>IFERROR(_xlfn.XLOOKUP(tabExam[[#This Row],[Unique ID]], tblMaster[Unique ID], tblMaster[Recruitment Cycle], ""), "")</f>
        <v xml:space="preserve">Re-Engagment </v>
      </c>
      <c r="H85" t="s">
        <v>8150</v>
      </c>
      <c r="I85">
        <v>2026</v>
      </c>
      <c r="J85" t="s">
        <v>7446</v>
      </c>
      <c r="K85" t="s">
        <v>8153</v>
      </c>
      <c r="L85" t="s">
        <v>8167</v>
      </c>
      <c r="M85" t="s">
        <v>7464</v>
      </c>
      <c r="N85" t="s">
        <v>7435</v>
      </c>
      <c r="O85" s="2">
        <v>46073</v>
      </c>
      <c r="P85" t="s">
        <v>8158</v>
      </c>
      <c r="Q85">
        <f ca="1">IF(tabExam[[#This Row],[Log Date]]="","",TODAY()-tabExam[[#This Row],[Log Date]])</f>
        <v>6</v>
      </c>
      <c r="R85" t="str">
        <f>IF(tabExam[[#This Row],[Log Date]]="","",IF(TRIM(tabExam[[#This Row],[Exam Cycle Stage]])="Asked to be removed from database","NO","YES"))</f>
        <v>YES</v>
      </c>
      <c r="S8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6" spans="1:19">
      <c r="A86" t="s">
        <v>8235</v>
      </c>
      <c r="B86" t="str">
        <f>IFERROR(_xlfn.XLOOKUP(tabExam[[#This Row],[Unique ID]], tblMaster[Unique ID], tblMaster[First Name], ""), "")</f>
        <v>Deshea</v>
      </c>
      <c r="C86" t="str">
        <f>IFERROR(_xlfn.XLOOKUP(tabExam[[#This Row],[Unique ID]], tblMaster[Unique ID], tblMaster[Last Name], ""), "")</f>
        <v>Kusi</v>
      </c>
      <c r="D86" t="str">
        <f>IFERROR(_xlfn.XLOOKUP(tabExam[[#This Row],[Unique ID]], tblMaster[Unique ID], tblMaster[Email_Clean], ""), "")</f>
        <v>desheakusi@yahoo.com</v>
      </c>
      <c r="E86" t="str">
        <f>IFERROR(_xlfn.XLOOKUP(tabExam[[#This Row],[Unique ID]], tblMaster[Unique ID], tblMaster[Phone], ""), "")</f>
        <v>508-304-3806</v>
      </c>
      <c r="F86" t="str">
        <f>IFERROR(_xlfn.XLOOKUP(tabExam[[#This Row],[Unique ID]], tblMaster[Unique ID], tblMaster[Recruiter], ""), "")</f>
        <v>Zenon Moses</v>
      </c>
      <c r="G86" t="str">
        <f>IFERROR(_xlfn.XLOOKUP(tabExam[[#This Row],[Unique ID]], tblMaster[Unique ID], tblMaster[Recruitment Cycle], ""), "")</f>
        <v xml:space="preserve">Re-Engagment </v>
      </c>
      <c r="H86" t="s">
        <v>8150</v>
      </c>
      <c r="I86">
        <v>2026</v>
      </c>
      <c r="J86" t="s">
        <v>7446</v>
      </c>
      <c r="K86" t="s">
        <v>8153</v>
      </c>
      <c r="L86" t="s">
        <v>8154</v>
      </c>
      <c r="M86" t="s">
        <v>7434</v>
      </c>
      <c r="N86" t="s">
        <v>8175</v>
      </c>
      <c r="O86" s="2">
        <v>46073</v>
      </c>
      <c r="P86" t="s">
        <v>8162</v>
      </c>
      <c r="Q86">
        <f ca="1">IF(tabExam[[#This Row],[Log Date]]="","",TODAY()-tabExam[[#This Row],[Log Date]])</f>
        <v>6</v>
      </c>
      <c r="R86" t="str">
        <f>IF(tabExam[[#This Row],[Log Date]]="","",IF(TRIM(tabExam[[#This Row],[Exam Cycle Stage]])="Asked to be removed from database","NO","YES"))</f>
        <v>YES</v>
      </c>
      <c r="S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7" spans="1:19">
      <c r="A87" t="s">
        <v>8236</v>
      </c>
      <c r="B87" t="str">
        <f>IFERROR(_xlfn.XLOOKUP(tabExam[[#This Row],[Unique ID]], tblMaster[Unique ID], tblMaster[First Name], ""), "")</f>
        <v xml:space="preserve">Vladimir </v>
      </c>
      <c r="C87" t="str">
        <f>IFERROR(_xlfn.XLOOKUP(tabExam[[#This Row],[Unique ID]], tblMaster[Unique ID], tblMaster[Last Name], ""), "")</f>
        <v xml:space="preserve"> pamphil </v>
      </c>
      <c r="D87" t="str">
        <f>IFERROR(_xlfn.XLOOKUP(tabExam[[#This Row],[Unique ID]], tblMaster[Unique ID], tblMaster[Email_Clean], ""), "")</f>
        <v>vpamphil@yahoo.com</v>
      </c>
      <c r="E87" t="str">
        <f>IFERROR(_xlfn.XLOOKUP(tabExam[[#This Row],[Unique ID]], tblMaster[Unique ID], tblMaster[Phone], ""), "")</f>
        <v xml:space="preserve">978-872-0009 </v>
      </c>
      <c r="F87" t="str">
        <f>IFERROR(_xlfn.XLOOKUP(tabExam[[#This Row],[Unique ID]], tblMaster[Unique ID], tblMaster[Recruiter], ""), "")</f>
        <v xml:space="preserve">Tom Clark </v>
      </c>
      <c r="G87" t="str">
        <f>IFERROR(_xlfn.XLOOKUP(tabExam[[#This Row],[Unique ID]], tblMaster[Unique ID], tblMaster[Recruitment Cycle], ""), "")</f>
        <v xml:space="preserve">New Submission/ Lead </v>
      </c>
      <c r="H87" t="s">
        <v>8150</v>
      </c>
      <c r="I87">
        <v>2026</v>
      </c>
      <c r="J87" t="s">
        <v>7446</v>
      </c>
      <c r="K87" t="s">
        <v>7439</v>
      </c>
      <c r="L87" t="s">
        <v>8154</v>
      </c>
      <c r="M87" t="s">
        <v>7434</v>
      </c>
      <c r="N87" t="s">
        <v>7435</v>
      </c>
      <c r="O87" s="2">
        <v>46059</v>
      </c>
      <c r="P87" t="s">
        <v>8158</v>
      </c>
      <c r="Q87">
        <f ca="1">IF(tabExam[[#This Row],[Log Date]]="","",TODAY()-tabExam[[#This Row],[Log Date]])</f>
        <v>20</v>
      </c>
      <c r="R87" t="str">
        <f>IF(tabExam[[#This Row],[Log Date]]="","",IF(TRIM(tabExam[[#This Row],[Exam Cycle Stage]])="Asked to be removed from database","NO","YES"))</f>
        <v>YES</v>
      </c>
      <c r="S8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8" spans="1:19">
      <c r="A88" t="s">
        <v>8237</v>
      </c>
      <c r="B88" t="str">
        <f>IFERROR(_xlfn.XLOOKUP(tabExam[[#This Row],[Unique ID]], tblMaster[Unique ID], tblMaster[First Name], ""), "")</f>
        <v xml:space="preserve">Andrew </v>
      </c>
      <c r="C88" t="str">
        <f>IFERROR(_xlfn.XLOOKUP(tabExam[[#This Row],[Unique ID]], tblMaster[Unique ID], tblMaster[Last Name], ""), "")</f>
        <v xml:space="preserve"> Gomes </v>
      </c>
      <c r="D88" t="str">
        <f>IFERROR(_xlfn.XLOOKUP(tabExam[[#This Row],[Unique ID]], tblMaster[Unique ID], tblMaster[Email_Clean], ""), "")</f>
        <v>agomes1212@icloud.com</v>
      </c>
      <c r="E88" t="str">
        <f>IFERROR(_xlfn.XLOOKUP(tabExam[[#This Row],[Unique ID]], tblMaster[Unique ID], tblMaster[Phone], ""), "")</f>
        <v xml:space="preserve">(774) 242-8271 </v>
      </c>
      <c r="F88" t="str">
        <f>IFERROR(_xlfn.XLOOKUP(tabExam[[#This Row],[Unique ID]], tblMaster[Unique ID], tblMaster[Recruiter], ""), "")</f>
        <v>Zenon Moses</v>
      </c>
      <c r="G88" t="str">
        <f>IFERROR(_xlfn.XLOOKUP(tabExam[[#This Row],[Unique ID]], tblMaster[Unique ID], tblMaster[Recruitment Cycle], ""), "")</f>
        <v xml:space="preserve">New Submission/ Lead </v>
      </c>
      <c r="H88" t="s">
        <v>8186</v>
      </c>
      <c r="I88">
        <v>2026</v>
      </c>
      <c r="J88" t="s">
        <v>7491</v>
      </c>
      <c r="K88" t="s">
        <v>7445</v>
      </c>
      <c r="L88" t="s">
        <v>8154</v>
      </c>
      <c r="M88" t="s">
        <v>7434</v>
      </c>
      <c r="N88" t="s">
        <v>7435</v>
      </c>
      <c r="O88" s="2">
        <v>46059</v>
      </c>
      <c r="P88" t="s">
        <v>8158</v>
      </c>
      <c r="Q88">
        <f ca="1">IF(tabExam[[#This Row],[Log Date]]="","",TODAY()-tabExam[[#This Row],[Log Date]])</f>
        <v>20</v>
      </c>
      <c r="R88" t="str">
        <f>IF(tabExam[[#This Row],[Log Date]]="","",IF(TRIM(tabExam[[#This Row],[Exam Cycle Stage]])="Asked to be removed from database","NO","YES"))</f>
        <v>YES</v>
      </c>
      <c r="S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89" spans="1:19">
      <c r="A89" t="s">
        <v>8238</v>
      </c>
      <c r="B89" t="str">
        <f>IFERROR(_xlfn.XLOOKUP(tabExam[[#This Row],[Unique ID]], tblMaster[Unique ID], tblMaster[First Name], ""), "")</f>
        <v xml:space="preserve">Marckee </v>
      </c>
      <c r="C89" t="str">
        <f>IFERROR(_xlfn.XLOOKUP(tabExam[[#This Row],[Unique ID]], tblMaster[Unique ID], tblMaster[Last Name], ""), "")</f>
        <v>Hull</v>
      </c>
      <c r="D89" t="str">
        <f>IFERROR(_xlfn.XLOOKUP(tabExam[[#This Row],[Unique ID]], tblMaster[Unique ID], tblMaster[Email_Clean], ""), "")</f>
        <v>marchull16@gmail.com</v>
      </c>
      <c r="E89" t="str">
        <f>IFERROR(_xlfn.XLOOKUP(tabExam[[#This Row],[Unique ID]], tblMaster[Unique ID], tblMaster[Phone], ""), "")</f>
        <v>401 225 3727</v>
      </c>
      <c r="F89" t="str">
        <f>IFERROR(_xlfn.XLOOKUP(tabExam[[#This Row],[Unique ID]], tblMaster[Unique ID], tblMaster[Recruiter], ""), "")</f>
        <v>Zenon Moses</v>
      </c>
      <c r="G89" t="str">
        <f>IFERROR(_xlfn.XLOOKUP(tabExam[[#This Row],[Unique ID]], tblMaster[Unique ID], tblMaster[Recruitment Cycle], ""), "")</f>
        <v xml:space="preserve">New Submission/ Lead </v>
      </c>
      <c r="H89" t="s">
        <v>8150</v>
      </c>
      <c r="I89">
        <v>2026</v>
      </c>
      <c r="J89" t="s">
        <v>7446</v>
      </c>
      <c r="K89" t="s">
        <v>8153</v>
      </c>
      <c r="L89" t="s">
        <v>8154</v>
      </c>
      <c r="M89" t="s">
        <v>7464</v>
      </c>
      <c r="N89" t="s">
        <v>8175</v>
      </c>
      <c r="O89" s="2">
        <v>46073</v>
      </c>
      <c r="P89" t="s">
        <v>8158</v>
      </c>
      <c r="Q89">
        <f ca="1">IF(tabExam[[#This Row],[Log Date]]="","",TODAY()-tabExam[[#This Row],[Log Date]])</f>
        <v>6</v>
      </c>
      <c r="R89" t="str">
        <f>IF(tabExam[[#This Row],[Log Date]]="","",IF(TRIM(tabExam[[#This Row],[Exam Cycle Stage]])="Asked to be removed from database","NO","YES"))</f>
        <v>YES</v>
      </c>
      <c r="S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0" spans="1:19">
      <c r="A90" t="s">
        <v>8239</v>
      </c>
      <c r="B90" t="str">
        <f>IFERROR(_xlfn.XLOOKUP(tabExam[[#This Row],[Unique ID]], tblMaster[Unique ID], tblMaster[First Name], ""), "")</f>
        <v xml:space="preserve">Tracey </v>
      </c>
      <c r="C90" t="str">
        <f>IFERROR(_xlfn.XLOOKUP(tabExam[[#This Row],[Unique ID]], tblMaster[Unique ID], tblMaster[Last Name], ""), "")</f>
        <v xml:space="preserve">Nareau </v>
      </c>
      <c r="D90" t="str">
        <f>IFERROR(_xlfn.XLOOKUP(tabExam[[#This Row],[Unique ID]], tblMaster[Unique ID], tblMaster[Email_Clean], ""), "")</f>
        <v>tposusky@gmail.com</v>
      </c>
      <c r="E90" t="str">
        <f>IFERROR(_xlfn.XLOOKUP(tabExam[[#This Row],[Unique ID]], tblMaster[Unique ID], tblMaster[Phone], ""), "")</f>
        <v xml:space="preserve">(413) 668-8937 </v>
      </c>
      <c r="F90" t="str">
        <f>IFERROR(_xlfn.XLOOKUP(tabExam[[#This Row],[Unique ID]], tblMaster[Unique ID], tblMaster[Recruiter], ""), "")</f>
        <v>Zenon Moses</v>
      </c>
      <c r="G90" t="str">
        <f>IFERROR(_xlfn.XLOOKUP(tabExam[[#This Row],[Unique ID]], tblMaster[Unique ID], tblMaster[Recruitment Cycle], ""), "")</f>
        <v xml:space="preserve">New Submission/ Lead </v>
      </c>
      <c r="H90" t="s">
        <v>8150</v>
      </c>
      <c r="I90">
        <v>2026</v>
      </c>
      <c r="J90" t="s">
        <v>7446</v>
      </c>
      <c r="K90" t="s">
        <v>8153</v>
      </c>
      <c r="L90" t="s">
        <v>8154</v>
      </c>
      <c r="M90" t="s">
        <v>7464</v>
      </c>
      <c r="N90" t="s">
        <v>8175</v>
      </c>
      <c r="O90" s="2">
        <v>46073</v>
      </c>
      <c r="P90" t="s">
        <v>8162</v>
      </c>
      <c r="Q90">
        <f ca="1">IF(tabExam[[#This Row],[Log Date]]="","",TODAY()-tabExam[[#This Row],[Log Date]])</f>
        <v>6</v>
      </c>
      <c r="R90" t="str">
        <f>IF(tabExam[[#This Row],[Log Date]]="","",IF(TRIM(tabExam[[#This Row],[Exam Cycle Stage]])="Asked to be removed from database","NO","YES"))</f>
        <v>YES</v>
      </c>
      <c r="S9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1" spans="1:19">
      <c r="A91" t="s">
        <v>8240</v>
      </c>
      <c r="B91" t="str">
        <f>IFERROR(_xlfn.XLOOKUP(tabExam[[#This Row],[Unique ID]], tblMaster[Unique ID], tblMaster[First Name], ""), "")</f>
        <v>James</v>
      </c>
      <c r="C91" t="str">
        <f>IFERROR(_xlfn.XLOOKUP(tabExam[[#This Row],[Unique ID]], tblMaster[Unique ID], tblMaster[Last Name], ""), "")</f>
        <v xml:space="preserve"> Scarbrough </v>
      </c>
      <c r="D91" t="str">
        <f>IFERROR(_xlfn.XLOOKUP(tabExam[[#This Row],[Unique ID]], tblMaster[Unique ID], tblMaster[Email_Clean], ""), "")</f>
        <v>jamesrscarbrough@gmail.com</v>
      </c>
      <c r="E91" t="str">
        <f>IFERROR(_xlfn.XLOOKUP(tabExam[[#This Row],[Unique ID]], tblMaster[Unique ID], tblMaster[Phone], ""), "")</f>
        <v xml:space="preserve">315) 378-3917 </v>
      </c>
      <c r="F91" t="str">
        <f>IFERROR(_xlfn.XLOOKUP(tabExam[[#This Row],[Unique ID]], tblMaster[Unique ID], tblMaster[Recruiter], ""), "")</f>
        <v>Zenon Moses</v>
      </c>
      <c r="G91" t="str">
        <f>IFERROR(_xlfn.XLOOKUP(tabExam[[#This Row],[Unique ID]], tblMaster[Unique ID], tblMaster[Recruitment Cycle], ""), "")</f>
        <v xml:space="preserve">New Submission/ Lead </v>
      </c>
      <c r="H91" t="s">
        <v>8150</v>
      </c>
      <c r="I91">
        <v>2026</v>
      </c>
      <c r="J91" t="s">
        <v>7446</v>
      </c>
      <c r="K91" t="s">
        <v>8153</v>
      </c>
      <c r="L91" t="s">
        <v>8154</v>
      </c>
      <c r="M91" t="s">
        <v>7464</v>
      </c>
      <c r="N91" t="s">
        <v>8175</v>
      </c>
      <c r="O91" s="2">
        <v>46073</v>
      </c>
      <c r="P91" t="s">
        <v>8162</v>
      </c>
      <c r="Q91">
        <f ca="1">IF(tabExam[[#This Row],[Log Date]]="","",TODAY()-tabExam[[#This Row],[Log Date]])</f>
        <v>6</v>
      </c>
      <c r="R91" t="str">
        <f>IF(tabExam[[#This Row],[Log Date]]="","",IF(TRIM(tabExam[[#This Row],[Exam Cycle Stage]])="Asked to be removed from database","NO","YES"))</f>
        <v>YES</v>
      </c>
      <c r="S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2" spans="1:19">
      <c r="A92" t="s">
        <v>8241</v>
      </c>
      <c r="B92" t="str">
        <f>IFERROR(_xlfn.XLOOKUP(tabExam[[#This Row],[Unique ID]], tblMaster[Unique ID], tblMaster[First Name], ""), "")</f>
        <v xml:space="preserve">Dominique </v>
      </c>
      <c r="C92" t="str">
        <f>IFERROR(_xlfn.XLOOKUP(tabExam[[#This Row],[Unique ID]], tblMaster[Unique ID], tblMaster[Last Name], ""), "")</f>
        <v xml:space="preserve"> Nelson </v>
      </c>
      <c r="D92" t="str">
        <f>IFERROR(_xlfn.XLOOKUP(tabExam[[#This Row],[Unique ID]], tblMaster[Unique ID], tblMaster[Email_Clean], ""), "")</f>
        <v>dominiquenelson1991@gmail.com</v>
      </c>
      <c r="E92" t="str">
        <f>IFERROR(_xlfn.XLOOKUP(tabExam[[#This Row],[Unique ID]], tblMaster[Unique ID], tblMaster[Phone], ""), "")</f>
        <v xml:space="preserve">(617) 609-9084 </v>
      </c>
      <c r="F92" t="str">
        <f>IFERROR(_xlfn.XLOOKUP(tabExam[[#This Row],[Unique ID]], tblMaster[Unique ID], tblMaster[Recruiter], ""), "")</f>
        <v>Zenon Moses</v>
      </c>
      <c r="G92" t="str">
        <f>IFERROR(_xlfn.XLOOKUP(tabExam[[#This Row],[Unique ID]], tblMaster[Unique ID], tblMaster[Recruitment Cycle], ""), "")</f>
        <v xml:space="preserve">New Submission/ Lead </v>
      </c>
      <c r="H92" t="s">
        <v>8150</v>
      </c>
      <c r="I92">
        <v>2026</v>
      </c>
      <c r="J92" t="s">
        <v>7446</v>
      </c>
      <c r="K92" t="s">
        <v>8153</v>
      </c>
      <c r="L92" t="s">
        <v>8167</v>
      </c>
      <c r="M92" t="s">
        <v>7464</v>
      </c>
      <c r="N92" t="s">
        <v>7435</v>
      </c>
      <c r="O92" s="2">
        <v>46073</v>
      </c>
      <c r="P92" t="s">
        <v>8158</v>
      </c>
      <c r="Q92">
        <f ca="1">IF(tabExam[[#This Row],[Log Date]]="","",TODAY()-tabExam[[#This Row],[Log Date]])</f>
        <v>6</v>
      </c>
      <c r="R92" t="str">
        <f>IF(tabExam[[#This Row],[Log Date]]="","",IF(TRIM(tabExam[[#This Row],[Exam Cycle Stage]])="Asked to be removed from database","NO","YES"))</f>
        <v>YES</v>
      </c>
      <c r="S9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3" spans="1:19">
      <c r="A93" t="s">
        <v>8242</v>
      </c>
      <c r="B93" t="str">
        <f>IFERROR(_xlfn.XLOOKUP(tabExam[[#This Row],[Unique ID]], tblMaster[Unique ID], tblMaster[First Name], ""), "")</f>
        <v xml:space="preserve">Kevin </v>
      </c>
      <c r="C93" t="str">
        <f>IFERROR(_xlfn.XLOOKUP(tabExam[[#This Row],[Unique ID]], tblMaster[Unique ID], tblMaster[Last Name], ""), "")</f>
        <v>DePina</v>
      </c>
      <c r="D93" t="str">
        <f>IFERROR(_xlfn.XLOOKUP(tabExam[[#This Row],[Unique ID]], tblMaster[Unique ID], tblMaster[Email_Clean], ""), "")</f>
        <v>kevindepina28@gmail.com</v>
      </c>
      <c r="E93" t="str">
        <f>IFERROR(_xlfn.XLOOKUP(tabExam[[#This Row],[Unique ID]], tblMaster[Unique ID], tblMaster[Phone], ""), "")</f>
        <v xml:space="preserve">508 239 2525 </v>
      </c>
      <c r="F93" t="str">
        <f>IFERROR(_xlfn.XLOOKUP(tabExam[[#This Row],[Unique ID]], tblMaster[Unique ID], tblMaster[Recruiter], ""), "")</f>
        <v>Zenon Moses</v>
      </c>
      <c r="G93" t="str">
        <f>IFERROR(_xlfn.XLOOKUP(tabExam[[#This Row],[Unique ID]], tblMaster[Unique ID], tblMaster[Recruitment Cycle], ""), "")</f>
        <v xml:space="preserve">New Submission/ Lead </v>
      </c>
      <c r="H93" t="s">
        <v>8186</v>
      </c>
      <c r="I93">
        <v>2026</v>
      </c>
      <c r="J93" t="s">
        <v>7436</v>
      </c>
      <c r="K93" t="s">
        <v>7445</v>
      </c>
      <c r="L93" t="s">
        <v>8154</v>
      </c>
      <c r="M93" t="s">
        <v>7434</v>
      </c>
      <c r="N93" t="s">
        <v>7435</v>
      </c>
      <c r="O93" s="2">
        <v>46059</v>
      </c>
      <c r="P93" t="s">
        <v>8192</v>
      </c>
      <c r="Q93">
        <f ca="1">IF(tabExam[[#This Row],[Log Date]]="","",TODAY()-tabExam[[#This Row],[Log Date]])</f>
        <v>20</v>
      </c>
      <c r="R93" t="str">
        <f>IF(tabExam[[#This Row],[Log Date]]="","",IF(TRIM(tabExam[[#This Row],[Exam Cycle Stage]])="Asked to be removed from database","NO","YES"))</f>
        <v>YES</v>
      </c>
      <c r="S9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4" spans="1:19">
      <c r="A94" t="s">
        <v>8087</v>
      </c>
      <c r="B94" t="str">
        <f>IFERROR(_xlfn.XLOOKUP(tabExam[[#This Row],[Unique ID]], tblMaster[Unique ID], tblMaster[First Name], ""), "")</f>
        <v>Hayden</v>
      </c>
      <c r="C94" t="str">
        <f>IFERROR(_xlfn.XLOOKUP(tabExam[[#This Row],[Unique ID]], tblMaster[Unique ID], tblMaster[Last Name], ""), "")</f>
        <v>Lombardozzi</v>
      </c>
      <c r="D94" t="str">
        <f>IFERROR(_xlfn.XLOOKUP(tabExam[[#This Row],[Unique ID]], tblMaster[Unique ID], tblMaster[Email_Clean], ""), "")</f>
        <v>hclombardozzi@aol.com</v>
      </c>
      <c r="E94" t="str">
        <f>IFERROR(_xlfn.XLOOKUP(tabExam[[#This Row],[Unique ID]], tblMaster[Unique ID], tblMaster[Phone], ""), "")</f>
        <v>774-239-4486</v>
      </c>
      <c r="F94" t="str">
        <f>IFERROR(_xlfn.XLOOKUP(tabExam[[#This Row],[Unique ID]], tblMaster[Unique ID], tblMaster[Recruiter], ""), "")</f>
        <v xml:space="preserve">Jevon Brown Simpson </v>
      </c>
      <c r="G94" t="str">
        <f>IFERROR(_xlfn.XLOOKUP(tabExam[[#This Row],[Unique ID]], tblMaster[Unique ID], tblMaster[Recruitment Cycle], ""), "")</f>
        <v xml:space="preserve">Re-Engagment </v>
      </c>
      <c r="H94" t="s">
        <v>8150</v>
      </c>
      <c r="I94">
        <v>2026</v>
      </c>
      <c r="J94" t="s">
        <v>7446</v>
      </c>
      <c r="K94" t="s">
        <v>7439</v>
      </c>
      <c r="L94" t="s">
        <v>8154</v>
      </c>
      <c r="M94" t="s">
        <v>7464</v>
      </c>
      <c r="N94" t="s">
        <v>7435</v>
      </c>
      <c r="O94" s="2">
        <v>46069</v>
      </c>
      <c r="Q94">
        <f ca="1">IF(tabExam[[#This Row],[Log Date]]="","",TODAY()-tabExam[[#This Row],[Log Date]])</f>
        <v>10</v>
      </c>
      <c r="R94" t="str">
        <f>IF(tabExam[[#This Row],[Log Date]]="","",IF(TRIM(tabExam[[#This Row],[Exam Cycle Stage]])="Asked to be removed from database","NO","YES"))</f>
        <v>YES</v>
      </c>
      <c r="S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5" spans="1:19">
      <c r="A95" t="s">
        <v>8243</v>
      </c>
      <c r="B95" t="str">
        <f>IFERROR(_xlfn.XLOOKUP(tabExam[[#This Row],[Unique ID]], tblMaster[Unique ID], tblMaster[First Name], ""), "")</f>
        <v xml:space="preserve">Jackie </v>
      </c>
      <c r="C95" t="str">
        <f>IFERROR(_xlfn.XLOOKUP(tabExam[[#This Row],[Unique ID]], tblMaster[Unique ID], tblMaster[Last Name], ""), "")</f>
        <v xml:space="preserve">Harris </v>
      </c>
      <c r="D95" t="str">
        <f>IFERROR(_xlfn.XLOOKUP(tabExam[[#This Row],[Unique ID]], tblMaster[Unique ID], tblMaster[Email_Clean], ""), "")</f>
        <v>jackiehh0817@gmail.com</v>
      </c>
      <c r="E95" t="str">
        <f>IFERROR(_xlfn.XLOOKUP(tabExam[[#This Row],[Unique ID]], tblMaster[Unique ID], tblMaster[Phone], ""), "")</f>
        <v xml:space="preserve">(508) 918-5779 </v>
      </c>
      <c r="F95" t="str">
        <f>IFERROR(_xlfn.XLOOKUP(tabExam[[#This Row],[Unique ID]], tblMaster[Unique ID], tblMaster[Recruiter], ""), "")</f>
        <v>Zenon Moses</v>
      </c>
      <c r="G95" t="str">
        <f>IFERROR(_xlfn.XLOOKUP(tabExam[[#This Row],[Unique ID]], tblMaster[Unique ID], tblMaster[Recruitment Cycle], ""), "")</f>
        <v xml:space="preserve">New Submission/ Lead </v>
      </c>
      <c r="H95" t="s">
        <v>8186</v>
      </c>
      <c r="I95">
        <v>2026</v>
      </c>
      <c r="J95" t="s">
        <v>7436</v>
      </c>
      <c r="K95" t="s">
        <v>7445</v>
      </c>
      <c r="L95" t="s">
        <v>8154</v>
      </c>
      <c r="M95" t="s">
        <v>7434</v>
      </c>
      <c r="N95" t="s">
        <v>7435</v>
      </c>
      <c r="O95" s="2">
        <v>46062</v>
      </c>
      <c r="P95" t="s">
        <v>8158</v>
      </c>
      <c r="Q95">
        <f ca="1">IF(tabExam[[#This Row],[Log Date]]="","",TODAY()-tabExam[[#This Row],[Log Date]])</f>
        <v>17</v>
      </c>
      <c r="R95" t="str">
        <f>IF(tabExam[[#This Row],[Log Date]]="","",IF(TRIM(tabExam[[#This Row],[Exam Cycle Stage]])="Asked to be removed from database","NO","YES"))</f>
        <v>YES</v>
      </c>
      <c r="S9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6" spans="1:19">
      <c r="A96" t="s">
        <v>8244</v>
      </c>
      <c r="B96" t="str">
        <f>IFERROR(_xlfn.XLOOKUP(tabExam[[#This Row],[Unique ID]], tblMaster[Unique ID], tblMaster[First Name], ""), "")</f>
        <v xml:space="preserve">Raymond </v>
      </c>
      <c r="C96" t="str">
        <f>IFERROR(_xlfn.XLOOKUP(tabExam[[#This Row],[Unique ID]], tblMaster[Unique ID], tblMaster[Last Name], ""), "")</f>
        <v xml:space="preserve"> Gresham </v>
      </c>
      <c r="D96" t="str">
        <f>IFERROR(_xlfn.XLOOKUP(tabExam[[#This Row],[Unique ID]], tblMaster[Unique ID], tblMaster[Email_Clean], ""), "")</f>
        <v>raymondgresham91@gmail.com</v>
      </c>
      <c r="E96" t="str">
        <f>IFERROR(_xlfn.XLOOKUP(tabExam[[#This Row],[Unique ID]], tblMaster[Unique ID], tblMaster[Phone], ""), "")</f>
        <v xml:space="preserve">(617) 516-3072 </v>
      </c>
      <c r="F96" t="str">
        <f>IFERROR(_xlfn.XLOOKUP(tabExam[[#This Row],[Unique ID]], tblMaster[Unique ID], tblMaster[Recruiter], ""), "")</f>
        <v>Zenon Moses</v>
      </c>
      <c r="G96" t="str">
        <f>IFERROR(_xlfn.XLOOKUP(tabExam[[#This Row],[Unique ID]], tblMaster[Unique ID], tblMaster[Recruitment Cycle], ""), "")</f>
        <v xml:space="preserve">New Submission/ Lead </v>
      </c>
      <c r="H96" t="s">
        <v>8186</v>
      </c>
      <c r="I96">
        <v>2026</v>
      </c>
      <c r="J96" t="s">
        <v>7436</v>
      </c>
      <c r="K96" t="s">
        <v>7445</v>
      </c>
      <c r="L96" t="s">
        <v>8154</v>
      </c>
      <c r="M96" t="s">
        <v>7434</v>
      </c>
      <c r="N96" t="s">
        <v>7435</v>
      </c>
      <c r="O96" s="2">
        <v>46062</v>
      </c>
      <c r="P96" t="s">
        <v>8158</v>
      </c>
      <c r="Q96">
        <f ca="1">IF(tabExam[[#This Row],[Log Date]]="","",TODAY()-tabExam[[#This Row],[Log Date]])</f>
        <v>17</v>
      </c>
      <c r="R96" t="str">
        <f>IF(tabExam[[#This Row],[Log Date]]="","",IF(TRIM(tabExam[[#This Row],[Exam Cycle Stage]])="Asked to be removed from database","NO","YES"))</f>
        <v>YES</v>
      </c>
      <c r="S9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7" spans="1:19">
      <c r="A97" t="s">
        <v>8245</v>
      </c>
      <c r="B97" t="str">
        <f>IFERROR(_xlfn.XLOOKUP(tabExam[[#This Row],[Unique ID]], tblMaster[Unique ID], tblMaster[First Name], ""), "")</f>
        <v xml:space="preserve">Katherine </v>
      </c>
      <c r="C97" t="str">
        <f>IFERROR(_xlfn.XLOOKUP(tabExam[[#This Row],[Unique ID]], tblMaster[Unique ID], tblMaster[Last Name], ""), "")</f>
        <v xml:space="preserve">Rivera </v>
      </c>
      <c r="D97" t="str">
        <f>IFERROR(_xlfn.XLOOKUP(tabExam[[#This Row],[Unique ID]], tblMaster[Unique ID], tblMaster[Email_Clean], ""), "")</f>
        <v>kayr217@gmail.com</v>
      </c>
      <c r="E97" t="str">
        <f>IFERROR(_xlfn.XLOOKUP(tabExam[[#This Row],[Unique ID]], tblMaster[Unique ID], tblMaster[Phone], ""), "")</f>
        <v xml:space="preserve">978-407-3646 </v>
      </c>
      <c r="F97" t="str">
        <f>IFERROR(_xlfn.XLOOKUP(tabExam[[#This Row],[Unique ID]], tblMaster[Unique ID], tblMaster[Recruiter], ""), "")</f>
        <v xml:space="preserve">Tom Clark </v>
      </c>
      <c r="G97" t="str">
        <f>IFERROR(_xlfn.XLOOKUP(tabExam[[#This Row],[Unique ID]], tblMaster[Unique ID], tblMaster[Recruitment Cycle], ""), "")</f>
        <v xml:space="preserve">Re-Engagment </v>
      </c>
      <c r="H97" t="s">
        <v>8186</v>
      </c>
      <c r="I97">
        <v>2026</v>
      </c>
      <c r="J97" t="s">
        <v>7446</v>
      </c>
      <c r="K97" t="s">
        <v>7439</v>
      </c>
      <c r="L97" t="s">
        <v>8154</v>
      </c>
      <c r="M97" t="s">
        <v>7434</v>
      </c>
      <c r="N97" t="s">
        <v>7435</v>
      </c>
      <c r="O97" s="2">
        <v>46059</v>
      </c>
      <c r="P97" t="s">
        <v>8195</v>
      </c>
      <c r="Q97">
        <f ca="1">IF(tabExam[[#This Row],[Log Date]]="","",TODAY()-tabExam[[#This Row],[Log Date]])</f>
        <v>20</v>
      </c>
      <c r="R97" t="str">
        <f>IF(tabExam[[#This Row],[Log Date]]="","",IF(TRIM(tabExam[[#This Row],[Exam Cycle Stage]])="Asked to be removed from database","NO","YES"))</f>
        <v>YES</v>
      </c>
      <c r="S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8" spans="1:19">
      <c r="A98" t="s">
        <v>8246</v>
      </c>
      <c r="B98" t="str">
        <f>IFERROR(_xlfn.XLOOKUP(tabExam[[#This Row],[Unique ID]], tblMaster[Unique ID], tblMaster[First Name], ""), "")</f>
        <v>Robert</v>
      </c>
      <c r="C98" t="str">
        <f>IFERROR(_xlfn.XLOOKUP(tabExam[[#This Row],[Unique ID]], tblMaster[Unique ID], tblMaster[Last Name], ""), "")</f>
        <v xml:space="preserve"> Brooks </v>
      </c>
      <c r="D98" t="str">
        <f>IFERROR(_xlfn.XLOOKUP(tabExam[[#This Row],[Unique ID]], tblMaster[Unique ID], tblMaster[Email_Clean], ""), "")</f>
        <v>rjbrooks23@gmail.com</v>
      </c>
      <c r="E98" t="str">
        <f>IFERROR(_xlfn.XLOOKUP(tabExam[[#This Row],[Unique ID]], tblMaster[Unique ID], tblMaster[Phone], ""), "")</f>
        <v xml:space="preserve">(781) 354-8080 </v>
      </c>
      <c r="F98" t="str">
        <f>IFERROR(_xlfn.XLOOKUP(tabExam[[#This Row],[Unique ID]], tblMaster[Unique ID], tblMaster[Recruiter], ""), "")</f>
        <v xml:space="preserve">Jevon Brown Simpson </v>
      </c>
      <c r="G98" t="str">
        <f>IFERROR(_xlfn.XLOOKUP(tabExam[[#This Row],[Unique ID]], tblMaster[Unique ID], tblMaster[Recruitment Cycle], ""), "")</f>
        <v xml:space="preserve">Re-Engagment </v>
      </c>
      <c r="H98" t="s">
        <v>8150</v>
      </c>
      <c r="I98">
        <v>2026</v>
      </c>
      <c r="J98" t="s">
        <v>7446</v>
      </c>
      <c r="K98" t="s">
        <v>7439</v>
      </c>
      <c r="L98" t="s">
        <v>8154</v>
      </c>
      <c r="M98" t="s">
        <v>7464</v>
      </c>
      <c r="O98" s="2">
        <v>46065</v>
      </c>
      <c r="Q98">
        <f ca="1">IF(tabExam[[#This Row],[Log Date]]="","",TODAY()-tabExam[[#This Row],[Log Date]])</f>
        <v>14</v>
      </c>
      <c r="R98" t="str">
        <f>IF(tabExam[[#This Row],[Log Date]]="","",IF(TRIM(tabExam[[#This Row],[Exam Cycle Stage]])="Asked to be removed from database","NO","YES"))</f>
        <v>YES</v>
      </c>
      <c r="S9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99" spans="1:19">
      <c r="A99" t="s">
        <v>8247</v>
      </c>
      <c r="B99" t="str">
        <f>IFERROR(_xlfn.XLOOKUP(tabExam[[#This Row],[Unique ID]], tblMaster[Unique ID], tblMaster[First Name], ""), "")</f>
        <v xml:space="preserve">Micheal </v>
      </c>
      <c r="C99" t="str">
        <f>IFERROR(_xlfn.XLOOKUP(tabExam[[#This Row],[Unique ID]], tblMaster[Unique ID], tblMaster[Last Name], ""), "")</f>
        <v xml:space="preserve">Dean </v>
      </c>
      <c r="D99" t="str">
        <f>IFERROR(_xlfn.XLOOKUP(tabExam[[#This Row],[Unique ID]], tblMaster[Unique ID], tblMaster[Email_Clean], ""), "")</f>
        <v>mikeylouis101@gmail.com</v>
      </c>
      <c r="E99" t="str">
        <f>IFERROR(_xlfn.XLOOKUP(tabExam[[#This Row],[Unique ID]], tblMaster[Unique ID], tblMaster[Phone], ""), "")</f>
        <v xml:space="preserve">401-854-8354 </v>
      </c>
      <c r="F99" t="str">
        <f>IFERROR(_xlfn.XLOOKUP(tabExam[[#This Row],[Unique ID]], tblMaster[Unique ID], tblMaster[Recruiter], ""), "")</f>
        <v>Zenon Moses</v>
      </c>
      <c r="G99" t="str">
        <f>IFERROR(_xlfn.XLOOKUP(tabExam[[#This Row],[Unique ID]], tblMaster[Unique ID], tblMaster[Recruitment Cycle], ""), "")</f>
        <v xml:space="preserve">New Submission/ Lead </v>
      </c>
      <c r="H99" t="s">
        <v>8150</v>
      </c>
      <c r="I99">
        <v>2026</v>
      </c>
      <c r="J99" t="s">
        <v>7446</v>
      </c>
      <c r="K99" t="s">
        <v>8153</v>
      </c>
      <c r="L99" t="s">
        <v>8167</v>
      </c>
      <c r="M99" t="s">
        <v>7464</v>
      </c>
      <c r="N99" t="s">
        <v>7435</v>
      </c>
      <c r="O99" s="2">
        <v>46073</v>
      </c>
      <c r="P99" t="s">
        <v>8158</v>
      </c>
      <c r="Q99">
        <f ca="1">IF(tabExam[[#This Row],[Log Date]]="","",TODAY()-tabExam[[#This Row],[Log Date]])</f>
        <v>6</v>
      </c>
      <c r="R99" t="str">
        <f>IF(tabExam[[#This Row],[Log Date]]="","",IF(TRIM(tabExam[[#This Row],[Exam Cycle Stage]])="Asked to be removed from database","NO","YES"))</f>
        <v>YES</v>
      </c>
      <c r="S9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0" spans="1:19">
      <c r="A100" t="s">
        <v>8248</v>
      </c>
      <c r="B100" t="str">
        <f>IFERROR(_xlfn.XLOOKUP(tabExam[[#This Row],[Unique ID]], tblMaster[Unique ID], tblMaster[First Name], ""), "")</f>
        <v xml:space="preserve">Andre </v>
      </c>
      <c r="C100" t="str">
        <f>IFERROR(_xlfn.XLOOKUP(tabExam[[#This Row],[Unique ID]], tblMaster[Unique ID], tblMaster[Last Name], ""), "")</f>
        <v xml:space="preserve">Barbosa </v>
      </c>
      <c r="D100" t="str">
        <f>IFERROR(_xlfn.XLOOKUP(tabExam[[#This Row],[Unique ID]], tblMaster[Unique ID], tblMaster[Email_Clean], ""), "")</f>
        <v>usarmy91@gmail.com</v>
      </c>
      <c r="E100" t="str">
        <f>IFERROR(_xlfn.XLOOKUP(tabExam[[#This Row],[Unique ID]], tblMaster[Unique ID], tblMaster[Phone], ""), "")</f>
        <v xml:space="preserve">857) 230-8943 </v>
      </c>
      <c r="F100" t="str">
        <f>IFERROR(_xlfn.XLOOKUP(tabExam[[#This Row],[Unique ID]], tblMaster[Unique ID], tblMaster[Recruiter], ""), "")</f>
        <v xml:space="preserve">Jevon Brown Simpson </v>
      </c>
      <c r="G100" t="str">
        <f>IFERROR(_xlfn.XLOOKUP(tabExam[[#This Row],[Unique ID]], tblMaster[Unique ID], tblMaster[Recruitment Cycle], ""), "")</f>
        <v xml:space="preserve">Re-Engagment </v>
      </c>
      <c r="H100" t="s">
        <v>8150</v>
      </c>
      <c r="I100">
        <v>2026</v>
      </c>
      <c r="J100" t="s">
        <v>7446</v>
      </c>
      <c r="K100" t="s">
        <v>7439</v>
      </c>
      <c r="L100" t="s">
        <v>8154</v>
      </c>
      <c r="M100" t="s">
        <v>7464</v>
      </c>
      <c r="O100" s="2">
        <v>46065</v>
      </c>
      <c r="Q100">
        <f ca="1">IF(tabExam[[#This Row],[Log Date]]="","",TODAY()-tabExam[[#This Row],[Log Date]])</f>
        <v>14</v>
      </c>
      <c r="R100" t="str">
        <f>IF(tabExam[[#This Row],[Log Date]]="","",IF(TRIM(tabExam[[#This Row],[Exam Cycle Stage]])="Asked to be removed from database","NO","YES"))</f>
        <v>YES</v>
      </c>
      <c r="S1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1" spans="1:19">
      <c r="A101" t="s">
        <v>8249</v>
      </c>
      <c r="B101" t="str">
        <f>IFERROR(_xlfn.XLOOKUP(tabExam[[#This Row],[Unique ID]], tblMaster[Unique ID], tblMaster[First Name], ""), "")</f>
        <v xml:space="preserve">Mikhaeil </v>
      </c>
      <c r="C101" t="str">
        <f>IFERROR(_xlfn.XLOOKUP(tabExam[[#This Row],[Unique ID]], tblMaster[Unique ID], tblMaster[Last Name], ""), "")</f>
        <v>Tadros</v>
      </c>
      <c r="D101" t="str">
        <f>IFERROR(_xlfn.XLOOKUP(tabExam[[#This Row],[Unique ID]], tblMaster[Unique ID], tblMaster[Email_Clean], ""), "")</f>
        <v>mikotadros21@gmail.com</v>
      </c>
      <c r="E101" t="str">
        <f>IFERROR(_xlfn.XLOOKUP(tabExam[[#This Row],[Unique ID]], tblMaster[Unique ID], tblMaster[Phone], ""), "")</f>
        <v>(774) 540-5307</v>
      </c>
      <c r="F101" t="str">
        <f>IFERROR(_xlfn.XLOOKUP(tabExam[[#This Row],[Unique ID]], tblMaster[Unique ID], tblMaster[Recruiter], ""), "")</f>
        <v>Zenon Moses</v>
      </c>
      <c r="G101" t="str">
        <f>IFERROR(_xlfn.XLOOKUP(tabExam[[#This Row],[Unique ID]], tblMaster[Unique ID], tblMaster[Recruitment Cycle], ""), "")</f>
        <v xml:space="preserve">New Submission/ Lead </v>
      </c>
      <c r="H101" t="s">
        <v>8150</v>
      </c>
      <c r="I101">
        <v>2026</v>
      </c>
      <c r="J101" t="s">
        <v>7446</v>
      </c>
      <c r="K101" t="s">
        <v>8153</v>
      </c>
      <c r="L101" t="s">
        <v>8167</v>
      </c>
      <c r="M101" t="s">
        <v>7464</v>
      </c>
      <c r="N101" t="s">
        <v>7435</v>
      </c>
      <c r="O101" s="2">
        <v>46073</v>
      </c>
      <c r="P101" t="s">
        <v>8158</v>
      </c>
      <c r="Q101">
        <f ca="1">IF(tabExam[[#This Row],[Log Date]]="","",TODAY()-tabExam[[#This Row],[Log Date]])</f>
        <v>6</v>
      </c>
      <c r="R101" t="str">
        <f>IF(tabExam[[#This Row],[Log Date]]="","",IF(TRIM(tabExam[[#This Row],[Exam Cycle Stage]])="Asked to be removed from database","NO","YES"))</f>
        <v>YES</v>
      </c>
      <c r="S10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2" spans="1:19">
      <c r="A102" t="s">
        <v>8250</v>
      </c>
      <c r="B102" t="str">
        <f>IFERROR(_xlfn.XLOOKUP(tabExam[[#This Row],[Unique ID]], tblMaster[Unique ID], tblMaster[First Name], ""), "")</f>
        <v>Djelyndo</v>
      </c>
      <c r="C102" t="str">
        <f>IFERROR(_xlfn.XLOOKUP(tabExam[[#This Row],[Unique ID]], tblMaster[Unique ID], tblMaster[Last Name], ""), "")</f>
        <v xml:space="preserve"> Rubes </v>
      </c>
      <c r="D102" t="str">
        <f>IFERROR(_xlfn.XLOOKUP(tabExam[[#This Row],[Unique ID]], tblMaster[Unique ID], tblMaster[Email_Clean], ""), "")</f>
        <v>djely.rubes@gmail.com</v>
      </c>
      <c r="E102" t="str">
        <f>IFERROR(_xlfn.XLOOKUP(tabExam[[#This Row],[Unique ID]], tblMaster[Unique ID], tblMaster[Phone], ""), "")</f>
        <v xml:space="preserve">(781) 366-6027 </v>
      </c>
      <c r="F102" t="str">
        <f>IFERROR(_xlfn.XLOOKUP(tabExam[[#This Row],[Unique ID]], tblMaster[Unique ID], tblMaster[Recruiter], ""), "")</f>
        <v xml:space="preserve">Tom Clark </v>
      </c>
      <c r="G102" t="str">
        <f>IFERROR(_xlfn.XLOOKUP(tabExam[[#This Row],[Unique ID]], tblMaster[Unique ID], tblMaster[Recruitment Cycle], ""), "")</f>
        <v xml:space="preserve">Re-Engagment </v>
      </c>
      <c r="H102" t="s">
        <v>8150</v>
      </c>
      <c r="I102">
        <v>2026</v>
      </c>
      <c r="J102" t="s">
        <v>7446</v>
      </c>
      <c r="K102" t="s">
        <v>7439</v>
      </c>
      <c r="L102" t="s">
        <v>8154</v>
      </c>
      <c r="M102" t="s">
        <v>7434</v>
      </c>
      <c r="N102" t="s">
        <v>8175</v>
      </c>
      <c r="O102" s="2">
        <v>46070</v>
      </c>
      <c r="Q102">
        <f ca="1">IF(tabExam[[#This Row],[Log Date]]="","",TODAY()-tabExam[[#This Row],[Log Date]])</f>
        <v>9</v>
      </c>
      <c r="R102" t="str">
        <f>IF(tabExam[[#This Row],[Log Date]]="","",IF(TRIM(tabExam[[#This Row],[Exam Cycle Stage]])="Asked to be removed from database","NO","YES"))</f>
        <v>YES</v>
      </c>
      <c r="S10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3" spans="1:19">
      <c r="A103" t="s">
        <v>8251</v>
      </c>
      <c r="B103" t="str">
        <f>IFERROR(_xlfn.XLOOKUP(tabExam[[#This Row],[Unique ID]], tblMaster[Unique ID], tblMaster[First Name], ""), "")</f>
        <v xml:space="preserve">Geoffrey </v>
      </c>
      <c r="C103" t="str">
        <f>IFERROR(_xlfn.XLOOKUP(tabExam[[#This Row],[Unique ID]], tblMaster[Unique ID], tblMaster[Last Name], ""), "")</f>
        <v xml:space="preserve">Gori Ongeta ONGETA </v>
      </c>
      <c r="D103" t="str">
        <f>IFERROR(_xlfn.XLOOKUP(tabExam[[#This Row],[Unique ID]], tblMaster[Unique ID], tblMaster[Email_Clean], ""), "")</f>
        <v>geoffreygori87@gmail.com</v>
      </c>
      <c r="E103" t="str">
        <f>IFERROR(_xlfn.XLOOKUP(tabExam[[#This Row],[Unique ID]], tblMaster[Unique ID], tblMaster[Phone], ""), "")</f>
        <v xml:space="preserve">(916) 940-5049 </v>
      </c>
      <c r="F103" t="str">
        <f>IFERROR(_xlfn.XLOOKUP(tabExam[[#This Row],[Unique ID]], tblMaster[Unique ID], tblMaster[Recruiter], ""), "")</f>
        <v>Zenon Moses</v>
      </c>
      <c r="G103" t="str">
        <f>IFERROR(_xlfn.XLOOKUP(tabExam[[#This Row],[Unique ID]], tblMaster[Unique ID], tblMaster[Recruitment Cycle], ""), "")</f>
        <v xml:space="preserve">New Submission/ Lead </v>
      </c>
      <c r="H103" t="s">
        <v>8150</v>
      </c>
      <c r="I103">
        <v>2026</v>
      </c>
      <c r="J103" t="s">
        <v>7446</v>
      </c>
      <c r="K103" t="s">
        <v>8153</v>
      </c>
      <c r="L103" t="s">
        <v>8154</v>
      </c>
      <c r="M103" t="s">
        <v>7464</v>
      </c>
      <c r="N103" t="s">
        <v>8157</v>
      </c>
      <c r="O103" s="2">
        <v>46073</v>
      </c>
      <c r="P103" t="s">
        <v>8162</v>
      </c>
      <c r="Q103">
        <f ca="1">IF(tabExam[[#This Row],[Log Date]]="","",TODAY()-tabExam[[#This Row],[Log Date]])</f>
        <v>6</v>
      </c>
      <c r="R103" t="str">
        <f>IF(tabExam[[#This Row],[Log Date]]="","",IF(TRIM(tabExam[[#This Row],[Exam Cycle Stage]])="Asked to be removed from database","NO","YES"))</f>
        <v>YES</v>
      </c>
      <c r="S1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4" spans="1:19">
      <c r="A104" t="s">
        <v>8252</v>
      </c>
      <c r="B104" t="str">
        <f>IFERROR(_xlfn.XLOOKUP(tabExam[[#This Row],[Unique ID]], tblMaster[Unique ID], tblMaster[First Name], ""), "")</f>
        <v>Christopher</v>
      </c>
      <c r="C104" t="str">
        <f>IFERROR(_xlfn.XLOOKUP(tabExam[[#This Row],[Unique ID]], tblMaster[Unique ID], tblMaster[Last Name], ""), "")</f>
        <v>Phillips</v>
      </c>
      <c r="D104" t="str">
        <f>IFERROR(_xlfn.XLOOKUP(tabExam[[#This Row],[Unique ID]], tblMaster[Unique ID], tblMaster[Email_Clean], ""), "")</f>
        <v>christopherphillips440@gmail.com</v>
      </c>
      <c r="E104" t="str">
        <f>IFERROR(_xlfn.XLOOKUP(tabExam[[#This Row],[Unique ID]], tblMaster[Unique ID], tblMaster[Phone], ""), "")</f>
        <v>857-318-4267</v>
      </c>
      <c r="F104" t="str">
        <f>IFERROR(_xlfn.XLOOKUP(tabExam[[#This Row],[Unique ID]], tblMaster[Unique ID], tblMaster[Recruiter], ""), "")</f>
        <v>Zenon Moses</v>
      </c>
      <c r="G104" t="str">
        <f>IFERROR(_xlfn.XLOOKUP(tabExam[[#This Row],[Unique ID]], tblMaster[Unique ID], tblMaster[Recruitment Cycle], ""), "")</f>
        <v xml:space="preserve">Re-Engagment/Post Civil Service Exam </v>
      </c>
      <c r="H104" t="s">
        <v>8150</v>
      </c>
      <c r="I104">
        <v>2026</v>
      </c>
      <c r="J104" t="s">
        <v>7446</v>
      </c>
      <c r="K104" t="s">
        <v>8153</v>
      </c>
      <c r="L104" t="s">
        <v>8154</v>
      </c>
      <c r="M104" t="s">
        <v>7464</v>
      </c>
      <c r="N104" t="s">
        <v>8175</v>
      </c>
      <c r="O104" s="2">
        <v>46073</v>
      </c>
      <c r="P104" t="s">
        <v>8162</v>
      </c>
      <c r="Q104">
        <f ca="1">IF(tabExam[[#This Row],[Log Date]]="","",TODAY()-tabExam[[#This Row],[Log Date]])</f>
        <v>6</v>
      </c>
      <c r="R104" t="str">
        <f>IF(tabExam[[#This Row],[Log Date]]="","",IF(TRIM(tabExam[[#This Row],[Exam Cycle Stage]])="Asked to be removed from database","NO","YES"))</f>
        <v>YES</v>
      </c>
      <c r="S10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5" spans="1:19">
      <c r="A105" t="s">
        <v>8253</v>
      </c>
      <c r="B105" t="str">
        <f>IFERROR(_xlfn.XLOOKUP(tabExam[[#This Row],[Unique ID]], tblMaster[Unique ID], tblMaster[First Name], ""), "")</f>
        <v xml:space="preserve">Alexandre </v>
      </c>
      <c r="C105" t="str">
        <f>IFERROR(_xlfn.XLOOKUP(tabExam[[#This Row],[Unique ID]], tblMaster[Unique ID], tblMaster[Last Name], ""), "")</f>
        <v xml:space="preserve">Theodore </v>
      </c>
      <c r="D105" t="str">
        <f>IFERROR(_xlfn.XLOOKUP(tabExam[[#This Row],[Unique ID]], tblMaster[Unique ID], tblMaster[Email_Clean], ""), "")</f>
        <v>alexandretheodore5@gmail.com</v>
      </c>
      <c r="E105" t="str">
        <f>IFERROR(_xlfn.XLOOKUP(tabExam[[#This Row],[Unique ID]], tblMaster[Unique ID], tblMaster[Phone], ""), "")</f>
        <v>617-685-9191</v>
      </c>
      <c r="F105" t="str">
        <f>IFERROR(_xlfn.XLOOKUP(tabExam[[#This Row],[Unique ID]], tblMaster[Unique ID], tblMaster[Recruiter], ""), "")</f>
        <v xml:space="preserve">Tom Clark </v>
      </c>
      <c r="G105" t="str">
        <f>IFERROR(_xlfn.XLOOKUP(tabExam[[#This Row],[Unique ID]], tblMaster[Unique ID], tblMaster[Recruitment Cycle], ""), "")</f>
        <v xml:space="preserve">Re-Engagment </v>
      </c>
      <c r="H105" t="s">
        <v>8150</v>
      </c>
      <c r="I105">
        <v>2026</v>
      </c>
      <c r="J105" t="s">
        <v>7446</v>
      </c>
      <c r="K105" t="s">
        <v>7439</v>
      </c>
      <c r="L105" t="s">
        <v>8154</v>
      </c>
      <c r="M105" t="s">
        <v>7434</v>
      </c>
      <c r="N105" t="s">
        <v>7435</v>
      </c>
      <c r="O105" s="2">
        <v>46062</v>
      </c>
      <c r="Q105">
        <f ca="1">IF(tabExam[[#This Row],[Log Date]]="","",TODAY()-tabExam[[#This Row],[Log Date]])</f>
        <v>17</v>
      </c>
      <c r="R105" t="str">
        <f>IF(tabExam[[#This Row],[Log Date]]="","",IF(TRIM(tabExam[[#This Row],[Exam Cycle Stage]])="Asked to be removed from database","NO","YES"))</f>
        <v>YES</v>
      </c>
      <c r="S10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6" spans="1:19">
      <c r="A106" t="s">
        <v>8254</v>
      </c>
      <c r="B106" t="str">
        <f>IFERROR(_xlfn.XLOOKUP(tabExam[[#This Row],[Unique ID]], tblMaster[Unique ID], tblMaster[First Name], ""), "")</f>
        <v xml:space="preserve">Reynaldo </v>
      </c>
      <c r="C106" t="str">
        <f>IFERROR(_xlfn.XLOOKUP(tabExam[[#This Row],[Unique ID]], tblMaster[Unique ID], tblMaster[Last Name], ""), "")</f>
        <v xml:space="preserve"> Navarro Rios </v>
      </c>
      <c r="D106" t="str">
        <f>IFERROR(_xlfn.XLOOKUP(tabExam[[#This Row],[Unique ID]], tblMaster[Unique ID], tblMaster[Email_Clean], ""), "")</f>
        <v>navarroreynaldo569@gmail.com</v>
      </c>
      <c r="E106" t="str">
        <f>IFERROR(_xlfn.XLOOKUP(tabExam[[#This Row],[Unique ID]], tblMaster[Unique ID], tblMaster[Phone], ""), "")</f>
        <v xml:space="preserve">774) 525-0783 </v>
      </c>
      <c r="F106" t="str">
        <f>IFERROR(_xlfn.XLOOKUP(tabExam[[#This Row],[Unique ID]], tblMaster[Unique ID], tblMaster[Recruiter], ""), "")</f>
        <v xml:space="preserve">Tom Clark </v>
      </c>
      <c r="G106" t="str">
        <f>IFERROR(_xlfn.XLOOKUP(tabExam[[#This Row],[Unique ID]], tblMaster[Unique ID], tblMaster[Recruitment Cycle], ""), "")</f>
        <v xml:space="preserve">Re-Engagment/Post Civil Service Exam </v>
      </c>
      <c r="H106" t="s">
        <v>8150</v>
      </c>
      <c r="I106">
        <v>2026</v>
      </c>
      <c r="J106" t="s">
        <v>7446</v>
      </c>
      <c r="K106" t="s">
        <v>7439</v>
      </c>
      <c r="L106" t="s">
        <v>8154</v>
      </c>
      <c r="M106" t="s">
        <v>7434</v>
      </c>
      <c r="N106" t="s">
        <v>7435</v>
      </c>
      <c r="O106" s="2">
        <v>46062</v>
      </c>
      <c r="P106" t="s">
        <v>8158</v>
      </c>
      <c r="Q106">
        <f ca="1">IF(tabExam[[#This Row],[Log Date]]="","",TODAY()-tabExam[[#This Row],[Log Date]])</f>
        <v>17</v>
      </c>
      <c r="R106" t="str">
        <f>IF(tabExam[[#This Row],[Log Date]]="","",IF(TRIM(tabExam[[#This Row],[Exam Cycle Stage]])="Asked to be removed from database","NO","YES"))</f>
        <v>YES</v>
      </c>
      <c r="S1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7" spans="1:19">
      <c r="A107" t="s">
        <v>8255</v>
      </c>
      <c r="B107" t="str">
        <f>IFERROR(_xlfn.XLOOKUP(tabExam[[#This Row],[Unique ID]], tblMaster[Unique ID], tblMaster[First Name], ""), "")</f>
        <v xml:space="preserve">Nikendy </v>
      </c>
      <c r="C107" t="str">
        <f>IFERROR(_xlfn.XLOOKUP(tabExam[[#This Row],[Unique ID]], tblMaster[Unique ID], tblMaster[Last Name], ""), "")</f>
        <v>Desarmes</v>
      </c>
      <c r="D107" t="str">
        <f>IFERROR(_xlfn.XLOOKUP(tabExam[[#This Row],[Unique ID]], tblMaster[Unique ID], tblMaster[Email_Clean], ""), "")</f>
        <v>ndesarmes.1@gmail.com</v>
      </c>
      <c r="E107" t="str">
        <f>IFERROR(_xlfn.XLOOKUP(tabExam[[#This Row],[Unique ID]], tblMaster[Unique ID], tblMaster[Phone], ""), "")</f>
        <v xml:space="preserve">617-653-8317 </v>
      </c>
      <c r="F107" t="str">
        <f>IFERROR(_xlfn.XLOOKUP(tabExam[[#This Row],[Unique ID]], tblMaster[Unique ID], tblMaster[Recruiter], ""), "")</f>
        <v xml:space="preserve">Tom Clark </v>
      </c>
      <c r="G107" t="str">
        <f>IFERROR(_xlfn.XLOOKUP(tabExam[[#This Row],[Unique ID]], tblMaster[Unique ID], tblMaster[Recruitment Cycle], ""), "")</f>
        <v xml:space="preserve">Re-Engagment </v>
      </c>
      <c r="H107" t="s">
        <v>8150</v>
      </c>
      <c r="I107">
        <v>2026</v>
      </c>
      <c r="J107" t="s">
        <v>7446</v>
      </c>
      <c r="K107" t="s">
        <v>7439</v>
      </c>
      <c r="L107" t="s">
        <v>8154</v>
      </c>
      <c r="M107" t="s">
        <v>7434</v>
      </c>
      <c r="N107" t="s">
        <v>8175</v>
      </c>
      <c r="O107" s="2">
        <v>46070</v>
      </c>
      <c r="Q107">
        <f ca="1">IF(tabExam[[#This Row],[Log Date]]="","",TODAY()-tabExam[[#This Row],[Log Date]])</f>
        <v>9</v>
      </c>
      <c r="R107" t="str">
        <f>IF(tabExam[[#This Row],[Log Date]]="","",IF(TRIM(tabExam[[#This Row],[Exam Cycle Stage]])="Asked to be removed from database","NO","YES"))</f>
        <v>YES</v>
      </c>
      <c r="S10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8" spans="1:19">
      <c r="A108" t="s">
        <v>8256</v>
      </c>
      <c r="B108" t="str">
        <f>IFERROR(_xlfn.XLOOKUP(tabExam[[#This Row],[Unique ID]], tblMaster[Unique ID], tblMaster[First Name], ""), "")</f>
        <v>Guy</v>
      </c>
      <c r="C108" t="str">
        <f>IFERROR(_xlfn.XLOOKUP(tabExam[[#This Row],[Unique ID]], tblMaster[Unique ID], tblMaster[Last Name], ""), "")</f>
        <v xml:space="preserve">Bertrand </v>
      </c>
      <c r="D108" t="str">
        <f>IFERROR(_xlfn.XLOOKUP(tabExam[[#This Row],[Unique ID]], tblMaster[Unique ID], tblMaster[Email_Clean], ""), "")</f>
        <v>junior.gjb@gmail.com</v>
      </c>
      <c r="E108" t="str">
        <f>IFERROR(_xlfn.XLOOKUP(tabExam[[#This Row],[Unique ID]], tblMaster[Unique ID], tblMaster[Phone], ""), "")</f>
        <v xml:space="preserve">(347) 520-4324 </v>
      </c>
      <c r="F108" t="str">
        <f>IFERROR(_xlfn.XLOOKUP(tabExam[[#This Row],[Unique ID]], tblMaster[Unique ID], tblMaster[Recruiter], ""), "")</f>
        <v>Zenon Moses</v>
      </c>
      <c r="G108" t="str">
        <f>IFERROR(_xlfn.XLOOKUP(tabExam[[#This Row],[Unique ID]], tblMaster[Unique ID], tblMaster[Recruitment Cycle], ""), "")</f>
        <v xml:space="preserve">Re-Engagment </v>
      </c>
      <c r="H108" t="s">
        <v>8150</v>
      </c>
      <c r="I108">
        <v>2026</v>
      </c>
      <c r="J108" t="s">
        <v>7446</v>
      </c>
      <c r="K108" t="s">
        <v>8153</v>
      </c>
      <c r="L108" t="s">
        <v>8154</v>
      </c>
      <c r="M108" t="s">
        <v>7464</v>
      </c>
      <c r="N108" t="s">
        <v>8175</v>
      </c>
      <c r="O108" s="2">
        <v>46073</v>
      </c>
      <c r="P108" t="s">
        <v>8162</v>
      </c>
      <c r="Q108">
        <f ca="1">IF(tabExam[[#This Row],[Log Date]]="","",TODAY()-tabExam[[#This Row],[Log Date]])</f>
        <v>6</v>
      </c>
      <c r="R108" t="str">
        <f>IF(tabExam[[#This Row],[Log Date]]="","",IF(TRIM(tabExam[[#This Row],[Exam Cycle Stage]])="Asked to be removed from database","NO","YES"))</f>
        <v>YES</v>
      </c>
      <c r="S10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09" spans="1:19">
      <c r="A109" t="s">
        <v>8257</v>
      </c>
      <c r="B109" t="str">
        <f>IFERROR(_xlfn.XLOOKUP(tabExam[[#This Row],[Unique ID]], tblMaster[Unique ID], tblMaster[First Name], ""), "")</f>
        <v>Catalina</v>
      </c>
      <c r="C109" t="str">
        <f>IFERROR(_xlfn.XLOOKUP(tabExam[[#This Row],[Unique ID]], tblMaster[Unique ID], tblMaster[Last Name], ""), "")</f>
        <v xml:space="preserve">Gaviria </v>
      </c>
      <c r="D109" t="str">
        <f>IFERROR(_xlfn.XLOOKUP(tabExam[[#This Row],[Unique ID]], tblMaster[Unique ID], tblMaster[Email_Clean], ""), "")</f>
        <v>catalinagp12@gmail.com</v>
      </c>
      <c r="E109" t="str">
        <f>IFERROR(_xlfn.XLOOKUP(tabExam[[#This Row],[Unique ID]], tblMaster[Unique ID], tblMaster[Phone], ""), "")</f>
        <v xml:space="preserve">(203) 812-8827 </v>
      </c>
      <c r="F109" t="str">
        <f>IFERROR(_xlfn.XLOOKUP(tabExam[[#This Row],[Unique ID]], tblMaster[Unique ID], tblMaster[Recruiter], ""), "")</f>
        <v>Zenon Moses</v>
      </c>
      <c r="G109" t="str">
        <f>IFERROR(_xlfn.XLOOKUP(tabExam[[#This Row],[Unique ID]], tblMaster[Unique ID], tblMaster[Recruitment Cycle], ""), "")</f>
        <v xml:space="preserve">New Submission/ Lead </v>
      </c>
      <c r="H109" t="s">
        <v>8150</v>
      </c>
      <c r="I109">
        <v>2026</v>
      </c>
      <c r="J109" t="s">
        <v>7446</v>
      </c>
      <c r="K109" t="s">
        <v>8153</v>
      </c>
      <c r="L109" t="s">
        <v>8167</v>
      </c>
      <c r="M109" t="s">
        <v>7464</v>
      </c>
      <c r="N109" t="s">
        <v>7435</v>
      </c>
      <c r="O109" s="2">
        <v>46073</v>
      </c>
      <c r="P109" t="s">
        <v>8158</v>
      </c>
      <c r="Q109">
        <f ca="1">IF(tabExam[[#This Row],[Log Date]]="","",TODAY()-tabExam[[#This Row],[Log Date]])</f>
        <v>6</v>
      </c>
      <c r="R109" t="str">
        <f>IF(tabExam[[#This Row],[Log Date]]="","",IF(TRIM(tabExam[[#This Row],[Exam Cycle Stage]])="Asked to be removed from database","NO","YES"))</f>
        <v>YES</v>
      </c>
      <c r="S10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0" spans="1:19">
      <c r="A110" t="s">
        <v>8258</v>
      </c>
      <c r="B110" t="str">
        <f>IFERROR(_xlfn.XLOOKUP(tabExam[[#This Row],[Unique ID]], tblMaster[Unique ID], tblMaster[First Name], ""), "")</f>
        <v xml:space="preserve">Guillermo </v>
      </c>
      <c r="C110" t="str">
        <f>IFERROR(_xlfn.XLOOKUP(tabExam[[#This Row],[Unique ID]], tblMaster[Unique ID], tblMaster[Last Name], ""), "")</f>
        <v xml:space="preserve">Martillo Diaz </v>
      </c>
      <c r="D110" t="str">
        <f>IFERROR(_xlfn.XLOOKUP(tabExam[[#This Row],[Unique ID]], tblMaster[Unique ID], tblMaster[Email_Clean], ""), "")</f>
        <v>g.martillodiaz@gmail.com</v>
      </c>
      <c r="E110" t="str">
        <f>IFERROR(_xlfn.XLOOKUP(tabExam[[#This Row],[Unique ID]], tblMaster[Unique ID], tblMaster[Phone], ""), "")</f>
        <v>760-730-2378</v>
      </c>
      <c r="F110" t="str">
        <f>IFERROR(_xlfn.XLOOKUP(tabExam[[#This Row],[Unique ID]], tblMaster[Unique ID], tblMaster[Recruiter], ""), "")</f>
        <v>Zenon Moses</v>
      </c>
      <c r="G110" t="str">
        <f>IFERROR(_xlfn.XLOOKUP(tabExam[[#This Row],[Unique ID]], tblMaster[Unique ID], tblMaster[Recruitment Cycle], ""), "")</f>
        <v xml:space="preserve">Re-Engagment </v>
      </c>
      <c r="H110" t="s">
        <v>8186</v>
      </c>
      <c r="I110">
        <v>2026</v>
      </c>
      <c r="J110" t="s">
        <v>7436</v>
      </c>
      <c r="K110" t="s">
        <v>7445</v>
      </c>
      <c r="L110" t="s">
        <v>8154</v>
      </c>
      <c r="M110" t="s">
        <v>7434</v>
      </c>
      <c r="N110" t="s">
        <v>7435</v>
      </c>
      <c r="O110" s="2">
        <v>46062</v>
      </c>
      <c r="P110" t="s">
        <v>8158</v>
      </c>
      <c r="Q110">
        <f ca="1">IF(tabExam[[#This Row],[Log Date]]="","",TODAY()-tabExam[[#This Row],[Log Date]])</f>
        <v>17</v>
      </c>
      <c r="R110" t="str">
        <f>IF(tabExam[[#This Row],[Log Date]]="","",IF(TRIM(tabExam[[#This Row],[Exam Cycle Stage]])="Asked to be removed from database","NO","YES"))</f>
        <v>YES</v>
      </c>
      <c r="S11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1" spans="1:19">
      <c r="A111" t="s">
        <v>8259</v>
      </c>
      <c r="B111" t="str">
        <f>IFERROR(_xlfn.XLOOKUP(tabExam[[#This Row],[Unique ID]], tblMaster[Unique ID], tblMaster[First Name], ""), "")</f>
        <v xml:space="preserve">Jared </v>
      </c>
      <c r="C111" t="str">
        <f>IFERROR(_xlfn.XLOOKUP(tabExam[[#This Row],[Unique ID]], tblMaster[Unique ID], tblMaster[Last Name], ""), "")</f>
        <v xml:space="preserve"> Bryant </v>
      </c>
      <c r="D111" t="str">
        <f>IFERROR(_xlfn.XLOOKUP(tabExam[[#This Row],[Unique ID]], tblMaster[Unique ID], tblMaster[Email_Clean], ""), "")</f>
        <v>jab72090@gmail.com</v>
      </c>
      <c r="E111" t="str">
        <f>IFERROR(_xlfn.XLOOKUP(tabExam[[#This Row],[Unique ID]], tblMaster[Unique ID], tblMaster[Phone], ""), "")</f>
        <v xml:space="preserve">774) 441-4194 </v>
      </c>
      <c r="F111" t="str">
        <f>IFERROR(_xlfn.XLOOKUP(tabExam[[#This Row],[Unique ID]], tblMaster[Unique ID], tblMaster[Recruiter], ""), "")</f>
        <v>Zenon Moses</v>
      </c>
      <c r="G111" t="str">
        <f>IFERROR(_xlfn.XLOOKUP(tabExam[[#This Row],[Unique ID]], tblMaster[Unique ID], tblMaster[Recruitment Cycle], ""), "")</f>
        <v xml:space="preserve">New Submission/ Lead </v>
      </c>
      <c r="H111" t="s">
        <v>8150</v>
      </c>
      <c r="I111">
        <v>2026</v>
      </c>
      <c r="J111" t="s">
        <v>7446</v>
      </c>
      <c r="K111" t="s">
        <v>8153</v>
      </c>
      <c r="L111" t="s">
        <v>8167</v>
      </c>
      <c r="M111" t="s">
        <v>7464</v>
      </c>
      <c r="N111" t="s">
        <v>7435</v>
      </c>
      <c r="O111" s="2">
        <v>46073</v>
      </c>
      <c r="P111" t="s">
        <v>8158</v>
      </c>
      <c r="Q111">
        <f ca="1">IF(tabExam[[#This Row],[Log Date]]="","",TODAY()-tabExam[[#This Row],[Log Date]])</f>
        <v>6</v>
      </c>
      <c r="R111" t="str">
        <f>IF(tabExam[[#This Row],[Log Date]]="","",IF(TRIM(tabExam[[#This Row],[Exam Cycle Stage]])="Asked to be removed from database","NO","YES"))</f>
        <v>YES</v>
      </c>
      <c r="S1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2" spans="1:19">
      <c r="A112" t="s">
        <v>8260</v>
      </c>
      <c r="B112" t="str">
        <f>IFERROR(_xlfn.XLOOKUP(tabExam[[#This Row],[Unique ID]], tblMaster[Unique ID], tblMaster[First Name], ""), "")</f>
        <v>Abu</v>
      </c>
      <c r="C112" t="str">
        <f>IFERROR(_xlfn.XLOOKUP(tabExam[[#This Row],[Unique ID]], tblMaster[Unique ID], tblMaster[Last Name], ""), "")</f>
        <v>Abu Munir</v>
      </c>
      <c r="D112" t="str">
        <f>IFERROR(_xlfn.XLOOKUP(tabExam[[#This Row],[Unique ID]], tblMaster[Unique ID], tblMaster[Email_Clean], ""), "")</f>
        <v>abusayed98@yahoo.com</v>
      </c>
      <c r="E112" t="str">
        <f>IFERROR(_xlfn.XLOOKUP(tabExam[[#This Row],[Unique ID]], tblMaster[Unique ID], tblMaster[Phone], ""), "")</f>
        <v>(339) 674-8678</v>
      </c>
      <c r="F112" t="str">
        <f>IFERROR(_xlfn.XLOOKUP(tabExam[[#This Row],[Unique ID]], tblMaster[Unique ID], tblMaster[Recruiter], ""), "")</f>
        <v xml:space="preserve">Tom Clark </v>
      </c>
      <c r="G112" t="str">
        <f>IFERROR(_xlfn.XLOOKUP(tabExam[[#This Row],[Unique ID]], tblMaster[Unique ID], tblMaster[Recruitment Cycle], ""), "")</f>
        <v xml:space="preserve">New Submission/ Lead </v>
      </c>
      <c r="H112" t="s">
        <v>8150</v>
      </c>
      <c r="I112">
        <v>2026</v>
      </c>
      <c r="J112" t="s">
        <v>7446</v>
      </c>
      <c r="K112" t="s">
        <v>7439</v>
      </c>
      <c r="L112" t="s">
        <v>8154</v>
      </c>
      <c r="M112" t="s">
        <v>7434</v>
      </c>
      <c r="N112" t="s">
        <v>8175</v>
      </c>
      <c r="O112" s="2">
        <v>46070</v>
      </c>
      <c r="Q112">
        <f ca="1">IF(tabExam[[#This Row],[Log Date]]="","",TODAY()-tabExam[[#This Row],[Log Date]])</f>
        <v>9</v>
      </c>
      <c r="R112" t="str">
        <f>IF(tabExam[[#This Row],[Log Date]]="","",IF(TRIM(tabExam[[#This Row],[Exam Cycle Stage]])="Asked to be removed from database","NO","YES"))</f>
        <v>YES</v>
      </c>
      <c r="S1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3" spans="1:19">
      <c r="A113" t="s">
        <v>8261</v>
      </c>
      <c r="B113" t="str">
        <f>IFERROR(_xlfn.XLOOKUP(tabExam[[#This Row],[Unique ID]], tblMaster[Unique ID], tblMaster[First Name], ""), "")</f>
        <v>Clovis</v>
      </c>
      <c r="C113" t="str">
        <f>IFERROR(_xlfn.XLOOKUP(tabExam[[#This Row],[Unique ID]], tblMaster[Unique ID], tblMaster[Last Name], ""), "")</f>
        <v>Anokye</v>
      </c>
      <c r="D113" t="str">
        <f>IFERROR(_xlfn.XLOOKUP(tabExam[[#This Row],[Unique ID]], tblMaster[Unique ID], tblMaster[Email_Clean], ""), "")</f>
        <v>clovis.anokye@gmail.com</v>
      </c>
      <c r="E113" t="str">
        <f>IFERROR(_xlfn.XLOOKUP(tabExam[[#This Row],[Unique ID]], tblMaster[Unique ID], tblMaster[Phone], ""), "")</f>
        <v xml:space="preserve">978-798-8883) </v>
      </c>
      <c r="F113" t="str">
        <f>IFERROR(_xlfn.XLOOKUP(tabExam[[#This Row],[Unique ID]], tblMaster[Unique ID], tblMaster[Recruiter], ""), "")</f>
        <v>Zenon Moses</v>
      </c>
      <c r="G113" t="str">
        <f>IFERROR(_xlfn.XLOOKUP(tabExam[[#This Row],[Unique ID]], tblMaster[Unique ID], tblMaster[Recruitment Cycle], ""), "")</f>
        <v xml:space="preserve">Re-Engagment </v>
      </c>
      <c r="H113" t="s">
        <v>8150</v>
      </c>
      <c r="I113">
        <v>2026</v>
      </c>
      <c r="J113" t="s">
        <v>7446</v>
      </c>
      <c r="K113" t="s">
        <v>8153</v>
      </c>
      <c r="L113" t="s">
        <v>8167</v>
      </c>
      <c r="M113" t="s">
        <v>7464</v>
      </c>
      <c r="N113" t="s">
        <v>7435</v>
      </c>
      <c r="O113" s="2">
        <v>46073</v>
      </c>
      <c r="P113" t="s">
        <v>8158</v>
      </c>
      <c r="Q113">
        <f ca="1">IF(tabExam[[#This Row],[Log Date]]="","",TODAY()-tabExam[[#This Row],[Log Date]])</f>
        <v>6</v>
      </c>
      <c r="R113" t="str">
        <f>IF(tabExam[[#This Row],[Log Date]]="","",IF(TRIM(tabExam[[#This Row],[Exam Cycle Stage]])="Asked to be removed from database","NO","YES"))</f>
        <v>YES</v>
      </c>
      <c r="S11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4" spans="1:19">
      <c r="A114" t="s">
        <v>8262</v>
      </c>
      <c r="B114" t="str">
        <f>IFERROR(_xlfn.XLOOKUP(tabExam[[#This Row],[Unique ID]], tblMaster[Unique ID], tblMaster[First Name], ""), "")</f>
        <v xml:space="preserve">Matthew </v>
      </c>
      <c r="C114" t="str">
        <f>IFERROR(_xlfn.XLOOKUP(tabExam[[#This Row],[Unique ID]], tblMaster[Unique ID], tblMaster[Last Name], ""), "")</f>
        <v xml:space="preserve">Hayden </v>
      </c>
      <c r="D114" t="str">
        <f>IFERROR(_xlfn.XLOOKUP(tabExam[[#This Row],[Unique ID]], tblMaster[Unique ID], tblMaster[Email_Clean], ""), "")</f>
        <v>thayden1720@yahoo.com</v>
      </c>
      <c r="E114" t="str">
        <f>IFERROR(_xlfn.XLOOKUP(tabExam[[#This Row],[Unique ID]], tblMaster[Unique ID], tblMaster[Phone], ""), "")</f>
        <v xml:space="preserve">413) 297-7851 </v>
      </c>
      <c r="F114" t="str">
        <f>IFERROR(_xlfn.XLOOKUP(tabExam[[#This Row],[Unique ID]], tblMaster[Unique ID], tblMaster[Recruiter], ""), "")</f>
        <v xml:space="preserve">Tom Clark </v>
      </c>
      <c r="G114" t="str">
        <f>IFERROR(_xlfn.XLOOKUP(tabExam[[#This Row],[Unique ID]], tblMaster[Unique ID], tblMaster[Recruitment Cycle], ""), "")</f>
        <v xml:space="preserve">New Submission/ Lead </v>
      </c>
      <c r="H114" t="s">
        <v>8150</v>
      </c>
      <c r="I114">
        <v>2026</v>
      </c>
      <c r="J114" t="s">
        <v>7446</v>
      </c>
      <c r="K114" t="s">
        <v>7439</v>
      </c>
      <c r="L114" t="s">
        <v>8154</v>
      </c>
      <c r="M114" t="s">
        <v>7434</v>
      </c>
      <c r="N114" t="s">
        <v>7435</v>
      </c>
      <c r="O114" s="2">
        <v>46062</v>
      </c>
      <c r="P114" t="s">
        <v>7472</v>
      </c>
      <c r="Q114">
        <f ca="1">IF(tabExam[[#This Row],[Log Date]]="","",TODAY()-tabExam[[#This Row],[Log Date]])</f>
        <v>17</v>
      </c>
      <c r="R114" t="str">
        <f>IF(tabExam[[#This Row],[Log Date]]="","",IF(TRIM(tabExam[[#This Row],[Exam Cycle Stage]])="Asked to be removed from database","NO","YES"))</f>
        <v>YES</v>
      </c>
      <c r="S1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5" spans="1:19">
      <c r="A115" t="s">
        <v>8263</v>
      </c>
      <c r="B115" t="str">
        <f>IFERROR(_xlfn.XLOOKUP(tabExam[[#This Row],[Unique ID]], tblMaster[Unique ID], tblMaster[First Name], ""), "")</f>
        <v>Ann</v>
      </c>
      <c r="C115" t="str">
        <f>IFERROR(_xlfn.XLOOKUP(tabExam[[#This Row],[Unique ID]], tblMaster[Unique ID], tblMaster[Last Name], ""), "")</f>
        <v xml:space="preserve">Laurie Desilus </v>
      </c>
      <c r="D115" t="str">
        <f>IFERROR(_xlfn.XLOOKUP(tabExam[[#This Row],[Unique ID]], tblMaster[Unique ID], tblMaster[Email_Clean], ""), "")</f>
        <v>medjynadesilus@gmail.com</v>
      </c>
      <c r="E115" t="str">
        <f>IFERROR(_xlfn.XLOOKUP(tabExam[[#This Row],[Unique ID]], tblMaster[Unique ID], tblMaster[Phone], ""), "")</f>
        <v xml:space="preserve">857) 246-8630 </v>
      </c>
      <c r="F115" t="str">
        <f>IFERROR(_xlfn.XLOOKUP(tabExam[[#This Row],[Unique ID]], tblMaster[Unique ID], tblMaster[Recruiter], ""), "")</f>
        <v>Zenon Moses</v>
      </c>
      <c r="G115" t="str">
        <f>IFERROR(_xlfn.XLOOKUP(tabExam[[#This Row],[Unique ID]], tblMaster[Unique ID], tblMaster[Recruitment Cycle], ""), "")</f>
        <v xml:space="preserve">Re-Engagment </v>
      </c>
      <c r="H115" t="s">
        <v>8186</v>
      </c>
      <c r="I115">
        <v>2026</v>
      </c>
      <c r="J115" t="s">
        <v>7436</v>
      </c>
      <c r="K115" t="s">
        <v>7445</v>
      </c>
      <c r="L115" t="s">
        <v>8154</v>
      </c>
      <c r="M115" t="s">
        <v>7434</v>
      </c>
      <c r="N115" t="s">
        <v>7435</v>
      </c>
      <c r="O115" s="2">
        <v>46062</v>
      </c>
      <c r="P115" t="s">
        <v>8162</v>
      </c>
      <c r="Q115">
        <f ca="1">IF(tabExam[[#This Row],[Log Date]]="","",TODAY()-tabExam[[#This Row],[Log Date]])</f>
        <v>17</v>
      </c>
      <c r="R115" t="str">
        <f>IF(tabExam[[#This Row],[Log Date]]="","",IF(TRIM(tabExam[[#This Row],[Exam Cycle Stage]])="Asked to be removed from database","NO","YES"))</f>
        <v>YES</v>
      </c>
      <c r="S11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6" spans="1:19">
      <c r="A116" t="s">
        <v>8264</v>
      </c>
      <c r="B116" t="str">
        <f>IFERROR(_xlfn.XLOOKUP(tabExam[[#This Row],[Unique ID]], tblMaster[Unique ID], tblMaster[First Name], ""), "")</f>
        <v xml:space="preserve">Roody </v>
      </c>
      <c r="C116" t="str">
        <f>IFERROR(_xlfn.XLOOKUP(tabExam[[#This Row],[Unique ID]], tblMaster[Unique ID], tblMaster[Last Name], ""), "")</f>
        <v>Roc</v>
      </c>
      <c r="D116" t="str">
        <f>IFERROR(_xlfn.XLOOKUP(tabExam[[#This Row],[Unique ID]], tblMaster[Unique ID], tblMaster[Email_Clean], ""), "")</f>
        <v>roodyroc1@gmail.com</v>
      </c>
      <c r="E116" t="str">
        <f>IFERROR(_xlfn.XLOOKUP(tabExam[[#This Row],[Unique ID]], tblMaster[Unique ID], tblMaster[Phone], ""), "")</f>
        <v>617 953 2911</v>
      </c>
      <c r="F116" t="str">
        <f>IFERROR(_xlfn.XLOOKUP(tabExam[[#This Row],[Unique ID]], tblMaster[Unique ID], tblMaster[Recruiter], ""), "")</f>
        <v>Zenon Moses</v>
      </c>
      <c r="G116" t="str">
        <f>IFERROR(_xlfn.XLOOKUP(tabExam[[#This Row],[Unique ID]], tblMaster[Unique ID], tblMaster[Recruitment Cycle], ""), "")</f>
        <v xml:space="preserve">Re-Engagment </v>
      </c>
      <c r="H116" t="s">
        <v>8150</v>
      </c>
      <c r="I116">
        <v>2026</v>
      </c>
      <c r="J116" t="s">
        <v>7446</v>
      </c>
      <c r="K116" t="s">
        <v>8153</v>
      </c>
      <c r="L116" t="s">
        <v>8154</v>
      </c>
      <c r="M116" t="s">
        <v>7464</v>
      </c>
      <c r="N116" t="s">
        <v>8157</v>
      </c>
      <c r="O116" s="2">
        <v>46073</v>
      </c>
      <c r="P116" t="s">
        <v>8162</v>
      </c>
      <c r="Q116">
        <f ca="1">IF(tabExam[[#This Row],[Log Date]]="","",TODAY()-tabExam[[#This Row],[Log Date]])</f>
        <v>6</v>
      </c>
      <c r="R116" t="str">
        <f>IF(tabExam[[#This Row],[Log Date]]="","",IF(TRIM(tabExam[[#This Row],[Exam Cycle Stage]])="Asked to be removed from database","NO","YES"))</f>
        <v>YES</v>
      </c>
      <c r="S11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7" spans="1:19">
      <c r="A117" t="s">
        <v>8265</v>
      </c>
      <c r="B117" t="str">
        <f>IFERROR(_xlfn.XLOOKUP(tabExam[[#This Row],[Unique ID]], tblMaster[Unique ID], tblMaster[First Name], ""), "")</f>
        <v xml:space="preserve">Destiny </v>
      </c>
      <c r="C117" t="str">
        <f>IFERROR(_xlfn.XLOOKUP(tabExam[[#This Row],[Unique ID]], tblMaster[Unique ID], tblMaster[Last Name], ""), "")</f>
        <v xml:space="preserve">Lewis </v>
      </c>
      <c r="D117" t="str">
        <f>IFERROR(_xlfn.XLOOKUP(tabExam[[#This Row],[Unique ID]], tblMaster[Unique ID], tblMaster[Email_Clean], ""), "")</f>
        <v>destinykl18@gmail.com</v>
      </c>
      <c r="E117" t="str">
        <f>IFERROR(_xlfn.XLOOKUP(tabExam[[#This Row],[Unique ID]], tblMaster[Unique ID], tblMaster[Phone], ""), "")</f>
        <v xml:space="preserve">(774) 433-0964 </v>
      </c>
      <c r="F117" t="str">
        <f>IFERROR(_xlfn.XLOOKUP(tabExam[[#This Row],[Unique ID]], tblMaster[Unique ID], tblMaster[Recruiter], ""), "")</f>
        <v>Zenon Moses</v>
      </c>
      <c r="G117" t="str">
        <f>IFERROR(_xlfn.XLOOKUP(tabExam[[#This Row],[Unique ID]], tblMaster[Unique ID], tblMaster[Recruitment Cycle], ""), "")</f>
        <v xml:space="preserve">Re-Engagment </v>
      </c>
      <c r="H117" t="s">
        <v>8150</v>
      </c>
      <c r="I117">
        <v>2026</v>
      </c>
      <c r="J117" t="s">
        <v>7446</v>
      </c>
      <c r="K117" t="s">
        <v>8153</v>
      </c>
      <c r="L117" t="s">
        <v>8167</v>
      </c>
      <c r="M117" t="s">
        <v>7464</v>
      </c>
      <c r="N117" t="s">
        <v>7435</v>
      </c>
      <c r="O117" s="2">
        <v>46073</v>
      </c>
      <c r="P117" t="s">
        <v>8158</v>
      </c>
      <c r="Q117">
        <f ca="1">IF(tabExam[[#This Row],[Log Date]]="","",TODAY()-tabExam[[#This Row],[Log Date]])</f>
        <v>6</v>
      </c>
      <c r="R117" t="str">
        <f>IF(tabExam[[#This Row],[Log Date]]="","",IF(TRIM(tabExam[[#This Row],[Exam Cycle Stage]])="Asked to be removed from database","NO","YES"))</f>
        <v>YES</v>
      </c>
      <c r="S1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8" spans="1:19">
      <c r="A118" t="s">
        <v>8266</v>
      </c>
      <c r="B118" t="str">
        <f>IFERROR(_xlfn.XLOOKUP(tabExam[[#This Row],[Unique ID]], tblMaster[Unique ID], tblMaster[First Name], ""), "")</f>
        <v xml:space="preserve">Chad </v>
      </c>
      <c r="C118" t="str">
        <f>IFERROR(_xlfn.XLOOKUP(tabExam[[#This Row],[Unique ID]], tblMaster[Unique ID], tblMaster[Last Name], ""), "")</f>
        <v xml:space="preserve">Place </v>
      </c>
      <c r="D118" t="str">
        <f>IFERROR(_xlfn.XLOOKUP(tabExam[[#This Row],[Unique ID]], tblMaster[Unique ID], tblMaster[Email_Clean], ""), "")</f>
        <v>chadplace@icloud.com</v>
      </c>
      <c r="E118" t="str">
        <f>IFERROR(_xlfn.XLOOKUP(tabExam[[#This Row],[Unique ID]], tblMaster[Unique ID], tblMaster[Phone], ""), "")</f>
        <v>508 244 8696</v>
      </c>
      <c r="F118" t="str">
        <f>IFERROR(_xlfn.XLOOKUP(tabExam[[#This Row],[Unique ID]], tblMaster[Unique ID], tblMaster[Recruiter], ""), "")</f>
        <v>Zenon Moses</v>
      </c>
      <c r="G118" t="str">
        <f>IFERROR(_xlfn.XLOOKUP(tabExam[[#This Row],[Unique ID]], tblMaster[Unique ID], tblMaster[Recruitment Cycle], ""), "")</f>
        <v xml:space="preserve">Re-Engagment </v>
      </c>
      <c r="H118" t="s">
        <v>8150</v>
      </c>
      <c r="I118">
        <v>2026</v>
      </c>
      <c r="J118" t="s">
        <v>7446</v>
      </c>
      <c r="K118" t="s">
        <v>8153</v>
      </c>
      <c r="L118" t="s">
        <v>8154</v>
      </c>
      <c r="M118" t="s">
        <v>7464</v>
      </c>
      <c r="N118" t="s">
        <v>8175</v>
      </c>
      <c r="O118" s="2">
        <v>46073</v>
      </c>
      <c r="P118" t="s">
        <v>8162</v>
      </c>
      <c r="Q118">
        <f ca="1">IF(tabExam[[#This Row],[Log Date]]="","",TODAY()-tabExam[[#This Row],[Log Date]])</f>
        <v>6</v>
      </c>
      <c r="R118" t="str">
        <f>IF(tabExam[[#This Row],[Log Date]]="","",IF(TRIM(tabExam[[#This Row],[Exam Cycle Stage]])="Asked to be removed from database","NO","YES"))</f>
        <v>YES</v>
      </c>
      <c r="S11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19" spans="1:19">
      <c r="A119" t="s">
        <v>8267</v>
      </c>
      <c r="B119" t="str">
        <f>IFERROR(_xlfn.XLOOKUP(tabExam[[#This Row],[Unique ID]], tblMaster[Unique ID], tblMaster[First Name], ""), "")</f>
        <v xml:space="preserve">Nicolas </v>
      </c>
      <c r="C119" t="str">
        <f>IFERROR(_xlfn.XLOOKUP(tabExam[[#This Row],[Unique ID]], tblMaster[Unique ID], tblMaster[Last Name], ""), "")</f>
        <v xml:space="preserve">Stone </v>
      </c>
      <c r="D119" t="str">
        <f>IFERROR(_xlfn.XLOOKUP(tabExam[[#This Row],[Unique ID]], tblMaster[Unique ID], tblMaster[Email_Clean], ""), "")</f>
        <v>nick.stoney021@gmail.com</v>
      </c>
      <c r="E119" t="str">
        <f>IFERROR(_xlfn.XLOOKUP(tabExam[[#This Row],[Unique ID]], tblMaster[Unique ID], tblMaster[Phone], ""), "")</f>
        <v>978-868-6303</v>
      </c>
      <c r="F119" t="str">
        <f>IFERROR(_xlfn.XLOOKUP(tabExam[[#This Row],[Unique ID]], tblMaster[Unique ID], tblMaster[Recruiter], ""), "")</f>
        <v xml:space="preserve">Tom Clark </v>
      </c>
      <c r="G119" t="str">
        <f>IFERROR(_xlfn.XLOOKUP(tabExam[[#This Row],[Unique ID]], tblMaster[Unique ID], tblMaster[Recruitment Cycle], ""), "")</f>
        <v xml:space="preserve">New Submission/ Lead </v>
      </c>
      <c r="H119" t="s">
        <v>8150</v>
      </c>
      <c r="I119">
        <v>2026</v>
      </c>
      <c r="J119" t="s">
        <v>7446</v>
      </c>
      <c r="K119" t="s">
        <v>7439</v>
      </c>
      <c r="L119" t="s">
        <v>8154</v>
      </c>
      <c r="M119" t="s">
        <v>7434</v>
      </c>
      <c r="N119" t="s">
        <v>7435</v>
      </c>
      <c r="O119" s="2">
        <v>46062</v>
      </c>
      <c r="Q119">
        <f ca="1">IF(tabExam[[#This Row],[Log Date]]="","",TODAY()-tabExam[[#This Row],[Log Date]])</f>
        <v>17</v>
      </c>
      <c r="R119" t="str">
        <f>IF(tabExam[[#This Row],[Log Date]]="","",IF(TRIM(tabExam[[#This Row],[Exam Cycle Stage]])="Asked to be removed from database","NO","YES"))</f>
        <v>YES</v>
      </c>
      <c r="S11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0" spans="1:19">
      <c r="A120" t="s">
        <v>8135</v>
      </c>
      <c r="B120" t="str">
        <f>IFERROR(_xlfn.XLOOKUP(tabExam[[#This Row],[Unique ID]], tblMaster[Unique ID], tblMaster[First Name], ""), "")</f>
        <v xml:space="preserve">Peter </v>
      </c>
      <c r="C120" t="str">
        <f>IFERROR(_xlfn.XLOOKUP(tabExam[[#This Row],[Unique ID]], tblMaster[Unique ID], tblMaster[Last Name], ""), "")</f>
        <v xml:space="preserve">James </v>
      </c>
      <c r="D120" t="str">
        <f>IFERROR(_xlfn.XLOOKUP(tabExam[[#This Row],[Unique ID]], tblMaster[Unique ID], tblMaster[Email_Clean], ""), "")</f>
        <v>peter.james205@yahoo.com</v>
      </c>
      <c r="E120" t="str">
        <f>IFERROR(_xlfn.XLOOKUP(tabExam[[#This Row],[Unique ID]], tblMaster[Unique ID], tblMaster[Phone], ""), "")</f>
        <v>678-608-7486</v>
      </c>
      <c r="F120" t="str">
        <f>IFERROR(_xlfn.XLOOKUP(tabExam[[#This Row],[Unique ID]], tblMaster[Unique ID], tblMaster[Recruiter], ""), "")</f>
        <v xml:space="preserve">Tom Clark </v>
      </c>
      <c r="G120" t="str">
        <f>IFERROR(_xlfn.XLOOKUP(tabExam[[#This Row],[Unique ID]], tblMaster[Unique ID], tblMaster[Recruitment Cycle], ""), "")</f>
        <v xml:space="preserve">Re-Engagment </v>
      </c>
      <c r="H120" t="s">
        <v>8150</v>
      </c>
      <c r="I120">
        <v>2026</v>
      </c>
      <c r="J120" t="s">
        <v>7446</v>
      </c>
      <c r="K120" t="s">
        <v>7439</v>
      </c>
      <c r="L120" t="s">
        <v>8154</v>
      </c>
      <c r="M120" t="s">
        <v>7434</v>
      </c>
      <c r="N120" t="s">
        <v>7435</v>
      </c>
      <c r="O120" s="2">
        <v>46062</v>
      </c>
      <c r="Q120">
        <f ca="1">IF(tabExam[[#This Row],[Log Date]]="","",TODAY()-tabExam[[#This Row],[Log Date]])</f>
        <v>17</v>
      </c>
      <c r="R120" t="str">
        <f>IF(tabExam[[#This Row],[Log Date]]="","",IF(TRIM(tabExam[[#This Row],[Exam Cycle Stage]])="Asked to be removed from database","NO","YES"))</f>
        <v>YES</v>
      </c>
      <c r="S12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1" spans="1:19">
      <c r="A121" t="s">
        <v>8268</v>
      </c>
      <c r="B121" t="str">
        <f>IFERROR(_xlfn.XLOOKUP(tabExam[[#This Row],[Unique ID]], tblMaster[Unique ID], tblMaster[First Name], ""), "")</f>
        <v xml:space="preserve">Sean  </v>
      </c>
      <c r="C121" t="str">
        <f>IFERROR(_xlfn.XLOOKUP(tabExam[[#This Row],[Unique ID]], tblMaster[Unique ID], tblMaster[Last Name], ""), "")</f>
        <v xml:space="preserve">bissonnette </v>
      </c>
      <c r="D121" t="str">
        <f>IFERROR(_xlfn.XLOOKUP(tabExam[[#This Row],[Unique ID]], tblMaster[Unique ID], tblMaster[Email_Clean], ""), "")</f>
        <v>bissonnette8486@outlook.com</v>
      </c>
      <c r="E121" t="str">
        <f>IFERROR(_xlfn.XLOOKUP(tabExam[[#This Row],[Unique ID]], tblMaster[Unique ID], tblMaster[Phone], ""), "")</f>
        <v xml:space="preserve">(508) 353-4225 </v>
      </c>
      <c r="F121" t="str">
        <f>IFERROR(_xlfn.XLOOKUP(tabExam[[#This Row],[Unique ID]], tblMaster[Unique ID], tblMaster[Recruiter], ""), "")</f>
        <v xml:space="preserve">Tom Clark </v>
      </c>
      <c r="G121" t="str">
        <f>IFERROR(_xlfn.XLOOKUP(tabExam[[#This Row],[Unique ID]], tblMaster[Unique ID], tblMaster[Recruitment Cycle], ""), "")</f>
        <v xml:space="preserve">Re-Engagment </v>
      </c>
      <c r="H121" t="s">
        <v>8150</v>
      </c>
      <c r="I121">
        <v>2026</v>
      </c>
      <c r="J121" t="s">
        <v>7446</v>
      </c>
      <c r="K121" t="s">
        <v>7439</v>
      </c>
      <c r="L121" t="s">
        <v>8154</v>
      </c>
      <c r="M121" t="s">
        <v>7434</v>
      </c>
      <c r="N121" t="s">
        <v>7435</v>
      </c>
      <c r="O121" s="2">
        <v>46062</v>
      </c>
      <c r="P121" t="s">
        <v>7472</v>
      </c>
      <c r="Q121">
        <f ca="1">IF(tabExam[[#This Row],[Log Date]]="","",TODAY()-tabExam[[#This Row],[Log Date]])</f>
        <v>17</v>
      </c>
      <c r="R121" t="str">
        <f>IF(tabExam[[#This Row],[Log Date]]="","",IF(TRIM(tabExam[[#This Row],[Exam Cycle Stage]])="Asked to be removed from database","NO","YES"))</f>
        <v>YES</v>
      </c>
      <c r="S1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2" spans="1:19">
      <c r="A122" t="s">
        <v>8269</v>
      </c>
      <c r="B122" t="str">
        <f>IFERROR(_xlfn.XLOOKUP(tabExam[[#This Row],[Unique ID]], tblMaster[Unique ID], tblMaster[First Name], ""), "")</f>
        <v xml:space="preserve">Mindy </v>
      </c>
      <c r="C122" t="str">
        <f>IFERROR(_xlfn.XLOOKUP(tabExam[[#This Row],[Unique ID]], tblMaster[Unique ID], tblMaster[Last Name], ""), "")</f>
        <v>Pierre</v>
      </c>
      <c r="D122" t="str">
        <f>IFERROR(_xlfn.XLOOKUP(tabExam[[#This Row],[Unique ID]], tblMaster[Unique ID], tblMaster[Email_Clean], ""), "")</f>
        <v>mindypierre@yahoo.com</v>
      </c>
      <c r="E122" t="str">
        <f>IFERROR(_xlfn.XLOOKUP(tabExam[[#This Row],[Unique ID]], tblMaster[Unique ID], tblMaster[Phone], ""), "")</f>
        <v>617 802 1680</v>
      </c>
      <c r="F122" t="str">
        <f>IFERROR(_xlfn.XLOOKUP(tabExam[[#This Row],[Unique ID]], tblMaster[Unique ID], tblMaster[Recruiter], ""), "")</f>
        <v xml:space="preserve">Tom Clark </v>
      </c>
      <c r="G122" t="str">
        <f>IFERROR(_xlfn.XLOOKUP(tabExam[[#This Row],[Unique ID]], tblMaster[Unique ID], tblMaster[Recruitment Cycle], ""), "")</f>
        <v xml:space="preserve">New Submission/ Lead </v>
      </c>
      <c r="H122" t="s">
        <v>8150</v>
      </c>
      <c r="I122">
        <v>2026</v>
      </c>
      <c r="J122" t="s">
        <v>7446</v>
      </c>
      <c r="K122" t="s">
        <v>7439</v>
      </c>
      <c r="L122" t="s">
        <v>8154</v>
      </c>
      <c r="M122" t="s">
        <v>7434</v>
      </c>
      <c r="N122" t="s">
        <v>8175</v>
      </c>
      <c r="O122" s="2">
        <v>46070</v>
      </c>
      <c r="Q122">
        <f ca="1">IF(tabExam[[#This Row],[Log Date]]="","",TODAY()-tabExam[[#This Row],[Log Date]])</f>
        <v>9</v>
      </c>
      <c r="R122" t="str">
        <f>IF(tabExam[[#This Row],[Log Date]]="","",IF(TRIM(tabExam[[#This Row],[Exam Cycle Stage]])="Asked to be removed from database","NO","YES"))</f>
        <v>YES</v>
      </c>
      <c r="S1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3" spans="1:19">
      <c r="A123" t="s">
        <v>8270</v>
      </c>
      <c r="B123" t="str">
        <f>IFERROR(_xlfn.XLOOKUP(tabExam[[#This Row],[Unique ID]], tblMaster[Unique ID], tblMaster[First Name], ""), "")</f>
        <v xml:space="preserve">Yvonne </v>
      </c>
      <c r="C123" t="str">
        <f>IFERROR(_xlfn.XLOOKUP(tabExam[[#This Row],[Unique ID]], tblMaster[Unique ID], tblMaster[Last Name], ""), "")</f>
        <v xml:space="preserve"> Clark </v>
      </c>
      <c r="D123" t="str">
        <f>IFERROR(_xlfn.XLOOKUP(tabExam[[#This Row],[Unique ID]], tblMaster[Unique ID], tblMaster[Email_Clean], ""), "")</f>
        <v>yclark1109@gmail.com</v>
      </c>
      <c r="E123" t="str">
        <f>IFERROR(_xlfn.XLOOKUP(tabExam[[#This Row],[Unique ID]], tblMaster[Unique ID], tblMaster[Phone], ""), "")</f>
        <v xml:space="preserve">(617) 708-6199 </v>
      </c>
      <c r="F123" t="str">
        <f>IFERROR(_xlfn.XLOOKUP(tabExam[[#This Row],[Unique ID]], tblMaster[Unique ID], tblMaster[Recruiter], ""), "")</f>
        <v>Zenon Moses</v>
      </c>
      <c r="G123" t="str">
        <f>IFERROR(_xlfn.XLOOKUP(tabExam[[#This Row],[Unique ID]], tblMaster[Unique ID], tblMaster[Recruitment Cycle], ""), "")</f>
        <v xml:space="preserve">Re-Engagment </v>
      </c>
      <c r="H123" t="s">
        <v>8150</v>
      </c>
      <c r="I123">
        <v>2026</v>
      </c>
      <c r="J123" t="s">
        <v>7446</v>
      </c>
      <c r="K123" t="s">
        <v>8153</v>
      </c>
      <c r="L123" t="s">
        <v>8154</v>
      </c>
      <c r="M123" t="s">
        <v>7464</v>
      </c>
      <c r="N123" t="s">
        <v>8175</v>
      </c>
      <c r="O123" s="2">
        <v>46073</v>
      </c>
      <c r="P123" t="s">
        <v>8162</v>
      </c>
      <c r="Q123">
        <f ca="1">IF(tabExam[[#This Row],[Log Date]]="","",TODAY()-tabExam[[#This Row],[Log Date]])</f>
        <v>6</v>
      </c>
      <c r="R123" t="str">
        <f>IF(tabExam[[#This Row],[Log Date]]="","",IF(TRIM(tabExam[[#This Row],[Exam Cycle Stage]])="Asked to be removed from database","NO","YES"))</f>
        <v>YES</v>
      </c>
      <c r="S1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4" spans="1:19">
      <c r="A124" t="s">
        <v>8271</v>
      </c>
      <c r="B124" t="str">
        <f>IFERROR(_xlfn.XLOOKUP(tabExam[[#This Row],[Unique ID]], tblMaster[Unique ID], tblMaster[First Name], ""), "")</f>
        <v xml:space="preserve">Tyshawn </v>
      </c>
      <c r="C124" t="str">
        <f>IFERROR(_xlfn.XLOOKUP(tabExam[[#This Row],[Unique ID]], tblMaster[Unique ID], tblMaster[Last Name], ""), "")</f>
        <v>Lucas</v>
      </c>
      <c r="D124" t="str">
        <f>IFERROR(_xlfn.XLOOKUP(tabExam[[#This Row],[Unique ID]], tblMaster[Unique ID], tblMaster[Email_Clean], ""), "")</f>
        <v>dariuslucas75@gmail.com</v>
      </c>
      <c r="E124" t="str">
        <f>IFERROR(_xlfn.XLOOKUP(tabExam[[#This Row],[Unique ID]], tblMaster[Unique ID], tblMaster[Phone], ""), "")</f>
        <v>774-210-2902</v>
      </c>
      <c r="F124" t="str">
        <f>IFERROR(_xlfn.XLOOKUP(tabExam[[#This Row],[Unique ID]], tblMaster[Unique ID], tblMaster[Recruiter], ""), "")</f>
        <v>Zenon Moses</v>
      </c>
      <c r="G124" t="str">
        <f>IFERROR(_xlfn.XLOOKUP(tabExam[[#This Row],[Unique ID]], tblMaster[Unique ID], tblMaster[Recruitment Cycle], ""), "")</f>
        <v xml:space="preserve">Re-Engagment </v>
      </c>
      <c r="H124" t="s">
        <v>8150</v>
      </c>
      <c r="I124">
        <v>2026</v>
      </c>
      <c r="J124" t="s">
        <v>7446</v>
      </c>
      <c r="K124" t="s">
        <v>8153</v>
      </c>
      <c r="L124" t="s">
        <v>8154</v>
      </c>
      <c r="M124" t="s">
        <v>7464</v>
      </c>
      <c r="N124" t="s">
        <v>8175</v>
      </c>
      <c r="O124" s="2">
        <v>46073</v>
      </c>
      <c r="P124" t="s">
        <v>8162</v>
      </c>
      <c r="Q124">
        <f ca="1">IF(tabExam[[#This Row],[Log Date]]="","",TODAY()-tabExam[[#This Row],[Log Date]])</f>
        <v>6</v>
      </c>
      <c r="R124" t="str">
        <f>IF(tabExam[[#This Row],[Log Date]]="","",IF(TRIM(tabExam[[#This Row],[Exam Cycle Stage]])="Asked to be removed from database","NO","YES"))</f>
        <v>YES</v>
      </c>
      <c r="S12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5" spans="1:19">
      <c r="A125" t="s">
        <v>8272</v>
      </c>
      <c r="B125" t="str">
        <f>IFERROR(_xlfn.XLOOKUP(tabExam[[#This Row],[Unique ID]], tblMaster[Unique ID], tblMaster[First Name], ""), "")</f>
        <v xml:space="preserve">Elvis </v>
      </c>
      <c r="C125" t="str">
        <f>IFERROR(_xlfn.XLOOKUP(tabExam[[#This Row],[Unique ID]], tblMaster[Unique ID], tblMaster[Last Name], ""), "")</f>
        <v xml:space="preserve">Azong </v>
      </c>
      <c r="D125" t="str">
        <f>IFERROR(_xlfn.XLOOKUP(tabExam[[#This Row],[Unique ID]], tblMaster[Unique ID], tblMaster[Email_Clean], ""), "")</f>
        <v>azongelvis50@gmail.com</v>
      </c>
      <c r="E125" t="str">
        <f>IFERROR(_xlfn.XLOOKUP(tabExam[[#This Row],[Unique ID]], tblMaster[Unique ID], tblMaster[Phone], ""), "")</f>
        <v>520)688-0149</v>
      </c>
      <c r="F125" t="str">
        <f>IFERROR(_xlfn.XLOOKUP(tabExam[[#This Row],[Unique ID]], tblMaster[Unique ID], tblMaster[Recruiter], ""), "")</f>
        <v>Zenon Moses</v>
      </c>
      <c r="G125" t="str">
        <f>IFERROR(_xlfn.XLOOKUP(tabExam[[#This Row],[Unique ID]], tblMaster[Unique ID], tblMaster[Recruitment Cycle], ""), "")</f>
        <v xml:space="preserve">Re-Engagment </v>
      </c>
      <c r="H125" t="s">
        <v>8150</v>
      </c>
      <c r="I125">
        <v>2026</v>
      </c>
      <c r="J125" t="s">
        <v>7446</v>
      </c>
      <c r="K125" t="s">
        <v>8153</v>
      </c>
      <c r="L125" t="s">
        <v>8167</v>
      </c>
      <c r="M125" t="s">
        <v>7464</v>
      </c>
      <c r="N125" t="s">
        <v>7435</v>
      </c>
      <c r="O125" s="2">
        <v>46073</v>
      </c>
      <c r="P125" t="s">
        <v>8158</v>
      </c>
      <c r="Q125">
        <f ca="1">IF(tabExam[[#This Row],[Log Date]]="","",TODAY()-tabExam[[#This Row],[Log Date]])</f>
        <v>6</v>
      </c>
      <c r="R125" t="str">
        <f>IF(tabExam[[#This Row],[Log Date]]="","",IF(TRIM(tabExam[[#This Row],[Exam Cycle Stage]])="Asked to be removed from database","NO","YES"))</f>
        <v>YES</v>
      </c>
      <c r="S12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6" spans="1:19">
      <c r="A126" t="s">
        <v>8273</v>
      </c>
      <c r="B126" t="str">
        <f>IFERROR(_xlfn.XLOOKUP(tabExam[[#This Row],[Unique ID]], tblMaster[Unique ID], tblMaster[First Name], ""), "")</f>
        <v>Natalie</v>
      </c>
      <c r="C126" t="str">
        <f>IFERROR(_xlfn.XLOOKUP(tabExam[[#This Row],[Unique ID]], tblMaster[Unique ID], tblMaster[Last Name], ""), "")</f>
        <v>Cardona</v>
      </c>
      <c r="D126" t="str">
        <f>IFERROR(_xlfn.XLOOKUP(tabExam[[#This Row],[Unique ID]], tblMaster[Unique ID], tblMaster[Email_Clean], ""), "")</f>
        <v>nataliecardona117@gmail.com</v>
      </c>
      <c r="E126" t="str">
        <f>IFERROR(_xlfn.XLOOKUP(tabExam[[#This Row],[Unique ID]], tblMaster[Unique ID], tblMaster[Phone], ""), "")</f>
        <v>413-302-9309</v>
      </c>
      <c r="F126" t="str">
        <f>IFERROR(_xlfn.XLOOKUP(tabExam[[#This Row],[Unique ID]], tblMaster[Unique ID], tblMaster[Recruiter], ""), "")</f>
        <v>Zenon Moses</v>
      </c>
      <c r="G126" t="str">
        <f>IFERROR(_xlfn.XLOOKUP(tabExam[[#This Row],[Unique ID]], tblMaster[Unique ID], tblMaster[Recruitment Cycle], ""), "")</f>
        <v xml:space="preserve">Re-Engagment </v>
      </c>
      <c r="H126" t="s">
        <v>8150</v>
      </c>
      <c r="I126">
        <v>2026</v>
      </c>
      <c r="J126" t="s">
        <v>7446</v>
      </c>
      <c r="K126" t="s">
        <v>8153</v>
      </c>
      <c r="L126" t="s">
        <v>8154</v>
      </c>
      <c r="M126" t="s">
        <v>7464</v>
      </c>
      <c r="N126" t="s">
        <v>8175</v>
      </c>
      <c r="O126" s="2">
        <v>46073</v>
      </c>
      <c r="P126" t="s">
        <v>8162</v>
      </c>
      <c r="Q126">
        <f ca="1">IF(tabExam[[#This Row],[Log Date]]="","",TODAY()-tabExam[[#This Row],[Log Date]])</f>
        <v>6</v>
      </c>
      <c r="R126" t="str">
        <f>IF(tabExam[[#This Row],[Log Date]]="","",IF(TRIM(tabExam[[#This Row],[Exam Cycle Stage]])="Asked to be removed from database","NO","YES"))</f>
        <v>YES</v>
      </c>
      <c r="S12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7" spans="1:19">
      <c r="A127" t="s">
        <v>8274</v>
      </c>
      <c r="B127" t="str">
        <f>IFERROR(_xlfn.XLOOKUP(tabExam[[#This Row],[Unique ID]], tblMaster[Unique ID], tblMaster[First Name], ""), "")</f>
        <v>Roberson Jean</v>
      </c>
      <c r="C127" t="str">
        <f>IFERROR(_xlfn.XLOOKUP(tabExam[[#This Row],[Unique ID]], tblMaster[Unique ID], tblMaster[Last Name], ""), "")</f>
        <v xml:space="preserve">Youyou </v>
      </c>
      <c r="D127" t="str">
        <f>IFERROR(_xlfn.XLOOKUP(tabExam[[#This Row],[Unique ID]], tblMaster[Unique ID], tblMaster[Email_Clean], ""), "")</f>
        <v>robersonyouyou55@gmail.com</v>
      </c>
      <c r="E127" t="str">
        <f>IFERROR(_xlfn.XLOOKUP(tabExam[[#This Row],[Unique ID]], tblMaster[Unique ID], tblMaster[Phone], ""), "")</f>
        <v>317 960 8241</v>
      </c>
      <c r="F127" t="str">
        <f>IFERROR(_xlfn.XLOOKUP(tabExam[[#This Row],[Unique ID]], tblMaster[Unique ID], tblMaster[Recruiter], ""), "")</f>
        <v>Zenon Moses</v>
      </c>
      <c r="G127" t="str">
        <f>IFERROR(_xlfn.XLOOKUP(tabExam[[#This Row],[Unique ID]], tblMaster[Unique ID], tblMaster[Recruitment Cycle], ""), "")</f>
        <v xml:space="preserve">Re-Engagment </v>
      </c>
      <c r="H127" t="s">
        <v>8150</v>
      </c>
      <c r="I127">
        <v>2026</v>
      </c>
      <c r="J127" t="s">
        <v>7446</v>
      </c>
      <c r="K127" t="s">
        <v>8153</v>
      </c>
      <c r="L127" t="s">
        <v>8154</v>
      </c>
      <c r="M127" t="s">
        <v>7464</v>
      </c>
      <c r="N127" t="s">
        <v>8175</v>
      </c>
      <c r="O127" s="2">
        <v>46073</v>
      </c>
      <c r="P127" t="s">
        <v>8162</v>
      </c>
      <c r="Q127">
        <f ca="1">IF(tabExam[[#This Row],[Log Date]]="","",TODAY()-tabExam[[#This Row],[Log Date]])</f>
        <v>6</v>
      </c>
      <c r="R127" t="str">
        <f>IF(tabExam[[#This Row],[Log Date]]="","",IF(TRIM(tabExam[[#This Row],[Exam Cycle Stage]])="Asked to be removed from database","NO","YES"))</f>
        <v>YES</v>
      </c>
      <c r="S12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8" spans="1:19">
      <c r="A128" t="s">
        <v>8275</v>
      </c>
      <c r="B128" t="str">
        <f>IFERROR(_xlfn.XLOOKUP(tabExam[[#This Row],[Unique ID]], tblMaster[Unique ID], tblMaster[First Name], ""), "")</f>
        <v>Taneka</v>
      </c>
      <c r="C128" t="str">
        <f>IFERROR(_xlfn.XLOOKUP(tabExam[[#This Row],[Unique ID]], tblMaster[Unique ID], tblMaster[Last Name], ""), "")</f>
        <v xml:space="preserve"> Miller</v>
      </c>
      <c r="D128" t="str">
        <f>IFERROR(_xlfn.XLOOKUP(tabExam[[#This Row],[Unique ID]], tblMaster[Unique ID], tblMaster[Email_Clean], ""), "")</f>
        <v>millertaneka3@gmail.com</v>
      </c>
      <c r="E128" t="str">
        <f>IFERROR(_xlfn.XLOOKUP(tabExam[[#This Row],[Unique ID]], tblMaster[Unique ID], tblMaster[Phone], ""), "")</f>
        <v>860-834-6385</v>
      </c>
      <c r="F128" t="str">
        <f>IFERROR(_xlfn.XLOOKUP(tabExam[[#This Row],[Unique ID]], tblMaster[Unique ID], tblMaster[Recruiter], ""), "")</f>
        <v xml:space="preserve">Jevon Brown Simpson </v>
      </c>
      <c r="G128" t="str">
        <f>IFERROR(_xlfn.XLOOKUP(tabExam[[#This Row],[Unique ID]], tblMaster[Unique ID], tblMaster[Recruitment Cycle], ""), "")</f>
        <v xml:space="preserve">Re-Engagment </v>
      </c>
      <c r="H128" t="s">
        <v>8150</v>
      </c>
      <c r="I128">
        <v>2026</v>
      </c>
      <c r="J128" t="s">
        <v>7446</v>
      </c>
      <c r="K128" t="s">
        <v>7439</v>
      </c>
      <c r="L128" t="s">
        <v>8154</v>
      </c>
      <c r="M128" t="s">
        <v>7464</v>
      </c>
      <c r="O128" s="2">
        <v>46065</v>
      </c>
      <c r="Q128">
        <f ca="1">IF(tabExam[[#This Row],[Log Date]]="","",TODAY()-tabExam[[#This Row],[Log Date]])</f>
        <v>14</v>
      </c>
      <c r="R128" t="str">
        <f>IF(tabExam[[#This Row],[Log Date]]="","",IF(TRIM(tabExam[[#This Row],[Exam Cycle Stage]])="Asked to be removed from database","NO","YES"))</f>
        <v>YES</v>
      </c>
      <c r="S12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29" spans="1:19">
      <c r="A129" t="s">
        <v>8276</v>
      </c>
      <c r="B129" t="str">
        <f>IFERROR(_xlfn.XLOOKUP(tabExam[[#This Row],[Unique ID]], tblMaster[Unique ID], tblMaster[First Name], ""), "")</f>
        <v xml:space="preserve">lanae </v>
      </c>
      <c r="C129" t="str">
        <f>IFERROR(_xlfn.XLOOKUP(tabExam[[#This Row],[Unique ID]], tblMaster[Unique ID], tblMaster[Last Name], ""), "")</f>
        <v xml:space="preserve">allen </v>
      </c>
      <c r="D129" t="str">
        <f>IFERROR(_xlfn.XLOOKUP(tabExam[[#This Row],[Unique ID]], tblMaster[Unique ID], tblMaster[Email_Clean], ""), "")</f>
        <v>allen21785@yahoo.com</v>
      </c>
      <c r="E129" t="str">
        <f>IFERROR(_xlfn.XLOOKUP(tabExam[[#This Row],[Unique ID]], tblMaster[Unique ID], tblMaster[Phone], ""), "")</f>
        <v xml:space="preserve">(617) 792-5775 </v>
      </c>
      <c r="F129" t="str">
        <f>IFERROR(_xlfn.XLOOKUP(tabExam[[#This Row],[Unique ID]], tblMaster[Unique ID], tblMaster[Recruiter], ""), "")</f>
        <v>Zenon Moses</v>
      </c>
      <c r="G129" t="str">
        <f>IFERROR(_xlfn.XLOOKUP(tabExam[[#This Row],[Unique ID]], tblMaster[Unique ID], tblMaster[Recruitment Cycle], ""), "")</f>
        <v xml:space="preserve">Re-Engagment/Post Civil Service Exam </v>
      </c>
      <c r="H129" t="s">
        <v>8164</v>
      </c>
      <c r="I129">
        <v>2025</v>
      </c>
      <c r="J129" t="s">
        <v>7446</v>
      </c>
      <c r="K129" t="s">
        <v>8277</v>
      </c>
      <c r="L129" t="s">
        <v>8167</v>
      </c>
      <c r="Q129" t="str">
        <f ca="1">IF(tabExam[[#This Row],[Log Date]]="","",TODAY()-tabExam[[#This Row],[Log Date]])</f>
        <v/>
      </c>
      <c r="R129" t="str">
        <f>IF(tabExam[[#This Row],[Log Date]]="","",IF(TRIM(tabExam[[#This Row],[Exam Cycle Stage]])="Asked to be removed from database","NO","YES"))</f>
        <v/>
      </c>
      <c r="S1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0" spans="1:19">
      <c r="A130" t="s">
        <v>8278</v>
      </c>
      <c r="B130" t="str">
        <f>IFERROR(_xlfn.XLOOKUP(tabExam[[#This Row],[Unique ID]], tblMaster[Unique ID], tblMaster[First Name], ""), "")</f>
        <v xml:space="preserve">Shanika </v>
      </c>
      <c r="C130" t="str">
        <f>IFERROR(_xlfn.XLOOKUP(tabExam[[#This Row],[Unique ID]], tblMaster[Unique ID], tblMaster[Last Name], ""), "")</f>
        <v xml:space="preserve"> Pitts </v>
      </c>
      <c r="D130" t="str">
        <f>IFERROR(_xlfn.XLOOKUP(tabExam[[#This Row],[Unique ID]], tblMaster[Unique ID], tblMaster[Email_Clean], ""), "")</f>
        <v>snikap87@icloud.com</v>
      </c>
      <c r="E130" t="str">
        <f>IFERROR(_xlfn.XLOOKUP(tabExam[[#This Row],[Unique ID]], tblMaster[Unique ID], tblMaster[Phone], ""), "")</f>
        <v xml:space="preserve">(774) 448-8934 </v>
      </c>
      <c r="F130" t="str">
        <f>IFERROR(_xlfn.XLOOKUP(tabExam[[#This Row],[Unique ID]], tblMaster[Unique ID], tblMaster[Recruiter], ""), "")</f>
        <v xml:space="preserve">Tom Clark </v>
      </c>
      <c r="G130" t="str">
        <f>IFERROR(_xlfn.XLOOKUP(tabExam[[#This Row],[Unique ID]], tblMaster[Unique ID], tblMaster[Recruitment Cycle], ""), "")</f>
        <v xml:space="preserve">Re-Engagment/Post Civil Service Exam </v>
      </c>
      <c r="H130" t="s">
        <v>8164</v>
      </c>
      <c r="I130">
        <v>2025</v>
      </c>
      <c r="J130" t="s">
        <v>7446</v>
      </c>
      <c r="K130" t="s">
        <v>8277</v>
      </c>
      <c r="L130" t="s">
        <v>8154</v>
      </c>
      <c r="M130" t="s">
        <v>7464</v>
      </c>
      <c r="O130" s="2">
        <v>46063</v>
      </c>
      <c r="Q130">
        <f ca="1">IF(tabExam[[#This Row],[Log Date]]="","",TODAY()-tabExam[[#This Row],[Log Date]])</f>
        <v>16</v>
      </c>
      <c r="R130" t="str">
        <f>IF(tabExam[[#This Row],[Log Date]]="","",IF(TRIM(tabExam[[#This Row],[Exam Cycle Stage]])="Asked to be removed from database","NO","YES"))</f>
        <v>YES</v>
      </c>
      <c r="S13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1" spans="1:19">
      <c r="B131" t="str">
        <f>IFERROR(_xlfn.XLOOKUP(tabExam[[#This Row],[Unique ID]], tblMaster[Unique ID], tblMaster[First Name], ""), "")</f>
        <v/>
      </c>
      <c r="C131" t="str">
        <f>IFERROR(_xlfn.XLOOKUP(tabExam[[#This Row],[Unique ID]], tblMaster[Unique ID], tblMaster[Last Name], ""), "")</f>
        <v/>
      </c>
      <c r="D131" t="str">
        <f>IFERROR(_xlfn.XLOOKUP(tabExam[[#This Row],[Unique ID]], tblMaster[Unique ID], tblMaster[Email_Clean], ""), "")</f>
        <v/>
      </c>
      <c r="E131" t="str">
        <f>IFERROR(_xlfn.XLOOKUP(tabExam[[#This Row],[Unique ID]], tblMaster[Unique ID], tblMaster[Phone], ""), "")</f>
        <v/>
      </c>
      <c r="F131" t="str">
        <f>IFERROR(_xlfn.XLOOKUP(tabExam[[#This Row],[Unique ID]], tblMaster[Unique ID], tblMaster[Recruiter], ""), "")</f>
        <v/>
      </c>
      <c r="G131" t="str">
        <f>IFERROR(_xlfn.XLOOKUP(tabExam[[#This Row],[Unique ID]], tblMaster[Unique ID], tblMaster[Recruitment Cycle], ""), "")</f>
        <v/>
      </c>
      <c r="Q131" t="str">
        <f ca="1">IF(tabExam[[#This Row],[Log Date]]="","",TODAY()-tabExam[[#This Row],[Log Date]])</f>
        <v/>
      </c>
      <c r="R131" t="str">
        <f>IF(tabExam[[#This Row],[Log Date]]="","",IF(TRIM(tabExam[[#This Row],[Exam Cycle Stage]])="Asked to be removed from database","NO","YES"))</f>
        <v/>
      </c>
      <c r="S1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2" spans="1:19">
      <c r="A132" t="s">
        <v>8279</v>
      </c>
      <c r="B132" t="str">
        <f>IFERROR(_xlfn.XLOOKUP(tabExam[[#This Row],[Unique ID]], tblMaster[Unique ID], tblMaster[First Name], ""), "")</f>
        <v xml:space="preserve">Anderson </v>
      </c>
      <c r="C132" t="str">
        <f>IFERROR(_xlfn.XLOOKUP(tabExam[[#This Row],[Unique ID]], tblMaster[Unique ID], tblMaster[Last Name], ""), "")</f>
        <v>Paul</v>
      </c>
      <c r="D132" t="str">
        <f>IFERROR(_xlfn.XLOOKUP(tabExam[[#This Row],[Unique ID]], tblMaster[Unique ID], tblMaster[Email_Clean], ""), "")</f>
        <v>zamorevlad@gmail.com</v>
      </c>
      <c r="E132" t="str">
        <f>IFERROR(_xlfn.XLOOKUP(tabExam[[#This Row],[Unique ID]], tblMaster[Unique ID], tblMaster[Phone], ""), "")</f>
        <v>786-856-0178</v>
      </c>
      <c r="F132" t="str">
        <f>IFERROR(_xlfn.XLOOKUP(tabExam[[#This Row],[Unique ID]], tblMaster[Unique ID], tblMaster[Recruiter], ""), "")</f>
        <v xml:space="preserve">Jevon Brown Simpson </v>
      </c>
      <c r="G132" t="str">
        <f>IFERROR(_xlfn.XLOOKUP(tabExam[[#This Row],[Unique ID]], tblMaster[Unique ID], tblMaster[Recruitment Cycle], ""), "")</f>
        <v xml:space="preserve">Re-Engagment/Post Civil Service Exam </v>
      </c>
      <c r="H132" t="s">
        <v>8164</v>
      </c>
      <c r="I132">
        <v>2025</v>
      </c>
      <c r="J132" t="s">
        <v>7446</v>
      </c>
      <c r="K132" t="s">
        <v>8277</v>
      </c>
      <c r="L132" t="s">
        <v>8154</v>
      </c>
      <c r="Q132" t="str">
        <f ca="1">IF(tabExam[[#This Row],[Log Date]]="","",TODAY()-tabExam[[#This Row],[Log Date]])</f>
        <v/>
      </c>
      <c r="R132" t="str">
        <f>IF(tabExam[[#This Row],[Log Date]]="","",IF(TRIM(tabExam[[#This Row],[Exam Cycle Stage]])="Asked to be removed from database","NO","YES"))</f>
        <v/>
      </c>
      <c r="S1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3" spans="1:19">
      <c r="A133" t="s">
        <v>8280</v>
      </c>
      <c r="B133" t="str">
        <f>IFERROR(_xlfn.XLOOKUP(tabExam[[#This Row],[Unique ID]], tblMaster[Unique ID], tblMaster[First Name], ""), "")</f>
        <v xml:space="preserve">Julien </v>
      </c>
      <c r="C133" t="str">
        <f>IFERROR(_xlfn.XLOOKUP(tabExam[[#This Row],[Unique ID]], tblMaster[Unique ID], tblMaster[Last Name], ""), "")</f>
        <v xml:space="preserve">Louis </v>
      </c>
      <c r="D133" t="str">
        <f>IFERROR(_xlfn.XLOOKUP(tabExam[[#This Row],[Unique ID]], tblMaster[Unique ID], tblMaster[Email_Clean], ""), "")</f>
        <v>jlo764ver@gmail.com</v>
      </c>
      <c r="E133" t="str">
        <f>IFERROR(_xlfn.XLOOKUP(tabExam[[#This Row],[Unique ID]], tblMaster[Unique ID], tblMaster[Phone], ""), "")</f>
        <v xml:space="preserve">(954) 394-3528 </v>
      </c>
      <c r="F133" t="str">
        <f>IFERROR(_xlfn.XLOOKUP(tabExam[[#This Row],[Unique ID]], tblMaster[Unique ID], tblMaster[Recruiter], ""), "")</f>
        <v xml:space="preserve">Tom Clark </v>
      </c>
      <c r="G133" t="str">
        <f>IFERROR(_xlfn.XLOOKUP(tabExam[[#This Row],[Unique ID]], tblMaster[Unique ID], tblMaster[Recruitment Cycle], ""), "")</f>
        <v xml:space="preserve">Re-Engagment/Post Civil Service Exam </v>
      </c>
      <c r="H133" t="s">
        <v>8164</v>
      </c>
      <c r="I133">
        <v>2025</v>
      </c>
      <c r="J133" t="s">
        <v>7446</v>
      </c>
      <c r="K133" t="s">
        <v>8277</v>
      </c>
      <c r="L133" t="s">
        <v>8154</v>
      </c>
      <c r="M133" t="s">
        <v>7464</v>
      </c>
      <c r="O133" s="2">
        <v>46063</v>
      </c>
      <c r="Q133">
        <f ca="1">IF(tabExam[[#This Row],[Log Date]]="","",TODAY()-tabExam[[#This Row],[Log Date]])</f>
        <v>16</v>
      </c>
      <c r="R133" t="str">
        <f>IF(tabExam[[#This Row],[Log Date]]="","",IF(TRIM(tabExam[[#This Row],[Exam Cycle Stage]])="Asked to be removed from database","NO","YES"))</f>
        <v>YES</v>
      </c>
      <c r="S13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4" spans="1:19">
      <c r="S1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5" spans="1:19">
      <c r="A135" t="s">
        <v>8281</v>
      </c>
      <c r="B135" t="str">
        <f>IFERROR(_xlfn.XLOOKUP(tabExam[[#This Row],[Unique ID]], tblMaster[Unique ID], tblMaster[First Name], ""), "")</f>
        <v xml:space="preserve">Augustin </v>
      </c>
      <c r="C135" t="str">
        <f>IFERROR(_xlfn.XLOOKUP(tabExam[[#This Row],[Unique ID]], tblMaster[Unique ID], tblMaster[Last Name], ""), "")</f>
        <v xml:space="preserve"> Fritzner </v>
      </c>
      <c r="D135" t="str">
        <f>IFERROR(_xlfn.XLOOKUP(tabExam[[#This Row],[Unique ID]], tblMaster[Unique ID], tblMaster[Email_Clean], ""), "")</f>
        <v>fritzner670@gmail.com</v>
      </c>
      <c r="E135" t="str">
        <f>IFERROR(_xlfn.XLOOKUP(tabExam[[#This Row],[Unique ID]], tblMaster[Unique ID], tblMaster[Phone], ""), "")</f>
        <v xml:space="preserve">(774) 578-1351 </v>
      </c>
      <c r="F135" t="str">
        <f>IFERROR(_xlfn.XLOOKUP(tabExam[[#This Row],[Unique ID]], tblMaster[Unique ID], tblMaster[Recruiter], ""), "")</f>
        <v xml:space="preserve">Jevon Brown Simpson </v>
      </c>
      <c r="G135" t="str">
        <f>IFERROR(_xlfn.XLOOKUP(tabExam[[#This Row],[Unique ID]], tblMaster[Unique ID], tblMaster[Recruitment Cycle], ""), "")</f>
        <v xml:space="preserve">Re-Engagment/Post Civil Service Exam </v>
      </c>
      <c r="H135" t="s">
        <v>8164</v>
      </c>
      <c r="I135">
        <v>2025</v>
      </c>
      <c r="J135" t="s">
        <v>7446</v>
      </c>
      <c r="K135" t="s">
        <v>8277</v>
      </c>
      <c r="L135" t="s">
        <v>8154</v>
      </c>
      <c r="Q135" t="str">
        <f ca="1">IF(tabExam[[#This Row],[Log Date]]="","",TODAY()-tabExam[[#This Row],[Log Date]])</f>
        <v/>
      </c>
      <c r="R135" t="str">
        <f>IF(tabExam[[#This Row],[Log Date]]="","",IF(TRIM(tabExam[[#This Row],[Exam Cycle Stage]])="Asked to be removed from database","NO","YES"))</f>
        <v/>
      </c>
      <c r="S1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6" spans="1:19">
      <c r="A136" t="s">
        <v>8282</v>
      </c>
      <c r="B136" t="str">
        <f>IFERROR(_xlfn.XLOOKUP(tabExam[[#This Row],[Unique ID]], tblMaster[Unique ID], tblMaster[First Name], ""), "")</f>
        <v xml:space="preserve">Erick </v>
      </c>
      <c r="C136" t="str">
        <f>IFERROR(_xlfn.XLOOKUP(tabExam[[#This Row],[Unique ID]], tblMaster[Unique ID], tblMaster[Last Name], ""), "")</f>
        <v xml:space="preserve">Mendez </v>
      </c>
      <c r="D136" t="str">
        <f>IFERROR(_xlfn.XLOOKUP(tabExam[[#This Row],[Unique ID]], tblMaster[Unique ID], tblMaster[Email_Clean], ""), "")</f>
        <v>eric.mendez6@gmail.com</v>
      </c>
      <c r="E136" t="str">
        <f>IFERROR(_xlfn.XLOOKUP(tabExam[[#This Row],[Unique ID]], tblMaster[Unique ID], tblMaster[Phone], ""), "")</f>
        <v>978-660-0910</v>
      </c>
      <c r="F136" t="str">
        <f>IFERROR(_xlfn.XLOOKUP(tabExam[[#This Row],[Unique ID]], tblMaster[Unique ID], tblMaster[Recruiter], ""), "")</f>
        <v xml:space="preserve">Tom Clark </v>
      </c>
      <c r="G136" t="str">
        <f>IFERROR(_xlfn.XLOOKUP(tabExam[[#This Row],[Unique ID]], tblMaster[Unique ID], tblMaster[Recruitment Cycle], ""), "")</f>
        <v xml:space="preserve">Re-Engagment/Post Civil Service Exam </v>
      </c>
      <c r="H136" t="s">
        <v>8164</v>
      </c>
      <c r="I136">
        <v>2025</v>
      </c>
      <c r="J136" t="s">
        <v>7446</v>
      </c>
      <c r="K136" t="s">
        <v>8277</v>
      </c>
      <c r="L136" t="s">
        <v>8154</v>
      </c>
      <c r="M136" t="s">
        <v>7464</v>
      </c>
      <c r="O136" s="2">
        <v>46063</v>
      </c>
      <c r="Q136">
        <f ca="1">IF(tabExam[[#This Row],[Log Date]]="","",TODAY()-tabExam[[#This Row],[Log Date]])</f>
        <v>16</v>
      </c>
      <c r="R136" t="str">
        <f>IF(tabExam[[#This Row],[Log Date]]="","",IF(TRIM(tabExam[[#This Row],[Exam Cycle Stage]])="Asked to be removed from database","NO","YES"))</f>
        <v>YES</v>
      </c>
      <c r="S13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7" spans="1:19">
      <c r="A137" t="s">
        <v>8283</v>
      </c>
      <c r="B137" t="str">
        <f>IFERROR(_xlfn.XLOOKUP(tabExam[[#This Row],[Unique ID]], tblMaster[Unique ID], tblMaster[First Name], ""), "")</f>
        <v xml:space="preserve">Curtis </v>
      </c>
      <c r="C137" t="str">
        <f>IFERROR(_xlfn.XLOOKUP(tabExam[[#This Row],[Unique ID]], tblMaster[Unique ID], tblMaster[Last Name], ""), "")</f>
        <v xml:space="preserve">Miller </v>
      </c>
      <c r="D137" t="str">
        <f>IFERROR(_xlfn.XLOOKUP(tabExam[[#This Row],[Unique ID]], tblMaster[Unique ID], tblMaster[Email_Clean], ""), "")</f>
        <v>itsmecurtis86@gmail.com</v>
      </c>
      <c r="E137" t="str">
        <f>IFERROR(_xlfn.XLOOKUP(tabExam[[#This Row],[Unique ID]], tblMaster[Unique ID], tblMaster[Phone], ""), "")</f>
        <v xml:space="preserve">617-845-3236 </v>
      </c>
      <c r="F137" t="str">
        <f>IFERROR(_xlfn.XLOOKUP(tabExam[[#This Row],[Unique ID]], tblMaster[Unique ID], tblMaster[Recruiter], ""), "")</f>
        <v>Zenon Moses</v>
      </c>
      <c r="G137" t="str">
        <f>IFERROR(_xlfn.XLOOKUP(tabExam[[#This Row],[Unique ID]], tblMaster[Unique ID], tblMaster[Recruitment Cycle], ""), "")</f>
        <v xml:space="preserve">Re-Engagment/Post Civil Service Exam </v>
      </c>
      <c r="H137" t="s">
        <v>8164</v>
      </c>
      <c r="I137">
        <v>2025</v>
      </c>
      <c r="J137" t="s">
        <v>7446</v>
      </c>
      <c r="K137" t="s">
        <v>8277</v>
      </c>
      <c r="L137" t="s">
        <v>8154</v>
      </c>
      <c r="Q137" t="str">
        <f ca="1">IF(tabExam[[#This Row],[Log Date]]="","",TODAY()-tabExam[[#This Row],[Log Date]])</f>
        <v/>
      </c>
      <c r="R137" t="str">
        <f>IF(tabExam[[#This Row],[Log Date]]="","",IF(TRIM(tabExam[[#This Row],[Exam Cycle Stage]])="Asked to be removed from database","NO","YES"))</f>
        <v/>
      </c>
      <c r="S1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8" spans="1:19">
      <c r="A138" t="s">
        <v>8284</v>
      </c>
      <c r="B138" t="str">
        <f>IFERROR(_xlfn.XLOOKUP(tabExam[[#This Row],[Unique ID]], tblMaster[Unique ID], tblMaster[First Name], ""), "")</f>
        <v xml:space="preserve">Shaun </v>
      </c>
      <c r="C138" t="str">
        <f>IFERROR(_xlfn.XLOOKUP(tabExam[[#This Row],[Unique ID]], tblMaster[Unique ID], tblMaster[Last Name], ""), "")</f>
        <v xml:space="preserve">Singleton </v>
      </c>
      <c r="D138" t="str">
        <f>IFERROR(_xlfn.XLOOKUP(tabExam[[#This Row],[Unique ID]], tblMaster[Unique ID], tblMaster[Email_Clean], ""), "")</f>
        <v>shaunsingleton36@gmail.com</v>
      </c>
      <c r="E138" t="str">
        <f>IFERROR(_xlfn.XLOOKUP(tabExam[[#This Row],[Unique ID]], tblMaster[Unique ID], tblMaster[Phone], ""), "")</f>
        <v xml:space="preserve">(617) 314-1346 </v>
      </c>
      <c r="F138" t="str">
        <f>IFERROR(_xlfn.XLOOKUP(tabExam[[#This Row],[Unique ID]], tblMaster[Unique ID], tblMaster[Recruiter], ""), "")</f>
        <v xml:space="preserve">Jevon Brown Simpson </v>
      </c>
      <c r="G138" t="str">
        <f>IFERROR(_xlfn.XLOOKUP(tabExam[[#This Row],[Unique ID]], tblMaster[Unique ID], tblMaster[Recruitment Cycle], ""), "")</f>
        <v xml:space="preserve">Re-Engagment/Post Civil Service Exam </v>
      </c>
      <c r="H138" t="s">
        <v>8164</v>
      </c>
      <c r="I138">
        <v>2025</v>
      </c>
      <c r="J138" t="s">
        <v>7446</v>
      </c>
      <c r="K138" t="s">
        <v>8277</v>
      </c>
      <c r="L138" t="s">
        <v>8154</v>
      </c>
      <c r="Q138" t="str">
        <f ca="1">IF(tabExam[[#This Row],[Log Date]]="","",TODAY()-tabExam[[#This Row],[Log Date]])</f>
        <v/>
      </c>
      <c r="R138" t="str">
        <f>IF(tabExam[[#This Row],[Log Date]]="","",IF(TRIM(tabExam[[#This Row],[Exam Cycle Stage]])="Asked to be removed from database","NO","YES"))</f>
        <v/>
      </c>
      <c r="S1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39" spans="1:19">
      <c r="A139" t="s">
        <v>7486</v>
      </c>
      <c r="B139" t="str">
        <f>IFERROR(_xlfn.XLOOKUP(tabExam[[#This Row],[Unique ID]], tblMaster[Unique ID], tblMaster[First Name], ""), "")</f>
        <v>Carol</v>
      </c>
      <c r="C139" t="str">
        <f>IFERROR(_xlfn.XLOOKUP(tabExam[[#This Row],[Unique ID]], tblMaster[Unique ID], tblMaster[Last Name], ""), "")</f>
        <v>Pratt</v>
      </c>
      <c r="D139" t="str">
        <f>IFERROR(_xlfn.XLOOKUP(tabExam[[#This Row],[Unique ID]], tblMaster[Unique ID], tblMaster[Email_Clean], ""), "")</f>
        <v>cpratt86@yahoo.com</v>
      </c>
      <c r="E139" t="str">
        <f>IFERROR(_xlfn.XLOOKUP(tabExam[[#This Row],[Unique ID]], tblMaster[Unique ID], tblMaster[Phone], ""), "")</f>
        <v>774-999-9035</v>
      </c>
      <c r="F139" t="str">
        <f>IFERROR(_xlfn.XLOOKUP(tabExam[[#This Row],[Unique ID]], tblMaster[Unique ID], tblMaster[Recruiter], ""), "")</f>
        <v>Zenon Moses</v>
      </c>
      <c r="G139" t="str">
        <f>IFERROR(_xlfn.XLOOKUP(tabExam[[#This Row],[Unique ID]], tblMaster[Unique ID], tblMaster[Recruitment Cycle], ""), "")</f>
        <v xml:space="preserve">Re-Engagment </v>
      </c>
      <c r="H139" t="s">
        <v>8164</v>
      </c>
      <c r="I139">
        <v>2025</v>
      </c>
      <c r="J139" t="s">
        <v>7446</v>
      </c>
      <c r="K139" t="s">
        <v>8277</v>
      </c>
      <c r="L139" t="s">
        <v>8154</v>
      </c>
      <c r="Q139" t="str">
        <f ca="1">IF(tabExam[[#This Row],[Log Date]]="","",TODAY()-tabExam[[#This Row],[Log Date]])</f>
        <v/>
      </c>
      <c r="R139" t="str">
        <f>IF(tabExam[[#This Row],[Log Date]]="","",IF(TRIM(tabExam[[#This Row],[Exam Cycle Stage]])="Asked to be removed from database","NO","YES"))</f>
        <v/>
      </c>
      <c r="S1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0" spans="1:19">
      <c r="A140" t="s">
        <v>8285</v>
      </c>
      <c r="B140" t="str">
        <f>IFERROR(_xlfn.XLOOKUP(tabExam[[#This Row],[Unique ID]], tblMaster[Unique ID], tblMaster[First Name], ""), "")</f>
        <v xml:space="preserve">Shane </v>
      </c>
      <c r="C140" t="str">
        <f>IFERROR(_xlfn.XLOOKUP(tabExam[[#This Row],[Unique ID]], tblMaster[Unique ID], tblMaster[Last Name], ""), "")</f>
        <v xml:space="preserve">Detres </v>
      </c>
      <c r="D140" t="str">
        <f>IFERROR(_xlfn.XLOOKUP(tabExam[[#This Row],[Unique ID]], tblMaster[Unique ID], tblMaster[Email_Clean], ""), "")</f>
        <v>shanedetres12@outlook.com</v>
      </c>
      <c r="E140" t="str">
        <f>IFERROR(_xlfn.XLOOKUP(tabExam[[#This Row],[Unique ID]], tblMaster[Unique ID], tblMaster[Phone], ""), "")</f>
        <v xml:space="preserve">(941) 226-5676 </v>
      </c>
      <c r="F140" t="str">
        <f>IFERROR(_xlfn.XLOOKUP(tabExam[[#This Row],[Unique ID]], tblMaster[Unique ID], tblMaster[Recruiter], ""), "")</f>
        <v xml:space="preserve">Tom Clark </v>
      </c>
      <c r="G140" t="str">
        <f>IFERROR(_xlfn.XLOOKUP(tabExam[[#This Row],[Unique ID]], tblMaster[Unique ID], tblMaster[Recruitment Cycle], ""), "")</f>
        <v xml:space="preserve">Re-Engagment/Post Civil Service Exam </v>
      </c>
      <c r="H140" t="s">
        <v>8164</v>
      </c>
      <c r="I140">
        <v>2025</v>
      </c>
      <c r="J140" t="s">
        <v>7446</v>
      </c>
      <c r="K140" t="s">
        <v>8277</v>
      </c>
      <c r="L140" t="s">
        <v>8154</v>
      </c>
      <c r="M140" t="s">
        <v>7464</v>
      </c>
      <c r="O140" s="2">
        <v>46063</v>
      </c>
      <c r="Q140">
        <f ca="1">IF(tabExam[[#This Row],[Log Date]]="","",TODAY()-tabExam[[#This Row],[Log Date]])</f>
        <v>16</v>
      </c>
      <c r="R140" t="str">
        <f>IF(tabExam[[#This Row],[Log Date]]="","",IF(TRIM(tabExam[[#This Row],[Exam Cycle Stage]])="Asked to be removed from database","NO","YES"))</f>
        <v>YES</v>
      </c>
      <c r="S1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1" spans="1:19">
      <c r="A141" t="s">
        <v>8045</v>
      </c>
      <c r="B141" t="str">
        <f>IFERROR(_xlfn.XLOOKUP(tabExam[[#This Row],[Unique ID]], tblMaster[Unique ID], tblMaster[First Name], ""), "")</f>
        <v xml:space="preserve">Deamel </v>
      </c>
      <c r="C141" t="str">
        <f>IFERROR(_xlfn.XLOOKUP(tabExam[[#This Row],[Unique ID]], tblMaster[Unique ID], tblMaster[Last Name], ""), "")</f>
        <v xml:space="preserve"> Berroa </v>
      </c>
      <c r="D141" t="str">
        <f>IFERROR(_xlfn.XLOOKUP(tabExam[[#This Row],[Unique ID]], tblMaster[Unique ID], tblMaster[Email_Clean], ""), "")</f>
        <v>deamelberroa@gmail.com</v>
      </c>
      <c r="E141" t="str">
        <f>IFERROR(_xlfn.XLOOKUP(tabExam[[#This Row],[Unique ID]], tblMaster[Unique ID], tblMaster[Phone], ""), "")</f>
        <v xml:space="preserve">(774) 271-4334 </v>
      </c>
      <c r="F141" t="str">
        <f>IFERROR(_xlfn.XLOOKUP(tabExam[[#This Row],[Unique ID]], tblMaster[Unique ID], tblMaster[Recruiter], ""), "")</f>
        <v xml:space="preserve">Jevon Brown Simpson </v>
      </c>
      <c r="G141" t="str">
        <f>IFERROR(_xlfn.XLOOKUP(tabExam[[#This Row],[Unique ID]], tblMaster[Unique ID], tblMaster[Recruitment Cycle], ""), "")</f>
        <v xml:space="preserve">Re-Engagment/Post Civil Service Exam </v>
      </c>
      <c r="H141" t="s">
        <v>8164</v>
      </c>
      <c r="I141">
        <v>2025</v>
      </c>
      <c r="J141" t="s">
        <v>7446</v>
      </c>
      <c r="K141" t="s">
        <v>8277</v>
      </c>
      <c r="L141" t="s">
        <v>8154</v>
      </c>
      <c r="Q141" t="str">
        <f ca="1">IF(tabExam[[#This Row],[Log Date]]="","",TODAY()-tabExam[[#This Row],[Log Date]])</f>
        <v/>
      </c>
      <c r="R141" t="str">
        <f>IF(tabExam[[#This Row],[Log Date]]="","",IF(TRIM(tabExam[[#This Row],[Exam Cycle Stage]])="Asked to be removed from database","NO","YES"))</f>
        <v/>
      </c>
      <c r="S1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2" spans="1:19">
      <c r="A142" t="s">
        <v>8286</v>
      </c>
      <c r="B142" t="str">
        <f>IFERROR(_xlfn.XLOOKUP(tabExam[[#This Row],[Unique ID]], tblMaster[Unique ID], tblMaster[First Name], ""), "")</f>
        <v xml:space="preserve">Ayodeji </v>
      </c>
      <c r="C142" t="str">
        <f>IFERROR(_xlfn.XLOOKUP(tabExam[[#This Row],[Unique ID]], tblMaster[Unique ID], tblMaster[Last Name], ""), "")</f>
        <v xml:space="preserve">Totoola </v>
      </c>
      <c r="D142" t="str">
        <f>IFERROR(_xlfn.XLOOKUP(tabExam[[#This Row],[Unique ID]], tblMaster[Unique ID], tblMaster[Email_Clean], ""), "")</f>
        <v>totoolasamuel@gmail.com</v>
      </c>
      <c r="E142" t="str">
        <f>IFERROR(_xlfn.XLOOKUP(tabExam[[#This Row],[Unique ID]], tblMaster[Unique ID], tblMaster[Phone], ""), "")</f>
        <v xml:space="preserve">857-505-5773 </v>
      </c>
      <c r="F142" t="str">
        <f>IFERROR(_xlfn.XLOOKUP(tabExam[[#This Row],[Unique ID]], tblMaster[Unique ID], tblMaster[Recruiter], ""), "")</f>
        <v>Zenon Moses</v>
      </c>
      <c r="G142" t="str">
        <f>IFERROR(_xlfn.XLOOKUP(tabExam[[#This Row],[Unique ID]], tblMaster[Unique ID], tblMaster[Recruitment Cycle], ""), "")</f>
        <v xml:space="preserve">Re-Engagment/Post Civil Service Exam </v>
      </c>
      <c r="H142" t="s">
        <v>8164</v>
      </c>
      <c r="I142">
        <v>2025</v>
      </c>
      <c r="J142" t="s">
        <v>7446</v>
      </c>
      <c r="K142" t="s">
        <v>8277</v>
      </c>
      <c r="L142" t="s">
        <v>8154</v>
      </c>
      <c r="Q142" t="str">
        <f ca="1">IF(tabExam[[#This Row],[Log Date]]="","",TODAY()-tabExam[[#This Row],[Log Date]])</f>
        <v/>
      </c>
      <c r="R142" t="str">
        <f>IF(tabExam[[#This Row],[Log Date]]="","",IF(TRIM(tabExam[[#This Row],[Exam Cycle Stage]])="Asked to be removed from database","NO","YES"))</f>
        <v/>
      </c>
      <c r="S1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3" spans="1:19">
      <c r="A143" t="s">
        <v>8051</v>
      </c>
      <c r="B143" t="str">
        <f>IFERROR(_xlfn.XLOOKUP(tabExam[[#This Row],[Unique ID]], tblMaster[Unique ID], tblMaster[First Name], ""), "")</f>
        <v xml:space="preserve">Jean </v>
      </c>
      <c r="C143" t="str">
        <f>IFERROR(_xlfn.XLOOKUP(tabExam[[#This Row],[Unique ID]], tblMaster[Unique ID], tblMaster[Last Name], ""), "")</f>
        <v xml:space="preserve">Gelin </v>
      </c>
      <c r="D143" t="str">
        <f>IFERROR(_xlfn.XLOOKUP(tabExam[[#This Row],[Unique ID]], tblMaster[Unique ID], tblMaster[Email_Clean], ""), "")</f>
        <v>jgelin17@gmail.com</v>
      </c>
      <c r="E143" t="str">
        <f>IFERROR(_xlfn.XLOOKUP(tabExam[[#This Row],[Unique ID]], tblMaster[Unique ID], tblMaster[Phone], ""), "")</f>
        <v xml:space="preserve">(508) 431-0819 </v>
      </c>
      <c r="F143" t="str">
        <f>IFERROR(_xlfn.XLOOKUP(tabExam[[#This Row],[Unique ID]], tblMaster[Unique ID], tblMaster[Recruiter], ""), "")</f>
        <v xml:space="preserve">Jevon Brown Simpson </v>
      </c>
      <c r="G143" t="str">
        <f>IFERROR(_xlfn.XLOOKUP(tabExam[[#This Row],[Unique ID]], tblMaster[Unique ID], tblMaster[Recruitment Cycle], ""), "")</f>
        <v xml:space="preserve">Re-Engagment/Post Civil Service Exam </v>
      </c>
      <c r="H143" t="s">
        <v>8164</v>
      </c>
      <c r="I143">
        <v>2025</v>
      </c>
      <c r="J143" t="s">
        <v>7446</v>
      </c>
      <c r="K143" t="s">
        <v>8277</v>
      </c>
      <c r="L143" t="s">
        <v>8154</v>
      </c>
      <c r="Q143" t="str">
        <f ca="1">IF(tabExam[[#This Row],[Log Date]]="","",TODAY()-tabExam[[#This Row],[Log Date]])</f>
        <v/>
      </c>
      <c r="R143" t="str">
        <f>IF(tabExam[[#This Row],[Log Date]]="","",IF(TRIM(tabExam[[#This Row],[Exam Cycle Stage]])="Asked to be removed from database","NO","YES"))</f>
        <v/>
      </c>
      <c r="S1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4" spans="1:19">
      <c r="A144" t="s">
        <v>8287</v>
      </c>
      <c r="B144" t="str">
        <f>IFERROR(_xlfn.XLOOKUP(tabExam[[#This Row],[Unique ID]], tblMaster[Unique ID], tblMaster[First Name], ""), "")</f>
        <v xml:space="preserve">Ivens </v>
      </c>
      <c r="C144" t="str">
        <f>IFERROR(_xlfn.XLOOKUP(tabExam[[#This Row],[Unique ID]], tblMaster[Unique ID], tblMaster[Last Name], ""), "")</f>
        <v xml:space="preserve">Sainte </v>
      </c>
      <c r="D144" t="str">
        <f>IFERROR(_xlfn.XLOOKUP(tabExam[[#This Row],[Unique ID]], tblMaster[Unique ID], tblMaster[Email_Clean], ""), "")</f>
        <v>ivenssainte00@gmail.com</v>
      </c>
      <c r="E144" t="str">
        <f>IFERROR(_xlfn.XLOOKUP(tabExam[[#This Row],[Unique ID]], tblMaster[Unique ID], tblMaster[Phone], ""), "")</f>
        <v xml:space="preserve">857-869-4473 </v>
      </c>
      <c r="F144" t="str">
        <f>IFERROR(_xlfn.XLOOKUP(tabExam[[#This Row],[Unique ID]], tblMaster[Unique ID], tblMaster[Recruiter], ""), "")</f>
        <v xml:space="preserve">Tom Clark </v>
      </c>
      <c r="G144" t="str">
        <f>IFERROR(_xlfn.XLOOKUP(tabExam[[#This Row],[Unique ID]], tblMaster[Unique ID], tblMaster[Recruitment Cycle], ""), "")</f>
        <v xml:space="preserve">Re-Engagment/Post Civil Service Exam </v>
      </c>
      <c r="H144" t="s">
        <v>8164</v>
      </c>
      <c r="I144">
        <v>2025</v>
      </c>
      <c r="J144" t="s">
        <v>7446</v>
      </c>
      <c r="K144" t="s">
        <v>8277</v>
      </c>
      <c r="L144" t="s">
        <v>8154</v>
      </c>
      <c r="M144" t="s">
        <v>7464</v>
      </c>
      <c r="O144" s="2">
        <v>46063</v>
      </c>
      <c r="Q144">
        <f ca="1">IF(tabExam[[#This Row],[Log Date]]="","",TODAY()-tabExam[[#This Row],[Log Date]])</f>
        <v>16</v>
      </c>
      <c r="R144" t="str">
        <f>IF(tabExam[[#This Row],[Log Date]]="","",IF(TRIM(tabExam[[#This Row],[Exam Cycle Stage]])="Asked to be removed from database","NO","YES"))</f>
        <v>YES</v>
      </c>
      <c r="S14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5" spans="1:19">
      <c r="A145" t="s">
        <v>8288</v>
      </c>
      <c r="B145" t="str">
        <f>IFERROR(_xlfn.XLOOKUP(tabExam[[#This Row],[Unique ID]], tblMaster[Unique ID], tblMaster[First Name], ""), "")</f>
        <v xml:space="preserve">Kelly </v>
      </c>
      <c r="C145" t="str">
        <f>IFERROR(_xlfn.XLOOKUP(tabExam[[#This Row],[Unique ID]], tblMaster[Unique ID], tblMaster[Last Name], ""), "")</f>
        <v xml:space="preserve">charles </v>
      </c>
      <c r="D145" t="str">
        <f>IFERROR(_xlfn.XLOOKUP(tabExam[[#This Row],[Unique ID]], tblMaster[Unique ID], tblMaster[Email_Clean], ""), "")</f>
        <v>kellyjeancharles@gmail.com</v>
      </c>
      <c r="E145" t="str">
        <f>IFERROR(_xlfn.XLOOKUP(tabExam[[#This Row],[Unique ID]], tblMaster[Unique ID], tblMaster[Phone], ""), "")</f>
        <v xml:space="preserve">(781) 475-8265 </v>
      </c>
      <c r="F145" t="str">
        <f>IFERROR(_xlfn.XLOOKUP(tabExam[[#This Row],[Unique ID]], tblMaster[Unique ID], tblMaster[Recruiter], ""), "")</f>
        <v>Zenon Moses</v>
      </c>
      <c r="G145" t="str">
        <f>IFERROR(_xlfn.XLOOKUP(tabExam[[#This Row],[Unique ID]], tblMaster[Unique ID], tblMaster[Recruitment Cycle], ""), "")</f>
        <v xml:space="preserve">Re-Engagment/Post Civil Service Exam </v>
      </c>
      <c r="H145" t="s">
        <v>8164</v>
      </c>
      <c r="I145">
        <v>2025</v>
      </c>
      <c r="J145" t="s">
        <v>7446</v>
      </c>
      <c r="K145" t="s">
        <v>7445</v>
      </c>
      <c r="L145" t="s">
        <v>7436</v>
      </c>
      <c r="M145" t="s">
        <v>7434</v>
      </c>
      <c r="N145" t="s">
        <v>7435</v>
      </c>
      <c r="O145" s="2">
        <v>46063</v>
      </c>
      <c r="P145" t="s">
        <v>8289</v>
      </c>
      <c r="Q145">
        <f ca="1">IF(tabExam[[#This Row],[Log Date]]="","",TODAY()-tabExam[[#This Row],[Log Date]])</f>
        <v>16</v>
      </c>
      <c r="R145" t="str">
        <f>IF(tabExam[[#This Row],[Log Date]]="","",IF(TRIM(tabExam[[#This Row],[Exam Cycle Stage]])="Asked to be removed from database","NO","YES"))</f>
        <v>YES</v>
      </c>
      <c r="S1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6" spans="1:19">
      <c r="A146" t="s">
        <v>8290</v>
      </c>
      <c r="B146" t="str">
        <f>IFERROR(_xlfn.XLOOKUP(tabExam[[#This Row],[Unique ID]], tblMaster[Unique ID], tblMaster[First Name], ""), "")</f>
        <v xml:space="preserve">Edmund </v>
      </c>
      <c r="C146" t="str">
        <f>IFERROR(_xlfn.XLOOKUP(tabExam[[#This Row],[Unique ID]], tblMaster[Unique ID], tblMaster[Last Name], ""), "")</f>
        <v xml:space="preserve"> Akintunde </v>
      </c>
      <c r="D146" t="str">
        <f>IFERROR(_xlfn.XLOOKUP(tabExam[[#This Row],[Unique ID]], tblMaster[Unique ID], tblMaster[Email_Clean], ""), "")</f>
        <v>edmundakintunde2012@gmail.com</v>
      </c>
      <c r="E146" t="str">
        <f>IFERROR(_xlfn.XLOOKUP(tabExam[[#This Row],[Unique ID]], tblMaster[Unique ID], tblMaster[Phone], ""), "")</f>
        <v xml:space="preserve">(832) 657-7760 </v>
      </c>
      <c r="F146" t="str">
        <f>IFERROR(_xlfn.XLOOKUP(tabExam[[#This Row],[Unique ID]], tblMaster[Unique ID], tblMaster[Recruiter], ""), "")</f>
        <v xml:space="preserve">Jevon Brown Simpson </v>
      </c>
      <c r="G146" t="str">
        <f>IFERROR(_xlfn.XLOOKUP(tabExam[[#This Row],[Unique ID]], tblMaster[Unique ID], tblMaster[Recruitment Cycle], ""), "")</f>
        <v xml:space="preserve">Re-Engagment/Post Civil Service Exam </v>
      </c>
      <c r="H146" t="s">
        <v>8164</v>
      </c>
      <c r="I146">
        <v>2025</v>
      </c>
      <c r="J146" t="s">
        <v>7446</v>
      </c>
      <c r="K146" t="s">
        <v>8277</v>
      </c>
      <c r="L146" t="s">
        <v>8154</v>
      </c>
      <c r="Q146" t="str">
        <f ca="1">IF(tabExam[[#This Row],[Log Date]]="","",TODAY()-tabExam[[#This Row],[Log Date]])</f>
        <v/>
      </c>
      <c r="R146" t="str">
        <f>IF(tabExam[[#This Row],[Log Date]]="","",IF(TRIM(tabExam[[#This Row],[Exam Cycle Stage]])="Asked to be removed from database","NO","YES"))</f>
        <v/>
      </c>
      <c r="S1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7" spans="1:19">
      <c r="A147" t="s">
        <v>8291</v>
      </c>
      <c r="B147" t="str">
        <f>IFERROR(_xlfn.XLOOKUP(tabExam[[#This Row],[Unique ID]], tblMaster[Unique ID], tblMaster[First Name], ""), "")</f>
        <v xml:space="preserve">Vanessa </v>
      </c>
      <c r="C147" t="str">
        <f>IFERROR(_xlfn.XLOOKUP(tabExam[[#This Row],[Unique ID]], tblMaster[Unique ID], tblMaster[Last Name], ""), "")</f>
        <v xml:space="preserve">Telijeune </v>
      </c>
      <c r="D147" t="str">
        <f>IFERROR(_xlfn.XLOOKUP(tabExam[[#This Row],[Unique ID]], tblMaster[Unique ID], tblMaster[Email_Clean], ""), "")</f>
        <v>vanessat22@yahoo.com</v>
      </c>
      <c r="E147" t="str">
        <f>IFERROR(_xlfn.XLOOKUP(tabExam[[#This Row],[Unique ID]], tblMaster[Unique ID], tblMaster[Phone], ""), "")</f>
        <v>617-596-1613</v>
      </c>
      <c r="F147" t="str">
        <f>IFERROR(_xlfn.XLOOKUP(tabExam[[#This Row],[Unique ID]], tblMaster[Unique ID], tblMaster[Recruiter], ""), "")</f>
        <v xml:space="preserve">Tom Clark </v>
      </c>
      <c r="G147" t="str">
        <f>IFERROR(_xlfn.XLOOKUP(tabExam[[#This Row],[Unique ID]], tblMaster[Unique ID], tblMaster[Recruitment Cycle], ""), "")</f>
        <v xml:space="preserve">Re-Engagment/Post Civil Service Exam </v>
      </c>
      <c r="H147" t="s">
        <v>8164</v>
      </c>
      <c r="I147">
        <v>2025</v>
      </c>
      <c r="J147" t="s">
        <v>7446</v>
      </c>
      <c r="K147" t="s">
        <v>8277</v>
      </c>
      <c r="L147" t="s">
        <v>8154</v>
      </c>
      <c r="M147" t="s">
        <v>7464</v>
      </c>
      <c r="O147" s="2">
        <v>46063</v>
      </c>
      <c r="Q147">
        <f ca="1">IF(tabExam[[#This Row],[Log Date]]="","",TODAY()-tabExam[[#This Row],[Log Date]])</f>
        <v>16</v>
      </c>
      <c r="R147" t="str">
        <f>IF(tabExam[[#This Row],[Log Date]]="","",IF(TRIM(tabExam[[#This Row],[Exam Cycle Stage]])="Asked to be removed from database","NO","YES"))</f>
        <v>YES</v>
      </c>
      <c r="S14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8" spans="1:19">
      <c r="A148" t="s">
        <v>8292</v>
      </c>
      <c r="B148" t="str">
        <f>IFERROR(_xlfn.XLOOKUP(tabExam[[#This Row],[Unique ID]], tblMaster[Unique ID], tblMaster[First Name], ""), "")</f>
        <v>Yvens</v>
      </c>
      <c r="C148" t="str">
        <f>IFERROR(_xlfn.XLOOKUP(tabExam[[#This Row],[Unique ID]], tblMaster[Unique ID], tblMaster[Last Name], ""), "")</f>
        <v>Jean Baptiste</v>
      </c>
      <c r="D148" t="str">
        <f>IFERROR(_xlfn.XLOOKUP(tabExam[[#This Row],[Unique ID]], tblMaster[Unique ID], tblMaster[Email_Clean], ""), "")</f>
        <v>jbyvens@gmail.com</v>
      </c>
      <c r="E148" t="str">
        <f>IFERROR(_xlfn.XLOOKUP(tabExam[[#This Row],[Unique ID]], tblMaster[Unique ID], tblMaster[Phone], ""), "")</f>
        <v>617-850-2709</v>
      </c>
      <c r="F148" t="str">
        <f>IFERROR(_xlfn.XLOOKUP(tabExam[[#This Row],[Unique ID]], tblMaster[Unique ID], tblMaster[Recruiter], ""), "")</f>
        <v>Zenon Moses</v>
      </c>
      <c r="G148" t="str">
        <f>IFERROR(_xlfn.XLOOKUP(tabExam[[#This Row],[Unique ID]], tblMaster[Unique ID], tblMaster[Recruitment Cycle], ""), "")</f>
        <v xml:space="preserve">Re-Engagment/Post Civil Service Exam </v>
      </c>
      <c r="H148" t="s">
        <v>8164</v>
      </c>
      <c r="I148">
        <v>2025</v>
      </c>
      <c r="J148" t="s">
        <v>7446</v>
      </c>
      <c r="K148" t="s">
        <v>8277</v>
      </c>
      <c r="L148" t="s">
        <v>8154</v>
      </c>
      <c r="M148" t="s">
        <v>7434</v>
      </c>
      <c r="N148" t="s">
        <v>7435</v>
      </c>
      <c r="O148" s="2">
        <v>46073</v>
      </c>
      <c r="P148" t="s">
        <v>8158</v>
      </c>
      <c r="Q148">
        <f ca="1">IF(tabExam[[#This Row],[Log Date]]="","",TODAY()-tabExam[[#This Row],[Log Date]])</f>
        <v>6</v>
      </c>
      <c r="R148" t="str">
        <f>IF(tabExam[[#This Row],[Log Date]]="","",IF(TRIM(tabExam[[#This Row],[Exam Cycle Stage]])="Asked to be removed from database","NO","YES"))</f>
        <v>YES</v>
      </c>
      <c r="S1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49" spans="1:19">
      <c r="A149" t="s">
        <v>8293</v>
      </c>
      <c r="B149" t="str">
        <f>IFERROR(_xlfn.XLOOKUP(tabExam[[#This Row],[Unique ID]], tblMaster[Unique ID], tblMaster[First Name], ""), "")</f>
        <v>Neshmarie</v>
      </c>
      <c r="C149" t="str">
        <f>IFERROR(_xlfn.XLOOKUP(tabExam[[#This Row],[Unique ID]], tblMaster[Unique ID], tblMaster[Last Name], ""), "")</f>
        <v>rodriguez </v>
      </c>
      <c r="D149" t="str">
        <f>IFERROR(_xlfn.XLOOKUP(tabExam[[#This Row],[Unique ID]], tblMaster[Unique ID], tblMaster[Email_Clean], ""), "")</f>
        <v>neshmarie120493@gmail.com</v>
      </c>
      <c r="E149" t="str">
        <f>IFERROR(_xlfn.XLOOKUP(tabExam[[#This Row],[Unique ID]], tblMaster[Unique ID], tblMaster[Phone], ""), "")</f>
        <v>413-425-3248</v>
      </c>
      <c r="F149" t="str">
        <f>IFERROR(_xlfn.XLOOKUP(tabExam[[#This Row],[Unique ID]], tblMaster[Unique ID], tblMaster[Recruiter], ""), "")</f>
        <v xml:space="preserve">Jevon Brown Simpson </v>
      </c>
      <c r="G149" t="str">
        <f>IFERROR(_xlfn.XLOOKUP(tabExam[[#This Row],[Unique ID]], tblMaster[Unique ID], tblMaster[Recruitment Cycle], ""), "")</f>
        <v xml:space="preserve">Re-Engagment/Post Civil Service Exam </v>
      </c>
      <c r="H149" t="s">
        <v>8164</v>
      </c>
      <c r="I149">
        <v>2025</v>
      </c>
      <c r="J149" t="s">
        <v>7446</v>
      </c>
      <c r="K149" t="s">
        <v>8277</v>
      </c>
      <c r="L149" t="s">
        <v>8154</v>
      </c>
      <c r="Q149" t="str">
        <f ca="1">IF(tabExam[[#This Row],[Log Date]]="","",TODAY()-tabExam[[#This Row],[Log Date]])</f>
        <v/>
      </c>
      <c r="R149" t="str">
        <f>IF(tabExam[[#This Row],[Log Date]]="","",IF(TRIM(tabExam[[#This Row],[Exam Cycle Stage]])="Asked to be removed from database","NO","YES"))</f>
        <v/>
      </c>
      <c r="S1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0" spans="1:19">
      <c r="A150" t="s">
        <v>8294</v>
      </c>
      <c r="B150" t="str">
        <f>IFERROR(_xlfn.XLOOKUP(tabExam[[#This Row],[Unique ID]], tblMaster[Unique ID], tblMaster[First Name], ""), "")</f>
        <v>Michael</v>
      </c>
      <c r="C150" t="str">
        <f>IFERROR(_xlfn.XLOOKUP(tabExam[[#This Row],[Unique ID]], tblMaster[Unique ID], tblMaster[Last Name], ""), "")</f>
        <v>Velasquez</v>
      </c>
      <c r="D150" t="str">
        <f>IFERROR(_xlfn.XLOOKUP(tabExam[[#This Row],[Unique ID]], tblMaster[Unique ID], tblMaster[Email_Clean], ""), "")</f>
        <v>mvelasquez3599@yahoo.com</v>
      </c>
      <c r="E150" t="str">
        <f>IFERROR(_xlfn.XLOOKUP(tabExam[[#This Row],[Unique ID]], tblMaster[Unique ID], tblMaster[Phone], ""), "")</f>
        <v>413-265-3599</v>
      </c>
      <c r="F150" t="str">
        <f>IFERROR(_xlfn.XLOOKUP(tabExam[[#This Row],[Unique ID]], tblMaster[Unique ID], tblMaster[Recruiter], ""), "")</f>
        <v xml:space="preserve">Tom Clark </v>
      </c>
      <c r="G150" t="str">
        <f>IFERROR(_xlfn.XLOOKUP(tabExam[[#This Row],[Unique ID]], tblMaster[Unique ID], tblMaster[Recruitment Cycle], ""), "")</f>
        <v xml:space="preserve">Re-Engagment/Post Civil Service Exam </v>
      </c>
      <c r="H150" t="s">
        <v>8164</v>
      </c>
      <c r="I150">
        <v>2025</v>
      </c>
      <c r="J150" t="s">
        <v>7446</v>
      </c>
      <c r="K150" t="s">
        <v>8277</v>
      </c>
      <c r="L150" t="s">
        <v>8154</v>
      </c>
      <c r="M150" t="s">
        <v>7464</v>
      </c>
      <c r="O150" s="2">
        <v>46063</v>
      </c>
      <c r="Q150">
        <f ca="1">IF(tabExam[[#This Row],[Log Date]]="","",TODAY()-tabExam[[#This Row],[Log Date]])</f>
        <v>16</v>
      </c>
      <c r="R150" t="str">
        <f>IF(tabExam[[#This Row],[Log Date]]="","",IF(TRIM(tabExam[[#This Row],[Exam Cycle Stage]])="Asked to be removed from database","NO","YES"))</f>
        <v>YES</v>
      </c>
      <c r="S1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1" spans="1:19">
      <c r="A151" t="s">
        <v>8295</v>
      </c>
      <c r="B151" t="str">
        <f>IFERROR(_xlfn.XLOOKUP(tabExam[[#This Row],[Unique ID]], tblMaster[Unique ID], tblMaster[First Name], ""), "")</f>
        <v>John</v>
      </c>
      <c r="C151" t="str">
        <f>IFERROR(_xlfn.XLOOKUP(tabExam[[#This Row],[Unique ID]], tblMaster[Unique ID], tblMaster[Last Name], ""), "")</f>
        <v>Lacroix</v>
      </c>
      <c r="D151" t="str">
        <f>IFERROR(_xlfn.XLOOKUP(tabExam[[#This Row],[Unique ID]], tblMaster[Unique ID], tblMaster[Email_Clean], ""), "")</f>
        <v>johnlacroix913@yahoo.com</v>
      </c>
      <c r="E151" t="str">
        <f>IFERROR(_xlfn.XLOOKUP(tabExam[[#This Row],[Unique ID]], tblMaster[Unique ID], tblMaster[Phone], ""), "")</f>
        <v>(781) 200-8528</v>
      </c>
      <c r="F151" t="str">
        <f>IFERROR(_xlfn.XLOOKUP(tabExam[[#This Row],[Unique ID]], tblMaster[Unique ID], tblMaster[Recruiter], ""), "")</f>
        <v>Zenon Moses</v>
      </c>
      <c r="G151" t="str">
        <f>IFERROR(_xlfn.XLOOKUP(tabExam[[#This Row],[Unique ID]], tblMaster[Unique ID], tblMaster[Recruitment Cycle], ""), "")</f>
        <v xml:space="preserve">Re-Engagment/Post Civil Service Exam </v>
      </c>
      <c r="H151" t="s">
        <v>8164</v>
      </c>
      <c r="I151">
        <v>2025</v>
      </c>
      <c r="J151" t="s">
        <v>7446</v>
      </c>
      <c r="K151" t="s">
        <v>8277</v>
      </c>
      <c r="L151" t="s">
        <v>8167</v>
      </c>
      <c r="M151" t="s">
        <v>7434</v>
      </c>
      <c r="N151" t="s">
        <v>8175</v>
      </c>
      <c r="O151" s="2">
        <v>46063</v>
      </c>
      <c r="P151" t="s">
        <v>8162</v>
      </c>
      <c r="Q151">
        <f ca="1">IF(tabExam[[#This Row],[Log Date]]="","",TODAY()-tabExam[[#This Row],[Log Date]])</f>
        <v>16</v>
      </c>
      <c r="R151" t="str">
        <f>IF(tabExam[[#This Row],[Log Date]]="","",IF(TRIM(tabExam[[#This Row],[Exam Cycle Stage]])="Asked to be removed from database","NO","YES"))</f>
        <v>YES</v>
      </c>
      <c r="S1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2" spans="1:19">
      <c r="A152" t="s">
        <v>8296</v>
      </c>
      <c r="B152" t="str">
        <f>IFERROR(_xlfn.XLOOKUP(tabExam[[#This Row],[Unique ID]], tblMaster[Unique ID], tblMaster[First Name], ""), "")</f>
        <v>Abdél</v>
      </c>
      <c r="C152" t="str">
        <f>IFERROR(_xlfn.XLOOKUP(tabExam[[#This Row],[Unique ID]], tblMaster[Unique ID], tblMaster[Last Name], ""), "")</f>
        <v>Darwish </v>
      </c>
      <c r="D152" t="str">
        <f>IFERROR(_xlfn.XLOOKUP(tabExam[[#This Row],[Unique ID]], tblMaster[Unique ID], tblMaster[Email_Clean], ""), "")</f>
        <v>baki.darwish@outlook.com</v>
      </c>
      <c r="E152" t="str">
        <f>IFERROR(_xlfn.XLOOKUP(tabExam[[#This Row],[Unique ID]], tblMaster[Unique ID], tblMaster[Phone], ""), "")</f>
        <v>682-564-6419</v>
      </c>
      <c r="F152" t="str">
        <f>IFERROR(_xlfn.XLOOKUP(tabExam[[#This Row],[Unique ID]], tblMaster[Unique ID], tblMaster[Recruiter], ""), "")</f>
        <v xml:space="preserve">Jevon Brown Simpson </v>
      </c>
      <c r="G152" t="str">
        <f>IFERROR(_xlfn.XLOOKUP(tabExam[[#This Row],[Unique ID]], tblMaster[Unique ID], tblMaster[Recruitment Cycle], ""), "")</f>
        <v xml:space="preserve">Re-Engagment/Post Civil Service Exam </v>
      </c>
      <c r="H152" t="s">
        <v>8164</v>
      </c>
      <c r="I152">
        <v>2025</v>
      </c>
      <c r="J152" t="s">
        <v>7446</v>
      </c>
      <c r="K152" t="s">
        <v>8277</v>
      </c>
      <c r="L152" t="s">
        <v>8154</v>
      </c>
      <c r="Q152" t="str">
        <f ca="1">IF(tabExam[[#This Row],[Log Date]]="","",TODAY()-tabExam[[#This Row],[Log Date]])</f>
        <v/>
      </c>
      <c r="R152" t="str">
        <f>IF(tabExam[[#This Row],[Log Date]]="","",IF(TRIM(tabExam[[#This Row],[Exam Cycle Stage]])="Asked to be removed from database","NO","YES"))</f>
        <v/>
      </c>
      <c r="S1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3" spans="1:19">
      <c r="A153" t="s">
        <v>8297</v>
      </c>
      <c r="B153" t="str">
        <f>IFERROR(_xlfn.XLOOKUP(tabExam[[#This Row],[Unique ID]], tblMaster[Unique ID], tblMaster[First Name], ""), "")</f>
        <v>Fabrizio</v>
      </c>
      <c r="C153" t="str">
        <f>IFERROR(_xlfn.XLOOKUP(tabExam[[#This Row],[Unique ID]], tblMaster[Unique ID], tblMaster[Last Name], ""), "")</f>
        <v>Mendez</v>
      </c>
      <c r="D153" t="str">
        <f>IFERROR(_xlfn.XLOOKUP(tabExam[[#This Row],[Unique ID]], tblMaster[Unique ID], tblMaster[Email_Clean], ""), "")</f>
        <v>fabrimendez31@gmail.com</v>
      </c>
      <c r="E153" t="str">
        <f>IFERROR(_xlfn.XLOOKUP(tabExam[[#This Row],[Unique ID]], tblMaster[Unique ID], tblMaster[Phone], ""), "")</f>
        <v>978-696-6047</v>
      </c>
      <c r="F153" t="str">
        <f>IFERROR(_xlfn.XLOOKUP(tabExam[[#This Row],[Unique ID]], tblMaster[Unique ID], tblMaster[Recruiter], ""), "")</f>
        <v xml:space="preserve">Tom Clark </v>
      </c>
      <c r="G153" t="str">
        <f>IFERROR(_xlfn.XLOOKUP(tabExam[[#This Row],[Unique ID]], tblMaster[Unique ID], tblMaster[Recruitment Cycle], ""), "")</f>
        <v xml:space="preserve">Re-Engagment/Post Civil Service Exam </v>
      </c>
      <c r="H153" t="s">
        <v>8164</v>
      </c>
      <c r="I153">
        <v>2025</v>
      </c>
      <c r="J153" t="s">
        <v>7446</v>
      </c>
      <c r="K153" t="s">
        <v>8277</v>
      </c>
      <c r="L153" t="s">
        <v>8154</v>
      </c>
      <c r="M153" t="s">
        <v>7464</v>
      </c>
      <c r="O153" s="2">
        <v>46063</v>
      </c>
      <c r="Q153">
        <f ca="1">IF(tabExam[[#This Row],[Log Date]]="","",TODAY()-tabExam[[#This Row],[Log Date]])</f>
        <v>16</v>
      </c>
      <c r="R153" t="str">
        <f>IF(tabExam[[#This Row],[Log Date]]="","",IF(TRIM(tabExam[[#This Row],[Exam Cycle Stage]])="Asked to be removed from database","NO","YES"))</f>
        <v>YES</v>
      </c>
      <c r="S1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4" spans="1:19">
      <c r="A154" t="s">
        <v>8298</v>
      </c>
      <c r="B154" t="str">
        <f>IFERROR(_xlfn.XLOOKUP(tabExam[[#This Row],[Unique ID]], tblMaster[Unique ID], tblMaster[First Name], ""), "")</f>
        <v xml:space="preserve">Jacqueline </v>
      </c>
      <c r="C154" t="str">
        <f>IFERROR(_xlfn.XLOOKUP(tabExam[[#This Row],[Unique ID]], tblMaster[Unique ID], tblMaster[Last Name], ""), "")</f>
        <v xml:space="preserve">Lyle </v>
      </c>
      <c r="D154" t="str">
        <f>IFERROR(_xlfn.XLOOKUP(tabExam[[#This Row],[Unique ID]], tblMaster[Unique ID], tblMaster[Email_Clean], ""), "")</f>
        <v>jacquelinelyle@icloud.com</v>
      </c>
      <c r="E154" t="str">
        <f>IFERROR(_xlfn.XLOOKUP(tabExam[[#This Row],[Unique ID]], tblMaster[Unique ID], tblMaster[Phone], ""), "")</f>
        <v xml:space="preserve">(603) 294-6132 </v>
      </c>
      <c r="F154" t="str">
        <f>IFERROR(_xlfn.XLOOKUP(tabExam[[#This Row],[Unique ID]], tblMaster[Unique ID], tblMaster[Recruiter], ""), "")</f>
        <v>Zenon Moses</v>
      </c>
      <c r="G154" t="str">
        <f>IFERROR(_xlfn.XLOOKUP(tabExam[[#This Row],[Unique ID]], tblMaster[Unique ID], tblMaster[Recruitment Cycle], ""), "")</f>
        <v xml:space="preserve">Re-Engagment/Post Civil Service Exam </v>
      </c>
      <c r="H154" t="s">
        <v>8164</v>
      </c>
      <c r="I154">
        <v>2025</v>
      </c>
      <c r="J154" t="s">
        <v>7446</v>
      </c>
      <c r="K154" t="s">
        <v>8277</v>
      </c>
      <c r="L154" t="s">
        <v>8154</v>
      </c>
      <c r="M154" t="s">
        <v>7434</v>
      </c>
      <c r="N154" t="s">
        <v>8175</v>
      </c>
      <c r="O154" s="2">
        <v>46063</v>
      </c>
      <c r="P154" t="s">
        <v>8162</v>
      </c>
      <c r="Q154">
        <f ca="1">IF(tabExam[[#This Row],[Log Date]]="","",TODAY()-tabExam[[#This Row],[Log Date]])</f>
        <v>16</v>
      </c>
      <c r="R154" t="str">
        <f>IF(tabExam[[#This Row],[Log Date]]="","",IF(TRIM(tabExam[[#This Row],[Exam Cycle Stage]])="Asked to be removed from database","NO","YES"))</f>
        <v>YES</v>
      </c>
      <c r="S1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5" spans="1:19">
      <c r="A155" t="s">
        <v>8299</v>
      </c>
      <c r="B155" t="str">
        <f>IFERROR(_xlfn.XLOOKUP(tabExam[[#This Row],[Unique ID]], tblMaster[Unique ID], tblMaster[First Name], ""), "")</f>
        <v xml:space="preserve">Kensley </v>
      </c>
      <c r="C155" t="str">
        <f>IFERROR(_xlfn.XLOOKUP(tabExam[[#This Row],[Unique ID]], tblMaster[Unique ID], tblMaster[Last Name], ""), "")</f>
        <v>Jean Baptiste</v>
      </c>
      <c r="D155" t="str">
        <f>IFERROR(_xlfn.XLOOKUP(tabExam[[#This Row],[Unique ID]], tblMaster[Unique ID], tblMaster[Email_Clean], ""), "")</f>
        <v>kenslyjb12@gmail.com</v>
      </c>
      <c r="E155" t="str">
        <f>IFERROR(_xlfn.XLOOKUP(tabExam[[#This Row],[Unique ID]], tblMaster[Unique ID], tblMaster[Phone], ""), "")</f>
        <v>857-888-1476</v>
      </c>
      <c r="F155" t="str">
        <f>IFERROR(_xlfn.XLOOKUP(tabExam[[#This Row],[Unique ID]], tblMaster[Unique ID], tblMaster[Recruiter], ""), "")</f>
        <v xml:space="preserve">Jevon Brown Simpson </v>
      </c>
      <c r="G155" t="str">
        <f>IFERROR(_xlfn.XLOOKUP(tabExam[[#This Row],[Unique ID]], tblMaster[Unique ID], tblMaster[Recruitment Cycle], ""), "")</f>
        <v xml:space="preserve">Re-Engagment/Post Civil Service Exam </v>
      </c>
      <c r="H155" t="s">
        <v>8164</v>
      </c>
      <c r="I155">
        <v>2025</v>
      </c>
      <c r="J155" t="s">
        <v>7446</v>
      </c>
      <c r="K155" t="s">
        <v>8277</v>
      </c>
      <c r="L155" t="s">
        <v>8154</v>
      </c>
      <c r="Q155" t="str">
        <f ca="1">IF(tabExam[[#This Row],[Log Date]]="","",TODAY()-tabExam[[#This Row],[Log Date]])</f>
        <v/>
      </c>
      <c r="R155" t="str">
        <f>IF(tabExam[[#This Row],[Log Date]]="","",IF(TRIM(tabExam[[#This Row],[Exam Cycle Stage]])="Asked to be removed from database","NO","YES"))</f>
        <v/>
      </c>
      <c r="S1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6" spans="1:19">
      <c r="A156" t="s">
        <v>8300</v>
      </c>
      <c r="B156" t="str">
        <f>IFERROR(_xlfn.XLOOKUP(tabExam[[#This Row],[Unique ID]], tblMaster[Unique ID], tblMaster[First Name], ""), "")</f>
        <v>China</v>
      </c>
      <c r="C156" t="str">
        <f>IFERROR(_xlfn.XLOOKUP(tabExam[[#This Row],[Unique ID]], tblMaster[Unique ID], tblMaster[Last Name], ""), "")</f>
        <v>Payen-Sena</v>
      </c>
      <c r="D156" t="str">
        <f>IFERROR(_xlfn.XLOOKUP(tabExam[[#This Row],[Unique ID]], tblMaster[Unique ID], tblMaster[Email_Clean], ""), "")</f>
        <v>chynasena@gmail.com</v>
      </c>
      <c r="E156" t="str">
        <f>IFERROR(_xlfn.XLOOKUP(tabExam[[#This Row],[Unique ID]], tblMaster[Unique ID], tblMaster[Phone], ""), "")</f>
        <v xml:space="preserve">(857) 506-9733 </v>
      </c>
      <c r="F156" t="str">
        <f>IFERROR(_xlfn.XLOOKUP(tabExam[[#This Row],[Unique ID]], tblMaster[Unique ID], tblMaster[Recruiter], ""), "")</f>
        <v xml:space="preserve">Tom Clark </v>
      </c>
      <c r="G156" t="str">
        <f>IFERROR(_xlfn.XLOOKUP(tabExam[[#This Row],[Unique ID]], tblMaster[Unique ID], tblMaster[Recruitment Cycle], ""), "")</f>
        <v xml:space="preserve">Re-Engagment/Post Civil Service Exam </v>
      </c>
      <c r="H156" t="s">
        <v>8164</v>
      </c>
      <c r="I156">
        <v>2025</v>
      </c>
      <c r="J156" t="s">
        <v>7446</v>
      </c>
      <c r="K156" t="s">
        <v>8277</v>
      </c>
      <c r="L156" t="s">
        <v>8154</v>
      </c>
      <c r="M156" t="s">
        <v>7464</v>
      </c>
      <c r="O156" s="2">
        <v>46063</v>
      </c>
      <c r="Q156">
        <f ca="1">IF(tabExam[[#This Row],[Log Date]]="","",TODAY()-tabExam[[#This Row],[Log Date]])</f>
        <v>16</v>
      </c>
      <c r="R156" t="str">
        <f>IF(tabExam[[#This Row],[Log Date]]="","",IF(TRIM(tabExam[[#This Row],[Exam Cycle Stage]])="Asked to be removed from database","NO","YES"))</f>
        <v>YES</v>
      </c>
      <c r="S1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7" spans="1:19">
      <c r="A157" t="s">
        <v>8301</v>
      </c>
      <c r="B157" t="str">
        <f>IFERROR(_xlfn.XLOOKUP(tabExam[[#This Row],[Unique ID]], tblMaster[Unique ID], tblMaster[First Name], ""), "")</f>
        <v>Alande</v>
      </c>
      <c r="C157" t="str">
        <f>IFERROR(_xlfn.XLOOKUP(tabExam[[#This Row],[Unique ID]], tblMaster[Unique ID], tblMaster[Last Name], ""), "")</f>
        <v>Montina</v>
      </c>
      <c r="D157" t="str">
        <f>IFERROR(_xlfn.XLOOKUP(tabExam[[#This Row],[Unique ID]], tblMaster[Unique ID], tblMaster[Email_Clean], ""), "")</f>
        <v>montinalande@gmail.com</v>
      </c>
      <c r="E157" t="str">
        <f>IFERROR(_xlfn.XLOOKUP(tabExam[[#This Row],[Unique ID]], tblMaster[Unique ID], tblMaster[Phone], ""), "")</f>
        <v>781-228-8236</v>
      </c>
      <c r="F157" t="str">
        <f>IFERROR(_xlfn.XLOOKUP(tabExam[[#This Row],[Unique ID]], tblMaster[Unique ID], tblMaster[Recruiter], ""), "")</f>
        <v>Zenon Moses</v>
      </c>
      <c r="G157" t="str">
        <f>IFERROR(_xlfn.XLOOKUP(tabExam[[#This Row],[Unique ID]], tblMaster[Unique ID], tblMaster[Recruitment Cycle], ""), "")</f>
        <v xml:space="preserve">Re-Engagment/Post Civil Service Exam </v>
      </c>
      <c r="H157" t="s">
        <v>8164</v>
      </c>
      <c r="I157">
        <v>2025</v>
      </c>
      <c r="J157" t="s">
        <v>7446</v>
      </c>
      <c r="K157" t="s">
        <v>8277</v>
      </c>
      <c r="L157" t="s">
        <v>8154</v>
      </c>
      <c r="M157" t="s">
        <v>7434</v>
      </c>
      <c r="N157" t="s">
        <v>8175</v>
      </c>
      <c r="O157" s="2">
        <v>45701</v>
      </c>
      <c r="P157" t="s">
        <v>8162</v>
      </c>
      <c r="Q157">
        <f ca="1">IF(tabExam[[#This Row],[Log Date]]="","",TODAY()-tabExam[[#This Row],[Log Date]])</f>
        <v>378</v>
      </c>
      <c r="R157" t="str">
        <f>IF(tabExam[[#This Row],[Log Date]]="","",IF(TRIM(tabExam[[#This Row],[Exam Cycle Stage]])="Asked to be removed from database","NO","YES"))</f>
        <v>YES</v>
      </c>
      <c r="S1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158" spans="1:19">
      <c r="A158" t="s">
        <v>8302</v>
      </c>
      <c r="B158" t="str">
        <f>IFERROR(_xlfn.XLOOKUP(tabExam[[#This Row],[Unique ID]], tblMaster[Unique ID], tblMaster[First Name], ""), "")</f>
        <v>Fowood</v>
      </c>
      <c r="C158" t="str">
        <f>IFERROR(_xlfn.XLOOKUP(tabExam[[#This Row],[Unique ID]], tblMaster[Unique ID], tblMaster[Last Name], ""), "")</f>
        <v>Gebhart</v>
      </c>
      <c r="D158" t="str">
        <f>IFERROR(_xlfn.XLOOKUP(tabExam[[#This Row],[Unique ID]], tblMaster[Unique ID], tblMaster[Email_Clean], ""), "")</f>
        <v>fowoodg@gmail.com</v>
      </c>
      <c r="E158" t="str">
        <f>IFERROR(_xlfn.XLOOKUP(tabExam[[#This Row],[Unique ID]], tblMaster[Unique ID], tblMaster[Phone], ""), "")</f>
        <v>580-583-0174</v>
      </c>
      <c r="F158" t="str">
        <f>IFERROR(_xlfn.XLOOKUP(tabExam[[#This Row],[Unique ID]], tblMaster[Unique ID], tblMaster[Recruiter], ""), "")</f>
        <v xml:space="preserve">Jevon Brown Simpson </v>
      </c>
      <c r="G158" t="str">
        <f>IFERROR(_xlfn.XLOOKUP(tabExam[[#This Row],[Unique ID]], tblMaster[Unique ID], tblMaster[Recruitment Cycle], ""), "")</f>
        <v xml:space="preserve">Re-Engagment/Post Civil Service Exam </v>
      </c>
      <c r="H158" t="s">
        <v>8164</v>
      </c>
      <c r="I158">
        <v>2025</v>
      </c>
      <c r="J158" t="s">
        <v>7446</v>
      </c>
      <c r="K158" t="s">
        <v>8277</v>
      </c>
      <c r="L158" t="s">
        <v>8154</v>
      </c>
      <c r="Q158" t="str">
        <f ca="1">IF(tabExam[[#This Row],[Log Date]]="","",TODAY()-tabExam[[#This Row],[Log Date]])</f>
        <v/>
      </c>
      <c r="R158" t="str">
        <f>IF(tabExam[[#This Row],[Log Date]]="","",IF(TRIM(tabExam[[#This Row],[Exam Cycle Stage]])="Asked to be removed from database","NO","YES"))</f>
        <v/>
      </c>
      <c r="S1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59" spans="1:19">
      <c r="A159" t="s">
        <v>8303</v>
      </c>
      <c r="B159" t="str">
        <f>IFERROR(_xlfn.XLOOKUP(tabExam[[#This Row],[Unique ID]], tblMaster[Unique ID], tblMaster[First Name], ""), "")</f>
        <v>Michael</v>
      </c>
      <c r="C159" t="str">
        <f>IFERROR(_xlfn.XLOOKUP(tabExam[[#This Row],[Unique ID]], tblMaster[Unique ID], tblMaster[Last Name], ""), "")</f>
        <v>Thibault</v>
      </c>
      <c r="D159" t="str">
        <f>IFERROR(_xlfn.XLOOKUP(tabExam[[#This Row],[Unique ID]], tblMaster[Unique ID], tblMaster[Email_Clean], ""), "")</f>
        <v>thibaultm2184@yahoo.com</v>
      </c>
      <c r="E159" t="str">
        <f>IFERROR(_xlfn.XLOOKUP(tabExam[[#This Row],[Unique ID]], tblMaster[Unique ID], tblMaster[Phone], ""), "")</f>
        <v>413-218-8510</v>
      </c>
      <c r="F159" t="str">
        <f>IFERROR(_xlfn.XLOOKUP(tabExam[[#This Row],[Unique ID]], tblMaster[Unique ID], tblMaster[Recruiter], ""), "")</f>
        <v xml:space="preserve">Jevon Brown Simpson </v>
      </c>
      <c r="G159" t="str">
        <f>IFERROR(_xlfn.XLOOKUP(tabExam[[#This Row],[Unique ID]], tblMaster[Unique ID], tblMaster[Recruitment Cycle], ""), "")</f>
        <v xml:space="preserve">Re-Engagment/Post Civil Service Exam </v>
      </c>
      <c r="H159" t="s">
        <v>8164</v>
      </c>
      <c r="I159">
        <v>2025</v>
      </c>
      <c r="J159" t="s">
        <v>7446</v>
      </c>
      <c r="K159" t="s">
        <v>8277</v>
      </c>
      <c r="L159" t="s">
        <v>8154</v>
      </c>
      <c r="Q159" t="str">
        <f ca="1">IF(tabExam[[#This Row],[Log Date]]="","",TODAY()-tabExam[[#This Row],[Log Date]])</f>
        <v/>
      </c>
      <c r="R159" t="str">
        <f>IF(tabExam[[#This Row],[Log Date]]="","",IF(TRIM(tabExam[[#This Row],[Exam Cycle Stage]])="Asked to be removed from database","NO","YES"))</f>
        <v/>
      </c>
      <c r="S1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0" spans="1:19">
      <c r="A160" t="s">
        <v>8304</v>
      </c>
      <c r="B160" t="str">
        <f>IFERROR(_xlfn.XLOOKUP(tabExam[[#This Row],[Unique ID]], tblMaster[Unique ID], tblMaster[First Name], ""), "")</f>
        <v xml:space="preserve">Alvin </v>
      </c>
      <c r="C160" t="str">
        <f>IFERROR(_xlfn.XLOOKUP(tabExam[[#This Row],[Unique ID]], tblMaster[Unique ID], tblMaster[Last Name], ""), "")</f>
        <v>Torres</v>
      </c>
      <c r="D160" t="str">
        <f>IFERROR(_xlfn.XLOOKUP(tabExam[[#This Row],[Unique ID]], tblMaster[Unique ID], tblMaster[Email_Clean], ""), "")</f>
        <v>awol5669@gmail.com</v>
      </c>
      <c r="E160" t="str">
        <f>IFERROR(_xlfn.XLOOKUP(tabExam[[#This Row],[Unique ID]], tblMaster[Unique ID], tblMaster[Phone], ""), "")</f>
        <v>978-566-2986</v>
      </c>
      <c r="F160" t="str">
        <f>IFERROR(_xlfn.XLOOKUP(tabExam[[#This Row],[Unique ID]], tblMaster[Unique ID], tblMaster[Recruiter], ""), "")</f>
        <v xml:space="preserve">Tom Clark </v>
      </c>
      <c r="G160" t="str">
        <f>IFERROR(_xlfn.XLOOKUP(tabExam[[#This Row],[Unique ID]], tblMaster[Unique ID], tblMaster[Recruitment Cycle], ""), "")</f>
        <v xml:space="preserve">Re-Engagment/Post Civil Service Exam </v>
      </c>
      <c r="H160" t="s">
        <v>8164</v>
      </c>
      <c r="I160">
        <v>2025</v>
      </c>
      <c r="J160" t="s">
        <v>7446</v>
      </c>
      <c r="K160" t="s">
        <v>8277</v>
      </c>
      <c r="L160" t="s">
        <v>8154</v>
      </c>
      <c r="M160" t="s">
        <v>7464</v>
      </c>
      <c r="O160" s="2">
        <v>46063</v>
      </c>
      <c r="Q160">
        <f ca="1">IF(tabExam[[#This Row],[Log Date]]="","",TODAY()-tabExam[[#This Row],[Log Date]])</f>
        <v>16</v>
      </c>
      <c r="R160" t="str">
        <f>IF(tabExam[[#This Row],[Log Date]]="","",IF(TRIM(tabExam[[#This Row],[Exam Cycle Stage]])="Asked to be removed from database","NO","YES"))</f>
        <v>YES</v>
      </c>
      <c r="S1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1" spans="1:19">
      <c r="A161" t="s">
        <v>8305</v>
      </c>
      <c r="B161" t="str">
        <f>IFERROR(_xlfn.XLOOKUP(tabExam[[#This Row],[Unique ID]], tblMaster[Unique ID], tblMaster[First Name], ""), "")</f>
        <v xml:space="preserve">Skyla </v>
      </c>
      <c r="C161" t="str">
        <f>IFERROR(_xlfn.XLOOKUP(tabExam[[#This Row],[Unique ID]], tblMaster[Unique ID], tblMaster[Last Name], ""), "")</f>
        <v>Meack</v>
      </c>
      <c r="D161" t="str">
        <f>IFERROR(_xlfn.XLOOKUP(tabExam[[#This Row],[Unique ID]], tblMaster[Unique ID], tblMaster[Email_Clean], ""), "")</f>
        <v>skyla.mae2602@gmail.com</v>
      </c>
      <c r="E161" t="str">
        <f>IFERROR(_xlfn.XLOOKUP(tabExam[[#This Row],[Unique ID]], tblMaster[Unique ID], tblMaster[Phone], ""), "")</f>
        <v>857-312-5742</v>
      </c>
      <c r="F161" t="str">
        <f>IFERROR(_xlfn.XLOOKUP(tabExam[[#This Row],[Unique ID]], tblMaster[Unique ID], tblMaster[Recruiter], ""), "")</f>
        <v>Zenon Moses</v>
      </c>
      <c r="G161" t="str">
        <f>IFERROR(_xlfn.XLOOKUP(tabExam[[#This Row],[Unique ID]], tblMaster[Unique ID], tblMaster[Recruitment Cycle], ""), "")</f>
        <v xml:space="preserve">Re-Engagment/Post Civil Service Exam </v>
      </c>
      <c r="H161" t="s">
        <v>8164</v>
      </c>
      <c r="I161">
        <v>2025</v>
      </c>
      <c r="J161" t="s">
        <v>7446</v>
      </c>
      <c r="K161" t="s">
        <v>8277</v>
      </c>
      <c r="L161" t="s">
        <v>8154</v>
      </c>
      <c r="M161" t="s">
        <v>7434</v>
      </c>
      <c r="N161" t="s">
        <v>8175</v>
      </c>
      <c r="O161" s="2">
        <v>46066</v>
      </c>
      <c r="P161" t="s">
        <v>8162</v>
      </c>
      <c r="Q161">
        <f ca="1">IF(tabExam[[#This Row],[Log Date]]="","",TODAY()-tabExam[[#This Row],[Log Date]])</f>
        <v>13</v>
      </c>
      <c r="R161" t="str">
        <f>IF(tabExam[[#This Row],[Log Date]]="","",IF(TRIM(tabExam[[#This Row],[Exam Cycle Stage]])="Asked to be removed from database","NO","YES"))</f>
        <v>YES</v>
      </c>
      <c r="S1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2" spans="1:19">
      <c r="A162" t="s">
        <v>8096</v>
      </c>
      <c r="B162" t="str">
        <f>IFERROR(_xlfn.XLOOKUP(tabExam[[#This Row],[Unique ID]], tblMaster[Unique ID], tblMaster[First Name], ""), "")</f>
        <v>Elias</v>
      </c>
      <c r="C162" t="str">
        <f>IFERROR(_xlfn.XLOOKUP(tabExam[[#This Row],[Unique ID]], tblMaster[Unique ID], tblMaster[Last Name], ""), "")</f>
        <v>Flores</v>
      </c>
      <c r="D162" t="str">
        <f>IFERROR(_xlfn.XLOOKUP(tabExam[[#This Row],[Unique ID]], tblMaster[Unique ID], tblMaster[Email_Clean], ""), "")</f>
        <v>eliasjflores18@gmail.com</v>
      </c>
      <c r="E162" t="str">
        <f>IFERROR(_xlfn.XLOOKUP(tabExam[[#This Row],[Unique ID]], tblMaster[Unique ID], tblMaster[Phone], ""), "")</f>
        <v>401-837-9383</v>
      </c>
      <c r="F162" t="str">
        <f>IFERROR(_xlfn.XLOOKUP(tabExam[[#This Row],[Unique ID]], tblMaster[Unique ID], tblMaster[Recruiter], ""), "")</f>
        <v xml:space="preserve">Jevon Brown Simpson </v>
      </c>
      <c r="G162" t="str">
        <f>IFERROR(_xlfn.XLOOKUP(tabExam[[#This Row],[Unique ID]], tblMaster[Unique ID], tblMaster[Recruitment Cycle], ""), "")</f>
        <v xml:space="preserve">Re-Engagment/Post Civil Service Exam </v>
      </c>
      <c r="H162" t="s">
        <v>8164</v>
      </c>
      <c r="I162">
        <v>2025</v>
      </c>
      <c r="J162" t="s">
        <v>7446</v>
      </c>
      <c r="K162" t="s">
        <v>8151</v>
      </c>
      <c r="L162" t="s">
        <v>8165</v>
      </c>
      <c r="Q162" t="str">
        <f ca="1">IF(tabExam[[#This Row],[Log Date]]="","",TODAY()-tabExam[[#This Row],[Log Date]])</f>
        <v/>
      </c>
      <c r="R162" t="str">
        <f>IF(tabExam[[#This Row],[Log Date]]="","",IF(TRIM(tabExam[[#This Row],[Exam Cycle Stage]])="Asked to be removed from database","NO","YES"))</f>
        <v/>
      </c>
      <c r="S1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3" spans="1:19">
      <c r="A163" t="s">
        <v>8306</v>
      </c>
      <c r="B163" t="str">
        <f>IFERROR(_xlfn.XLOOKUP(tabExam[[#This Row],[Unique ID]], tblMaster[Unique ID], tblMaster[First Name], ""), "")</f>
        <v>Ian</v>
      </c>
      <c r="C163" t="str">
        <f>IFERROR(_xlfn.XLOOKUP(tabExam[[#This Row],[Unique ID]], tblMaster[Unique ID], tblMaster[Last Name], ""), "")</f>
        <v>Connaughton</v>
      </c>
      <c r="D163" t="str">
        <f>IFERROR(_xlfn.XLOOKUP(tabExam[[#This Row],[Unique ID]], tblMaster[Unique ID], tblMaster[Email_Clean], ""), "")</f>
        <v>ianpatconnaughton@gmail.com</v>
      </c>
      <c r="E163" t="str">
        <f>IFERROR(_xlfn.XLOOKUP(tabExam[[#This Row],[Unique ID]], tblMaster[Unique ID], tblMaster[Phone], ""), "")</f>
        <v>978-847-7606</v>
      </c>
      <c r="F163" t="str">
        <f>IFERROR(_xlfn.XLOOKUP(tabExam[[#This Row],[Unique ID]], tblMaster[Unique ID], tblMaster[Recruiter], ""), "")</f>
        <v xml:space="preserve">Tom Clark </v>
      </c>
      <c r="G163" t="str">
        <f>IFERROR(_xlfn.XLOOKUP(tabExam[[#This Row],[Unique ID]], tblMaster[Unique ID], tblMaster[Recruitment Cycle], ""), "")</f>
        <v xml:space="preserve">Re-Engagment/Post Civil Service Exam </v>
      </c>
      <c r="H163" t="s">
        <v>8164</v>
      </c>
      <c r="I163">
        <v>2025</v>
      </c>
      <c r="J163" t="s">
        <v>7446</v>
      </c>
      <c r="K163" t="s">
        <v>8277</v>
      </c>
      <c r="L163" t="s">
        <v>8154</v>
      </c>
      <c r="M163" t="s">
        <v>7464</v>
      </c>
      <c r="O163" s="2">
        <v>46063</v>
      </c>
      <c r="Q163">
        <f ca="1">IF(tabExam[[#This Row],[Log Date]]="","",TODAY()-tabExam[[#This Row],[Log Date]])</f>
        <v>16</v>
      </c>
      <c r="R163" t="str">
        <f>IF(tabExam[[#This Row],[Log Date]]="","",IF(TRIM(tabExam[[#This Row],[Exam Cycle Stage]])="Asked to be removed from database","NO","YES"))</f>
        <v>YES</v>
      </c>
      <c r="S1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4" spans="1:19">
      <c r="A164" t="s">
        <v>8307</v>
      </c>
      <c r="B164" t="str">
        <f>IFERROR(_xlfn.XLOOKUP(tabExam[[#This Row],[Unique ID]], tblMaster[Unique ID], tblMaster[First Name], ""), "")</f>
        <v>Luis</v>
      </c>
      <c r="C164" t="str">
        <f>IFERROR(_xlfn.XLOOKUP(tabExam[[#This Row],[Unique ID]], tblMaster[Unique ID], tblMaster[Last Name], ""), "")</f>
        <v>Hernandez</v>
      </c>
      <c r="D164" t="str">
        <f>IFERROR(_xlfn.XLOOKUP(tabExam[[#This Row],[Unique ID]], tblMaster[Unique ID], tblMaster[Email_Clean], ""), "")</f>
        <v>lhernandez3@bwh.harvard.edu</v>
      </c>
      <c r="E164" t="str">
        <f>IFERROR(_xlfn.XLOOKUP(tabExam[[#This Row],[Unique ID]], tblMaster[Unique ID], tblMaster[Phone], ""), "")</f>
        <v>617-922-6454</v>
      </c>
      <c r="F164" t="str">
        <f>IFERROR(_xlfn.XLOOKUP(tabExam[[#This Row],[Unique ID]], tblMaster[Unique ID], tblMaster[Recruiter], ""), "")</f>
        <v>Zenon Moses</v>
      </c>
      <c r="G164" t="str">
        <f>IFERROR(_xlfn.XLOOKUP(tabExam[[#This Row],[Unique ID]], tblMaster[Unique ID], tblMaster[Recruitment Cycle], ""), "")</f>
        <v xml:space="preserve">Re-Engagment/Post Civil Service Exam </v>
      </c>
      <c r="H164" t="s">
        <v>8164</v>
      </c>
      <c r="I164">
        <v>2025</v>
      </c>
      <c r="J164" t="s">
        <v>7446</v>
      </c>
      <c r="K164" t="s">
        <v>8277</v>
      </c>
      <c r="L164" t="s">
        <v>8154</v>
      </c>
      <c r="M164" t="s">
        <v>7434</v>
      </c>
      <c r="N164" t="s">
        <v>8175</v>
      </c>
      <c r="O164" s="2">
        <v>46066</v>
      </c>
      <c r="P164" t="s">
        <v>8162</v>
      </c>
      <c r="Q164">
        <f ca="1">IF(tabExam[[#This Row],[Log Date]]="","",TODAY()-tabExam[[#This Row],[Log Date]])</f>
        <v>13</v>
      </c>
      <c r="R164" t="str">
        <f>IF(tabExam[[#This Row],[Log Date]]="","",IF(TRIM(tabExam[[#This Row],[Exam Cycle Stage]])="Asked to be removed from database","NO","YES"))</f>
        <v>YES</v>
      </c>
      <c r="S1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5" spans="1:19">
      <c r="A165" t="s">
        <v>8308</v>
      </c>
      <c r="B165" t="str">
        <f>IFERROR(_xlfn.XLOOKUP(tabExam[[#This Row],[Unique ID]], tblMaster[Unique ID], tblMaster[First Name], ""), "")</f>
        <v xml:space="preserve">Georges  </v>
      </c>
      <c r="C165" t="str">
        <f>IFERROR(_xlfn.XLOOKUP(tabExam[[#This Row],[Unique ID]], tblMaster[Unique ID], tblMaster[Last Name], ""), "")</f>
        <v xml:space="preserve">Marc Limage </v>
      </c>
      <c r="D165" t="str">
        <f>IFERROR(_xlfn.XLOOKUP(tabExam[[#This Row],[Unique ID]], tblMaster[Unique ID], tblMaster[Email_Clean], ""), "")</f>
        <v>ron</v>
      </c>
      <c r="E165" t="str">
        <f>IFERROR(_xlfn.XLOOKUP(tabExam[[#This Row],[Unique ID]], tblMaster[Unique ID], tblMaster[Phone], ""), "")</f>
        <v xml:space="preserve">(781) 952-4209 </v>
      </c>
      <c r="F165" t="str">
        <f>IFERROR(_xlfn.XLOOKUP(tabExam[[#This Row],[Unique ID]], tblMaster[Unique ID], tblMaster[Recruiter], ""), "")</f>
        <v xml:space="preserve">Jevon Brown Simpson </v>
      </c>
      <c r="G165" t="str">
        <f>IFERROR(_xlfn.XLOOKUP(tabExam[[#This Row],[Unique ID]], tblMaster[Unique ID], tblMaster[Recruitment Cycle], ""), "")</f>
        <v xml:space="preserve">Re-Engagment/Post Civil Service Exam </v>
      </c>
      <c r="H165" t="s">
        <v>8164</v>
      </c>
      <c r="I165">
        <v>2025</v>
      </c>
      <c r="J165" t="s">
        <v>7446</v>
      </c>
      <c r="K165" t="s">
        <v>8277</v>
      </c>
      <c r="L165" t="s">
        <v>8154</v>
      </c>
      <c r="Q165" t="str">
        <f ca="1">IF(tabExam[[#This Row],[Log Date]]="","",TODAY()-tabExam[[#This Row],[Log Date]])</f>
        <v/>
      </c>
      <c r="R165" t="str">
        <f>IF(tabExam[[#This Row],[Log Date]]="","",IF(TRIM(tabExam[[#This Row],[Exam Cycle Stage]])="Asked to be removed from database","NO","YES"))</f>
        <v/>
      </c>
      <c r="S1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6" spans="1:19">
      <c r="A166" t="s">
        <v>8309</v>
      </c>
      <c r="B166" t="str">
        <f>IFERROR(_xlfn.XLOOKUP(tabExam[[#This Row],[Unique ID]], tblMaster[Unique ID], tblMaster[First Name], ""), "")</f>
        <v xml:space="preserve">Lester </v>
      </c>
      <c r="C166" t="str">
        <f>IFERROR(_xlfn.XLOOKUP(tabExam[[#This Row],[Unique ID]], tblMaster[Unique ID], tblMaster[Last Name], ""), "")</f>
        <v>Scott</v>
      </c>
      <c r="D166" t="str">
        <f>IFERROR(_xlfn.XLOOKUP(tabExam[[#This Row],[Unique ID]], tblMaster[Unique ID], tblMaster[Email_Clean], ""), "")</f>
        <v>scottlmj20002@gmail.com</v>
      </c>
      <c r="E166" t="str">
        <f>IFERROR(_xlfn.XLOOKUP(tabExam[[#This Row],[Unique ID]], tblMaster[Unique ID], tblMaster[Phone], ""), "")</f>
        <v>617- 251 -9712</v>
      </c>
      <c r="F166" t="str">
        <f>IFERROR(_xlfn.XLOOKUP(tabExam[[#This Row],[Unique ID]], tblMaster[Unique ID], tblMaster[Recruiter], ""), "")</f>
        <v xml:space="preserve">Tom Clark </v>
      </c>
      <c r="G166" t="str">
        <f>IFERROR(_xlfn.XLOOKUP(tabExam[[#This Row],[Unique ID]], tblMaster[Unique ID], tblMaster[Recruitment Cycle], ""), "")</f>
        <v xml:space="preserve">Re-Engagment/Post Civil Service Exam </v>
      </c>
      <c r="H166" t="s">
        <v>8164</v>
      </c>
      <c r="I166">
        <v>2025</v>
      </c>
      <c r="J166" t="s">
        <v>7446</v>
      </c>
      <c r="K166" t="s">
        <v>8277</v>
      </c>
      <c r="L166" t="s">
        <v>8154</v>
      </c>
      <c r="M166" t="s">
        <v>7464</v>
      </c>
      <c r="O166" s="2">
        <v>46063</v>
      </c>
      <c r="Q166">
        <f ca="1">IF(tabExam[[#This Row],[Log Date]]="","",TODAY()-tabExam[[#This Row],[Log Date]])</f>
        <v>16</v>
      </c>
      <c r="R166" t="str">
        <f>IF(tabExam[[#This Row],[Log Date]]="","",IF(TRIM(tabExam[[#This Row],[Exam Cycle Stage]])="Asked to be removed from database","NO","YES"))</f>
        <v>YES</v>
      </c>
      <c r="S1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7" spans="1:19">
      <c r="A167" t="s">
        <v>8310</v>
      </c>
      <c r="B167" t="str">
        <f>IFERROR(_xlfn.XLOOKUP(tabExam[[#This Row],[Unique ID]], tblMaster[Unique ID], tblMaster[First Name], ""), "")</f>
        <v>Michael</v>
      </c>
      <c r="C167" t="str">
        <f>IFERROR(_xlfn.XLOOKUP(tabExam[[#This Row],[Unique ID]], tblMaster[Unique ID], tblMaster[Last Name], ""), "")</f>
        <v xml:space="preserve">JOYCE </v>
      </c>
      <c r="D167" t="str">
        <f>IFERROR(_xlfn.XLOOKUP(tabExam[[#This Row],[Unique ID]], tblMaster[Unique ID], tblMaster[Email_Clean], ""), "")</f>
        <v>michaeljoyce42@yahoo.com</v>
      </c>
      <c r="E167" t="str">
        <f>IFERROR(_xlfn.XLOOKUP(tabExam[[#This Row],[Unique ID]], tblMaster[Unique ID], tblMaster[Phone], ""), "")</f>
        <v xml:space="preserve">(857)244-3449 </v>
      </c>
      <c r="F167" t="str">
        <f>IFERROR(_xlfn.XLOOKUP(tabExam[[#This Row],[Unique ID]], tblMaster[Unique ID], tblMaster[Recruiter], ""), "")</f>
        <v>Zenon Moses</v>
      </c>
      <c r="G167" t="str">
        <f>IFERROR(_xlfn.XLOOKUP(tabExam[[#This Row],[Unique ID]], tblMaster[Unique ID], tblMaster[Recruitment Cycle], ""), "")</f>
        <v xml:space="preserve">Re-Engagment/Post Civil Service Exam </v>
      </c>
      <c r="H167" t="s">
        <v>8164</v>
      </c>
      <c r="I167">
        <v>2025</v>
      </c>
      <c r="J167" t="s">
        <v>7446</v>
      </c>
      <c r="K167" t="s">
        <v>8277</v>
      </c>
      <c r="L167" t="s">
        <v>8154</v>
      </c>
      <c r="Q167" t="str">
        <f ca="1">IF(tabExam[[#This Row],[Log Date]]="","",TODAY()-tabExam[[#This Row],[Log Date]])</f>
        <v/>
      </c>
      <c r="R167" t="str">
        <f>IF(tabExam[[#This Row],[Log Date]]="","",IF(TRIM(tabExam[[#This Row],[Exam Cycle Stage]])="Asked to be removed from database","NO","YES"))</f>
        <v/>
      </c>
      <c r="S1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8" spans="1:19">
      <c r="A168" t="s">
        <v>8311</v>
      </c>
      <c r="B168" t="str">
        <f>IFERROR(_xlfn.XLOOKUP(tabExam[[#This Row],[Unique ID]], tblMaster[Unique ID], tblMaster[First Name], ""), "")</f>
        <v xml:space="preserve">Kristofer </v>
      </c>
      <c r="C168" t="str">
        <f>IFERROR(_xlfn.XLOOKUP(tabExam[[#This Row],[Unique ID]], tblMaster[Unique ID], tblMaster[Last Name], ""), "")</f>
        <v xml:space="preserve"> Graham </v>
      </c>
      <c r="D168" t="str">
        <f>IFERROR(_xlfn.XLOOKUP(tabExam[[#This Row],[Unique ID]], tblMaster[Unique ID], tblMaster[Email_Clean], ""), "")</f>
        <v>krisdog2002@yahoo.com</v>
      </c>
      <c r="E168" t="str">
        <f>IFERROR(_xlfn.XLOOKUP(tabExam[[#This Row],[Unique ID]], tblMaster[Unique ID], tblMaster[Phone], ""), "")</f>
        <v>(413) 330-4877</v>
      </c>
      <c r="F168" t="str">
        <f>IFERROR(_xlfn.XLOOKUP(tabExam[[#This Row],[Unique ID]], tblMaster[Unique ID], tblMaster[Recruiter], ""), "")</f>
        <v xml:space="preserve">Jevon Brown Simpson </v>
      </c>
      <c r="G168" t="str">
        <f>IFERROR(_xlfn.XLOOKUP(tabExam[[#This Row],[Unique ID]], tblMaster[Unique ID], tblMaster[Recruitment Cycle], ""), "")</f>
        <v xml:space="preserve">Re-Engagment/Post Civil Service Exam </v>
      </c>
      <c r="H168" t="s">
        <v>8164</v>
      </c>
      <c r="I168">
        <v>2025</v>
      </c>
      <c r="J168" t="s">
        <v>7446</v>
      </c>
      <c r="K168" t="s">
        <v>8277</v>
      </c>
      <c r="L168" t="s">
        <v>8154</v>
      </c>
      <c r="Q168" t="str">
        <f ca="1">IF(tabExam[[#This Row],[Log Date]]="","",TODAY()-tabExam[[#This Row],[Log Date]])</f>
        <v/>
      </c>
      <c r="R168" t="str">
        <f>IF(tabExam[[#This Row],[Log Date]]="","",IF(TRIM(tabExam[[#This Row],[Exam Cycle Stage]])="Asked to be removed from database","NO","YES"))</f>
        <v/>
      </c>
      <c r="S1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69" spans="1:19">
      <c r="A169" t="s">
        <v>8312</v>
      </c>
      <c r="B169" t="str">
        <f>IFERROR(_xlfn.XLOOKUP(tabExam[[#This Row],[Unique ID]], tblMaster[Unique ID], tblMaster[First Name], ""), "")</f>
        <v xml:space="preserve">Amelia </v>
      </c>
      <c r="C169" t="str">
        <f>IFERROR(_xlfn.XLOOKUP(tabExam[[#This Row],[Unique ID]], tblMaster[Unique ID], tblMaster[Last Name], ""), "")</f>
        <v xml:space="preserve">Grace </v>
      </c>
      <c r="D169" t="str">
        <f>IFERROR(_xlfn.XLOOKUP(tabExam[[#This Row],[Unique ID]], tblMaster[Unique ID], tblMaster[Email_Clean], ""), "")</f>
        <v>graceamelia.creative@gmail.com</v>
      </c>
      <c r="E169" t="str">
        <f>IFERROR(_xlfn.XLOOKUP(tabExam[[#This Row],[Unique ID]], tblMaster[Unique ID], tblMaster[Phone], ""), "")</f>
        <v xml:space="preserve">(978) 503-2004 </v>
      </c>
      <c r="F169" t="str">
        <f>IFERROR(_xlfn.XLOOKUP(tabExam[[#This Row],[Unique ID]], tblMaster[Unique ID], tblMaster[Recruiter], ""), "")</f>
        <v xml:space="preserve">Tom Clark </v>
      </c>
      <c r="G169" t="str">
        <f>IFERROR(_xlfn.XLOOKUP(tabExam[[#This Row],[Unique ID]], tblMaster[Unique ID], tblMaster[Recruitment Cycle], ""), "")</f>
        <v xml:space="preserve">Re-Engagment/Post Civil Service Exam </v>
      </c>
      <c r="H169" t="s">
        <v>8164</v>
      </c>
      <c r="I169">
        <v>2025</v>
      </c>
      <c r="J169" t="s">
        <v>7446</v>
      </c>
      <c r="K169" t="s">
        <v>8277</v>
      </c>
      <c r="L169" t="s">
        <v>8154</v>
      </c>
      <c r="M169" t="s">
        <v>7464</v>
      </c>
      <c r="O169" s="2">
        <v>46063</v>
      </c>
      <c r="Q169">
        <f ca="1">IF(tabExam[[#This Row],[Log Date]]="","",TODAY()-tabExam[[#This Row],[Log Date]])</f>
        <v>16</v>
      </c>
      <c r="R169" t="str">
        <f>IF(tabExam[[#This Row],[Log Date]]="","",IF(TRIM(tabExam[[#This Row],[Exam Cycle Stage]])="Asked to be removed from database","NO","YES"))</f>
        <v>YES</v>
      </c>
      <c r="S1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0" spans="1:19">
      <c r="A170" t="s">
        <v>8313</v>
      </c>
      <c r="B170" t="str">
        <f>IFERROR(_xlfn.XLOOKUP(tabExam[[#This Row],[Unique ID]], tblMaster[Unique ID], tblMaster[First Name], ""), "")</f>
        <v xml:space="preserve">Matt </v>
      </c>
      <c r="C170" t="str">
        <f>IFERROR(_xlfn.XLOOKUP(tabExam[[#This Row],[Unique ID]], tblMaster[Unique ID], tblMaster[Last Name], ""), "")</f>
        <v xml:space="preserve">Johnston </v>
      </c>
      <c r="D170" t="str">
        <f>IFERROR(_xlfn.XLOOKUP(tabExam[[#This Row],[Unique ID]], tblMaster[Unique ID], tblMaster[Email_Clean], ""), "")</f>
        <v>matthiasj@gmail.com</v>
      </c>
      <c r="E170" t="str">
        <f>IFERROR(_xlfn.XLOOKUP(tabExam[[#This Row],[Unique ID]], tblMaster[Unique ID], tblMaster[Phone], ""), "")</f>
        <v>312-519-0872</v>
      </c>
      <c r="F170" t="str">
        <f>IFERROR(_xlfn.XLOOKUP(tabExam[[#This Row],[Unique ID]], tblMaster[Unique ID], tblMaster[Recruiter], ""), "")</f>
        <v>Zenon Moses</v>
      </c>
      <c r="G170" t="str">
        <f>IFERROR(_xlfn.XLOOKUP(tabExam[[#This Row],[Unique ID]], tblMaster[Unique ID], tblMaster[Recruitment Cycle], ""), "")</f>
        <v xml:space="preserve">Re-Engagment/Post Civil Service Exam </v>
      </c>
      <c r="H170" t="s">
        <v>8164</v>
      </c>
      <c r="I170">
        <v>2025</v>
      </c>
      <c r="J170" t="s">
        <v>7446</v>
      </c>
      <c r="K170" t="s">
        <v>8151</v>
      </c>
      <c r="L170" t="s">
        <v>8165</v>
      </c>
      <c r="Q170" t="str">
        <f ca="1">IF(tabExam[[#This Row],[Log Date]]="","",TODAY()-tabExam[[#This Row],[Log Date]])</f>
        <v/>
      </c>
      <c r="R170" t="str">
        <f>IF(tabExam[[#This Row],[Log Date]]="","",IF(TRIM(tabExam[[#This Row],[Exam Cycle Stage]])="Asked to be removed from database","NO","YES"))</f>
        <v/>
      </c>
      <c r="S1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1" spans="1:19">
      <c r="A171" t="s">
        <v>8314</v>
      </c>
      <c r="B171" t="str">
        <f>IFERROR(_xlfn.XLOOKUP(tabExam[[#This Row],[Unique ID]], tblMaster[Unique ID], tblMaster[First Name], ""), "")</f>
        <v xml:space="preserve">Djaffar </v>
      </c>
      <c r="C171" t="str">
        <f>IFERROR(_xlfn.XLOOKUP(tabExam[[#This Row],[Unique ID]], tblMaster[Unique ID], tblMaster[Last Name], ""), "")</f>
        <v xml:space="preserve">Hassani </v>
      </c>
      <c r="D171" t="str">
        <f>IFERROR(_xlfn.XLOOKUP(tabExam[[#This Row],[Unique ID]], tblMaster[Unique ID], tblMaster[Email_Clean], ""), "")</f>
        <v>djafferhassani@gmail.com</v>
      </c>
      <c r="E171" t="str">
        <f>IFERROR(_xlfn.XLOOKUP(tabExam[[#This Row],[Unique ID]], tblMaster[Unique ID], tblMaster[Phone], ""), "")</f>
        <v xml:space="preserve">(781) 521-4563 </v>
      </c>
      <c r="F171" t="str">
        <f>IFERROR(_xlfn.XLOOKUP(tabExam[[#This Row],[Unique ID]], tblMaster[Unique ID], tblMaster[Recruiter], ""), "")</f>
        <v xml:space="preserve">Jevon Brown Simpson </v>
      </c>
      <c r="G171" t="str">
        <f>IFERROR(_xlfn.XLOOKUP(tabExam[[#This Row],[Unique ID]], tblMaster[Unique ID], tblMaster[Recruitment Cycle], ""), "")</f>
        <v xml:space="preserve">Re-Engagment/Post Civil Service Exam </v>
      </c>
      <c r="H171" t="s">
        <v>8164</v>
      </c>
      <c r="I171">
        <v>2025</v>
      </c>
      <c r="J171" t="s">
        <v>7446</v>
      </c>
      <c r="K171" t="s">
        <v>8277</v>
      </c>
      <c r="L171" t="s">
        <v>8154</v>
      </c>
      <c r="Q171" t="str">
        <f ca="1">IF(tabExam[[#This Row],[Log Date]]="","",TODAY()-tabExam[[#This Row],[Log Date]])</f>
        <v/>
      </c>
      <c r="R171" t="str">
        <f>IF(tabExam[[#This Row],[Log Date]]="","",IF(TRIM(tabExam[[#This Row],[Exam Cycle Stage]])="Asked to be removed from database","NO","YES"))</f>
        <v/>
      </c>
      <c r="S1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2" spans="1:19">
      <c r="A172" t="s">
        <v>8315</v>
      </c>
      <c r="B172" t="str">
        <f>IFERROR(_xlfn.XLOOKUP(tabExam[[#This Row],[Unique ID]], tblMaster[Unique ID], tblMaster[First Name], ""), "")</f>
        <v xml:space="preserve">Brooke </v>
      </c>
      <c r="C172" t="str">
        <f>IFERROR(_xlfn.XLOOKUP(tabExam[[#This Row],[Unique ID]], tblMaster[Unique ID], tblMaster[Last Name], ""), "")</f>
        <v xml:space="preserve">Harrington </v>
      </c>
      <c r="D172" t="str">
        <f>IFERROR(_xlfn.XLOOKUP(tabExam[[#This Row],[Unique ID]], tblMaster[Unique ID], tblMaster[Email_Clean], ""), "")</f>
        <v>brkhrrngtn@gmail.com</v>
      </c>
      <c r="E172" t="str">
        <f>IFERROR(_xlfn.XLOOKUP(tabExam[[#This Row],[Unique ID]], tblMaster[Unique ID], tblMaster[Phone], ""), "")</f>
        <v xml:space="preserve">(781) 476-3062 </v>
      </c>
      <c r="F172" t="str">
        <f>IFERROR(_xlfn.XLOOKUP(tabExam[[#This Row],[Unique ID]], tblMaster[Unique ID], tblMaster[Recruiter], ""), "")</f>
        <v xml:space="preserve">Tom Clark </v>
      </c>
      <c r="G172" t="str">
        <f>IFERROR(_xlfn.XLOOKUP(tabExam[[#This Row],[Unique ID]], tblMaster[Unique ID], tblMaster[Recruitment Cycle], ""), "")</f>
        <v xml:space="preserve">Re-Engagment/Post Civil Service Exam </v>
      </c>
      <c r="H172" t="s">
        <v>8164</v>
      </c>
      <c r="I172">
        <v>2025</v>
      </c>
      <c r="J172" t="s">
        <v>7446</v>
      </c>
      <c r="K172" t="s">
        <v>8277</v>
      </c>
      <c r="L172" t="s">
        <v>8154</v>
      </c>
      <c r="M172" t="s">
        <v>7464</v>
      </c>
      <c r="O172" s="2">
        <v>46063</v>
      </c>
      <c r="Q172">
        <f ca="1">IF(tabExam[[#This Row],[Log Date]]="","",TODAY()-tabExam[[#This Row],[Log Date]])</f>
        <v>16</v>
      </c>
      <c r="R172" t="str">
        <f>IF(tabExam[[#This Row],[Log Date]]="","",IF(TRIM(tabExam[[#This Row],[Exam Cycle Stage]])="Asked to be removed from database","NO","YES"))</f>
        <v>YES</v>
      </c>
      <c r="S1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3" spans="1:19">
      <c r="A173" t="s">
        <v>8316</v>
      </c>
      <c r="B173" t="str">
        <f>IFERROR(_xlfn.XLOOKUP(tabExam[[#This Row],[Unique ID]], tblMaster[Unique ID], tblMaster[First Name], ""), "")</f>
        <v xml:space="preserve"> Isaac</v>
      </c>
      <c r="C173" t="str">
        <f>IFERROR(_xlfn.XLOOKUP(tabExam[[#This Row],[Unique ID]], tblMaster[Unique ID], tblMaster[Last Name], ""), "")</f>
        <v>Agyepong</v>
      </c>
      <c r="D173" t="str">
        <f>IFERROR(_xlfn.XLOOKUP(tabExam[[#This Row],[Unique ID]], tblMaster[Unique ID], tblMaster[Email_Clean], ""), "")</f>
        <v>quasisuga@gmail.com</v>
      </c>
      <c r="E173" t="str">
        <f>IFERROR(_xlfn.XLOOKUP(tabExam[[#This Row],[Unique ID]], tblMaster[Unique ID], tblMaster[Phone], ""), "")</f>
        <v>470-627-2447</v>
      </c>
      <c r="F173" t="str">
        <f>IFERROR(_xlfn.XLOOKUP(tabExam[[#This Row],[Unique ID]], tblMaster[Unique ID], tblMaster[Recruiter], ""), "")</f>
        <v>Zenon Moses</v>
      </c>
      <c r="G173" t="str">
        <f>IFERROR(_xlfn.XLOOKUP(tabExam[[#This Row],[Unique ID]], tblMaster[Unique ID], tblMaster[Recruitment Cycle], ""), "")</f>
        <v xml:space="preserve">Re-Engagment/Post Civil Service Exam </v>
      </c>
      <c r="H173" t="s">
        <v>8164</v>
      </c>
      <c r="I173">
        <v>2025</v>
      </c>
      <c r="J173" t="s">
        <v>7446</v>
      </c>
      <c r="K173" t="s">
        <v>8277</v>
      </c>
      <c r="L173" t="s">
        <v>8154</v>
      </c>
      <c r="Q173" t="str">
        <f ca="1">IF(tabExam[[#This Row],[Log Date]]="","",TODAY()-tabExam[[#This Row],[Log Date]])</f>
        <v/>
      </c>
      <c r="R173" t="str">
        <f>IF(tabExam[[#This Row],[Log Date]]="","",IF(TRIM(tabExam[[#This Row],[Exam Cycle Stage]])="Asked to be removed from database","NO","YES"))</f>
        <v/>
      </c>
      <c r="S1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4" spans="1:19">
      <c r="A174" t="s">
        <v>8317</v>
      </c>
      <c r="B174" t="str">
        <f>IFERROR(_xlfn.XLOOKUP(tabExam[[#This Row],[Unique ID]], tblMaster[Unique ID], tblMaster[First Name], ""), "")</f>
        <v xml:space="preserve">Chanelle </v>
      </c>
      <c r="C174" t="str">
        <f>IFERROR(_xlfn.XLOOKUP(tabExam[[#This Row],[Unique ID]], tblMaster[Unique ID], tblMaster[Last Name], ""), "")</f>
        <v xml:space="preserve">Clunie </v>
      </c>
      <c r="D174" t="str">
        <f>IFERROR(_xlfn.XLOOKUP(tabExam[[#This Row],[Unique ID]], tblMaster[Unique ID], tblMaster[Email_Clean], ""), "")</f>
        <v>cluniechanelle@gmail.com</v>
      </c>
      <c r="E174" t="str">
        <f>IFERROR(_xlfn.XLOOKUP(tabExam[[#This Row],[Unique ID]], tblMaster[Unique ID], tblMaster[Phone], ""), "")</f>
        <v xml:space="preserve">860-655-8734 </v>
      </c>
      <c r="F174" t="str">
        <f>IFERROR(_xlfn.XLOOKUP(tabExam[[#This Row],[Unique ID]], tblMaster[Unique ID], tblMaster[Recruiter], ""), "")</f>
        <v xml:space="preserve">Jevon Brown Simpson </v>
      </c>
      <c r="G174" t="str">
        <f>IFERROR(_xlfn.XLOOKUP(tabExam[[#This Row],[Unique ID]], tblMaster[Unique ID], tblMaster[Recruitment Cycle], ""), "")</f>
        <v xml:space="preserve">Re-Engagment/Post Civil Service Exam </v>
      </c>
      <c r="H174" t="s">
        <v>8164</v>
      </c>
      <c r="I174">
        <v>2025</v>
      </c>
      <c r="J174" t="s">
        <v>7446</v>
      </c>
      <c r="K174" t="s">
        <v>8277</v>
      </c>
      <c r="L174" t="s">
        <v>8154</v>
      </c>
      <c r="Q174" t="str">
        <f ca="1">IF(tabExam[[#This Row],[Log Date]]="","",TODAY()-tabExam[[#This Row],[Log Date]])</f>
        <v/>
      </c>
      <c r="R174" t="str">
        <f>IF(tabExam[[#This Row],[Log Date]]="","",IF(TRIM(tabExam[[#This Row],[Exam Cycle Stage]])="Asked to be removed from database","NO","YES"))</f>
        <v/>
      </c>
      <c r="S1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5" spans="1:19">
      <c r="A175" t="s">
        <v>8318</v>
      </c>
      <c r="B175" t="str">
        <f>IFERROR(_xlfn.XLOOKUP(tabExam[[#This Row],[Unique ID]], tblMaster[Unique ID], tblMaster[First Name], ""), "")</f>
        <v xml:space="preserve">Kendell </v>
      </c>
      <c r="C175" t="str">
        <f>IFERROR(_xlfn.XLOOKUP(tabExam[[#This Row],[Unique ID]], tblMaster[Unique ID], tblMaster[Last Name], ""), "")</f>
        <v xml:space="preserve">Pemberton </v>
      </c>
      <c r="D175" t="str">
        <f>IFERROR(_xlfn.XLOOKUP(tabExam[[#This Row],[Unique ID]], tblMaster[Unique ID], tblMaster[Email_Clean], ""), "")</f>
        <v>kendell.pemberton@gmail.com</v>
      </c>
      <c r="E175" t="str">
        <f>IFERROR(_xlfn.XLOOKUP(tabExam[[#This Row],[Unique ID]], tblMaster[Unique ID], tblMaster[Phone], ""), "")</f>
        <v xml:space="preserve"> 857-701-4000 </v>
      </c>
      <c r="F175" t="str">
        <f>IFERROR(_xlfn.XLOOKUP(tabExam[[#This Row],[Unique ID]], tblMaster[Unique ID], tblMaster[Recruiter], ""), "")</f>
        <v xml:space="preserve">Tom Clark </v>
      </c>
      <c r="G175" t="str">
        <f>IFERROR(_xlfn.XLOOKUP(tabExam[[#This Row],[Unique ID]], tblMaster[Unique ID], tblMaster[Recruitment Cycle], ""), "")</f>
        <v xml:space="preserve">Re-Engagment/Post Civil Service Exam </v>
      </c>
      <c r="H175" t="s">
        <v>8164</v>
      </c>
      <c r="I175">
        <v>2025</v>
      </c>
      <c r="J175" t="s">
        <v>7446</v>
      </c>
      <c r="K175" t="s">
        <v>8277</v>
      </c>
      <c r="L175" t="s">
        <v>8154</v>
      </c>
      <c r="M175" t="s">
        <v>7464</v>
      </c>
      <c r="O175" s="2">
        <v>46063</v>
      </c>
      <c r="Q175">
        <f ca="1">IF(tabExam[[#This Row],[Log Date]]="","",TODAY()-tabExam[[#This Row],[Log Date]])</f>
        <v>16</v>
      </c>
      <c r="R175" t="str">
        <f>IF(tabExam[[#This Row],[Log Date]]="","",IF(TRIM(tabExam[[#This Row],[Exam Cycle Stage]])="Asked to be removed from database","NO","YES"))</f>
        <v>YES</v>
      </c>
      <c r="S17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6" spans="1:19">
      <c r="A176" t="s">
        <v>8319</v>
      </c>
      <c r="B176" t="str">
        <f>IFERROR(_xlfn.XLOOKUP(tabExam[[#This Row],[Unique ID]], tblMaster[Unique ID], tblMaster[First Name], ""), "")</f>
        <v xml:space="preserve">Jonathan </v>
      </c>
      <c r="C176" t="str">
        <f>IFERROR(_xlfn.XLOOKUP(tabExam[[#This Row],[Unique ID]], tblMaster[Unique ID], tblMaster[Last Name], ""), "")</f>
        <v xml:space="preserve">Tanyi Ayong </v>
      </c>
      <c r="D176" t="str">
        <f>IFERROR(_xlfn.XLOOKUP(tabExam[[#This Row],[Unique ID]], tblMaster[Unique ID], tblMaster[Email_Clean], ""), "")</f>
        <v>ayong3510@gmail.com</v>
      </c>
      <c r="E176" t="str">
        <f>IFERROR(_xlfn.XLOOKUP(tabExam[[#This Row],[Unique ID]], tblMaster[Unique ID], tblMaster[Phone], ""), "")</f>
        <v xml:space="preserve"> 857-390-5806</v>
      </c>
      <c r="F176" t="str">
        <f>IFERROR(_xlfn.XLOOKUP(tabExam[[#This Row],[Unique ID]], tblMaster[Unique ID], tblMaster[Recruiter], ""), "")</f>
        <v>Zenon Moses</v>
      </c>
      <c r="G176" t="str">
        <f>IFERROR(_xlfn.XLOOKUP(tabExam[[#This Row],[Unique ID]], tblMaster[Unique ID], tblMaster[Recruitment Cycle], ""), "")</f>
        <v xml:space="preserve">Re-Engagment/Post Civil Service Exam </v>
      </c>
      <c r="H176" t="s">
        <v>8164</v>
      </c>
      <c r="I176">
        <v>2025</v>
      </c>
      <c r="J176" t="s">
        <v>7446</v>
      </c>
      <c r="K176" t="s">
        <v>8277</v>
      </c>
      <c r="L176" t="s">
        <v>8154</v>
      </c>
      <c r="Q176" t="str">
        <f ca="1">IF(tabExam[[#This Row],[Log Date]]="","",TODAY()-tabExam[[#This Row],[Log Date]])</f>
        <v/>
      </c>
      <c r="R176" t="str">
        <f>IF(tabExam[[#This Row],[Log Date]]="","",IF(TRIM(tabExam[[#This Row],[Exam Cycle Stage]])="Asked to be removed from database","NO","YES"))</f>
        <v/>
      </c>
      <c r="S1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7" spans="1:19">
      <c r="A177" t="s">
        <v>8031</v>
      </c>
      <c r="B177" t="str">
        <f>IFERROR(_xlfn.XLOOKUP(tabExam[[#This Row],[Unique ID]], tblMaster[Unique ID], tblMaster[First Name], ""), "")</f>
        <v xml:space="preserve">Jadalis </v>
      </c>
      <c r="C177" t="str">
        <f>IFERROR(_xlfn.XLOOKUP(tabExam[[#This Row],[Unique ID]], tblMaster[Unique ID], tblMaster[Last Name], ""), "")</f>
        <v xml:space="preserve">Rodriguez </v>
      </c>
      <c r="D177" t="str">
        <f>IFERROR(_xlfn.XLOOKUP(tabExam[[#This Row],[Unique ID]], tblMaster[Unique ID], tblMaster[Email_Clean], ""), "")</f>
        <v>jadalisssmarieee@gmail.com</v>
      </c>
      <c r="E177" t="str">
        <f>IFERROR(_xlfn.XLOOKUP(tabExam[[#This Row],[Unique ID]], tblMaster[Unique ID], tblMaster[Phone], ""), "")</f>
        <v>(978) 754-5052</v>
      </c>
      <c r="F177" t="str">
        <f>IFERROR(_xlfn.XLOOKUP(tabExam[[#This Row],[Unique ID]], tblMaster[Unique ID], tblMaster[Recruiter], ""), "")</f>
        <v xml:space="preserve">Jevon Brown Simpson </v>
      </c>
      <c r="G177" t="str">
        <f>IFERROR(_xlfn.XLOOKUP(tabExam[[#This Row],[Unique ID]], tblMaster[Unique ID], tblMaster[Recruitment Cycle], ""), "")</f>
        <v xml:space="preserve">Re-Engagment/Post Civil Service Exam </v>
      </c>
      <c r="H177" t="s">
        <v>8164</v>
      </c>
      <c r="I177">
        <v>2025</v>
      </c>
      <c r="J177" t="s">
        <v>7446</v>
      </c>
      <c r="K177" t="s">
        <v>8277</v>
      </c>
      <c r="L177" t="s">
        <v>8154</v>
      </c>
      <c r="Q177" t="str">
        <f ca="1">IF(tabExam[[#This Row],[Log Date]]="","",TODAY()-tabExam[[#This Row],[Log Date]])</f>
        <v/>
      </c>
      <c r="R177" t="str">
        <f>IF(tabExam[[#This Row],[Log Date]]="","",IF(TRIM(tabExam[[#This Row],[Exam Cycle Stage]])="Asked to be removed from database","NO","YES"))</f>
        <v/>
      </c>
      <c r="S1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8" spans="1:19">
      <c r="A178" t="s">
        <v>8320</v>
      </c>
      <c r="B178" t="str">
        <f>IFERROR(_xlfn.XLOOKUP(tabExam[[#This Row],[Unique ID]], tblMaster[Unique ID], tblMaster[First Name], ""), "")</f>
        <v xml:space="preserve">Edwin </v>
      </c>
      <c r="C178" t="str">
        <f>IFERROR(_xlfn.XLOOKUP(tabExam[[#This Row],[Unique ID]], tblMaster[Unique ID], tblMaster[Last Name], ""), "")</f>
        <v xml:space="preserve"> Enow </v>
      </c>
      <c r="D178" t="str">
        <f>IFERROR(_xlfn.XLOOKUP(tabExam[[#This Row],[Unique ID]], tblMaster[Unique ID], tblMaster[Email_Clean], ""), "")</f>
        <v>enownkafu2017@gmail.com</v>
      </c>
      <c r="E178" t="str">
        <f>IFERROR(_xlfn.XLOOKUP(tabExam[[#This Row],[Unique ID]], tblMaster[Unique ID], tblMaster[Phone], ""), "")</f>
        <v>351-240-9947</v>
      </c>
      <c r="F178" t="str">
        <f>IFERROR(_xlfn.XLOOKUP(tabExam[[#This Row],[Unique ID]], tblMaster[Unique ID], tblMaster[Recruiter], ""), "")</f>
        <v xml:space="preserve">Tom Clark </v>
      </c>
      <c r="G178" t="str">
        <f>IFERROR(_xlfn.XLOOKUP(tabExam[[#This Row],[Unique ID]], tblMaster[Unique ID], tblMaster[Recruitment Cycle], ""), "")</f>
        <v xml:space="preserve">Re-Engagment/Post Civil Service Exam </v>
      </c>
      <c r="H178" t="s">
        <v>8164</v>
      </c>
      <c r="I178">
        <v>2025</v>
      </c>
      <c r="J178" t="s">
        <v>7446</v>
      </c>
      <c r="K178" t="s">
        <v>8277</v>
      </c>
      <c r="L178" t="s">
        <v>8154</v>
      </c>
      <c r="M178" t="s">
        <v>7464</v>
      </c>
      <c r="O178" s="2">
        <v>46063</v>
      </c>
      <c r="Q178">
        <f ca="1">IF(tabExam[[#This Row],[Log Date]]="","",TODAY()-tabExam[[#This Row],[Log Date]])</f>
        <v>16</v>
      </c>
      <c r="R178" t="str">
        <f>IF(tabExam[[#This Row],[Log Date]]="","",IF(TRIM(tabExam[[#This Row],[Exam Cycle Stage]])="Asked to be removed from database","NO","YES"))</f>
        <v>YES</v>
      </c>
      <c r="S17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79" spans="1:19">
      <c r="A179" t="s">
        <v>8321</v>
      </c>
      <c r="B179" t="str">
        <f>IFERROR(_xlfn.XLOOKUP(tabExam[[#This Row],[Unique ID]], tblMaster[Unique ID], tblMaster[First Name], ""), "")</f>
        <v xml:space="preserve">ABIGAIL </v>
      </c>
      <c r="C179" t="str">
        <f>IFERROR(_xlfn.XLOOKUP(tabExam[[#This Row],[Unique ID]], tblMaster[Unique ID], tblMaster[Last Name], ""), "")</f>
        <v xml:space="preserve"> JAMFI</v>
      </c>
      <c r="D179" t="str">
        <f>IFERROR(_xlfn.XLOOKUP(tabExam[[#This Row],[Unique ID]], tblMaster[Unique ID], tblMaster[Email_Clean], ""), "")</f>
        <v>jamfi84@gmail.com</v>
      </c>
      <c r="E179" t="str">
        <f>IFERROR(_xlfn.XLOOKUP(tabExam[[#This Row],[Unique ID]], tblMaster[Unique ID], tblMaster[Phone], ""), "")</f>
        <v>860-804-1251</v>
      </c>
      <c r="F179" t="str">
        <f>IFERROR(_xlfn.XLOOKUP(tabExam[[#This Row],[Unique ID]], tblMaster[Unique ID], tblMaster[Recruiter], ""), "")</f>
        <v>Zenon Moses</v>
      </c>
      <c r="G179" t="str">
        <f>IFERROR(_xlfn.XLOOKUP(tabExam[[#This Row],[Unique ID]], tblMaster[Unique ID], tblMaster[Recruitment Cycle], ""), "")</f>
        <v xml:space="preserve">Re-Engagment/Post Civil Service Exam </v>
      </c>
      <c r="H179" t="s">
        <v>8164</v>
      </c>
      <c r="I179">
        <v>2025</v>
      </c>
      <c r="J179" t="s">
        <v>7446</v>
      </c>
      <c r="K179" t="s">
        <v>8277</v>
      </c>
      <c r="L179" t="s">
        <v>8154</v>
      </c>
      <c r="Q179" t="str">
        <f ca="1">IF(tabExam[[#This Row],[Log Date]]="","",TODAY()-tabExam[[#This Row],[Log Date]])</f>
        <v/>
      </c>
      <c r="R179" t="str">
        <f>IF(tabExam[[#This Row],[Log Date]]="","",IF(TRIM(tabExam[[#This Row],[Exam Cycle Stage]])="Asked to be removed from database","NO","YES"))</f>
        <v/>
      </c>
      <c r="S1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0" spans="1:19">
      <c r="A180" t="s">
        <v>8322</v>
      </c>
      <c r="B180" t="str">
        <f>IFERROR(_xlfn.XLOOKUP(tabExam[[#This Row],[Unique ID]], tblMaster[Unique ID], tblMaster[First Name], ""), "")</f>
        <v>Kandet</v>
      </c>
      <c r="C180" t="str">
        <f>IFERROR(_xlfn.XLOOKUP(tabExam[[#This Row],[Unique ID]], tblMaster[Unique ID], tblMaster[Last Name], ""), "")</f>
        <v>Sankhon</v>
      </c>
      <c r="D180" t="str">
        <f>IFERROR(_xlfn.XLOOKUP(tabExam[[#This Row],[Unique ID]], tblMaster[Unique ID], tblMaster[Email_Clean], ""), "")</f>
        <v>kandets@yahoo.com</v>
      </c>
      <c r="E180" t="str">
        <f>IFERROR(_xlfn.XLOOKUP(tabExam[[#This Row],[Unique ID]], tblMaster[Unique ID], tblMaster[Phone], ""), "")</f>
        <v>401-636-6381</v>
      </c>
      <c r="F180" t="str">
        <f>IFERROR(_xlfn.XLOOKUP(tabExam[[#This Row],[Unique ID]], tblMaster[Unique ID], tblMaster[Recruiter], ""), "")</f>
        <v xml:space="preserve">Jevon Brown Simpson </v>
      </c>
      <c r="G180" t="str">
        <f>IFERROR(_xlfn.XLOOKUP(tabExam[[#This Row],[Unique ID]], tblMaster[Unique ID], tblMaster[Recruitment Cycle], ""), "")</f>
        <v xml:space="preserve">Re-Engagment/Post Civil Service Exam </v>
      </c>
      <c r="H180" t="s">
        <v>8164</v>
      </c>
      <c r="I180">
        <v>2025</v>
      </c>
      <c r="J180" t="s">
        <v>7446</v>
      </c>
      <c r="K180" t="s">
        <v>8277</v>
      </c>
      <c r="L180" t="s">
        <v>8154</v>
      </c>
      <c r="Q180" t="str">
        <f ca="1">IF(tabExam[[#This Row],[Log Date]]="","",TODAY()-tabExam[[#This Row],[Log Date]])</f>
        <v/>
      </c>
      <c r="R180" t="str">
        <f>IF(tabExam[[#This Row],[Log Date]]="","",IF(TRIM(tabExam[[#This Row],[Exam Cycle Stage]])="Asked to be removed from database","NO","YES"))</f>
        <v/>
      </c>
      <c r="S1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1" spans="1:19">
      <c r="A181" t="s">
        <v>8323</v>
      </c>
      <c r="B181" t="str">
        <f>IFERROR(_xlfn.XLOOKUP(tabExam[[#This Row],[Unique ID]], tblMaster[Unique ID], tblMaster[First Name], ""), "")</f>
        <v>Jebrelle</v>
      </c>
      <c r="C181" t="str">
        <f>IFERROR(_xlfn.XLOOKUP(tabExam[[#This Row],[Unique ID]], tblMaster[Unique ID], tblMaster[Last Name], ""), "")</f>
        <v>Martin</v>
      </c>
      <c r="D181" t="str">
        <f>IFERROR(_xlfn.XLOOKUP(tabExam[[#This Row],[Unique ID]], tblMaster[Unique ID], tblMaster[Email_Clean], ""), "")</f>
        <v>jebrelle.martin@gmail.com</v>
      </c>
      <c r="E181" t="str">
        <f>IFERROR(_xlfn.XLOOKUP(tabExam[[#This Row],[Unique ID]], tblMaster[Unique ID], tblMaster[Phone], ""), "")</f>
        <v>774-265-5115</v>
      </c>
      <c r="F181" t="str">
        <f>IFERROR(_xlfn.XLOOKUP(tabExam[[#This Row],[Unique ID]], tblMaster[Unique ID], tblMaster[Recruiter], ""), "")</f>
        <v xml:space="preserve">Tom Clark </v>
      </c>
      <c r="G181" t="str">
        <f>IFERROR(_xlfn.XLOOKUP(tabExam[[#This Row],[Unique ID]], tblMaster[Unique ID], tblMaster[Recruitment Cycle], ""), "")</f>
        <v xml:space="preserve">Re-Engagment/Post Civil Service Exam </v>
      </c>
      <c r="H181" t="s">
        <v>8164</v>
      </c>
      <c r="I181">
        <v>2025</v>
      </c>
      <c r="J181" t="s">
        <v>7446</v>
      </c>
      <c r="K181" t="s">
        <v>8277</v>
      </c>
      <c r="L181" t="s">
        <v>8154</v>
      </c>
      <c r="M181" t="s">
        <v>7464</v>
      </c>
      <c r="O181" s="2">
        <v>46063</v>
      </c>
      <c r="Q181">
        <f ca="1">IF(tabExam[[#This Row],[Log Date]]="","",TODAY()-tabExam[[#This Row],[Log Date]])</f>
        <v>16</v>
      </c>
      <c r="R181" t="str">
        <f>IF(tabExam[[#This Row],[Log Date]]="","",IF(TRIM(tabExam[[#This Row],[Exam Cycle Stage]])="Asked to be removed from database","NO","YES"))</f>
        <v>YES</v>
      </c>
      <c r="S18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2" spans="1:19">
      <c r="A182" t="s">
        <v>8324</v>
      </c>
      <c r="B182" t="str">
        <f>IFERROR(_xlfn.XLOOKUP(tabExam[[#This Row],[Unique ID]], tblMaster[Unique ID], tblMaster[First Name], ""), "")</f>
        <v xml:space="preserve">Oluwaseun </v>
      </c>
      <c r="C182" t="str">
        <f>IFERROR(_xlfn.XLOOKUP(tabExam[[#This Row],[Unique ID]], tblMaster[Unique ID], tblMaster[Last Name], ""), "")</f>
        <v>Tijani</v>
      </c>
      <c r="D182" t="str">
        <f>IFERROR(_xlfn.XLOOKUP(tabExam[[#This Row],[Unique ID]], tblMaster[Unique ID], tblMaster[Email_Clean], ""), "")</f>
        <v>topmen34@outlook.com</v>
      </c>
      <c r="E182" t="str">
        <f>IFERROR(_xlfn.XLOOKUP(tabExam[[#This Row],[Unique ID]], tblMaster[Unique ID], tblMaster[Phone], ""), "")</f>
        <v>323-572-2301</v>
      </c>
      <c r="F182" t="str">
        <f>IFERROR(_xlfn.XLOOKUP(tabExam[[#This Row],[Unique ID]], tblMaster[Unique ID], tblMaster[Recruiter], ""), "")</f>
        <v>Zenon Moses</v>
      </c>
      <c r="G182" t="str">
        <f>IFERROR(_xlfn.XLOOKUP(tabExam[[#This Row],[Unique ID]], tblMaster[Unique ID], tblMaster[Recruitment Cycle], ""), "")</f>
        <v xml:space="preserve">Re-Engagment/Post Civil Service Exam </v>
      </c>
      <c r="H182" t="s">
        <v>8164</v>
      </c>
      <c r="I182">
        <v>2025</v>
      </c>
      <c r="J182" t="s">
        <v>7446</v>
      </c>
      <c r="K182" t="s">
        <v>8277</v>
      </c>
      <c r="L182" t="s">
        <v>8154</v>
      </c>
      <c r="Q182" t="str">
        <f ca="1">IF(tabExam[[#This Row],[Log Date]]="","",TODAY()-tabExam[[#This Row],[Log Date]])</f>
        <v/>
      </c>
      <c r="R182" t="str">
        <f>IF(tabExam[[#This Row],[Log Date]]="","",IF(TRIM(tabExam[[#This Row],[Exam Cycle Stage]])="Asked to be removed from database","NO","YES"))</f>
        <v/>
      </c>
      <c r="S1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3" spans="1:19">
      <c r="A183" t="s">
        <v>8044</v>
      </c>
      <c r="B183" t="str">
        <f>IFERROR(_xlfn.XLOOKUP(tabExam[[#This Row],[Unique ID]], tblMaster[Unique ID], tblMaster[First Name], ""), "")</f>
        <v xml:space="preserve">Brianna </v>
      </c>
      <c r="C183" t="str">
        <f>IFERROR(_xlfn.XLOOKUP(tabExam[[#This Row],[Unique ID]], tblMaster[Unique ID], tblMaster[Last Name], ""), "")</f>
        <v>Cosgro</v>
      </c>
      <c r="D183" t="str">
        <f>IFERROR(_xlfn.XLOOKUP(tabExam[[#This Row],[Unique ID]], tblMaster[Unique ID], tblMaster[Email_Clean], ""), "")</f>
        <v>briannacosgro5@gmail.com</v>
      </c>
      <c r="E183" t="str">
        <f>IFERROR(_xlfn.XLOOKUP(tabExam[[#This Row],[Unique ID]], tblMaster[Unique ID], tblMaster[Phone], ""), "")</f>
        <v>508-615-5686</v>
      </c>
      <c r="F183" t="str">
        <f>IFERROR(_xlfn.XLOOKUP(tabExam[[#This Row],[Unique ID]], tblMaster[Unique ID], tblMaster[Recruiter], ""), "")</f>
        <v xml:space="preserve">Jevon Brown Simpson </v>
      </c>
      <c r="G183" t="str">
        <f>IFERROR(_xlfn.XLOOKUP(tabExam[[#This Row],[Unique ID]], tblMaster[Unique ID], tblMaster[Recruitment Cycle], ""), "")</f>
        <v xml:space="preserve">Re-Engagment/Post Civil Service Exam </v>
      </c>
      <c r="H183" t="s">
        <v>8164</v>
      </c>
      <c r="I183">
        <v>2025</v>
      </c>
      <c r="J183" t="s">
        <v>7446</v>
      </c>
      <c r="K183" t="s">
        <v>8277</v>
      </c>
      <c r="L183" t="s">
        <v>8154</v>
      </c>
      <c r="Q183" t="str">
        <f ca="1">IF(tabExam[[#This Row],[Log Date]]="","",TODAY()-tabExam[[#This Row],[Log Date]])</f>
        <v/>
      </c>
      <c r="R183" t="str">
        <f>IF(tabExam[[#This Row],[Log Date]]="","",IF(TRIM(tabExam[[#This Row],[Exam Cycle Stage]])="Asked to be removed from database","NO","YES"))</f>
        <v/>
      </c>
      <c r="S1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4" spans="1:19">
      <c r="A184" t="s">
        <v>8325</v>
      </c>
      <c r="B184" t="str">
        <f>IFERROR(_xlfn.XLOOKUP(tabExam[[#This Row],[Unique ID]], tblMaster[Unique ID], tblMaster[First Name], ""), "")</f>
        <v xml:space="preserve">Kevin </v>
      </c>
      <c r="C184" t="str">
        <f>IFERROR(_xlfn.XLOOKUP(tabExam[[#This Row],[Unique ID]], tblMaster[Unique ID], tblMaster[Last Name], ""), "")</f>
        <v>Perrin</v>
      </c>
      <c r="D184" t="str">
        <f>IFERROR(_xlfn.XLOOKUP(tabExam[[#This Row],[Unique ID]], tblMaster[Unique ID], tblMaster[Email_Clean], ""), "")</f>
        <v>kevinperrin2020@gmail.com</v>
      </c>
      <c r="E184" t="str">
        <f>IFERROR(_xlfn.XLOOKUP(tabExam[[#This Row],[Unique ID]], tblMaster[Unique ID], tblMaster[Phone], ""), "")</f>
        <v>862 944 2088</v>
      </c>
      <c r="F184" t="str">
        <f>IFERROR(_xlfn.XLOOKUP(tabExam[[#This Row],[Unique ID]], tblMaster[Unique ID], tblMaster[Recruiter], ""), "")</f>
        <v xml:space="preserve">Tom Clark </v>
      </c>
      <c r="G184" t="str">
        <f>IFERROR(_xlfn.XLOOKUP(tabExam[[#This Row],[Unique ID]], tblMaster[Unique ID], tblMaster[Recruitment Cycle], ""), "")</f>
        <v xml:space="preserve">Re-Engagment/Post Civil Service Exam </v>
      </c>
      <c r="H184" t="s">
        <v>8164</v>
      </c>
      <c r="I184">
        <v>2025</v>
      </c>
      <c r="J184" t="s">
        <v>7446</v>
      </c>
      <c r="K184" t="s">
        <v>8277</v>
      </c>
      <c r="L184" t="s">
        <v>8154</v>
      </c>
      <c r="M184" t="s">
        <v>7464</v>
      </c>
      <c r="O184" s="2">
        <v>46063</v>
      </c>
      <c r="Q184">
        <f ca="1">IF(tabExam[[#This Row],[Log Date]]="","",TODAY()-tabExam[[#This Row],[Log Date]])</f>
        <v>16</v>
      </c>
      <c r="R184" t="str">
        <f>IF(tabExam[[#This Row],[Log Date]]="","",IF(TRIM(tabExam[[#This Row],[Exam Cycle Stage]])="Asked to be removed from database","NO","YES"))</f>
        <v>YES</v>
      </c>
      <c r="S18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5" spans="1:19">
      <c r="A185" t="s">
        <v>8326</v>
      </c>
      <c r="B185" t="str">
        <f>IFERROR(_xlfn.XLOOKUP(tabExam[[#This Row],[Unique ID]], tblMaster[Unique ID], tblMaster[First Name], ""), "")</f>
        <v xml:space="preserve">David </v>
      </c>
      <c r="C185" t="str">
        <f>IFERROR(_xlfn.XLOOKUP(tabExam[[#This Row],[Unique ID]], tblMaster[Unique ID], tblMaster[Last Name], ""), "")</f>
        <v>Santana</v>
      </c>
      <c r="D185" t="str">
        <f>IFERROR(_xlfn.XLOOKUP(tabExam[[#This Row],[Unique ID]], tblMaster[Unique ID], tblMaster[Email_Clean], ""), "")</f>
        <v>santodavid14@gmail.com</v>
      </c>
      <c r="E185" t="str">
        <f>IFERROR(_xlfn.XLOOKUP(tabExam[[#This Row],[Unique ID]], tblMaster[Unique ID], tblMaster[Phone], ""), "")</f>
        <v>401-369-0706</v>
      </c>
      <c r="F185">
        <f>IFERROR(_xlfn.XLOOKUP(tabExam[[#This Row],[Unique ID]], tblMaster[Unique ID], tblMaster[Recruiter], ""), "")</f>
        <v>0</v>
      </c>
      <c r="G185" t="str">
        <f>IFERROR(_xlfn.XLOOKUP(tabExam[[#This Row],[Unique ID]], tblMaster[Unique ID], tblMaster[Recruitment Cycle], ""), "")</f>
        <v xml:space="preserve">Re-Engagment/Post Civil Service Exam </v>
      </c>
      <c r="H185" t="s">
        <v>8164</v>
      </c>
      <c r="I185">
        <v>2025</v>
      </c>
      <c r="J185" t="s">
        <v>7446</v>
      </c>
      <c r="K185" t="s">
        <v>8277</v>
      </c>
      <c r="L185" t="s">
        <v>8167</v>
      </c>
      <c r="Q185" t="str">
        <f ca="1">IF(tabExam[[#This Row],[Log Date]]="","",TODAY()-tabExam[[#This Row],[Log Date]])</f>
        <v/>
      </c>
      <c r="R185" t="str">
        <f>IF(tabExam[[#This Row],[Log Date]]="","",IF(TRIM(tabExam[[#This Row],[Exam Cycle Stage]])="Asked to be removed from database","NO","YES"))</f>
        <v/>
      </c>
      <c r="S1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6" spans="1:19">
      <c r="A186" t="s">
        <v>8327</v>
      </c>
      <c r="B186" t="str">
        <f>IFERROR(_xlfn.XLOOKUP(tabExam[[#This Row],[Unique ID]], tblMaster[Unique ID], tblMaster[First Name], ""), "")</f>
        <v>Emily</v>
      </c>
      <c r="C186" t="str">
        <f>IFERROR(_xlfn.XLOOKUP(tabExam[[#This Row],[Unique ID]], tblMaster[Unique ID], tblMaster[Last Name], ""), "")</f>
        <v>Trudeau</v>
      </c>
      <c r="D186" t="str">
        <f>IFERROR(_xlfn.XLOOKUP(tabExam[[#This Row],[Unique ID]], tblMaster[Unique ID], tblMaster[Email_Clean], ""), "")</f>
        <v>emm.trudeau22@gmail.com</v>
      </c>
      <c r="E186" t="str">
        <f>IFERROR(_xlfn.XLOOKUP(tabExam[[#This Row],[Unique ID]], tblMaster[Unique ID], tblMaster[Phone], ""), "")</f>
        <v>401-919-0802</v>
      </c>
      <c r="F186" t="str">
        <f>IFERROR(_xlfn.XLOOKUP(tabExam[[#This Row],[Unique ID]], tblMaster[Unique ID], tblMaster[Recruiter], ""), "")</f>
        <v>Zenon Moses</v>
      </c>
      <c r="G186" t="str">
        <f>IFERROR(_xlfn.XLOOKUP(tabExam[[#This Row],[Unique ID]], tblMaster[Unique ID], tblMaster[Recruitment Cycle], ""), "")</f>
        <v xml:space="preserve">Re-Engagment/Post Civil Service Exam </v>
      </c>
      <c r="H186" t="s">
        <v>8150</v>
      </c>
      <c r="I186">
        <v>2026</v>
      </c>
      <c r="J186" t="s">
        <v>7446</v>
      </c>
      <c r="K186" t="s">
        <v>8153</v>
      </c>
      <c r="L186" t="s">
        <v>8154</v>
      </c>
      <c r="M186" t="s">
        <v>8328</v>
      </c>
      <c r="N186" t="s">
        <v>7435</v>
      </c>
      <c r="O186" s="2">
        <v>46051</v>
      </c>
      <c r="P186" t="s">
        <v>8158</v>
      </c>
      <c r="Q186">
        <f ca="1">IF(tabExam[[#This Row],[Log Date]]="","",TODAY()-tabExam[[#This Row],[Log Date]])</f>
        <v>28</v>
      </c>
      <c r="R186" t="str">
        <f>IF(tabExam[[#This Row],[Log Date]]="","",IF(TRIM(tabExam[[#This Row],[Exam Cycle Stage]])="Asked to be removed from database","NO","YES"))</f>
        <v>YES</v>
      </c>
      <c r="S18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7" spans="1:19">
      <c r="A187" t="s">
        <v>8329</v>
      </c>
      <c r="B187" t="str">
        <f>IFERROR(_xlfn.XLOOKUP(tabExam[[#This Row],[Unique ID]], tblMaster[Unique ID], tblMaster[First Name], ""), "")</f>
        <v xml:space="preserve">Kaniya </v>
      </c>
      <c r="C187" t="str">
        <f>IFERROR(_xlfn.XLOOKUP(tabExam[[#This Row],[Unique ID]], tblMaster[Unique ID], tblMaster[Last Name], ""), "")</f>
        <v>Williams</v>
      </c>
      <c r="D187" t="str">
        <f>IFERROR(_xlfn.XLOOKUP(tabExam[[#This Row],[Unique ID]], tblMaster[Unique ID], tblMaster[Email_Clean], ""), "")</f>
        <v>kaniyaw24@gmail.com</v>
      </c>
      <c r="E187" t="str">
        <f>IFERROR(_xlfn.XLOOKUP(tabExam[[#This Row],[Unique ID]], tblMaster[Unique ID], tblMaster[Phone], ""), "")</f>
        <v>770-709-2200</v>
      </c>
      <c r="F187" t="str">
        <f>IFERROR(_xlfn.XLOOKUP(tabExam[[#This Row],[Unique ID]], tblMaster[Unique ID], tblMaster[Recruiter], ""), "")</f>
        <v xml:space="preserve">Jevon Brown Simpson </v>
      </c>
      <c r="G187" t="str">
        <f>IFERROR(_xlfn.XLOOKUP(tabExam[[#This Row],[Unique ID]], tblMaster[Unique ID], tblMaster[Recruitment Cycle], ""), "")</f>
        <v xml:space="preserve">Re-Engagment/Post Civil Service Exam </v>
      </c>
      <c r="H187" t="s">
        <v>8164</v>
      </c>
      <c r="I187">
        <v>2025</v>
      </c>
      <c r="J187" t="s">
        <v>7446</v>
      </c>
      <c r="K187" t="s">
        <v>8277</v>
      </c>
      <c r="Q187" t="str">
        <f ca="1">IF(tabExam[[#This Row],[Log Date]]="","",TODAY()-tabExam[[#This Row],[Log Date]])</f>
        <v/>
      </c>
      <c r="R187" t="str">
        <f>IF(tabExam[[#This Row],[Log Date]]="","",IF(TRIM(tabExam[[#This Row],[Exam Cycle Stage]])="Asked to be removed from database","NO","YES"))</f>
        <v/>
      </c>
      <c r="S1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8" spans="1:19">
      <c r="A188" t="s">
        <v>8330</v>
      </c>
      <c r="B188" t="str">
        <f>IFERROR(_xlfn.XLOOKUP(tabExam[[#This Row],[Unique ID]], tblMaster[Unique ID], tblMaster[First Name], ""), "")</f>
        <v>Divanir</v>
      </c>
      <c r="C188" t="str">
        <f>IFERROR(_xlfn.XLOOKUP(tabExam[[#This Row],[Unique ID]], tblMaster[Unique ID], tblMaster[Last Name], ""), "")</f>
        <v>Pereira</v>
      </c>
      <c r="D188" t="str">
        <f>IFERROR(_xlfn.XLOOKUP(tabExam[[#This Row],[Unique ID]], tblMaster[Unique ID], tblMaster[Email_Clean], ""), "")</f>
        <v>d_pereira15@yahoo.com</v>
      </c>
      <c r="E188" t="str">
        <f>IFERROR(_xlfn.XLOOKUP(tabExam[[#This Row],[Unique ID]], tblMaster[Unique ID], tblMaster[Phone], ""), "")</f>
        <v>401-359-9744</v>
      </c>
      <c r="F188" t="str">
        <f>IFERROR(_xlfn.XLOOKUP(tabExam[[#This Row],[Unique ID]], tblMaster[Unique ID], tblMaster[Recruiter], ""), "")</f>
        <v xml:space="preserve">Tom Clark </v>
      </c>
      <c r="G188" t="str">
        <f>IFERROR(_xlfn.XLOOKUP(tabExam[[#This Row],[Unique ID]], tblMaster[Unique ID], tblMaster[Recruitment Cycle], ""), "")</f>
        <v xml:space="preserve">Re-Engagment/Post Civil Service Exam </v>
      </c>
      <c r="H188" t="s">
        <v>8164</v>
      </c>
      <c r="I188">
        <v>2025</v>
      </c>
      <c r="J188" t="s">
        <v>7446</v>
      </c>
      <c r="K188" t="s">
        <v>8277</v>
      </c>
      <c r="L188" t="s">
        <v>8154</v>
      </c>
      <c r="M188" t="s">
        <v>7464</v>
      </c>
      <c r="O188" s="2">
        <v>46063</v>
      </c>
      <c r="Q188">
        <f ca="1">IF(tabExam[[#This Row],[Log Date]]="","",TODAY()-tabExam[[#This Row],[Log Date]])</f>
        <v>16</v>
      </c>
      <c r="R188" t="str">
        <f>IF(tabExam[[#This Row],[Log Date]]="","",IF(TRIM(tabExam[[#This Row],[Exam Cycle Stage]])="Asked to be removed from database","NO","YES"))</f>
        <v>YES</v>
      </c>
      <c r="S1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89" spans="1:19">
      <c r="A189" t="s">
        <v>8331</v>
      </c>
      <c r="B189" t="str">
        <f>IFERROR(_xlfn.XLOOKUP(tabExam[[#This Row],[Unique ID]], tblMaster[Unique ID], tblMaster[First Name], ""), "")</f>
        <v xml:space="preserve">IVO </v>
      </c>
      <c r="C189" t="str">
        <f>IFERROR(_xlfn.XLOOKUP(tabExam[[#This Row],[Unique ID]], tblMaster[Unique ID], tblMaster[Last Name], ""), "")</f>
        <v>NDUKU</v>
      </c>
      <c r="D189" t="str">
        <f>IFERROR(_xlfn.XLOOKUP(tabExam[[#This Row],[Unique ID]], tblMaster[Unique ID], tblMaster[Email_Clean], ""), "")</f>
        <v>ivonduku@gmail.com</v>
      </c>
      <c r="E189" t="str">
        <f>IFERROR(_xlfn.XLOOKUP(tabExam[[#This Row],[Unique ID]], tblMaster[Unique ID], tblMaster[Phone], ""), "")</f>
        <v>508-405-6661</v>
      </c>
      <c r="F189" t="str">
        <f>IFERROR(_xlfn.XLOOKUP(tabExam[[#This Row],[Unique ID]], tblMaster[Unique ID], tblMaster[Recruiter], ""), "")</f>
        <v>Zenon Moses</v>
      </c>
      <c r="G189" t="str">
        <f>IFERROR(_xlfn.XLOOKUP(tabExam[[#This Row],[Unique ID]], tblMaster[Unique ID], tblMaster[Recruitment Cycle], ""), "")</f>
        <v xml:space="preserve">Re-Engagment/Post Civil Service Exam </v>
      </c>
      <c r="H189" t="s">
        <v>8164</v>
      </c>
      <c r="I189">
        <v>2025</v>
      </c>
      <c r="J189" t="s">
        <v>7451</v>
      </c>
      <c r="K189" t="s">
        <v>8153</v>
      </c>
      <c r="L189" t="s">
        <v>7460</v>
      </c>
      <c r="Q189" t="str">
        <f ca="1">IF(tabExam[[#This Row],[Log Date]]="","",TODAY()-tabExam[[#This Row],[Log Date]])</f>
        <v/>
      </c>
      <c r="R189" t="str">
        <f>IF(tabExam[[#This Row],[Log Date]]="","",IF(TRIM(tabExam[[#This Row],[Exam Cycle Stage]])="Asked to be removed from database","NO","YES"))</f>
        <v/>
      </c>
      <c r="S1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0" spans="1:19">
      <c r="A190" t="s">
        <v>8332</v>
      </c>
      <c r="B190" t="str">
        <f>IFERROR(_xlfn.XLOOKUP(tabExam[[#This Row],[Unique ID]], tblMaster[Unique ID], tblMaster[First Name], ""), "")</f>
        <v>Angelina</v>
      </c>
      <c r="C190" t="str">
        <f>IFERROR(_xlfn.XLOOKUP(tabExam[[#This Row],[Unique ID]], tblMaster[Unique ID], tblMaster[Last Name], ""), "")</f>
        <v>Bill</v>
      </c>
      <c r="D190" t="str">
        <f>IFERROR(_xlfn.XLOOKUP(tabExam[[#This Row],[Unique ID]], tblMaster[Unique ID], tblMaster[Email_Clean], ""), "")</f>
        <v>ninabillbill@gmail.com</v>
      </c>
      <c r="E190" t="str">
        <f>IFERROR(_xlfn.XLOOKUP(tabExam[[#This Row],[Unique ID]], tblMaster[Unique ID], tblMaster[Phone], ""), "")</f>
        <v>253-205-6511</v>
      </c>
      <c r="F190" t="str">
        <f>IFERROR(_xlfn.XLOOKUP(tabExam[[#This Row],[Unique ID]], tblMaster[Unique ID], tblMaster[Recruiter], ""), "")</f>
        <v xml:space="preserve">Jevon Brown Simpson </v>
      </c>
      <c r="G190" t="str">
        <f>IFERROR(_xlfn.XLOOKUP(tabExam[[#This Row],[Unique ID]], tblMaster[Unique ID], tblMaster[Recruitment Cycle], ""), "")</f>
        <v xml:space="preserve">Re-Engagment/Post Civil Service Exam </v>
      </c>
      <c r="H190" t="s">
        <v>8164</v>
      </c>
      <c r="I190">
        <v>2025</v>
      </c>
      <c r="J190" t="s">
        <v>7446</v>
      </c>
      <c r="K190" t="s">
        <v>8277</v>
      </c>
      <c r="L190" t="s">
        <v>8154</v>
      </c>
      <c r="Q190" t="str">
        <f ca="1">IF(tabExam[[#This Row],[Log Date]]="","",TODAY()-tabExam[[#This Row],[Log Date]])</f>
        <v/>
      </c>
      <c r="R190" t="str">
        <f>IF(tabExam[[#This Row],[Log Date]]="","",IF(TRIM(tabExam[[#This Row],[Exam Cycle Stage]])="Asked to be removed from database","NO","YES"))</f>
        <v/>
      </c>
      <c r="S1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1" spans="1:19">
      <c r="A191" t="s">
        <v>8333</v>
      </c>
      <c r="B191" t="str">
        <f>IFERROR(_xlfn.XLOOKUP(tabExam[[#This Row],[Unique ID]], tblMaster[Unique ID], tblMaster[First Name], ""), "")</f>
        <v>Brittney</v>
      </c>
      <c r="C191" t="str">
        <f>IFERROR(_xlfn.XLOOKUP(tabExam[[#This Row],[Unique ID]], tblMaster[Unique ID], tblMaster[Last Name], ""), "")</f>
        <v>Parkin</v>
      </c>
      <c r="D191" t="str">
        <f>IFERROR(_xlfn.XLOOKUP(tabExam[[#This Row],[Unique ID]], tblMaster[Unique ID], tblMaster[Email_Clean], ""), "")</f>
        <v>brittneyrylie13@gmail.com</v>
      </c>
      <c r="E191" t="str">
        <f>IFERROR(_xlfn.XLOOKUP(tabExam[[#This Row],[Unique ID]], tblMaster[Unique ID], tblMaster[Phone], ""), "")</f>
        <v>401-301-0736</v>
      </c>
      <c r="F191" t="str">
        <f>IFERROR(_xlfn.XLOOKUP(tabExam[[#This Row],[Unique ID]], tblMaster[Unique ID], tblMaster[Recruiter], ""), "")</f>
        <v xml:space="preserve">Tom Clark </v>
      </c>
      <c r="G191" t="str">
        <f>IFERROR(_xlfn.XLOOKUP(tabExam[[#This Row],[Unique ID]], tblMaster[Unique ID], tblMaster[Recruitment Cycle], ""), "")</f>
        <v xml:space="preserve">Re-Engagment/Post Civil Service Exam </v>
      </c>
      <c r="H191" t="s">
        <v>8164</v>
      </c>
      <c r="I191">
        <v>2025</v>
      </c>
      <c r="J191" t="s">
        <v>7446</v>
      </c>
      <c r="K191" t="s">
        <v>8277</v>
      </c>
      <c r="L191" t="s">
        <v>8154</v>
      </c>
      <c r="M191" t="s">
        <v>7464</v>
      </c>
      <c r="O191" s="2">
        <v>46063</v>
      </c>
      <c r="Q191">
        <f ca="1">IF(tabExam[[#This Row],[Log Date]]="","",TODAY()-tabExam[[#This Row],[Log Date]])</f>
        <v>16</v>
      </c>
      <c r="R191" t="str">
        <f>IF(tabExam[[#This Row],[Log Date]]="","",IF(TRIM(tabExam[[#This Row],[Exam Cycle Stage]])="Asked to be removed from database","NO","YES"))</f>
        <v>YES</v>
      </c>
      <c r="S19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2" spans="1:19">
      <c r="A192" t="s">
        <v>8194</v>
      </c>
      <c r="B192" t="str">
        <f>IFERROR(_xlfn.XLOOKUP(tabExam[[#This Row],[Unique ID]], tblMaster[Unique ID], tblMaster[First Name], ""), "")</f>
        <v>Trisha</v>
      </c>
      <c r="C192" t="str">
        <f>IFERROR(_xlfn.XLOOKUP(tabExam[[#This Row],[Unique ID]], tblMaster[Unique ID], tblMaster[Last Name], ""), "")</f>
        <v>lossi</v>
      </c>
      <c r="D192" t="str">
        <f>IFERROR(_xlfn.XLOOKUP(tabExam[[#This Row],[Unique ID]], tblMaster[Unique ID], tblMaster[Email_Clean], ""), "")</f>
        <v>trishalossi@gmail.com</v>
      </c>
      <c r="E192" t="str">
        <f>IFERROR(_xlfn.XLOOKUP(tabExam[[#This Row],[Unique ID]], tblMaster[Unique ID], tblMaster[Phone], ""), "")</f>
        <v>518-795-5406</v>
      </c>
      <c r="F192" t="str">
        <f>IFERROR(_xlfn.XLOOKUP(tabExam[[#This Row],[Unique ID]], tblMaster[Unique ID], tblMaster[Recruiter], ""), "")</f>
        <v>Zenon Moses</v>
      </c>
      <c r="G192" t="str">
        <f>IFERROR(_xlfn.XLOOKUP(tabExam[[#This Row],[Unique ID]], tblMaster[Unique ID], tblMaster[Recruitment Cycle], ""), "")</f>
        <v xml:space="preserve">Re-Engagment/Post Civil Service Exam </v>
      </c>
      <c r="H192" t="s">
        <v>8164</v>
      </c>
      <c r="I192">
        <v>2025</v>
      </c>
      <c r="J192" t="s">
        <v>7446</v>
      </c>
      <c r="K192" t="s">
        <v>8277</v>
      </c>
      <c r="L192" t="s">
        <v>8154</v>
      </c>
      <c r="Q192" t="str">
        <f ca="1">IF(tabExam[[#This Row],[Log Date]]="","",TODAY()-tabExam[[#This Row],[Log Date]])</f>
        <v/>
      </c>
      <c r="R192" t="str">
        <f>IF(tabExam[[#This Row],[Log Date]]="","",IF(TRIM(tabExam[[#This Row],[Exam Cycle Stage]])="Asked to be removed from database","NO","YES"))</f>
        <v/>
      </c>
      <c r="S1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3" spans="1:19">
      <c r="A193" t="s">
        <v>8334</v>
      </c>
      <c r="B193" t="str">
        <f>IFERROR(_xlfn.XLOOKUP(tabExam[[#This Row],[Unique ID]], tblMaster[Unique ID], tblMaster[First Name], ""), "")</f>
        <v>Suzi</v>
      </c>
      <c r="C193" t="str">
        <f>IFERROR(_xlfn.XLOOKUP(tabExam[[#This Row],[Unique ID]], tblMaster[Unique ID], tblMaster[Last Name], ""), "")</f>
        <v>Andrade</v>
      </c>
      <c r="D193" t="str">
        <f>IFERROR(_xlfn.XLOOKUP(tabExam[[#This Row],[Unique ID]], tblMaster[Unique ID], tblMaster[Email_Clean], ""), "")</f>
        <v>suzykayllana1996@gmail.com</v>
      </c>
      <c r="E193" t="str">
        <f>IFERROR(_xlfn.XLOOKUP(tabExam[[#This Row],[Unique ID]], tblMaster[Unique ID], tblMaster[Phone], ""), "")</f>
        <v>508-649-5261</v>
      </c>
      <c r="F193" t="str">
        <f>IFERROR(_xlfn.XLOOKUP(tabExam[[#This Row],[Unique ID]], tblMaster[Unique ID], tblMaster[Recruiter], ""), "")</f>
        <v xml:space="preserve">Jevon Brown Simpson </v>
      </c>
      <c r="G193" t="str">
        <f>IFERROR(_xlfn.XLOOKUP(tabExam[[#This Row],[Unique ID]], tblMaster[Unique ID], tblMaster[Recruitment Cycle], ""), "")</f>
        <v xml:space="preserve">Re-Engagment/Post Civil Service Exam </v>
      </c>
      <c r="H193" t="s">
        <v>8164</v>
      </c>
      <c r="I193">
        <v>2025</v>
      </c>
      <c r="J193" t="s">
        <v>7446</v>
      </c>
      <c r="K193" t="s">
        <v>8277</v>
      </c>
      <c r="L193" t="s">
        <v>8154</v>
      </c>
      <c r="Q193" t="str">
        <f ca="1">IF(tabExam[[#This Row],[Log Date]]="","",TODAY()-tabExam[[#This Row],[Log Date]])</f>
        <v/>
      </c>
      <c r="R193" t="str">
        <f>IF(tabExam[[#This Row],[Log Date]]="","",IF(TRIM(tabExam[[#This Row],[Exam Cycle Stage]])="Asked to be removed from database","NO","YES"))</f>
        <v/>
      </c>
      <c r="S1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4" spans="1:19">
      <c r="A194" t="s">
        <v>8335</v>
      </c>
      <c r="B194" t="str">
        <f>IFERROR(_xlfn.XLOOKUP(tabExam[[#This Row],[Unique ID]], tblMaster[Unique ID], tblMaster[First Name], ""), "")</f>
        <v>Amber</v>
      </c>
      <c r="C194" t="str">
        <f>IFERROR(_xlfn.XLOOKUP(tabExam[[#This Row],[Unique ID]], tblMaster[Unique ID], tblMaster[Last Name], ""), "")</f>
        <v>Thomas</v>
      </c>
      <c r="D194" t="str">
        <f>IFERROR(_xlfn.XLOOKUP(tabExam[[#This Row],[Unique ID]], tblMaster[Unique ID], tblMaster[Email_Clean], ""), "")</f>
        <v>athomas19807@gmail.com</v>
      </c>
      <c r="E194" t="str">
        <f>IFERROR(_xlfn.XLOOKUP(tabExam[[#This Row],[Unique ID]], tblMaster[Unique ID], tblMaster[Phone], ""), "")</f>
        <v>1-774-375-3754</v>
      </c>
      <c r="F194" t="str">
        <f>IFERROR(_xlfn.XLOOKUP(tabExam[[#This Row],[Unique ID]], tblMaster[Unique ID], tblMaster[Recruiter], ""), "")</f>
        <v xml:space="preserve">Tom Clark </v>
      </c>
      <c r="G194" t="str">
        <f>IFERROR(_xlfn.XLOOKUP(tabExam[[#This Row],[Unique ID]], tblMaster[Unique ID], tblMaster[Recruitment Cycle], ""), "")</f>
        <v xml:space="preserve">Re-Engagment/Post Civil Service Exam </v>
      </c>
      <c r="H194" t="s">
        <v>8164</v>
      </c>
      <c r="I194">
        <v>2025</v>
      </c>
      <c r="J194" t="s">
        <v>7446</v>
      </c>
      <c r="K194" t="s">
        <v>8277</v>
      </c>
      <c r="L194" t="s">
        <v>8154</v>
      </c>
      <c r="M194" t="s">
        <v>7464</v>
      </c>
      <c r="O194" s="2">
        <v>46063</v>
      </c>
      <c r="Q194">
        <f ca="1">IF(tabExam[[#This Row],[Log Date]]="","",TODAY()-tabExam[[#This Row],[Log Date]])</f>
        <v>16</v>
      </c>
      <c r="R194" t="str">
        <f>IF(tabExam[[#This Row],[Log Date]]="","",IF(TRIM(tabExam[[#This Row],[Exam Cycle Stage]])="Asked to be removed from database","NO","YES"))</f>
        <v>YES</v>
      </c>
      <c r="S19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5" spans="1:19">
      <c r="A195" t="s">
        <v>8336</v>
      </c>
      <c r="B195" t="str">
        <f>IFERROR(_xlfn.XLOOKUP(tabExam[[#This Row],[Unique ID]], tblMaster[Unique ID], tblMaster[First Name], ""), "")</f>
        <v xml:space="preserve">Joanna </v>
      </c>
      <c r="C195" t="str">
        <f>IFERROR(_xlfn.XLOOKUP(tabExam[[#This Row],[Unique ID]], tblMaster[Unique ID], tblMaster[Last Name], ""), "")</f>
        <v xml:space="preserve">Morse </v>
      </c>
      <c r="D195" t="str">
        <f>IFERROR(_xlfn.XLOOKUP(tabExam[[#This Row],[Unique ID]], tblMaster[Unique ID], tblMaster[Email_Clean], ""), "")</f>
        <v>moralesjo21321@gmail.com</v>
      </c>
      <c r="E195" t="str">
        <f>IFERROR(_xlfn.XLOOKUP(tabExam[[#This Row],[Unique ID]], tblMaster[Unique ID], tblMaster[Phone], ""), "")</f>
        <v xml:space="preserve">(508) 733-1017 </v>
      </c>
      <c r="F195" t="str">
        <f>IFERROR(_xlfn.XLOOKUP(tabExam[[#This Row],[Unique ID]], tblMaster[Unique ID], tblMaster[Recruiter], ""), "")</f>
        <v>Zenon Moses</v>
      </c>
      <c r="G195" t="str">
        <f>IFERROR(_xlfn.XLOOKUP(tabExam[[#This Row],[Unique ID]], tblMaster[Unique ID], tblMaster[Recruitment Cycle], ""), "")</f>
        <v xml:space="preserve">Re-Engagment/Post Civil Service Exam </v>
      </c>
      <c r="H195" t="s">
        <v>8164</v>
      </c>
      <c r="I195">
        <v>2025</v>
      </c>
      <c r="J195" t="s">
        <v>7446</v>
      </c>
      <c r="K195" t="s">
        <v>8277</v>
      </c>
      <c r="L195" t="s">
        <v>8154</v>
      </c>
      <c r="Q195" t="str">
        <f ca="1">IF(tabExam[[#This Row],[Log Date]]="","",TODAY()-tabExam[[#This Row],[Log Date]])</f>
        <v/>
      </c>
      <c r="R195" t="str">
        <f>IF(tabExam[[#This Row],[Log Date]]="","",IF(TRIM(tabExam[[#This Row],[Exam Cycle Stage]])="Asked to be removed from database","NO","YES"))</f>
        <v/>
      </c>
      <c r="S1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6" spans="1:19">
      <c r="A196" t="s">
        <v>8337</v>
      </c>
      <c r="B196" t="str">
        <f>IFERROR(_xlfn.XLOOKUP(tabExam[[#This Row],[Unique ID]], tblMaster[Unique ID], tblMaster[First Name], ""), "")</f>
        <v xml:space="preserve">Yissel </v>
      </c>
      <c r="C196" t="str">
        <f>IFERROR(_xlfn.XLOOKUP(tabExam[[#This Row],[Unique ID]], tblMaster[Unique ID], tblMaster[Last Name], ""), "")</f>
        <v xml:space="preserve">Vargas </v>
      </c>
      <c r="D196" t="str">
        <f>IFERROR(_xlfn.XLOOKUP(tabExam[[#This Row],[Unique ID]], tblMaster[Unique ID], tblMaster[Email_Clean], ""), "")</f>
        <v>yissy66@yahoo.com</v>
      </c>
      <c r="E196" t="str">
        <f>IFERROR(_xlfn.XLOOKUP(tabExam[[#This Row],[Unique ID]], tblMaster[Unique ID], tblMaster[Phone], ""), "")</f>
        <v>540-209-7283</v>
      </c>
      <c r="F196" t="str">
        <f>IFERROR(_xlfn.XLOOKUP(tabExam[[#This Row],[Unique ID]], tblMaster[Unique ID], tblMaster[Recruiter], ""), "")</f>
        <v xml:space="preserve">Jevon Brown Simpson </v>
      </c>
      <c r="G196" t="str">
        <f>IFERROR(_xlfn.XLOOKUP(tabExam[[#This Row],[Unique ID]], tblMaster[Unique ID], tblMaster[Recruitment Cycle], ""), "")</f>
        <v xml:space="preserve">Re-Engagment/Post Civil Service Exam </v>
      </c>
      <c r="H196" t="s">
        <v>8164</v>
      </c>
      <c r="I196">
        <v>2025</v>
      </c>
      <c r="J196" t="s">
        <v>7446</v>
      </c>
      <c r="K196" t="s">
        <v>8277</v>
      </c>
      <c r="L196" t="s">
        <v>8154</v>
      </c>
      <c r="Q196" t="str">
        <f ca="1">IF(tabExam[[#This Row],[Log Date]]="","",TODAY()-tabExam[[#This Row],[Log Date]])</f>
        <v/>
      </c>
      <c r="R196" t="str">
        <f>IF(tabExam[[#This Row],[Log Date]]="","",IF(TRIM(tabExam[[#This Row],[Exam Cycle Stage]])="Asked to be removed from database","NO","YES"))</f>
        <v/>
      </c>
      <c r="S1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7" spans="1:19">
      <c r="A197" t="s">
        <v>8338</v>
      </c>
      <c r="B197" t="str">
        <f>IFERROR(_xlfn.XLOOKUP(tabExam[[#This Row],[Unique ID]], tblMaster[Unique ID], tblMaster[First Name], ""), "")</f>
        <v>Randy</v>
      </c>
      <c r="C197" t="str">
        <f>IFERROR(_xlfn.XLOOKUP(tabExam[[#This Row],[Unique ID]], tblMaster[Unique ID], tblMaster[Last Name], ""), "")</f>
        <v>Pena</v>
      </c>
      <c r="D197" t="str">
        <f>IFERROR(_xlfn.XLOOKUP(tabExam[[#This Row],[Unique ID]], tblMaster[Unique ID], tblMaster[Email_Clean], ""), "")</f>
        <v>penar278@gmail.com</v>
      </c>
      <c r="E197" t="str">
        <f>IFERROR(_xlfn.XLOOKUP(tabExam[[#This Row],[Unique ID]], tblMaster[Unique ID], tblMaster[Phone], ""), "")</f>
        <v>(857) 284-9468</v>
      </c>
      <c r="F197" t="str">
        <f>IFERROR(_xlfn.XLOOKUP(tabExam[[#This Row],[Unique ID]], tblMaster[Unique ID], tblMaster[Recruiter], ""), "")</f>
        <v xml:space="preserve">Tom Clark </v>
      </c>
      <c r="G197" t="str">
        <f>IFERROR(_xlfn.XLOOKUP(tabExam[[#This Row],[Unique ID]], tblMaster[Unique ID], tblMaster[Recruitment Cycle], ""), "")</f>
        <v xml:space="preserve">Re-Engagment/Post Civil Service Exam </v>
      </c>
      <c r="H197" t="s">
        <v>8164</v>
      </c>
      <c r="I197">
        <v>2025</v>
      </c>
      <c r="J197" t="s">
        <v>7446</v>
      </c>
      <c r="K197" t="s">
        <v>8277</v>
      </c>
      <c r="L197" t="s">
        <v>8154</v>
      </c>
      <c r="M197" t="s">
        <v>7464</v>
      </c>
      <c r="O197" s="2">
        <v>46063</v>
      </c>
      <c r="Q197">
        <f ca="1">IF(tabExam[[#This Row],[Log Date]]="","",TODAY()-tabExam[[#This Row],[Log Date]])</f>
        <v>16</v>
      </c>
      <c r="R197" t="str">
        <f>IF(tabExam[[#This Row],[Log Date]]="","",IF(TRIM(tabExam[[#This Row],[Exam Cycle Stage]])="Asked to be removed from database","NO","YES"))</f>
        <v>YES</v>
      </c>
      <c r="S19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8" spans="1:19">
      <c r="A198" t="s">
        <v>8339</v>
      </c>
      <c r="B198" t="str">
        <f>IFERROR(_xlfn.XLOOKUP(tabExam[[#This Row],[Unique ID]], tblMaster[Unique ID], tblMaster[First Name], ""), "")</f>
        <v xml:space="preserve">Gifty </v>
      </c>
      <c r="C198" t="str">
        <f>IFERROR(_xlfn.XLOOKUP(tabExam[[#This Row],[Unique ID]], tblMaster[Unique ID], tblMaster[Last Name], ""), "")</f>
        <v xml:space="preserve">Oppong </v>
      </c>
      <c r="D198" t="str">
        <f>IFERROR(_xlfn.XLOOKUP(tabExam[[#This Row],[Unique ID]], tblMaster[Unique ID], tblMaster[Email_Clean], ""), "")</f>
        <v>ggoppong@gmail.com</v>
      </c>
      <c r="E198" t="str">
        <f>IFERROR(_xlfn.XLOOKUP(tabExam[[#This Row],[Unique ID]], tblMaster[Unique ID], tblMaster[Phone], ""), "")</f>
        <v xml:space="preserve">(860) 810-2485 </v>
      </c>
      <c r="F198" t="str">
        <f>IFERROR(_xlfn.XLOOKUP(tabExam[[#This Row],[Unique ID]], tblMaster[Unique ID], tblMaster[Recruiter], ""), "")</f>
        <v>Zenon Moses</v>
      </c>
      <c r="G198" t="str">
        <f>IFERROR(_xlfn.XLOOKUP(tabExam[[#This Row],[Unique ID]], tblMaster[Unique ID], tblMaster[Recruitment Cycle], ""), "")</f>
        <v xml:space="preserve">Re-Engagment/Post Civil Service Exam </v>
      </c>
      <c r="H198" t="s">
        <v>8164</v>
      </c>
      <c r="I198">
        <v>2025</v>
      </c>
      <c r="J198" t="s">
        <v>7446</v>
      </c>
      <c r="K198" t="s">
        <v>8277</v>
      </c>
      <c r="L198" t="s">
        <v>8154</v>
      </c>
      <c r="Q198" t="str">
        <f ca="1">IF(tabExam[[#This Row],[Log Date]]="","",TODAY()-tabExam[[#This Row],[Log Date]])</f>
        <v/>
      </c>
      <c r="R198" t="str">
        <f>IF(tabExam[[#This Row],[Log Date]]="","",IF(TRIM(tabExam[[#This Row],[Exam Cycle Stage]])="Asked to be removed from database","NO","YES"))</f>
        <v/>
      </c>
      <c r="S1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199" spans="1:19">
      <c r="A199" t="s">
        <v>8340</v>
      </c>
      <c r="B199" t="str">
        <f>IFERROR(_xlfn.XLOOKUP(tabExam[[#This Row],[Unique ID]], tblMaster[Unique ID], tblMaster[First Name], ""), "")</f>
        <v xml:space="preserve">Seddiqa </v>
      </c>
      <c r="C199" t="str">
        <f>IFERROR(_xlfn.XLOOKUP(tabExam[[#This Row],[Unique ID]], tblMaster[Unique ID], tblMaster[Last Name], ""), "")</f>
        <v xml:space="preserve">Mohammad Hussein </v>
      </c>
      <c r="D199" t="str">
        <f>IFERROR(_xlfn.XLOOKUP(tabExam[[#This Row],[Unique ID]], tblMaster[Unique ID], tblMaster[Email_Clean], ""), "")</f>
        <v>rseddiqa@gmail.com</v>
      </c>
      <c r="E199" t="str">
        <f>IFERROR(_xlfn.XLOOKUP(tabExam[[#This Row],[Unique ID]], tblMaster[Unique ID], tblMaster[Phone], ""), "")</f>
        <v>551-689-1059</v>
      </c>
      <c r="F199" t="str">
        <f>IFERROR(_xlfn.XLOOKUP(tabExam[[#This Row],[Unique ID]], tblMaster[Unique ID], tblMaster[Recruiter], ""), "")</f>
        <v xml:space="preserve">Jevon Brown Simpson </v>
      </c>
      <c r="G199" t="str">
        <f>IFERROR(_xlfn.XLOOKUP(tabExam[[#This Row],[Unique ID]], tblMaster[Unique ID], tblMaster[Recruitment Cycle], ""), "")</f>
        <v xml:space="preserve">Re-Engagment/Post Civil Service Exam </v>
      </c>
      <c r="H199" t="s">
        <v>8164</v>
      </c>
      <c r="I199">
        <v>2025</v>
      </c>
      <c r="J199" t="s">
        <v>7446</v>
      </c>
      <c r="K199" t="s">
        <v>8277</v>
      </c>
      <c r="L199" t="s">
        <v>8154</v>
      </c>
      <c r="Q199" t="str">
        <f ca="1">IF(tabExam[[#This Row],[Log Date]]="","",TODAY()-tabExam[[#This Row],[Log Date]])</f>
        <v/>
      </c>
      <c r="R199" t="str">
        <f>IF(tabExam[[#This Row],[Log Date]]="","",IF(TRIM(tabExam[[#This Row],[Exam Cycle Stage]])="Asked to be removed from database","NO","YES"))</f>
        <v/>
      </c>
      <c r="S1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0" spans="1:19">
      <c r="A200" t="s">
        <v>8341</v>
      </c>
      <c r="B200" t="str">
        <f>IFERROR(_xlfn.XLOOKUP(tabExam[[#This Row],[Unique ID]], tblMaster[Unique ID], tblMaster[First Name], ""), "")</f>
        <v xml:space="preserve">Bryancain </v>
      </c>
      <c r="C200" t="str">
        <f>IFERROR(_xlfn.XLOOKUP(tabExam[[#This Row],[Unique ID]], tblMaster[Unique ID], tblMaster[Last Name], ""), "")</f>
        <v xml:space="preserve"> Bresnihan </v>
      </c>
      <c r="D200" t="str">
        <f>IFERROR(_xlfn.XLOOKUP(tabExam[[#This Row],[Unique ID]], tblMaster[Unique ID], tblMaster[Email_Clean], ""), "")</f>
        <v>bryancainbresnihan@gmail.com</v>
      </c>
      <c r="E200" t="str">
        <f>IFERROR(_xlfn.XLOOKUP(tabExam[[#This Row],[Unique ID]], tblMaster[Unique ID], tblMaster[Phone], ""), "")</f>
        <v xml:space="preserve">(857) 693-1084 </v>
      </c>
      <c r="F200" t="str">
        <f>IFERROR(_xlfn.XLOOKUP(tabExam[[#This Row],[Unique ID]], tblMaster[Unique ID], tblMaster[Recruiter], ""), "")</f>
        <v xml:space="preserve">Tom Clark </v>
      </c>
      <c r="G200" t="str">
        <f>IFERROR(_xlfn.XLOOKUP(tabExam[[#This Row],[Unique ID]], tblMaster[Unique ID], tblMaster[Recruitment Cycle], ""), "")</f>
        <v xml:space="preserve">Re-Engagment/Post Civil Service Exam </v>
      </c>
      <c r="H200" t="s">
        <v>8164</v>
      </c>
      <c r="I200">
        <v>2025</v>
      </c>
      <c r="J200" t="s">
        <v>7446</v>
      </c>
      <c r="K200" t="s">
        <v>8277</v>
      </c>
      <c r="L200" t="s">
        <v>8154</v>
      </c>
      <c r="M200" t="s">
        <v>7464</v>
      </c>
      <c r="O200" s="2">
        <v>46063</v>
      </c>
      <c r="Q200">
        <f ca="1">IF(tabExam[[#This Row],[Log Date]]="","",TODAY()-tabExam[[#This Row],[Log Date]])</f>
        <v>16</v>
      </c>
      <c r="R200" t="str">
        <f>IF(tabExam[[#This Row],[Log Date]]="","",IF(TRIM(tabExam[[#This Row],[Exam Cycle Stage]])="Asked to be removed from database","NO","YES"))</f>
        <v>YES</v>
      </c>
      <c r="S20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1" spans="1:19">
      <c r="A201" t="s">
        <v>8342</v>
      </c>
      <c r="B201" t="str">
        <f>IFERROR(_xlfn.XLOOKUP(tabExam[[#This Row],[Unique ID]], tblMaster[Unique ID], tblMaster[First Name], ""), "")</f>
        <v xml:space="preserve">Tommie </v>
      </c>
      <c r="C201" t="str">
        <f>IFERROR(_xlfn.XLOOKUP(tabExam[[#This Row],[Unique ID]], tblMaster[Unique ID], tblMaster[Last Name], ""), "")</f>
        <v>Collins</v>
      </c>
      <c r="D201" t="str">
        <f>IFERROR(_xlfn.XLOOKUP(tabExam[[#This Row],[Unique ID]], tblMaster[Unique ID], tblMaster[Email_Clean], ""), "")</f>
        <v>nymiah86@gmail.com</v>
      </c>
      <c r="E201" t="str">
        <f>IFERROR(_xlfn.XLOOKUP(tabExam[[#This Row],[Unique ID]], tblMaster[Unique ID], tblMaster[Phone], ""), "")</f>
        <v>508-685-6900</v>
      </c>
      <c r="F201" t="str">
        <f>IFERROR(_xlfn.XLOOKUP(tabExam[[#This Row],[Unique ID]], tblMaster[Unique ID], tblMaster[Recruiter], ""), "")</f>
        <v>Zenon Moses</v>
      </c>
      <c r="G201" t="str">
        <f>IFERROR(_xlfn.XLOOKUP(tabExam[[#This Row],[Unique ID]], tblMaster[Unique ID], tblMaster[Recruitment Cycle], ""), "")</f>
        <v xml:space="preserve">Re-Engagment/Post Civil Service Exam </v>
      </c>
      <c r="H201" t="s">
        <v>8164</v>
      </c>
      <c r="I201">
        <v>2025</v>
      </c>
      <c r="J201" t="s">
        <v>7446</v>
      </c>
      <c r="K201" t="s">
        <v>8277</v>
      </c>
      <c r="L201" t="s">
        <v>8154</v>
      </c>
      <c r="Q201" t="str">
        <f ca="1">IF(tabExam[[#This Row],[Log Date]]="","",TODAY()-tabExam[[#This Row],[Log Date]])</f>
        <v/>
      </c>
      <c r="R201" t="str">
        <f>IF(tabExam[[#This Row],[Log Date]]="","",IF(TRIM(tabExam[[#This Row],[Exam Cycle Stage]])="Asked to be removed from database","NO","YES"))</f>
        <v/>
      </c>
      <c r="S2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2" spans="1:19">
      <c r="A202" t="s">
        <v>8343</v>
      </c>
      <c r="B202" t="str">
        <f>IFERROR(_xlfn.XLOOKUP(tabExam[[#This Row],[Unique ID]], tblMaster[Unique ID], tblMaster[First Name], ""), "")</f>
        <v xml:space="preserve">Neidy </v>
      </c>
      <c r="C202" t="str">
        <f>IFERROR(_xlfn.XLOOKUP(tabExam[[#This Row],[Unique ID]], tblMaster[Unique ID], tblMaster[Last Name], ""), "")</f>
        <v>Gomes Teixeira</v>
      </c>
      <c r="D202" t="str">
        <f>IFERROR(_xlfn.XLOOKUP(tabExam[[#This Row],[Unique ID]], tblMaster[Unique ID], tblMaster[Email_Clean], ""), "")</f>
        <v>neigomesteixeira@gmail.com</v>
      </c>
      <c r="E202" t="str">
        <f>IFERROR(_xlfn.XLOOKUP(tabExam[[#This Row],[Unique ID]], tblMaster[Unique ID], tblMaster[Phone], ""), "")</f>
        <v>( 857) 544-4293 </v>
      </c>
      <c r="F202" t="str">
        <f>IFERROR(_xlfn.XLOOKUP(tabExam[[#This Row],[Unique ID]], tblMaster[Unique ID], tblMaster[Recruiter], ""), "")</f>
        <v>Zenon Moses</v>
      </c>
      <c r="G202" t="str">
        <f>IFERROR(_xlfn.XLOOKUP(tabExam[[#This Row],[Unique ID]], tblMaster[Unique ID], tblMaster[Recruitment Cycle], ""), "")</f>
        <v xml:space="preserve">Re-Engagment/Post Civil Service Exam </v>
      </c>
      <c r="H202" t="s">
        <v>8164</v>
      </c>
      <c r="I202">
        <v>2025</v>
      </c>
      <c r="J202" t="s">
        <v>7446</v>
      </c>
      <c r="K202" t="s">
        <v>8277</v>
      </c>
      <c r="L202" t="s">
        <v>8154</v>
      </c>
      <c r="Q202" t="str">
        <f ca="1">IF(tabExam[[#This Row],[Log Date]]="","",TODAY()-tabExam[[#This Row],[Log Date]])</f>
        <v/>
      </c>
      <c r="R202" t="str">
        <f>IF(tabExam[[#This Row],[Log Date]]="","",IF(TRIM(tabExam[[#This Row],[Exam Cycle Stage]])="Asked to be removed from database","NO","YES"))</f>
        <v/>
      </c>
      <c r="S2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3" spans="1:19">
      <c r="A203" t="s">
        <v>8344</v>
      </c>
      <c r="B203" t="str">
        <f>IFERROR(_xlfn.XLOOKUP(tabExam[[#This Row],[Unique ID]], tblMaster[Unique ID], tblMaster[First Name], ""), "")</f>
        <v xml:space="preserve">Jayleen </v>
      </c>
      <c r="C203" t="str">
        <f>IFERROR(_xlfn.XLOOKUP(tabExam[[#This Row],[Unique ID]], tblMaster[Unique ID], tblMaster[Last Name], ""), "")</f>
        <v>Ramirez</v>
      </c>
      <c r="D203" t="str">
        <f>IFERROR(_xlfn.XLOOKUP(tabExam[[#This Row],[Unique ID]], tblMaster[Unique ID], tblMaster[Email_Clean], ""), "")</f>
        <v>rcamile01@gmail.com</v>
      </c>
      <c r="E203" t="str">
        <f>IFERROR(_xlfn.XLOOKUP(tabExam[[#This Row],[Unique ID]], tblMaster[Unique ID], tblMaster[Phone], ""), "")</f>
        <v>774-778-3643</v>
      </c>
      <c r="F203" t="str">
        <f>IFERROR(_xlfn.XLOOKUP(tabExam[[#This Row],[Unique ID]], tblMaster[Unique ID], tblMaster[Recruiter], ""), "")</f>
        <v xml:space="preserve">Tom Clark </v>
      </c>
      <c r="G203" t="str">
        <f>IFERROR(_xlfn.XLOOKUP(tabExam[[#This Row],[Unique ID]], tblMaster[Unique ID], tblMaster[Recruitment Cycle], ""), "")</f>
        <v xml:space="preserve">Re-Engagment/Post Civil Service Exam </v>
      </c>
      <c r="H203" t="s">
        <v>8164</v>
      </c>
      <c r="I203">
        <v>2025</v>
      </c>
      <c r="J203" t="s">
        <v>7446</v>
      </c>
      <c r="K203" t="s">
        <v>8277</v>
      </c>
      <c r="L203" t="s">
        <v>8154</v>
      </c>
      <c r="M203" t="s">
        <v>7464</v>
      </c>
      <c r="O203" s="2">
        <v>46063</v>
      </c>
      <c r="Q203">
        <f ca="1">IF(tabExam[[#This Row],[Log Date]]="","",TODAY()-tabExam[[#This Row],[Log Date]])</f>
        <v>16</v>
      </c>
      <c r="R203" t="str">
        <f>IF(tabExam[[#This Row],[Log Date]]="","",IF(TRIM(tabExam[[#This Row],[Exam Cycle Stage]])="Asked to be removed from database","NO","YES"))</f>
        <v>YES</v>
      </c>
      <c r="S20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4" spans="1:19">
      <c r="B204" t="str">
        <f>IFERROR(_xlfn.XLOOKUP(tabExam[[#This Row],[Unique ID]], tblMaster[Unique ID], tblMaster[First Name], ""), "")</f>
        <v/>
      </c>
      <c r="C204" t="str">
        <f>IFERROR(_xlfn.XLOOKUP(tabExam[[#This Row],[Unique ID]], tblMaster[Unique ID], tblMaster[Last Name], ""), "")</f>
        <v/>
      </c>
      <c r="D204" t="str">
        <f>IFERROR(_xlfn.XLOOKUP(tabExam[[#This Row],[Unique ID]], tblMaster[Unique ID], tblMaster[Email_Clean], ""), "")</f>
        <v/>
      </c>
      <c r="E204" t="str">
        <f>IFERROR(_xlfn.XLOOKUP(tabExam[[#This Row],[Unique ID]], tblMaster[Unique ID], tblMaster[Phone], ""), "")</f>
        <v/>
      </c>
      <c r="F204" t="str">
        <f>IFERROR(_xlfn.XLOOKUP(tabExam[[#This Row],[Unique ID]], tblMaster[Unique ID], tblMaster[Recruiter], ""), "")</f>
        <v/>
      </c>
      <c r="G204" t="str">
        <f>IFERROR(_xlfn.XLOOKUP(tabExam[[#This Row],[Unique ID]], tblMaster[Unique ID], tblMaster[Recruitment Cycle], ""), "")</f>
        <v/>
      </c>
      <c r="H204" t="s">
        <v>8164</v>
      </c>
      <c r="I204">
        <v>2025</v>
      </c>
      <c r="J204" t="s">
        <v>7446</v>
      </c>
      <c r="K204" t="s">
        <v>8277</v>
      </c>
      <c r="Q204" t="str">
        <f ca="1">IF(tabExam[[#This Row],[Log Date]]="","",TODAY()-tabExam[[#This Row],[Log Date]])</f>
        <v/>
      </c>
      <c r="R204" t="str">
        <f>IF(tabExam[[#This Row],[Log Date]]="","",IF(TRIM(tabExam[[#This Row],[Exam Cycle Stage]])="Asked to be removed from database","NO","YES"))</f>
        <v/>
      </c>
      <c r="S2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5" spans="1:19">
      <c r="A205" t="s">
        <v>8345</v>
      </c>
      <c r="B205" t="str">
        <f>IFERROR(_xlfn.XLOOKUP(tabExam[[#This Row],[Unique ID]], tblMaster[Unique ID], tblMaster[First Name], ""), "")</f>
        <v xml:space="preserve">Angela </v>
      </c>
      <c r="C205" t="str">
        <f>IFERROR(_xlfn.XLOOKUP(tabExam[[#This Row],[Unique ID]], tblMaster[Unique ID], tblMaster[Last Name], ""), "")</f>
        <v>Waldrop</v>
      </c>
      <c r="D205" t="str">
        <f>IFERROR(_xlfn.XLOOKUP(tabExam[[#This Row],[Unique ID]], tblMaster[Unique ID], tblMaster[Email_Clean], ""), "")</f>
        <v>angelawaldrop0428@gmail.com</v>
      </c>
      <c r="E205" t="str">
        <f>IFERROR(_xlfn.XLOOKUP(tabExam[[#This Row],[Unique ID]], tblMaster[Unique ID], tblMaster[Phone], ""), "")</f>
        <v>810 660 0050</v>
      </c>
      <c r="F205" t="str">
        <f>IFERROR(_xlfn.XLOOKUP(tabExam[[#This Row],[Unique ID]], tblMaster[Unique ID], tblMaster[Recruiter], ""), "")</f>
        <v xml:space="preserve">Jevon Brown Simpson </v>
      </c>
      <c r="G205" t="str">
        <f>IFERROR(_xlfn.XLOOKUP(tabExam[[#This Row],[Unique ID]], tblMaster[Unique ID], tblMaster[Recruitment Cycle], ""), "")</f>
        <v xml:space="preserve">Re-Engagment/Post Civil Service Exam </v>
      </c>
      <c r="H205" t="s">
        <v>8164</v>
      </c>
      <c r="I205">
        <v>2025</v>
      </c>
      <c r="J205" t="s">
        <v>7446</v>
      </c>
      <c r="K205" t="s">
        <v>8277</v>
      </c>
      <c r="Q205" t="str">
        <f ca="1">IF(tabExam[[#This Row],[Log Date]]="","",TODAY()-tabExam[[#This Row],[Log Date]])</f>
        <v/>
      </c>
      <c r="R205" t="str">
        <f>IF(tabExam[[#This Row],[Log Date]]="","",IF(TRIM(tabExam[[#This Row],[Exam Cycle Stage]])="Asked to be removed from database","NO","YES"))</f>
        <v/>
      </c>
      <c r="S2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6" spans="1:19">
      <c r="A206" t="s">
        <v>8346</v>
      </c>
      <c r="B206" t="str">
        <f>IFERROR(_xlfn.XLOOKUP(tabExam[[#This Row],[Unique ID]], tblMaster[Unique ID], tblMaster[First Name], ""), "")</f>
        <v>Dimitry</v>
      </c>
      <c r="C206" t="str">
        <f>IFERROR(_xlfn.XLOOKUP(tabExam[[#This Row],[Unique ID]], tblMaster[Unique ID], tblMaster[Last Name], ""), "")</f>
        <v>Goin</v>
      </c>
      <c r="D206" t="str">
        <f>IFERROR(_xlfn.XLOOKUP(tabExam[[#This Row],[Unique ID]], tblMaster[Unique ID], tblMaster[Email_Clean], ""), "")</f>
        <v>dimitrygoin@gmail.com</v>
      </c>
      <c r="E206" t="str">
        <f>IFERROR(_xlfn.XLOOKUP(tabExam[[#This Row],[Unique ID]], tblMaster[Unique ID], tblMaster[Phone], ""), "")</f>
        <v>781-492-9330</v>
      </c>
      <c r="F206" t="str">
        <f>IFERROR(_xlfn.XLOOKUP(tabExam[[#This Row],[Unique ID]], tblMaster[Unique ID], tblMaster[Recruiter], ""), "")</f>
        <v xml:space="preserve">Tom Clark </v>
      </c>
      <c r="G206" t="str">
        <f>IFERROR(_xlfn.XLOOKUP(tabExam[[#This Row],[Unique ID]], tblMaster[Unique ID], tblMaster[Recruitment Cycle], ""), "")</f>
        <v xml:space="preserve">Re-Engagment/Post Civil Service Exam </v>
      </c>
      <c r="H206" t="s">
        <v>8164</v>
      </c>
      <c r="I206">
        <v>2025</v>
      </c>
      <c r="J206" t="s">
        <v>7446</v>
      </c>
      <c r="K206" t="s">
        <v>8277</v>
      </c>
      <c r="M206" t="s">
        <v>7464</v>
      </c>
      <c r="O206" s="2">
        <v>46063</v>
      </c>
      <c r="Q206">
        <f ca="1">IF(tabExam[[#This Row],[Log Date]]="","",TODAY()-tabExam[[#This Row],[Log Date]])</f>
        <v>16</v>
      </c>
      <c r="R206" t="str">
        <f>IF(tabExam[[#This Row],[Log Date]]="","",IF(TRIM(tabExam[[#This Row],[Exam Cycle Stage]])="Asked to be removed from database","NO","YES"))</f>
        <v>YES</v>
      </c>
      <c r="S20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7" spans="1:19">
      <c r="A207" t="s">
        <v>8347</v>
      </c>
      <c r="B207" t="str">
        <f>IFERROR(_xlfn.XLOOKUP(tabExam[[#This Row],[Unique ID]], tblMaster[Unique ID], tblMaster[First Name], ""), "")</f>
        <v xml:space="preserve">Jade </v>
      </c>
      <c r="C207" t="str">
        <f>IFERROR(_xlfn.XLOOKUP(tabExam[[#This Row],[Unique ID]], tblMaster[Unique ID], tblMaster[Last Name], ""), "")</f>
        <v xml:space="preserve">Johnson </v>
      </c>
      <c r="D207" t="str">
        <f>IFERROR(_xlfn.XLOOKUP(tabExam[[#This Row],[Unique ID]], tblMaster[Unique ID], tblMaster[Email_Clean], ""), "")</f>
        <v>jjada2680@gmail.com</v>
      </c>
      <c r="E207" t="str">
        <f>IFERROR(_xlfn.XLOOKUP(tabExam[[#This Row],[Unique ID]], tblMaster[Unique ID], tblMaster[Phone], ""), "")</f>
        <v>857-269-4619</v>
      </c>
      <c r="F207" t="str">
        <f>IFERROR(_xlfn.XLOOKUP(tabExam[[#This Row],[Unique ID]], tblMaster[Unique ID], tblMaster[Recruiter], ""), "")</f>
        <v xml:space="preserve">Jevon Brown Simpson </v>
      </c>
      <c r="G207" t="str">
        <f>IFERROR(_xlfn.XLOOKUP(tabExam[[#This Row],[Unique ID]], tblMaster[Unique ID], tblMaster[Recruitment Cycle], ""), "")</f>
        <v xml:space="preserve">Re-Engagment/Post Civil Service Exam </v>
      </c>
      <c r="H207" t="s">
        <v>8164</v>
      </c>
      <c r="I207">
        <v>2025</v>
      </c>
      <c r="J207" t="s">
        <v>7446</v>
      </c>
      <c r="K207" t="s">
        <v>8277</v>
      </c>
      <c r="Q207" t="str">
        <f ca="1">IF(tabExam[[#This Row],[Log Date]]="","",TODAY()-tabExam[[#This Row],[Log Date]])</f>
        <v/>
      </c>
      <c r="R207" t="str">
        <f>IF(tabExam[[#This Row],[Log Date]]="","",IF(TRIM(tabExam[[#This Row],[Exam Cycle Stage]])="Asked to be removed from database","NO","YES"))</f>
        <v/>
      </c>
      <c r="S2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8" spans="1:19">
      <c r="B208" t="str">
        <f>IFERROR(_xlfn.XLOOKUP(tabExam[[#This Row],[Unique ID]], tblMaster[Unique ID], tblMaster[First Name], ""), "")</f>
        <v/>
      </c>
      <c r="C208" t="str">
        <f>IFERROR(_xlfn.XLOOKUP(tabExam[[#This Row],[Unique ID]], tblMaster[Unique ID], tblMaster[Last Name], ""), "")</f>
        <v/>
      </c>
      <c r="D208" t="str">
        <f>IFERROR(_xlfn.XLOOKUP(tabExam[[#This Row],[Unique ID]], tblMaster[Unique ID], tblMaster[Email_Clean], ""), "")</f>
        <v/>
      </c>
      <c r="E208" t="str">
        <f>IFERROR(_xlfn.XLOOKUP(tabExam[[#This Row],[Unique ID]], tblMaster[Unique ID], tblMaster[Phone], ""), "")</f>
        <v/>
      </c>
      <c r="F208" t="str">
        <f>IFERROR(_xlfn.XLOOKUP(tabExam[[#This Row],[Unique ID]], tblMaster[Unique ID], tblMaster[Recruiter], ""), "")</f>
        <v/>
      </c>
      <c r="G208" t="str">
        <f>IFERROR(_xlfn.XLOOKUP(tabExam[[#This Row],[Unique ID]], tblMaster[Unique ID], tblMaster[Recruitment Cycle], ""), "")</f>
        <v/>
      </c>
      <c r="H208" t="s">
        <v>8164</v>
      </c>
      <c r="I208">
        <v>2025</v>
      </c>
      <c r="J208" t="s">
        <v>7446</v>
      </c>
      <c r="K208" t="s">
        <v>8277</v>
      </c>
      <c r="Q208" t="str">
        <f ca="1">IF(tabExam[[#This Row],[Log Date]]="","",TODAY()-tabExam[[#This Row],[Log Date]])</f>
        <v/>
      </c>
      <c r="R208" t="str">
        <f>IF(tabExam[[#This Row],[Log Date]]="","",IF(TRIM(tabExam[[#This Row],[Exam Cycle Stage]])="Asked to be removed from database","NO","YES"))</f>
        <v/>
      </c>
      <c r="S2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09" spans="1:19">
      <c r="B209" t="str">
        <f>IFERROR(_xlfn.XLOOKUP(tabExam[[#This Row],[Unique ID]], tblMaster[Unique ID], tblMaster[First Name], ""), "")</f>
        <v/>
      </c>
      <c r="C209" t="str">
        <f>IFERROR(_xlfn.XLOOKUP(tabExam[[#This Row],[Unique ID]], tblMaster[Unique ID], tblMaster[Last Name], ""), "")</f>
        <v/>
      </c>
      <c r="D209" t="str">
        <f>IFERROR(_xlfn.XLOOKUP(tabExam[[#This Row],[Unique ID]], tblMaster[Unique ID], tblMaster[Email_Clean], ""), "")</f>
        <v/>
      </c>
      <c r="E209" t="str">
        <f>IFERROR(_xlfn.XLOOKUP(tabExam[[#This Row],[Unique ID]], tblMaster[Unique ID], tblMaster[Phone], ""), "")</f>
        <v/>
      </c>
      <c r="F209" t="str">
        <f>IFERROR(_xlfn.XLOOKUP(tabExam[[#This Row],[Unique ID]], tblMaster[Unique ID], tblMaster[Recruiter], ""), "")</f>
        <v/>
      </c>
      <c r="G209" t="str">
        <f>IFERROR(_xlfn.XLOOKUP(tabExam[[#This Row],[Unique ID]], tblMaster[Unique ID], tblMaster[Recruitment Cycle], ""), "")</f>
        <v/>
      </c>
      <c r="H209" t="s">
        <v>8164</v>
      </c>
      <c r="I209">
        <v>2025</v>
      </c>
      <c r="J209" t="s">
        <v>7446</v>
      </c>
      <c r="K209" t="s">
        <v>8277</v>
      </c>
      <c r="Q209" t="str">
        <f ca="1">IF(tabExam[[#This Row],[Log Date]]="","",TODAY()-tabExam[[#This Row],[Log Date]])</f>
        <v/>
      </c>
      <c r="R209" t="str">
        <f>IF(tabExam[[#This Row],[Log Date]]="","",IF(TRIM(tabExam[[#This Row],[Exam Cycle Stage]])="Asked to be removed from database","NO","YES"))</f>
        <v/>
      </c>
      <c r="S2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0" spans="1:19">
      <c r="A210" t="s">
        <v>8348</v>
      </c>
      <c r="B210" t="str">
        <f>IFERROR(_xlfn.XLOOKUP(tabExam[[#This Row],[Unique ID]], tblMaster[Unique ID], tblMaster[First Name], ""), "")</f>
        <v>Kerlin</v>
      </c>
      <c r="C210" t="str">
        <f>IFERROR(_xlfn.XLOOKUP(tabExam[[#This Row],[Unique ID]], tblMaster[Unique ID], tblMaster[Last Name], ""), "")</f>
        <v>Julmice</v>
      </c>
      <c r="D210" t="str">
        <f>IFERROR(_xlfn.XLOOKUP(tabExam[[#This Row],[Unique ID]], tblMaster[Unique ID], tblMaster[Email_Clean], ""), "")</f>
        <v>kerlinjulmice1207@gmail.com</v>
      </c>
      <c r="E210" t="str">
        <f>IFERROR(_xlfn.XLOOKUP(tabExam[[#This Row],[Unique ID]], tblMaster[Unique ID], tblMaster[Phone], ""), "")</f>
        <v>857-615-9974</v>
      </c>
      <c r="F210" t="str">
        <f>IFERROR(_xlfn.XLOOKUP(tabExam[[#This Row],[Unique ID]], tblMaster[Unique ID], tblMaster[Recruiter], ""), "")</f>
        <v xml:space="preserve">Jevon Brown Simpson </v>
      </c>
      <c r="G210" t="str">
        <f>IFERROR(_xlfn.XLOOKUP(tabExam[[#This Row],[Unique ID]], tblMaster[Unique ID], tblMaster[Recruitment Cycle], ""), "")</f>
        <v xml:space="preserve">Re-Engagment/Post Civil Service Exam </v>
      </c>
      <c r="H210" t="s">
        <v>8164</v>
      </c>
      <c r="I210">
        <v>2025</v>
      </c>
      <c r="J210" t="s">
        <v>7446</v>
      </c>
      <c r="K210" t="s">
        <v>8277</v>
      </c>
      <c r="Q210" t="str">
        <f ca="1">IF(tabExam[[#This Row],[Log Date]]="","",TODAY()-tabExam[[#This Row],[Log Date]])</f>
        <v/>
      </c>
      <c r="R210" t="str">
        <f>IF(tabExam[[#This Row],[Log Date]]="","",IF(TRIM(tabExam[[#This Row],[Exam Cycle Stage]])="Asked to be removed from database","NO","YES"))</f>
        <v/>
      </c>
      <c r="S2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1" spans="1:19">
      <c r="A211" t="s">
        <v>8349</v>
      </c>
      <c r="B211" t="str">
        <f>IFERROR(_xlfn.XLOOKUP(tabExam[[#This Row],[Unique ID]], tblMaster[Unique ID], tblMaster[First Name], ""), "")</f>
        <v xml:space="preserve">nelson </v>
      </c>
      <c r="C211" t="str">
        <f>IFERROR(_xlfn.XLOOKUP(tabExam[[#This Row],[Unique ID]], tblMaster[Unique ID], tblMaster[Last Name], ""), "")</f>
        <v>Tavares</v>
      </c>
      <c r="D211" t="str">
        <f>IFERROR(_xlfn.XLOOKUP(tabExam[[#This Row],[Unique ID]], tblMaster[Unique ID], tblMaster[Email_Clean], ""), "")</f>
        <v>tavares70@hotmail.com</v>
      </c>
      <c r="E211" t="str">
        <f>IFERROR(_xlfn.XLOOKUP(tabExam[[#This Row],[Unique ID]], tblMaster[Unique ID], tblMaster[Phone], ""), "")</f>
        <v>508-565-9690</v>
      </c>
      <c r="F211" t="str">
        <f>IFERROR(_xlfn.XLOOKUP(tabExam[[#This Row],[Unique ID]], tblMaster[Unique ID], tblMaster[Recruiter], ""), "")</f>
        <v xml:space="preserve">Tom Clark </v>
      </c>
      <c r="G211" t="str">
        <f>IFERROR(_xlfn.XLOOKUP(tabExam[[#This Row],[Unique ID]], tblMaster[Unique ID], tblMaster[Recruitment Cycle], ""), "")</f>
        <v xml:space="preserve">Re-Engagment/Post Civil Service Exam </v>
      </c>
      <c r="H211" t="s">
        <v>8164</v>
      </c>
      <c r="I211">
        <v>2025</v>
      </c>
      <c r="J211" t="s">
        <v>7446</v>
      </c>
      <c r="K211" t="s">
        <v>8277</v>
      </c>
      <c r="M211" t="s">
        <v>7464</v>
      </c>
      <c r="O211" s="2">
        <v>46063</v>
      </c>
      <c r="Q211">
        <f ca="1">IF(tabExam[[#This Row],[Log Date]]="","",TODAY()-tabExam[[#This Row],[Log Date]])</f>
        <v>16</v>
      </c>
      <c r="R211" t="str">
        <f>IF(tabExam[[#This Row],[Log Date]]="","",IF(TRIM(tabExam[[#This Row],[Exam Cycle Stage]])="Asked to be removed from database","NO","YES"))</f>
        <v>YES</v>
      </c>
      <c r="S21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2" spans="1:19">
      <c r="A212" t="s">
        <v>8350</v>
      </c>
      <c r="B212" t="str">
        <f>IFERROR(_xlfn.XLOOKUP(tabExam[[#This Row],[Unique ID]], tblMaster[Unique ID], tblMaster[First Name], ""), "")</f>
        <v>Moses</v>
      </c>
      <c r="C212" t="str">
        <f>IFERROR(_xlfn.XLOOKUP(tabExam[[#This Row],[Unique ID]], tblMaster[Unique ID], tblMaster[Last Name], ""), "")</f>
        <v>Maparyan</v>
      </c>
      <c r="D212" t="str">
        <f>IFERROR(_xlfn.XLOOKUP(tabExam[[#This Row],[Unique ID]], tblMaster[Unique ID], tblMaster[Email_Clean], ""), "")</f>
        <v>mosesmaparyan@gmail.com</v>
      </c>
      <c r="E212" t="str">
        <f>IFERROR(_xlfn.XLOOKUP(tabExam[[#This Row],[Unique ID]], tblMaster[Unique ID], tblMaster[Phone], ""), "")</f>
        <v>781-591-1239</v>
      </c>
      <c r="F212" t="str">
        <f>IFERROR(_xlfn.XLOOKUP(tabExam[[#This Row],[Unique ID]], tblMaster[Unique ID], tblMaster[Recruiter], ""), "")</f>
        <v>Zenon Moses</v>
      </c>
      <c r="G212" t="str">
        <f>IFERROR(_xlfn.XLOOKUP(tabExam[[#This Row],[Unique ID]], tblMaster[Unique ID], tblMaster[Recruitment Cycle], ""), "")</f>
        <v xml:space="preserve">Re-Engagment/Post Civil Service Exam </v>
      </c>
      <c r="H212" t="s">
        <v>8164</v>
      </c>
      <c r="I212">
        <v>2025</v>
      </c>
      <c r="J212" t="s">
        <v>7446</v>
      </c>
      <c r="K212" t="s">
        <v>8151</v>
      </c>
      <c r="L212" t="s">
        <v>8165</v>
      </c>
      <c r="M212" t="s">
        <v>7434</v>
      </c>
      <c r="O212" s="2">
        <v>46065</v>
      </c>
      <c r="P212" t="s">
        <v>8158</v>
      </c>
      <c r="Q212">
        <f ca="1">IF(tabExam[[#This Row],[Log Date]]="","",TODAY()-tabExam[[#This Row],[Log Date]])</f>
        <v>14</v>
      </c>
      <c r="R212" t="str">
        <f>IF(tabExam[[#This Row],[Log Date]]="","",IF(TRIM(tabExam[[#This Row],[Exam Cycle Stage]])="Asked to be removed from database","NO","YES"))</f>
        <v>YES</v>
      </c>
      <c r="S2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3" spans="1:19">
      <c r="A213" t="s">
        <v>8351</v>
      </c>
      <c r="B213" t="str">
        <f>IFERROR(_xlfn.XLOOKUP(tabExam[[#This Row],[Unique ID]], tblMaster[Unique ID], tblMaster[First Name], ""), "")</f>
        <v>Jenna</v>
      </c>
      <c r="C213" t="str">
        <f>IFERROR(_xlfn.XLOOKUP(tabExam[[#This Row],[Unique ID]], tblMaster[Unique ID], tblMaster[Last Name], ""), "")</f>
        <v>Carew</v>
      </c>
      <c r="D213" t="str">
        <f>IFERROR(_xlfn.XLOOKUP(tabExam[[#This Row],[Unique ID]], tblMaster[Unique ID], tblMaster[Email_Clean], ""), "")</f>
        <v>jennacarew3@gmail.com</v>
      </c>
      <c r="E213" t="str">
        <f>IFERROR(_xlfn.XLOOKUP(tabExam[[#This Row],[Unique ID]], tblMaster[Unique ID], tblMaster[Phone], ""), "")</f>
        <v>508-463-8682</v>
      </c>
      <c r="F213" t="str">
        <f>IFERROR(_xlfn.XLOOKUP(tabExam[[#This Row],[Unique ID]], tblMaster[Unique ID], tblMaster[Recruiter], ""), "")</f>
        <v xml:space="preserve">Jevon Brown Simpson </v>
      </c>
      <c r="G213" t="str">
        <f>IFERROR(_xlfn.XLOOKUP(tabExam[[#This Row],[Unique ID]], tblMaster[Unique ID], tblMaster[Recruitment Cycle], ""), "")</f>
        <v xml:space="preserve">Re-Engagment/Post Civil Service Exam </v>
      </c>
      <c r="H213" t="s">
        <v>8164</v>
      </c>
      <c r="I213">
        <v>2025</v>
      </c>
      <c r="J213" t="s">
        <v>7446</v>
      </c>
      <c r="K213" t="s">
        <v>8277</v>
      </c>
      <c r="Q213" t="str">
        <f ca="1">IF(tabExam[[#This Row],[Log Date]]="","",TODAY()-tabExam[[#This Row],[Log Date]])</f>
        <v/>
      </c>
      <c r="R213" t="str">
        <f>IF(tabExam[[#This Row],[Log Date]]="","",IF(TRIM(tabExam[[#This Row],[Exam Cycle Stage]])="Asked to be removed from database","NO","YES"))</f>
        <v/>
      </c>
      <c r="S2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4" spans="1:19">
      <c r="A214" t="s">
        <v>8352</v>
      </c>
      <c r="B214" t="str">
        <f>IFERROR(_xlfn.XLOOKUP(tabExam[[#This Row],[Unique ID]], tblMaster[Unique ID], tblMaster[First Name], ""), "")</f>
        <v>Williamson</v>
      </c>
      <c r="C214" t="str">
        <f>IFERROR(_xlfn.XLOOKUP(tabExam[[#This Row],[Unique ID]], tblMaster[Unique ID], tblMaster[Last Name], ""), "")</f>
        <v>Duplan</v>
      </c>
      <c r="D214" t="str">
        <f>IFERROR(_xlfn.XLOOKUP(tabExam[[#This Row],[Unique ID]], tblMaster[Unique ID], tblMaster[Email_Clean], ""), "")</f>
        <v>williamson1928@hotmail.com</v>
      </c>
      <c r="E214" t="str">
        <f>IFERROR(_xlfn.XLOOKUP(tabExam[[#This Row],[Unique ID]], tblMaster[Unique ID], tblMaster[Phone], ""), "")</f>
        <v>617-650-0610</v>
      </c>
      <c r="F214" t="str">
        <f>IFERROR(_xlfn.XLOOKUP(tabExam[[#This Row],[Unique ID]], tblMaster[Unique ID], tblMaster[Recruiter], ""), "")</f>
        <v xml:space="preserve">Tom Clark </v>
      </c>
      <c r="G214" t="str">
        <f>IFERROR(_xlfn.XLOOKUP(tabExam[[#This Row],[Unique ID]], tblMaster[Unique ID], tblMaster[Recruitment Cycle], ""), "")</f>
        <v xml:space="preserve">Re-Engagment/Post Civil Service Exam </v>
      </c>
      <c r="H214" t="s">
        <v>8164</v>
      </c>
      <c r="I214">
        <v>2025</v>
      </c>
      <c r="J214" t="s">
        <v>7446</v>
      </c>
      <c r="K214" t="s">
        <v>8277</v>
      </c>
      <c r="M214" t="s">
        <v>7464</v>
      </c>
      <c r="O214" s="2">
        <v>46063</v>
      </c>
      <c r="Q214">
        <f ca="1">IF(tabExam[[#This Row],[Log Date]]="","",TODAY()-tabExam[[#This Row],[Log Date]])</f>
        <v>16</v>
      </c>
      <c r="R214" t="str">
        <f>IF(tabExam[[#This Row],[Log Date]]="","",IF(TRIM(tabExam[[#This Row],[Exam Cycle Stage]])="Asked to be removed from database","NO","YES"))</f>
        <v>YES</v>
      </c>
      <c r="S21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5" spans="1:19">
      <c r="A215" t="s">
        <v>8353</v>
      </c>
      <c r="B215" t="str">
        <f>IFERROR(_xlfn.XLOOKUP(tabExam[[#This Row],[Unique ID]], tblMaster[Unique ID], tblMaster[First Name], ""), "")</f>
        <v>Rools</v>
      </c>
      <c r="C215" t="str">
        <f>IFERROR(_xlfn.XLOOKUP(tabExam[[#This Row],[Unique ID]], tblMaster[Unique ID], tblMaster[Last Name], ""), "")</f>
        <v>Bazile</v>
      </c>
      <c r="D215" t="str">
        <f>IFERROR(_xlfn.XLOOKUP(tabExam[[#This Row],[Unique ID]], tblMaster[Unique ID], tblMaster[Email_Clean], ""), "")</f>
        <v>sollorelizab@gmail.com</v>
      </c>
      <c r="E215" t="str">
        <f>IFERROR(_xlfn.XLOOKUP(tabExam[[#This Row],[Unique ID]], tblMaster[Unique ID], tblMaster[Phone], ""), "")</f>
        <v>508-410-1800</v>
      </c>
      <c r="F215" t="str">
        <f>IFERROR(_xlfn.XLOOKUP(tabExam[[#This Row],[Unique ID]], tblMaster[Unique ID], tblMaster[Recruiter], ""), "")</f>
        <v>Zenon Moses</v>
      </c>
      <c r="G215" t="str">
        <f>IFERROR(_xlfn.XLOOKUP(tabExam[[#This Row],[Unique ID]], tblMaster[Unique ID], tblMaster[Recruitment Cycle], ""), "")</f>
        <v xml:space="preserve">Re-Engagment/Post Civil Service Exam </v>
      </c>
      <c r="H215" t="s">
        <v>8164</v>
      </c>
      <c r="I215">
        <v>2025</v>
      </c>
      <c r="J215" t="s">
        <v>7446</v>
      </c>
      <c r="K215" t="s">
        <v>8277</v>
      </c>
      <c r="Q215" t="str">
        <f ca="1">IF(tabExam[[#This Row],[Log Date]]="","",TODAY()-tabExam[[#This Row],[Log Date]])</f>
        <v/>
      </c>
      <c r="R215" t="str">
        <f>IF(tabExam[[#This Row],[Log Date]]="","",IF(TRIM(tabExam[[#This Row],[Exam Cycle Stage]])="Asked to be removed from database","NO","YES"))</f>
        <v/>
      </c>
      <c r="S2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6" spans="1:19">
      <c r="A216" t="s">
        <v>8354</v>
      </c>
      <c r="B216" t="str">
        <f>IFERROR(_xlfn.XLOOKUP(tabExam[[#This Row],[Unique ID]], tblMaster[Unique ID], tblMaster[First Name], ""), "")</f>
        <v xml:space="preserve">Justin </v>
      </c>
      <c r="C216" t="str">
        <f>IFERROR(_xlfn.XLOOKUP(tabExam[[#This Row],[Unique ID]], tblMaster[Unique ID], tblMaster[Last Name], ""), "")</f>
        <v xml:space="preserve">Hopkins </v>
      </c>
      <c r="D216" t="str">
        <f>IFERROR(_xlfn.XLOOKUP(tabExam[[#This Row],[Unique ID]], tblMaster[Unique ID], tblMaster[Email_Clean], ""), "")</f>
        <v>hopkins.o.justin@gmail.com</v>
      </c>
      <c r="E216" t="str">
        <f>IFERROR(_xlfn.XLOOKUP(tabExam[[#This Row],[Unique ID]], tblMaster[Unique ID], tblMaster[Phone], ""), "")</f>
        <v xml:space="preserve">940)368-5674 </v>
      </c>
      <c r="F216" t="str">
        <f>IFERROR(_xlfn.XLOOKUP(tabExam[[#This Row],[Unique ID]], tblMaster[Unique ID], tblMaster[Recruiter], ""), "")</f>
        <v xml:space="preserve">Jevon Brown Simpson </v>
      </c>
      <c r="G216" t="str">
        <f>IFERROR(_xlfn.XLOOKUP(tabExam[[#This Row],[Unique ID]], tblMaster[Unique ID], tblMaster[Recruitment Cycle], ""), "")</f>
        <v xml:space="preserve">Re-Engagment/Post Civil Service Exam </v>
      </c>
      <c r="H216" t="s">
        <v>8164</v>
      </c>
      <c r="I216">
        <v>2025</v>
      </c>
      <c r="J216" t="s">
        <v>7446</v>
      </c>
      <c r="K216" t="s">
        <v>8277</v>
      </c>
      <c r="Q216" t="str">
        <f ca="1">IF(tabExam[[#This Row],[Log Date]]="","",TODAY()-tabExam[[#This Row],[Log Date]])</f>
        <v/>
      </c>
      <c r="R216" t="str">
        <f>IF(tabExam[[#This Row],[Log Date]]="","",IF(TRIM(tabExam[[#This Row],[Exam Cycle Stage]])="Asked to be removed from database","NO","YES"))</f>
        <v/>
      </c>
      <c r="S2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7" spans="1:19">
      <c r="A217" t="s">
        <v>8355</v>
      </c>
      <c r="B217" t="str">
        <f>IFERROR(_xlfn.XLOOKUP(tabExam[[#This Row],[Unique ID]], tblMaster[Unique ID], tblMaster[First Name], ""), "")</f>
        <v xml:space="preserve">Denis </v>
      </c>
      <c r="C217" t="str">
        <f>IFERROR(_xlfn.XLOOKUP(tabExam[[#This Row],[Unique ID]], tblMaster[Unique ID], tblMaster[Last Name], ""), "")</f>
        <v xml:space="preserve">Jean Charles </v>
      </c>
      <c r="D217" t="str">
        <f>IFERROR(_xlfn.XLOOKUP(tabExam[[#This Row],[Unique ID]], tblMaster[Unique ID], tblMaster[Email_Clean], ""), "")</f>
        <v>denisjcharles@hotmail.com</v>
      </c>
      <c r="E217" t="str">
        <f>IFERROR(_xlfn.XLOOKUP(tabExam[[#This Row],[Unique ID]], tblMaster[Unique ID], tblMaster[Phone], ""), "")</f>
        <v>781-600-4878</v>
      </c>
      <c r="F217" t="str">
        <f>IFERROR(_xlfn.XLOOKUP(tabExam[[#This Row],[Unique ID]], tblMaster[Unique ID], tblMaster[Recruiter], ""), "")</f>
        <v xml:space="preserve">Tom Clark </v>
      </c>
      <c r="G217" t="str">
        <f>IFERROR(_xlfn.XLOOKUP(tabExam[[#This Row],[Unique ID]], tblMaster[Unique ID], tblMaster[Recruitment Cycle], ""), "")</f>
        <v xml:space="preserve">Re-Engagment/Post Civil Service Exam </v>
      </c>
      <c r="H217" t="s">
        <v>8164</v>
      </c>
      <c r="I217">
        <v>2025</v>
      </c>
      <c r="J217" t="s">
        <v>7446</v>
      </c>
      <c r="K217" t="s">
        <v>8277</v>
      </c>
      <c r="M217" t="s">
        <v>7464</v>
      </c>
      <c r="O217" s="2">
        <v>46063</v>
      </c>
      <c r="Q217">
        <f ca="1">IF(tabExam[[#This Row],[Log Date]]="","",TODAY()-tabExam[[#This Row],[Log Date]])</f>
        <v>16</v>
      </c>
      <c r="R217" t="str">
        <f>IF(tabExam[[#This Row],[Log Date]]="","",IF(TRIM(tabExam[[#This Row],[Exam Cycle Stage]])="Asked to be removed from database","NO","YES"))</f>
        <v>YES</v>
      </c>
      <c r="S21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8" spans="1:19">
      <c r="A218" t="s">
        <v>8252</v>
      </c>
      <c r="B218" t="str">
        <f>IFERROR(_xlfn.XLOOKUP(tabExam[[#This Row],[Unique ID]], tblMaster[Unique ID], tblMaster[First Name], ""), "")</f>
        <v>Christopher</v>
      </c>
      <c r="C218" t="str">
        <f>IFERROR(_xlfn.XLOOKUP(tabExam[[#This Row],[Unique ID]], tblMaster[Unique ID], tblMaster[Last Name], ""), "")</f>
        <v>Phillips</v>
      </c>
      <c r="D218" t="str">
        <f>IFERROR(_xlfn.XLOOKUP(tabExam[[#This Row],[Unique ID]], tblMaster[Unique ID], tblMaster[Email_Clean], ""), "")</f>
        <v>christopherphillips440@gmail.com</v>
      </c>
      <c r="E218" t="str">
        <f>IFERROR(_xlfn.XLOOKUP(tabExam[[#This Row],[Unique ID]], tblMaster[Unique ID], tblMaster[Phone], ""), "")</f>
        <v>857-318-4267</v>
      </c>
      <c r="F218" t="str">
        <f>IFERROR(_xlfn.XLOOKUP(tabExam[[#This Row],[Unique ID]], tblMaster[Unique ID], tblMaster[Recruiter], ""), "")</f>
        <v>Zenon Moses</v>
      </c>
      <c r="G218" t="str">
        <f>IFERROR(_xlfn.XLOOKUP(tabExam[[#This Row],[Unique ID]], tblMaster[Unique ID], tblMaster[Recruitment Cycle], ""), "")</f>
        <v xml:space="preserve">Re-Engagment/Post Civil Service Exam </v>
      </c>
      <c r="H218" t="s">
        <v>8164</v>
      </c>
      <c r="I218">
        <v>2025</v>
      </c>
      <c r="J218" t="s">
        <v>7446</v>
      </c>
      <c r="K218" t="s">
        <v>8277</v>
      </c>
      <c r="Q218" t="str">
        <f ca="1">IF(tabExam[[#This Row],[Log Date]]="","",TODAY()-tabExam[[#This Row],[Log Date]])</f>
        <v/>
      </c>
      <c r="R218" t="str">
        <f>IF(tabExam[[#This Row],[Log Date]]="","",IF(TRIM(tabExam[[#This Row],[Exam Cycle Stage]])="Asked to be removed from database","NO","YES"))</f>
        <v/>
      </c>
      <c r="S2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19" spans="1:19">
      <c r="A219" t="s">
        <v>8356</v>
      </c>
      <c r="B219" t="str">
        <f>IFERROR(_xlfn.XLOOKUP(tabExam[[#This Row],[Unique ID]], tblMaster[Unique ID], tblMaster[First Name], ""), "")</f>
        <v xml:space="preserve">Sunday </v>
      </c>
      <c r="C219" t="str">
        <f>IFERROR(_xlfn.XLOOKUP(tabExam[[#This Row],[Unique ID]], tblMaster[Unique ID], tblMaster[Last Name], ""), "")</f>
        <v>Okoro</v>
      </c>
      <c r="D219" t="str">
        <f>IFERROR(_xlfn.XLOOKUP(tabExam[[#This Row],[Unique ID]], tblMaster[Unique ID], tblMaster[Email_Clean], ""), "")</f>
        <v>charlessunny1@gmail.com</v>
      </c>
      <c r="E219" t="str">
        <f>IFERROR(_xlfn.XLOOKUP(tabExam[[#This Row],[Unique ID]], tblMaster[Unique ID], tblMaster[Phone], ""), "")</f>
        <v>781-518-3364</v>
      </c>
      <c r="F219" t="str">
        <f>IFERROR(_xlfn.XLOOKUP(tabExam[[#This Row],[Unique ID]], tblMaster[Unique ID], tblMaster[Recruiter], ""), "")</f>
        <v xml:space="preserve">Jevon Brown Simpson </v>
      </c>
      <c r="G219" t="str">
        <f>IFERROR(_xlfn.XLOOKUP(tabExam[[#This Row],[Unique ID]], tblMaster[Unique ID], tblMaster[Recruitment Cycle], ""), "")</f>
        <v xml:space="preserve">Re-Engagment/Post Civil Service Exam </v>
      </c>
      <c r="H219" t="s">
        <v>8164</v>
      </c>
      <c r="I219">
        <v>2025</v>
      </c>
      <c r="J219" t="s">
        <v>7446</v>
      </c>
      <c r="K219" t="s">
        <v>8277</v>
      </c>
      <c r="Q219" t="str">
        <f ca="1">IF(tabExam[[#This Row],[Log Date]]="","",TODAY()-tabExam[[#This Row],[Log Date]])</f>
        <v/>
      </c>
      <c r="R219" t="str">
        <f>IF(tabExam[[#This Row],[Log Date]]="","",IF(TRIM(tabExam[[#This Row],[Exam Cycle Stage]])="Asked to be removed from database","NO","YES"))</f>
        <v/>
      </c>
      <c r="S2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0" spans="1:19">
      <c r="A220" t="s">
        <v>8020</v>
      </c>
      <c r="B220" t="str">
        <f>IFERROR(_xlfn.XLOOKUP(tabExam[[#This Row],[Unique ID]], tblMaster[Unique ID], tblMaster[First Name], ""), "")</f>
        <v>Emmanuel</v>
      </c>
      <c r="C220" t="str">
        <f>IFERROR(_xlfn.XLOOKUP(tabExam[[#This Row],[Unique ID]], tblMaster[Unique ID], tblMaster[Last Name], ""), "")</f>
        <v>Boakye</v>
      </c>
      <c r="D220" t="str">
        <f>IFERROR(_xlfn.XLOOKUP(tabExam[[#This Row],[Unique ID]], tblMaster[Unique ID], tblMaster[Email_Clean], ""), "")</f>
        <v>lifeisgoodasap@gmail.com</v>
      </c>
      <c r="E220" t="str">
        <f>IFERROR(_xlfn.XLOOKUP(tabExam[[#This Row],[Unique ID]], tblMaster[Unique ID], tblMaster[Phone], ""), "")</f>
        <v>781-475-0924</v>
      </c>
      <c r="F220" t="str">
        <f>IFERROR(_xlfn.XLOOKUP(tabExam[[#This Row],[Unique ID]], tblMaster[Unique ID], tblMaster[Recruiter], ""), "")</f>
        <v xml:space="preserve">Jevon Brown Simpson </v>
      </c>
      <c r="G220" t="str">
        <f>IFERROR(_xlfn.XLOOKUP(tabExam[[#This Row],[Unique ID]], tblMaster[Unique ID], tblMaster[Recruitment Cycle], ""), "")</f>
        <v xml:space="preserve">Re-Engagment/Post Civil Service Exam </v>
      </c>
      <c r="H220" t="s">
        <v>8357</v>
      </c>
      <c r="I220">
        <v>2025</v>
      </c>
      <c r="J220" t="s">
        <v>7446</v>
      </c>
      <c r="K220" t="s">
        <v>8151</v>
      </c>
      <c r="L220" t="s">
        <v>8165</v>
      </c>
      <c r="Q220" t="str">
        <f ca="1">IF(tabExam[[#This Row],[Log Date]]="","",TODAY()-tabExam[[#This Row],[Log Date]])</f>
        <v/>
      </c>
      <c r="R220" t="str">
        <f>IF(tabExam[[#This Row],[Log Date]]="","",IF(TRIM(tabExam[[#This Row],[Exam Cycle Stage]])="Asked to be removed from database","NO","YES"))</f>
        <v/>
      </c>
      <c r="S2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1" spans="1:19">
      <c r="A221" t="s">
        <v>7438</v>
      </c>
      <c r="B221" t="str">
        <f>IFERROR(_xlfn.XLOOKUP(tabExam[[#This Row],[Unique ID]], tblMaster[Unique ID], tblMaster[First Name], ""), "")</f>
        <v xml:space="preserve">Michael </v>
      </c>
      <c r="C221" t="str">
        <f>IFERROR(_xlfn.XLOOKUP(tabExam[[#This Row],[Unique ID]], tblMaster[Unique ID], tblMaster[Last Name], ""), "")</f>
        <v>Agyemang</v>
      </c>
      <c r="D221" t="str">
        <f>IFERROR(_xlfn.XLOOKUP(tabExam[[#This Row],[Unique ID]], tblMaster[Unique ID], tblMaster[Email_Clean], ""), "")</f>
        <v>fathermike2005@gmail.com</v>
      </c>
      <c r="E221" t="str">
        <f>IFERROR(_xlfn.XLOOKUP(tabExam[[#This Row],[Unique ID]], tblMaster[Unique ID], tblMaster[Phone], ""), "")</f>
        <v>682-372-7535</v>
      </c>
      <c r="F221" t="str">
        <f>IFERROR(_xlfn.XLOOKUP(tabExam[[#This Row],[Unique ID]], tblMaster[Unique ID], tblMaster[Recruiter], ""), "")</f>
        <v>Zenon Moses</v>
      </c>
      <c r="G221" t="str">
        <f>IFERROR(_xlfn.XLOOKUP(tabExam[[#This Row],[Unique ID]], tblMaster[Unique ID], tblMaster[Recruitment Cycle], ""), "")</f>
        <v xml:space="preserve">New Submission/ Lead </v>
      </c>
      <c r="H221" t="s">
        <v>8150</v>
      </c>
      <c r="I221">
        <v>2026</v>
      </c>
      <c r="J221" t="s">
        <v>7446</v>
      </c>
      <c r="K221" t="s">
        <v>7439</v>
      </c>
      <c r="L221" t="s">
        <v>8154</v>
      </c>
      <c r="M221" t="s">
        <v>7434</v>
      </c>
      <c r="N221" t="s">
        <v>7435</v>
      </c>
      <c r="O221" s="2">
        <v>46050</v>
      </c>
      <c r="P221" t="s">
        <v>8158</v>
      </c>
      <c r="Q221">
        <f ca="1">IF(tabExam[[#This Row],[Log Date]]="","",TODAY()-tabExam[[#This Row],[Log Date]])</f>
        <v>29</v>
      </c>
      <c r="R221" t="str">
        <f>IF(tabExam[[#This Row],[Log Date]]="","",IF(TRIM(tabExam[[#This Row],[Exam Cycle Stage]])="Asked to be removed from database","NO","YES"))</f>
        <v>YES</v>
      </c>
      <c r="S22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2" spans="1:19">
      <c r="A222" t="s">
        <v>7444</v>
      </c>
      <c r="B222" t="str">
        <f>IFERROR(_xlfn.XLOOKUP(tabExam[[#This Row],[Unique ID]], tblMaster[Unique ID], tblMaster[First Name], ""), "")</f>
        <v>Rex</v>
      </c>
      <c r="C222" t="str">
        <f>IFERROR(_xlfn.XLOOKUP(tabExam[[#This Row],[Unique ID]], tblMaster[Unique ID], tblMaster[Last Name], ""), "")</f>
        <v>Tanue</v>
      </c>
      <c r="D222" t="str">
        <f>IFERROR(_xlfn.XLOOKUP(tabExam[[#This Row],[Unique ID]], tblMaster[Unique ID], tblMaster[Email_Clean], ""), "")</f>
        <v>tamabang95@yahoo.com</v>
      </c>
      <c r="E222" t="str">
        <f>IFERROR(_xlfn.XLOOKUP(tabExam[[#This Row],[Unique ID]], tblMaster[Unique ID], tblMaster[Phone], ""), "")</f>
        <v>(469) 394-4341</v>
      </c>
      <c r="F222" t="str">
        <f>IFERROR(_xlfn.XLOOKUP(tabExam[[#This Row],[Unique ID]], tblMaster[Unique ID], tblMaster[Recruiter], ""), "")</f>
        <v xml:space="preserve">Jevon Brown Simpson </v>
      </c>
      <c r="G222" t="str">
        <f>IFERROR(_xlfn.XLOOKUP(tabExam[[#This Row],[Unique ID]], tblMaster[Unique ID], tblMaster[Recruitment Cycle], ""), "")</f>
        <v xml:space="preserve">New Submission/ Lead </v>
      </c>
      <c r="H222" t="s">
        <v>8150</v>
      </c>
      <c r="I222">
        <v>2026</v>
      </c>
      <c r="J222" t="s">
        <v>7446</v>
      </c>
      <c r="K222" t="s">
        <v>7439</v>
      </c>
      <c r="L222" t="s">
        <v>8154</v>
      </c>
      <c r="M222" t="s">
        <v>7434</v>
      </c>
      <c r="N222" t="s">
        <v>7435</v>
      </c>
      <c r="O222" s="2">
        <v>46065</v>
      </c>
      <c r="P222" t="s">
        <v>8158</v>
      </c>
      <c r="Q222">
        <f ca="1">IF(tabExam[[#This Row],[Log Date]]="","",TODAY()-tabExam[[#This Row],[Log Date]])</f>
        <v>14</v>
      </c>
      <c r="R222" t="str">
        <f>IF(tabExam[[#This Row],[Log Date]]="","",IF(TRIM(tabExam[[#This Row],[Exam Cycle Stage]])="Asked to be removed from database","NO","YES"))</f>
        <v>YES</v>
      </c>
      <c r="S22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3" spans="1:19">
      <c r="A223" t="s">
        <v>8084</v>
      </c>
      <c r="B223" t="str">
        <f>IFERROR(_xlfn.XLOOKUP(tabExam[[#This Row],[Unique ID]], tblMaster[Unique ID], tblMaster[First Name], ""), "")</f>
        <v>Lucrechia</v>
      </c>
      <c r="C223" t="str">
        <f>IFERROR(_xlfn.XLOOKUP(tabExam[[#This Row],[Unique ID]], tblMaster[Unique ID], tblMaster[Last Name], ""), "")</f>
        <v>Lubin</v>
      </c>
      <c r="D223" t="str">
        <f>IFERROR(_xlfn.XLOOKUP(tabExam[[#This Row],[Unique ID]], tblMaster[Unique ID], tblMaster[Email_Clean], ""), "")</f>
        <v>lucrechialubin@gmail.com</v>
      </c>
      <c r="E223" t="str">
        <f>IFERROR(_xlfn.XLOOKUP(tabExam[[#This Row],[Unique ID]], tblMaster[Unique ID], tblMaster[Phone], ""), "")</f>
        <v>(786) 296-5442</v>
      </c>
      <c r="F223" t="str">
        <f>IFERROR(_xlfn.XLOOKUP(tabExam[[#This Row],[Unique ID]], tblMaster[Unique ID], tblMaster[Recruiter], ""), "")</f>
        <v xml:space="preserve">Jevon Brown Simpson </v>
      </c>
      <c r="G223" t="str">
        <f>IFERROR(_xlfn.XLOOKUP(tabExam[[#This Row],[Unique ID]], tblMaster[Unique ID], tblMaster[Recruitment Cycle], ""), "")</f>
        <v xml:space="preserve">Re-Engagment/Post Civil Service Exam </v>
      </c>
      <c r="H223" t="s">
        <v>8358</v>
      </c>
      <c r="I223">
        <v>2025</v>
      </c>
      <c r="J223" t="s">
        <v>7491</v>
      </c>
      <c r="K223" t="s">
        <v>7445</v>
      </c>
      <c r="L223" t="s">
        <v>8165</v>
      </c>
      <c r="M223" t="s">
        <v>7434</v>
      </c>
      <c r="N223" t="s">
        <v>7435</v>
      </c>
      <c r="O223" s="2">
        <v>45685</v>
      </c>
      <c r="P223" t="s">
        <v>8158</v>
      </c>
      <c r="Q223">
        <f ca="1">IF(tabExam[[#This Row],[Log Date]]="","",TODAY()-tabExam[[#This Row],[Log Date]])</f>
        <v>394</v>
      </c>
      <c r="R223" t="str">
        <f>IF(tabExam[[#This Row],[Log Date]]="","",IF(TRIM(tabExam[[#This Row],[Exam Cycle Stage]])="Asked to be removed from database","NO","YES"))</f>
        <v>YES</v>
      </c>
      <c r="S22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>90+</v>
      </c>
    </row>
    <row r="224" spans="1:19">
      <c r="A224" t="s">
        <v>8359</v>
      </c>
      <c r="B224" t="str">
        <f>IFERROR(_xlfn.XLOOKUP(tabExam[[#This Row],[Unique ID]], tblMaster[Unique ID], tblMaster[First Name], ""), "")</f>
        <v xml:space="preserve">Jesus </v>
      </c>
      <c r="C224" t="str">
        <f>IFERROR(_xlfn.XLOOKUP(tabExam[[#This Row],[Unique ID]], tblMaster[Unique ID], tblMaster[Last Name], ""), "")</f>
        <v>Moreta</v>
      </c>
      <c r="D224" t="str">
        <f>IFERROR(_xlfn.XLOOKUP(tabExam[[#This Row],[Unique ID]], tblMaster[Unique ID], tblMaster[Email_Clean], ""), "")</f>
        <v>jesus.r.moreta@gmail.com</v>
      </c>
      <c r="E224" t="str">
        <f>IFERROR(_xlfn.XLOOKUP(tabExam[[#This Row],[Unique ID]], tblMaster[Unique ID], tblMaster[Phone], ""), "")</f>
        <v>931-278-3318</v>
      </c>
      <c r="F224" t="str">
        <f>IFERROR(_xlfn.XLOOKUP(tabExam[[#This Row],[Unique ID]], tblMaster[Unique ID], tblMaster[Recruiter], ""), "")</f>
        <v xml:space="preserve">Christopher Servello </v>
      </c>
      <c r="G224" t="str">
        <f>IFERROR(_xlfn.XLOOKUP(tabExam[[#This Row],[Unique ID]], tblMaster[Unique ID], tblMaster[Recruitment Cycle], ""), "")</f>
        <v xml:space="preserve">Re-Engagment/Post Civil Service Exam </v>
      </c>
      <c r="H224" t="s">
        <v>8360</v>
      </c>
      <c r="I224">
        <v>2025</v>
      </c>
      <c r="J224" t="s">
        <v>7446</v>
      </c>
      <c r="K224" t="s">
        <v>8151</v>
      </c>
      <c r="L224" t="s">
        <v>8165</v>
      </c>
      <c r="Q224" t="str">
        <f ca="1">IF(tabExam[[#This Row],[Log Date]]="","",TODAY()-tabExam[[#This Row],[Log Date]])</f>
        <v/>
      </c>
      <c r="R224" t="str">
        <f>IF(tabExam[[#This Row],[Log Date]]="","",IF(TRIM(tabExam[[#This Row],[Exam Cycle Stage]])="Asked to be removed from database","NO","YES"))</f>
        <v/>
      </c>
      <c r="S2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5" spans="1:19">
      <c r="B225" t="str">
        <f>IFERROR(_xlfn.XLOOKUP(tabExam[[#This Row],[Unique ID]], tblMaster[Unique ID], tblMaster[First Name], ""), "")</f>
        <v/>
      </c>
      <c r="C225" t="str">
        <f>IFERROR(_xlfn.XLOOKUP(tabExam[[#This Row],[Unique ID]], tblMaster[Unique ID], tblMaster[Last Name], ""), "")</f>
        <v/>
      </c>
      <c r="D225" t="str">
        <f>IFERROR(_xlfn.XLOOKUP(tabExam[[#This Row],[Unique ID]], tblMaster[Unique ID], tblMaster[Email_Clean], ""), "")</f>
        <v/>
      </c>
      <c r="E225" t="str">
        <f>IFERROR(_xlfn.XLOOKUP(tabExam[[#This Row],[Unique ID]], tblMaster[Unique ID], tblMaster[Phone], ""), "")</f>
        <v/>
      </c>
      <c r="F225" t="str">
        <f>IFERROR(_xlfn.XLOOKUP(tabExam[[#This Row],[Unique ID]], tblMaster[Unique ID], tblMaster[Recruiter], ""), "")</f>
        <v/>
      </c>
      <c r="G225" t="str">
        <f>IFERROR(_xlfn.XLOOKUP(tabExam[[#This Row],[Unique ID]], tblMaster[Unique ID], tblMaster[Recruitment Cycle], ""), "")</f>
        <v/>
      </c>
      <c r="H225" t="s">
        <v>8358</v>
      </c>
      <c r="I225">
        <v>2025</v>
      </c>
      <c r="J225" t="s">
        <v>7446</v>
      </c>
      <c r="K225" t="s">
        <v>8151</v>
      </c>
      <c r="L225" t="s">
        <v>8165</v>
      </c>
      <c r="Q225" t="str">
        <f ca="1">IF(tabExam[[#This Row],[Log Date]]="","",TODAY()-tabExam[[#This Row],[Log Date]])</f>
        <v/>
      </c>
      <c r="R225" t="str">
        <f>IF(tabExam[[#This Row],[Log Date]]="","",IF(TRIM(tabExam[[#This Row],[Exam Cycle Stage]])="Asked to be removed from database","NO","YES"))</f>
        <v/>
      </c>
      <c r="S2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6" spans="1:19">
      <c r="A226" t="s">
        <v>8361</v>
      </c>
      <c r="B226" t="str">
        <f>IFERROR(_xlfn.XLOOKUP(tabExam[[#This Row],[Unique ID]], tblMaster[Unique ID], tblMaster[First Name], ""), "")</f>
        <v xml:space="preserve">Genesis </v>
      </c>
      <c r="C226" t="str">
        <f>IFERROR(_xlfn.XLOOKUP(tabExam[[#This Row],[Unique ID]], tblMaster[Unique ID], tblMaster[Last Name], ""), "")</f>
        <v xml:space="preserve"> Malave </v>
      </c>
      <c r="D226" t="str">
        <f>IFERROR(_xlfn.XLOOKUP(tabExam[[#This Row],[Unique ID]], tblMaster[Unique ID], tblMaster[Email_Clean], ""), "")</f>
        <v>genesis.g.12@hotmail.com</v>
      </c>
      <c r="E226" t="str">
        <f>IFERROR(_xlfn.XLOOKUP(tabExam[[#This Row],[Unique ID]], tblMaster[Unique ID], tblMaster[Phone], ""), "")</f>
        <v xml:space="preserve">(774) 764-9406 </v>
      </c>
      <c r="F226">
        <f>IFERROR(_xlfn.XLOOKUP(tabExam[[#This Row],[Unique ID]], tblMaster[Unique ID], tblMaster[Recruiter], ""), "")</f>
        <v>0</v>
      </c>
      <c r="G226" t="str">
        <f>IFERROR(_xlfn.XLOOKUP(tabExam[[#This Row],[Unique ID]], tblMaster[Unique ID], tblMaster[Recruitment Cycle], ""), "")</f>
        <v xml:space="preserve">Re-Engagment/Post Civil Service Exam </v>
      </c>
      <c r="H226" t="s">
        <v>8357</v>
      </c>
      <c r="I226">
        <v>2025</v>
      </c>
      <c r="J226" t="s">
        <v>7446</v>
      </c>
      <c r="K226" t="s">
        <v>8151</v>
      </c>
      <c r="L226" t="s">
        <v>8165</v>
      </c>
      <c r="Q226" t="str">
        <f ca="1">IF(tabExam[[#This Row],[Log Date]]="","",TODAY()-tabExam[[#This Row],[Log Date]])</f>
        <v/>
      </c>
      <c r="R226" t="str">
        <f>IF(tabExam[[#This Row],[Log Date]]="","",IF(TRIM(tabExam[[#This Row],[Exam Cycle Stage]])="Asked to be removed from database","NO","YES"))</f>
        <v/>
      </c>
      <c r="S2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7" spans="1:19">
      <c r="A227" t="s">
        <v>7867</v>
      </c>
      <c r="B227" t="str">
        <f>IFERROR(_xlfn.XLOOKUP(tabExam[[#This Row],[Unique ID]], tblMaster[Unique ID], tblMaster[First Name], ""), "")</f>
        <v xml:space="preserve">Samantha </v>
      </c>
      <c r="C227" t="str">
        <f>IFERROR(_xlfn.XLOOKUP(tabExam[[#This Row],[Unique ID]], tblMaster[Unique ID], tblMaster[Last Name], ""), "")</f>
        <v xml:space="preserve">Dumais </v>
      </c>
      <c r="D227" t="str">
        <f>IFERROR(_xlfn.XLOOKUP(tabExam[[#This Row],[Unique ID]], tblMaster[Unique ID], tblMaster[Email_Clean], ""), "")</f>
        <v>samantha.dumais1225@gmail.com</v>
      </c>
      <c r="E227" t="str">
        <f>IFERROR(_xlfn.XLOOKUP(tabExam[[#This Row],[Unique ID]], tblMaster[Unique ID], tblMaster[Phone], ""), "")</f>
        <v xml:space="preserve">(774) 275-9376 </v>
      </c>
      <c r="F227" t="str">
        <f>IFERROR(_xlfn.XLOOKUP(tabExam[[#This Row],[Unique ID]], tblMaster[Unique ID], tblMaster[Recruiter], ""), "")</f>
        <v xml:space="preserve">Enrique Ortiz </v>
      </c>
      <c r="G227" t="str">
        <f>IFERROR(_xlfn.XLOOKUP(tabExam[[#This Row],[Unique ID]], tblMaster[Unique ID], tblMaster[Recruitment Cycle], ""), "")</f>
        <v xml:space="preserve">Re-Engagment/Post Civil Service Exam </v>
      </c>
      <c r="H227" t="s">
        <v>8360</v>
      </c>
      <c r="I227">
        <v>2025</v>
      </c>
      <c r="J227" t="s">
        <v>7446</v>
      </c>
      <c r="K227" t="s">
        <v>8151</v>
      </c>
      <c r="L227" t="s">
        <v>8165</v>
      </c>
      <c r="Q227" t="str">
        <f ca="1">IF(tabExam[[#This Row],[Log Date]]="","",TODAY()-tabExam[[#This Row],[Log Date]])</f>
        <v/>
      </c>
      <c r="R227" t="str">
        <f>IF(tabExam[[#This Row],[Log Date]]="","",IF(TRIM(tabExam[[#This Row],[Exam Cycle Stage]])="Asked to be removed from database","NO","YES"))</f>
        <v/>
      </c>
      <c r="S2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8" spans="1:19">
      <c r="A228" t="s">
        <v>8362</v>
      </c>
      <c r="B228" t="str">
        <f>IFERROR(_xlfn.XLOOKUP(tabExam[[#This Row],[Unique ID]], tblMaster[Unique ID], tblMaster[First Name], ""), "")</f>
        <v>Tammy</v>
      </c>
      <c r="C228" t="str">
        <f>IFERROR(_xlfn.XLOOKUP(tabExam[[#This Row],[Unique ID]], tblMaster[Unique ID], tblMaster[Last Name], ""), "")</f>
        <v xml:space="preserve"> Lawrence </v>
      </c>
      <c r="D228" t="str">
        <f>IFERROR(_xlfn.XLOOKUP(tabExam[[#This Row],[Unique ID]], tblMaster[Unique ID], tblMaster[Email_Clean], ""), "")</f>
        <v>tammy.lawrence9@icloud.com</v>
      </c>
      <c r="E228" t="str">
        <f>IFERROR(_xlfn.XLOOKUP(tabExam[[#This Row],[Unique ID]], tblMaster[Unique ID], tblMaster[Phone], ""), "")</f>
        <v xml:space="preserve">(617) 905-5720 </v>
      </c>
      <c r="F228">
        <f>IFERROR(_xlfn.XLOOKUP(tabExam[[#This Row],[Unique ID]], tblMaster[Unique ID], tblMaster[Recruiter], ""), "")</f>
        <v>0</v>
      </c>
      <c r="G228" t="str">
        <f>IFERROR(_xlfn.XLOOKUP(tabExam[[#This Row],[Unique ID]], tblMaster[Unique ID], tblMaster[Recruitment Cycle], ""), "")</f>
        <v xml:space="preserve">Re-Engagment/Post Civil Service Exam </v>
      </c>
      <c r="H228" t="s">
        <v>8357</v>
      </c>
      <c r="I228">
        <v>2025</v>
      </c>
      <c r="J228" t="s">
        <v>7446</v>
      </c>
      <c r="K228" t="s">
        <v>8151</v>
      </c>
      <c r="L228" t="s">
        <v>8165</v>
      </c>
      <c r="Q228" t="str">
        <f ca="1">IF(tabExam[[#This Row],[Log Date]]="","",TODAY()-tabExam[[#This Row],[Log Date]])</f>
        <v/>
      </c>
      <c r="R228" t="str">
        <f>IF(tabExam[[#This Row],[Log Date]]="","",IF(TRIM(tabExam[[#This Row],[Exam Cycle Stage]])="Asked to be removed from database","NO","YES"))</f>
        <v/>
      </c>
      <c r="S2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29" spans="1:19">
      <c r="A229" t="s">
        <v>8363</v>
      </c>
      <c r="B229" t="str">
        <f>IFERROR(_xlfn.XLOOKUP(tabExam[[#This Row],[Unique ID]], tblMaster[Unique ID], tblMaster[First Name], ""), "")</f>
        <v xml:space="preserve">Kaylee </v>
      </c>
      <c r="C229" t="str">
        <f>IFERROR(_xlfn.XLOOKUP(tabExam[[#This Row],[Unique ID]], tblMaster[Unique ID], tblMaster[Last Name], ""), "")</f>
        <v xml:space="preserve">Lebron </v>
      </c>
      <c r="D229" t="str">
        <f>IFERROR(_xlfn.XLOOKUP(tabExam[[#This Row],[Unique ID]], tblMaster[Unique ID], tblMaster[Email_Clean], ""), "")</f>
        <v>kayleelebron000@gmail.com</v>
      </c>
      <c r="E229" t="str">
        <f>IFERROR(_xlfn.XLOOKUP(tabExam[[#This Row],[Unique ID]], tblMaster[Unique ID], tblMaster[Phone], ""), "")</f>
        <v>774) 502-8020</v>
      </c>
      <c r="F229" t="str">
        <f>IFERROR(_xlfn.XLOOKUP(tabExam[[#This Row],[Unique ID]], tblMaster[Unique ID], tblMaster[Recruiter], ""), "")</f>
        <v xml:space="preserve">Enrique Ortiz </v>
      </c>
      <c r="G229" t="str">
        <f>IFERROR(_xlfn.XLOOKUP(tabExam[[#This Row],[Unique ID]], tblMaster[Unique ID], tblMaster[Recruitment Cycle], ""), "")</f>
        <v xml:space="preserve">Re-Engagment/Post Civil Service Exam </v>
      </c>
      <c r="H229" t="s">
        <v>8357</v>
      </c>
      <c r="I229">
        <v>2025</v>
      </c>
      <c r="J229" t="s">
        <v>7446</v>
      </c>
      <c r="K229" t="s">
        <v>8151</v>
      </c>
      <c r="L229" t="s">
        <v>8165</v>
      </c>
      <c r="Q229" t="str">
        <f ca="1">IF(tabExam[[#This Row],[Log Date]]="","",TODAY()-tabExam[[#This Row],[Log Date]])</f>
        <v/>
      </c>
      <c r="R229" t="str">
        <f>IF(tabExam[[#This Row],[Log Date]]="","",IF(TRIM(tabExam[[#This Row],[Exam Cycle Stage]])="Asked to be removed from database","NO","YES"))</f>
        <v/>
      </c>
      <c r="S2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0" spans="1:19">
      <c r="A230" t="s">
        <v>8364</v>
      </c>
      <c r="B230" t="str">
        <f>IFERROR(_xlfn.XLOOKUP(tabExam[[#This Row],[Unique ID]], tblMaster[Unique ID], tblMaster[First Name], ""), "")</f>
        <v xml:space="preserve">Javier </v>
      </c>
      <c r="C230" t="str">
        <f>IFERROR(_xlfn.XLOOKUP(tabExam[[#This Row],[Unique ID]], tblMaster[Unique ID], tblMaster[Last Name], ""), "")</f>
        <v xml:space="preserve"> Cintron</v>
      </c>
      <c r="D230" t="str">
        <f>IFERROR(_xlfn.XLOOKUP(tabExam[[#This Row],[Unique ID]], tblMaster[Unique ID], tblMaster[Email_Clean], ""), "")</f>
        <v>javierc.rtt@gmail.com</v>
      </c>
      <c r="E230" t="str">
        <f>IFERROR(_xlfn.XLOOKUP(tabExam[[#This Row],[Unique ID]], tblMaster[Unique ID], tblMaster[Phone], ""), "")</f>
        <v>413-388-4384</v>
      </c>
      <c r="F230">
        <f>IFERROR(_xlfn.XLOOKUP(tabExam[[#This Row],[Unique ID]], tblMaster[Unique ID], tblMaster[Recruiter], ""), "")</f>
        <v>0</v>
      </c>
      <c r="G230" t="str">
        <f>IFERROR(_xlfn.XLOOKUP(tabExam[[#This Row],[Unique ID]], tblMaster[Unique ID], tblMaster[Recruitment Cycle], ""), "")</f>
        <v xml:space="preserve">Re-Engagment/Post Civil Service Exam </v>
      </c>
      <c r="H230" t="s">
        <v>8358</v>
      </c>
      <c r="I230">
        <v>2025</v>
      </c>
      <c r="J230" t="s">
        <v>7446</v>
      </c>
      <c r="K230" t="s">
        <v>8151</v>
      </c>
      <c r="L230" t="s">
        <v>8165</v>
      </c>
      <c r="Q230" t="str">
        <f ca="1">IF(tabExam[[#This Row],[Log Date]]="","",TODAY()-tabExam[[#This Row],[Log Date]])</f>
        <v/>
      </c>
      <c r="R230" t="str">
        <f>IF(tabExam[[#This Row],[Log Date]]="","",IF(TRIM(tabExam[[#This Row],[Exam Cycle Stage]])="Asked to be removed from database","NO","YES"))</f>
        <v/>
      </c>
      <c r="S2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1" spans="1:19">
      <c r="A231" t="s">
        <v>8365</v>
      </c>
      <c r="B231" t="str">
        <f>IFERROR(_xlfn.XLOOKUP(tabExam[[#This Row],[Unique ID]], tblMaster[Unique ID], tblMaster[First Name], ""), "")</f>
        <v xml:space="preserve">Stephanie </v>
      </c>
      <c r="C231" t="str">
        <f>IFERROR(_xlfn.XLOOKUP(tabExam[[#This Row],[Unique ID]], tblMaster[Unique ID], tblMaster[Last Name], ""), "")</f>
        <v xml:space="preserve"> perez-ives </v>
      </c>
      <c r="D231" t="str">
        <f>IFERROR(_xlfn.XLOOKUP(tabExam[[#This Row],[Unique ID]], tblMaster[Unique ID], tblMaster[Email_Clean], ""), "")</f>
        <v>stephanieperez0613@gmail.com</v>
      </c>
      <c r="E231" t="str">
        <f>IFERROR(_xlfn.XLOOKUP(tabExam[[#This Row],[Unique ID]], tblMaster[Unique ID], tblMaster[Phone], ""), "")</f>
        <v>857-398-9902</v>
      </c>
      <c r="F231">
        <f>IFERROR(_xlfn.XLOOKUP(tabExam[[#This Row],[Unique ID]], tblMaster[Unique ID], tblMaster[Recruiter], ""), "")</f>
        <v>0</v>
      </c>
      <c r="G231" t="str">
        <f>IFERROR(_xlfn.XLOOKUP(tabExam[[#This Row],[Unique ID]], tblMaster[Unique ID], tblMaster[Recruitment Cycle], ""), "")</f>
        <v xml:space="preserve">Re-Engagment/Post Civil Service Exam </v>
      </c>
      <c r="H231" t="s">
        <v>8366</v>
      </c>
      <c r="I231">
        <v>2025</v>
      </c>
      <c r="J231" t="s">
        <v>7446</v>
      </c>
      <c r="K231" t="s">
        <v>8151</v>
      </c>
      <c r="L231" t="s">
        <v>8165</v>
      </c>
      <c r="Q231" t="str">
        <f ca="1">IF(tabExam[[#This Row],[Log Date]]="","",TODAY()-tabExam[[#This Row],[Log Date]])</f>
        <v/>
      </c>
      <c r="R231" t="str">
        <f>IF(tabExam[[#This Row],[Log Date]]="","",IF(TRIM(tabExam[[#This Row],[Exam Cycle Stage]])="Asked to be removed from database","NO","YES"))</f>
        <v/>
      </c>
      <c r="S2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2" spans="1:19">
      <c r="A232" t="s">
        <v>8367</v>
      </c>
      <c r="B232" t="str">
        <f>IFERROR(_xlfn.XLOOKUP(tabExam[[#This Row],[Unique ID]], tblMaster[Unique ID], tblMaster[First Name], ""), "")</f>
        <v>Seth</v>
      </c>
      <c r="C232" t="str">
        <f>IFERROR(_xlfn.XLOOKUP(tabExam[[#This Row],[Unique ID]], tblMaster[Unique ID], tblMaster[Last Name], ""), "")</f>
        <v>Finnessey</v>
      </c>
      <c r="D232" t="str">
        <f>IFERROR(_xlfn.XLOOKUP(tabExam[[#This Row],[Unique ID]], tblMaster[Unique ID], tblMaster[Email_Clean], ""), "")</f>
        <v>sethfinnessey@gmail.com</v>
      </c>
      <c r="E232" t="str">
        <f>IFERROR(_xlfn.XLOOKUP(tabExam[[#This Row],[Unique ID]], tblMaster[Unique ID], tblMaster[Phone], ""), "")</f>
        <v>(413) 362-2560</v>
      </c>
      <c r="F232" t="str">
        <f>IFERROR(_xlfn.XLOOKUP(tabExam[[#This Row],[Unique ID]], tblMaster[Unique ID], tblMaster[Recruiter], ""), "")</f>
        <v>Zenon Moses</v>
      </c>
      <c r="G232" t="str">
        <f>IFERROR(_xlfn.XLOOKUP(tabExam[[#This Row],[Unique ID]], tblMaster[Unique ID], tblMaster[Recruitment Cycle], ""), "")</f>
        <v xml:space="preserve">Re-Engagment/Post Civil Service Exam </v>
      </c>
      <c r="H232" t="s">
        <v>8357</v>
      </c>
      <c r="I232">
        <v>2025</v>
      </c>
      <c r="J232" t="s">
        <v>7446</v>
      </c>
      <c r="K232" t="s">
        <v>8151</v>
      </c>
      <c r="L232" t="s">
        <v>8165</v>
      </c>
      <c r="Q232" t="str">
        <f ca="1">IF(tabExam[[#This Row],[Log Date]]="","",TODAY()-tabExam[[#This Row],[Log Date]])</f>
        <v/>
      </c>
      <c r="R232" t="str">
        <f>IF(tabExam[[#This Row],[Log Date]]="","",IF(TRIM(tabExam[[#This Row],[Exam Cycle Stage]])="Asked to be removed from database","NO","YES"))</f>
        <v/>
      </c>
      <c r="S2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3" spans="1:19">
      <c r="A233" t="s">
        <v>8368</v>
      </c>
      <c r="B233" t="str">
        <f>IFERROR(_xlfn.XLOOKUP(tabExam[[#This Row],[Unique ID]], tblMaster[Unique ID], tblMaster[First Name], ""), "")</f>
        <v xml:space="preserve">Benjamin </v>
      </c>
      <c r="C233" t="str">
        <f>IFERROR(_xlfn.XLOOKUP(tabExam[[#This Row],[Unique ID]], tblMaster[Unique ID], tblMaster[Last Name], ""), "")</f>
        <v xml:space="preserve">Joyce </v>
      </c>
      <c r="D233" t="str">
        <f>IFERROR(_xlfn.XLOOKUP(tabExam[[#This Row],[Unique ID]], tblMaster[Unique ID], tblMaster[Email_Clean], ""), "")</f>
        <v>benjoyce34@gmail.com</v>
      </c>
      <c r="E233" t="str">
        <f>IFERROR(_xlfn.XLOOKUP(tabExam[[#This Row],[Unique ID]], tblMaster[Unique ID], tblMaster[Phone], ""), "")</f>
        <v xml:space="preserve">774-265-4184 </v>
      </c>
      <c r="F233" t="str">
        <f>IFERROR(_xlfn.XLOOKUP(tabExam[[#This Row],[Unique ID]], tblMaster[Unique ID], tblMaster[Recruiter], ""), "")</f>
        <v>Zenon Moses</v>
      </c>
      <c r="G233" t="str">
        <f>IFERROR(_xlfn.XLOOKUP(tabExam[[#This Row],[Unique ID]], tblMaster[Unique ID], tblMaster[Recruitment Cycle], ""), "")</f>
        <v xml:space="preserve">Re-Engagment/Post Civil Service Exam </v>
      </c>
      <c r="H233" t="s">
        <v>8357</v>
      </c>
      <c r="I233">
        <v>2025</v>
      </c>
      <c r="J233" t="s">
        <v>7446</v>
      </c>
      <c r="K233" t="s">
        <v>8151</v>
      </c>
      <c r="L233" t="s">
        <v>8165</v>
      </c>
      <c r="Q233" t="str">
        <f ca="1">IF(tabExam[[#This Row],[Log Date]]="","",TODAY()-tabExam[[#This Row],[Log Date]])</f>
        <v/>
      </c>
      <c r="R233" t="str">
        <f>IF(tabExam[[#This Row],[Log Date]]="","",IF(TRIM(tabExam[[#This Row],[Exam Cycle Stage]])="Asked to be removed from database","NO","YES"))</f>
        <v/>
      </c>
      <c r="S2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4" spans="1:19">
      <c r="A234" t="s">
        <v>8369</v>
      </c>
      <c r="B234" t="str">
        <f>IFERROR(_xlfn.XLOOKUP(tabExam[[#This Row],[Unique ID]], tblMaster[Unique ID], tblMaster[First Name], ""), "")</f>
        <v xml:space="preserve">Dahlas </v>
      </c>
      <c r="C234" t="str">
        <f>IFERROR(_xlfn.XLOOKUP(tabExam[[#This Row],[Unique ID]], tblMaster[Unique ID], tblMaster[Last Name], ""), "")</f>
        <v xml:space="preserve"> Forgie </v>
      </c>
      <c r="D234" t="str">
        <f>IFERROR(_xlfn.XLOOKUP(tabExam[[#This Row],[Unique ID]], tblMaster[Unique ID], tblMaster[Email_Clean], ""), "")</f>
        <v>dcforgie@outlook.com</v>
      </c>
      <c r="E234" t="str">
        <f>IFERROR(_xlfn.XLOOKUP(tabExam[[#This Row],[Unique ID]], tblMaster[Unique ID], tblMaster[Phone], ""), "")</f>
        <v xml:space="preserve">(413) 372-2311 </v>
      </c>
      <c r="F234">
        <f>IFERROR(_xlfn.XLOOKUP(tabExam[[#This Row],[Unique ID]], tblMaster[Unique ID], tblMaster[Recruiter], ""), "")</f>
        <v>0</v>
      </c>
      <c r="G234" t="str">
        <f>IFERROR(_xlfn.XLOOKUP(tabExam[[#This Row],[Unique ID]], tblMaster[Unique ID], tblMaster[Recruitment Cycle], ""), "")</f>
        <v xml:space="preserve">Re-Engagment/Post Civil Service Exam </v>
      </c>
      <c r="H234" t="s">
        <v>8358</v>
      </c>
      <c r="I234">
        <v>2025</v>
      </c>
      <c r="J234" t="s">
        <v>7446</v>
      </c>
      <c r="K234" t="s">
        <v>8151</v>
      </c>
      <c r="L234" t="s">
        <v>8165</v>
      </c>
      <c r="Q234" t="str">
        <f ca="1">IF(tabExam[[#This Row],[Log Date]]="","",TODAY()-tabExam[[#This Row],[Log Date]])</f>
        <v/>
      </c>
      <c r="R234" t="str">
        <f>IF(tabExam[[#This Row],[Log Date]]="","",IF(TRIM(tabExam[[#This Row],[Exam Cycle Stage]])="Asked to be removed from database","NO","YES"))</f>
        <v/>
      </c>
      <c r="S2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5" spans="1:19">
      <c r="A235" t="s">
        <v>8370</v>
      </c>
      <c r="B235" t="str">
        <f>IFERROR(_xlfn.XLOOKUP(tabExam[[#This Row],[Unique ID]], tblMaster[Unique ID], tblMaster[First Name], ""), "")</f>
        <v xml:space="preserve">Vanessa </v>
      </c>
      <c r="C235" t="str">
        <f>IFERROR(_xlfn.XLOOKUP(tabExam[[#This Row],[Unique ID]], tblMaster[Unique ID], tblMaster[Last Name], ""), "")</f>
        <v xml:space="preserve">Maldonado </v>
      </c>
      <c r="D235" t="str">
        <f>IFERROR(_xlfn.XLOOKUP(tabExam[[#This Row],[Unique ID]], tblMaster[Unique ID], tblMaster[Email_Clean], ""), "")</f>
        <v>maldonado.v1895@gmail.com</v>
      </c>
      <c r="E235" t="str">
        <f>IFERROR(_xlfn.XLOOKUP(tabExam[[#This Row],[Unique ID]], tblMaster[Unique ID], tblMaster[Phone], ""), "")</f>
        <v xml:space="preserve">(781) 632-8604 </v>
      </c>
      <c r="F235" t="str">
        <f>IFERROR(_xlfn.XLOOKUP(tabExam[[#This Row],[Unique ID]], tblMaster[Unique ID], tblMaster[Recruiter], ""), "")</f>
        <v>Zenon Moses</v>
      </c>
      <c r="G235" t="str">
        <f>IFERROR(_xlfn.XLOOKUP(tabExam[[#This Row],[Unique ID]], tblMaster[Unique ID], tblMaster[Recruitment Cycle], ""), "")</f>
        <v xml:space="preserve">Re-Engagment/Post Civil Service Exam </v>
      </c>
      <c r="H235" t="s">
        <v>8366</v>
      </c>
      <c r="I235">
        <v>2025</v>
      </c>
      <c r="J235" t="s">
        <v>7446</v>
      </c>
      <c r="K235" t="s">
        <v>8151</v>
      </c>
      <c r="L235" t="s">
        <v>8165</v>
      </c>
      <c r="Q235" t="str">
        <f ca="1">IF(tabExam[[#This Row],[Log Date]]="","",TODAY()-tabExam[[#This Row],[Log Date]])</f>
        <v/>
      </c>
      <c r="R235" t="str">
        <f>IF(tabExam[[#This Row],[Log Date]]="","",IF(TRIM(tabExam[[#This Row],[Exam Cycle Stage]])="Asked to be removed from database","NO","YES"))</f>
        <v/>
      </c>
      <c r="S2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6" spans="1:19">
      <c r="B236" t="str">
        <f>IFERROR(_xlfn.XLOOKUP(tabExam[[#This Row],[Unique ID]], tblMaster[Unique ID], tblMaster[First Name], ""), "")</f>
        <v/>
      </c>
      <c r="C236" t="str">
        <f>IFERROR(_xlfn.XLOOKUP(tabExam[[#This Row],[Unique ID]], tblMaster[Unique ID], tblMaster[Last Name], ""), "")</f>
        <v/>
      </c>
      <c r="D236" t="str">
        <f>IFERROR(_xlfn.XLOOKUP(tabExam[[#This Row],[Unique ID]], tblMaster[Unique ID], tblMaster[Email_Clean], ""), "")</f>
        <v/>
      </c>
      <c r="E236" t="str">
        <f>IFERROR(_xlfn.XLOOKUP(tabExam[[#This Row],[Unique ID]], tblMaster[Unique ID], tblMaster[Phone], ""), "")</f>
        <v/>
      </c>
      <c r="F236" t="str">
        <f>IFERROR(_xlfn.XLOOKUP(tabExam[[#This Row],[Unique ID]], tblMaster[Unique ID], tblMaster[Recruiter], ""), "")</f>
        <v/>
      </c>
      <c r="G236" t="str">
        <f>IFERROR(_xlfn.XLOOKUP(tabExam[[#This Row],[Unique ID]], tblMaster[Unique ID], tblMaster[Recruitment Cycle], ""), "")</f>
        <v/>
      </c>
      <c r="H236" t="s">
        <v>8366</v>
      </c>
      <c r="I236">
        <v>2025</v>
      </c>
      <c r="J236" t="s">
        <v>7446</v>
      </c>
      <c r="K236" t="s">
        <v>8151</v>
      </c>
      <c r="L236" t="s">
        <v>8165</v>
      </c>
      <c r="Q236" t="str">
        <f ca="1">IF(tabExam[[#This Row],[Log Date]]="","",TODAY()-tabExam[[#This Row],[Log Date]])</f>
        <v/>
      </c>
      <c r="R236" t="str">
        <f>IF(tabExam[[#This Row],[Log Date]]="","",IF(TRIM(tabExam[[#This Row],[Exam Cycle Stage]])="Asked to be removed from database","NO","YES"))</f>
        <v/>
      </c>
      <c r="S2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7" spans="1:19">
      <c r="A237" t="s">
        <v>8371</v>
      </c>
      <c r="B237" t="str">
        <f>IFERROR(_xlfn.XLOOKUP(tabExam[[#This Row],[Unique ID]], tblMaster[Unique ID], tblMaster[First Name], ""), "")</f>
        <v xml:space="preserve">Landon </v>
      </c>
      <c r="C237" t="str">
        <f>IFERROR(_xlfn.XLOOKUP(tabExam[[#This Row],[Unique ID]], tblMaster[Unique ID], tblMaster[Last Name], ""), "")</f>
        <v xml:space="preserve">Rousseau </v>
      </c>
      <c r="D237" t="str">
        <f>IFERROR(_xlfn.XLOOKUP(tabExam[[#This Row],[Unique ID]], tblMaster[Unique ID], tblMaster[Email_Clean], ""), "")</f>
        <v>landonm0821@gmail.com</v>
      </c>
      <c r="E237" t="str">
        <f>IFERROR(_xlfn.XLOOKUP(tabExam[[#This Row],[Unique ID]], tblMaster[Unique ID], tblMaster[Phone], ""), "")</f>
        <v>774-287-6770</v>
      </c>
      <c r="F237" t="str">
        <f>IFERROR(_xlfn.XLOOKUP(tabExam[[#This Row],[Unique ID]], tblMaster[Unique ID], tblMaster[Recruiter], ""), "")</f>
        <v>Zenon Moses</v>
      </c>
      <c r="G237" t="str">
        <f>IFERROR(_xlfn.XLOOKUP(tabExam[[#This Row],[Unique ID]], tblMaster[Unique ID], tblMaster[Recruitment Cycle], ""), "")</f>
        <v xml:space="preserve">Re-Engagment/Post Civil Service Exam </v>
      </c>
      <c r="H237" t="s">
        <v>8366</v>
      </c>
      <c r="I237">
        <v>2025</v>
      </c>
      <c r="J237" t="s">
        <v>7446</v>
      </c>
      <c r="K237" t="s">
        <v>8151</v>
      </c>
      <c r="L237" t="s">
        <v>8165</v>
      </c>
      <c r="Q237" t="str">
        <f ca="1">IF(tabExam[[#This Row],[Log Date]]="","",TODAY()-tabExam[[#This Row],[Log Date]])</f>
        <v/>
      </c>
      <c r="R237" t="str">
        <f>IF(tabExam[[#This Row],[Log Date]]="","",IF(TRIM(tabExam[[#This Row],[Exam Cycle Stage]])="Asked to be removed from database","NO","YES"))</f>
        <v/>
      </c>
      <c r="S2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8" spans="1:19">
      <c r="A238" t="s">
        <v>8372</v>
      </c>
      <c r="B238" t="str">
        <f>IFERROR(_xlfn.XLOOKUP(tabExam[[#This Row],[Unique ID]], tblMaster[Unique ID], tblMaster[First Name], ""), "")</f>
        <v>Oluwasey</v>
      </c>
      <c r="C238" t="str">
        <f>IFERROR(_xlfn.XLOOKUP(tabExam[[#This Row],[Unique ID]], tblMaster[Unique ID], tblMaster[Last Name], ""), "")</f>
        <v>Ojoko</v>
      </c>
      <c r="D238" t="str">
        <f>IFERROR(_xlfn.XLOOKUP(tabExam[[#This Row],[Unique ID]], tblMaster[Unique ID], tblMaster[Email_Clean], ""), "")</f>
        <v>oluwaseyiojoko@gmail.com</v>
      </c>
      <c r="E238" t="str">
        <f>IFERROR(_xlfn.XLOOKUP(tabExam[[#This Row],[Unique ID]], tblMaster[Unique ID], tblMaster[Phone], ""), "")</f>
        <v>401-359-2526</v>
      </c>
      <c r="F238" t="str">
        <f>IFERROR(_xlfn.XLOOKUP(tabExam[[#This Row],[Unique ID]], tblMaster[Unique ID], tblMaster[Recruiter], ""), "")</f>
        <v xml:space="preserve">Tom Clark </v>
      </c>
      <c r="G238" t="str">
        <f>IFERROR(_xlfn.XLOOKUP(tabExam[[#This Row],[Unique ID]], tblMaster[Unique ID], tblMaster[Recruitment Cycle], ""), "")</f>
        <v xml:space="preserve">Re-Engagment/Post Civil Service Exam </v>
      </c>
      <c r="H238" t="s">
        <v>8366</v>
      </c>
      <c r="I238">
        <v>2025</v>
      </c>
      <c r="J238" t="s">
        <v>7446</v>
      </c>
      <c r="K238" t="s">
        <v>8151</v>
      </c>
      <c r="L238" t="s">
        <v>8165</v>
      </c>
      <c r="Q238" t="str">
        <f ca="1">IF(tabExam[[#This Row],[Log Date]]="","",TODAY()-tabExam[[#This Row],[Log Date]])</f>
        <v/>
      </c>
      <c r="R238" t="str">
        <f>IF(tabExam[[#This Row],[Log Date]]="","",IF(TRIM(tabExam[[#This Row],[Exam Cycle Stage]])="Asked to be removed from database","NO","YES"))</f>
        <v/>
      </c>
      <c r="S2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39" spans="1:19">
      <c r="A239" t="s">
        <v>8373</v>
      </c>
      <c r="B239" t="str">
        <f>IFERROR(_xlfn.XLOOKUP(tabExam[[#This Row],[Unique ID]], tblMaster[Unique ID], tblMaster[First Name], ""), "")</f>
        <v xml:space="preserve">Anilton </v>
      </c>
      <c r="C239" t="str">
        <f>IFERROR(_xlfn.XLOOKUP(tabExam[[#This Row],[Unique ID]], tblMaster[Unique ID], tblMaster[Last Name], ""), "")</f>
        <v xml:space="preserve">Fernandes </v>
      </c>
      <c r="D239" t="str">
        <f>IFERROR(_xlfn.XLOOKUP(tabExam[[#This Row],[Unique ID]], tblMaster[Unique ID], tblMaster[Email_Clean], ""), "")</f>
        <v>aniltonjorge1993@hotmail.com</v>
      </c>
      <c r="E239" t="str">
        <f>IFERROR(_xlfn.XLOOKUP(tabExam[[#This Row],[Unique ID]], tblMaster[Unique ID], tblMaster[Phone], ""), "")</f>
        <v xml:space="preserve">774-360-7791 </v>
      </c>
      <c r="F239" t="str">
        <f>IFERROR(_xlfn.XLOOKUP(tabExam[[#This Row],[Unique ID]], tblMaster[Unique ID], tblMaster[Recruiter], ""), "")</f>
        <v>Zenon Moses</v>
      </c>
      <c r="G239" t="str">
        <f>IFERROR(_xlfn.XLOOKUP(tabExam[[#This Row],[Unique ID]], tblMaster[Unique ID], tblMaster[Recruitment Cycle], ""), "")</f>
        <v xml:space="preserve">Re-Engagment/Post Civil Service Exam </v>
      </c>
      <c r="H239" t="s">
        <v>8358</v>
      </c>
      <c r="I239">
        <v>2025</v>
      </c>
      <c r="J239" t="s">
        <v>7446</v>
      </c>
      <c r="K239" t="s">
        <v>8151</v>
      </c>
      <c r="L239" t="s">
        <v>8165</v>
      </c>
      <c r="Q239" t="str">
        <f ca="1">IF(tabExam[[#This Row],[Log Date]]="","",TODAY()-tabExam[[#This Row],[Log Date]])</f>
        <v/>
      </c>
      <c r="R239" t="str">
        <f>IF(tabExam[[#This Row],[Log Date]]="","",IF(TRIM(tabExam[[#This Row],[Exam Cycle Stage]])="Asked to be removed from database","NO","YES"))</f>
        <v/>
      </c>
      <c r="S2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0" spans="1:19">
      <c r="A240" t="s">
        <v>8374</v>
      </c>
      <c r="B240" t="str">
        <f>IFERROR(_xlfn.XLOOKUP(tabExam[[#This Row],[Unique ID]], tblMaster[Unique ID], tblMaster[First Name], ""), "")</f>
        <v xml:space="preserve">Justice </v>
      </c>
      <c r="C240" t="str">
        <f>IFERROR(_xlfn.XLOOKUP(tabExam[[#This Row],[Unique ID]], tblMaster[Unique ID], tblMaster[Last Name], ""), "")</f>
        <v xml:space="preserve">Osemwegie </v>
      </c>
      <c r="D240" t="str">
        <f>IFERROR(_xlfn.XLOOKUP(tabExam[[#This Row],[Unique ID]], tblMaster[Unique ID], tblMaster[Email_Clean], ""), "")</f>
        <v>justice4ad@yahoo.com</v>
      </c>
      <c r="E240" t="str">
        <f>IFERROR(_xlfn.XLOOKUP(tabExam[[#This Row],[Unique ID]], tblMaster[Unique ID], tblMaster[Phone], ""), "")</f>
        <v xml:space="preserve">(508) 665-9387 </v>
      </c>
      <c r="F240" t="str">
        <f>IFERROR(_xlfn.XLOOKUP(tabExam[[#This Row],[Unique ID]], tblMaster[Unique ID], tblMaster[Recruiter], ""), "")</f>
        <v>Zenon Moses</v>
      </c>
      <c r="G240" t="str">
        <f>IFERROR(_xlfn.XLOOKUP(tabExam[[#This Row],[Unique ID]], tblMaster[Unique ID], tblMaster[Recruitment Cycle], ""), "")</f>
        <v xml:space="preserve">Re-Engagment/Post Civil Service Exam </v>
      </c>
      <c r="H240" t="s">
        <v>8357</v>
      </c>
      <c r="I240">
        <v>2025</v>
      </c>
      <c r="J240" t="s">
        <v>7446</v>
      </c>
      <c r="K240" t="s">
        <v>8151</v>
      </c>
      <c r="L240" t="s">
        <v>8165</v>
      </c>
      <c r="Q240" t="str">
        <f ca="1">IF(tabExam[[#This Row],[Log Date]]="","",TODAY()-tabExam[[#This Row],[Log Date]])</f>
        <v/>
      </c>
      <c r="R240" t="str">
        <f>IF(tabExam[[#This Row],[Log Date]]="","",IF(TRIM(tabExam[[#This Row],[Exam Cycle Stage]])="Asked to be removed from database","NO","YES"))</f>
        <v/>
      </c>
      <c r="S2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1" spans="1:19">
      <c r="A241" t="s">
        <v>8375</v>
      </c>
      <c r="B241" t="str">
        <f>IFERROR(_xlfn.XLOOKUP(tabExam[[#This Row],[Unique ID]], tblMaster[Unique ID], tblMaster[First Name], ""), "")</f>
        <v xml:space="preserve">Renne </v>
      </c>
      <c r="C241" t="str">
        <f>IFERROR(_xlfn.XLOOKUP(tabExam[[#This Row],[Unique ID]], tblMaster[Unique ID], tblMaster[Last Name], ""), "")</f>
        <v xml:space="preserve">Hariston </v>
      </c>
      <c r="D241" t="str">
        <f>IFERROR(_xlfn.XLOOKUP(tabExam[[#This Row],[Unique ID]], tblMaster[Unique ID], tblMaster[Email_Clean], ""), "")</f>
        <v>rhairston1130@gmail.com</v>
      </c>
      <c r="E241" t="str">
        <f>IFERROR(_xlfn.XLOOKUP(tabExam[[#This Row],[Unique ID]], tblMaster[Unique ID], tblMaster[Phone], ""), "")</f>
        <v>617-571-4162</v>
      </c>
      <c r="F241" t="str">
        <f>IFERROR(_xlfn.XLOOKUP(tabExam[[#This Row],[Unique ID]], tblMaster[Unique ID], tblMaster[Recruiter], ""), "")</f>
        <v xml:space="preserve">Tom Clark </v>
      </c>
      <c r="G241" t="str">
        <f>IFERROR(_xlfn.XLOOKUP(tabExam[[#This Row],[Unique ID]], tblMaster[Unique ID], tblMaster[Recruitment Cycle], ""), "")</f>
        <v xml:space="preserve">Re-Engagment/Post Civil Service Exam </v>
      </c>
      <c r="H241" t="s">
        <v>8366</v>
      </c>
      <c r="I241">
        <v>2025</v>
      </c>
      <c r="J241" t="s">
        <v>7446</v>
      </c>
      <c r="K241" t="s">
        <v>8151</v>
      </c>
      <c r="L241" t="s">
        <v>8165</v>
      </c>
      <c r="Q241" t="str">
        <f ca="1">IF(tabExam[[#This Row],[Log Date]]="","",TODAY()-tabExam[[#This Row],[Log Date]])</f>
        <v/>
      </c>
      <c r="R241" t="str">
        <f>IF(tabExam[[#This Row],[Log Date]]="","",IF(TRIM(tabExam[[#This Row],[Exam Cycle Stage]])="Asked to be removed from database","NO","YES"))</f>
        <v/>
      </c>
      <c r="S2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2" spans="1:19">
      <c r="A242" t="s">
        <v>8376</v>
      </c>
      <c r="B242" t="str">
        <f>IFERROR(_xlfn.XLOOKUP(tabExam[[#This Row],[Unique ID]], tblMaster[Unique ID], tblMaster[First Name], ""), "")</f>
        <v>Michael</v>
      </c>
      <c r="C242" t="str">
        <f>IFERROR(_xlfn.XLOOKUP(tabExam[[#This Row],[Unique ID]], tblMaster[Unique ID], tblMaster[Last Name], ""), "")</f>
        <v>Cabrera Luna</v>
      </c>
      <c r="D242" t="str">
        <f>IFERROR(_xlfn.XLOOKUP(tabExam[[#This Row],[Unique ID]], tblMaster[Unique ID], tblMaster[Email_Clean], ""), "")</f>
        <v>mike032004@gmail.com</v>
      </c>
      <c r="E242" t="str">
        <f>IFERROR(_xlfn.XLOOKUP(tabExam[[#This Row],[Unique ID]], tblMaster[Unique ID], tblMaster[Phone], ""), "")</f>
        <v>617-834-5525</v>
      </c>
      <c r="F242" t="str">
        <f>IFERROR(_xlfn.XLOOKUP(tabExam[[#This Row],[Unique ID]], tblMaster[Unique ID], tblMaster[Recruiter], ""), "")</f>
        <v xml:space="preserve">Tom Clark </v>
      </c>
      <c r="G242" t="str">
        <f>IFERROR(_xlfn.XLOOKUP(tabExam[[#This Row],[Unique ID]], tblMaster[Unique ID], tblMaster[Recruitment Cycle], ""), "")</f>
        <v xml:space="preserve">Re-Engagment/Post Civil Service Exam </v>
      </c>
      <c r="H242" t="s">
        <v>8360</v>
      </c>
      <c r="I242">
        <v>2025</v>
      </c>
      <c r="J242" t="s">
        <v>7446</v>
      </c>
      <c r="K242" t="s">
        <v>8151</v>
      </c>
      <c r="L242" t="s">
        <v>8165</v>
      </c>
      <c r="Q242" t="str">
        <f ca="1">IF(tabExam[[#This Row],[Log Date]]="","",TODAY()-tabExam[[#This Row],[Log Date]])</f>
        <v/>
      </c>
      <c r="R242" t="str">
        <f>IF(tabExam[[#This Row],[Log Date]]="","",IF(TRIM(tabExam[[#This Row],[Exam Cycle Stage]])="Asked to be removed from database","NO","YES"))</f>
        <v/>
      </c>
      <c r="S2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3" spans="1:19">
      <c r="A243" t="s">
        <v>8377</v>
      </c>
      <c r="B243" t="str">
        <f>IFERROR(_xlfn.XLOOKUP(tabExam[[#This Row],[Unique ID]], tblMaster[Unique ID], tblMaster[First Name], ""), "")</f>
        <v>Oheneba</v>
      </c>
      <c r="C243" t="str">
        <f>IFERROR(_xlfn.XLOOKUP(tabExam[[#This Row],[Unique ID]], tblMaster[Unique ID], tblMaster[Last Name], ""), "")</f>
        <v xml:space="preserve">Duah </v>
      </c>
      <c r="D243" t="str">
        <f>IFERROR(_xlfn.XLOOKUP(tabExam[[#This Row],[Unique ID]], tblMaster[Unique ID], tblMaster[Email_Clean], ""), "")</f>
        <v>ohenebakduah2@gmail.com</v>
      </c>
      <c r="E243" t="str">
        <f>IFERROR(_xlfn.XLOOKUP(tabExam[[#This Row],[Unique ID]], tblMaster[Unique ID], tblMaster[Phone], ""), "")</f>
        <v>774) 433-4775</v>
      </c>
      <c r="F243" t="str">
        <f>IFERROR(_xlfn.XLOOKUP(tabExam[[#This Row],[Unique ID]], tblMaster[Unique ID], tblMaster[Recruiter], ""), "")</f>
        <v>Zenon Moses</v>
      </c>
      <c r="G243" t="str">
        <f>IFERROR(_xlfn.XLOOKUP(tabExam[[#This Row],[Unique ID]], tblMaster[Unique ID], tblMaster[Recruitment Cycle], ""), "")</f>
        <v xml:space="preserve">Re-Engagment/Post Civil Service Exam </v>
      </c>
      <c r="H243" t="s">
        <v>8360</v>
      </c>
      <c r="I243">
        <v>2025</v>
      </c>
      <c r="J243" t="s">
        <v>7446</v>
      </c>
      <c r="K243" t="s">
        <v>8151</v>
      </c>
      <c r="L243" t="s">
        <v>8165</v>
      </c>
      <c r="Q243" t="str">
        <f ca="1">IF(tabExam[[#This Row],[Log Date]]="","",TODAY()-tabExam[[#This Row],[Log Date]])</f>
        <v/>
      </c>
      <c r="R243" t="str">
        <f>IF(tabExam[[#This Row],[Log Date]]="","",IF(TRIM(tabExam[[#This Row],[Exam Cycle Stage]])="Asked to be removed from database","NO","YES"))</f>
        <v/>
      </c>
      <c r="S2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4" spans="1:19">
      <c r="A244" t="s">
        <v>8378</v>
      </c>
      <c r="B244" t="str">
        <f>IFERROR(_xlfn.XLOOKUP(tabExam[[#This Row],[Unique ID]], tblMaster[Unique ID], tblMaster[First Name], ""), "")</f>
        <v xml:space="preserve">Asim </v>
      </c>
      <c r="C244" t="str">
        <f>IFERROR(_xlfn.XLOOKUP(tabExam[[#This Row],[Unique ID]], tblMaster[Unique ID], tblMaster[Last Name], ""), "")</f>
        <v xml:space="preserve"> Hussain</v>
      </c>
      <c r="D244" t="str">
        <f>IFERROR(_xlfn.XLOOKUP(tabExam[[#This Row],[Unique ID]], tblMaster[Unique ID], tblMaster[Email_Clean], ""), "")</f>
        <v>a0865303@gmail.com</v>
      </c>
      <c r="E244" t="str">
        <f>IFERROR(_xlfn.XLOOKUP(tabExam[[#This Row],[Unique ID]], tblMaster[Unique ID], tblMaster[Phone], ""), "")</f>
        <v>518 729 0204</v>
      </c>
      <c r="F244">
        <f>IFERROR(_xlfn.XLOOKUP(tabExam[[#This Row],[Unique ID]], tblMaster[Unique ID], tblMaster[Recruiter], ""), "")</f>
        <v>0</v>
      </c>
      <c r="G244" t="str">
        <f>IFERROR(_xlfn.XLOOKUP(tabExam[[#This Row],[Unique ID]], tblMaster[Unique ID], tblMaster[Recruitment Cycle], ""), "")</f>
        <v xml:space="preserve">Re-Engagment/Post Civil Service Exam </v>
      </c>
      <c r="H244" t="s">
        <v>8360</v>
      </c>
      <c r="I244">
        <v>2025</v>
      </c>
      <c r="J244" t="s">
        <v>7446</v>
      </c>
      <c r="K244" t="s">
        <v>8151</v>
      </c>
      <c r="L244" t="s">
        <v>8165</v>
      </c>
      <c r="Q244" t="str">
        <f ca="1">IF(tabExam[[#This Row],[Log Date]]="","",TODAY()-tabExam[[#This Row],[Log Date]])</f>
        <v/>
      </c>
      <c r="R244" t="str">
        <f>IF(tabExam[[#This Row],[Log Date]]="","",IF(TRIM(tabExam[[#This Row],[Exam Cycle Stage]])="Asked to be removed from database","NO","YES"))</f>
        <v/>
      </c>
      <c r="S2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5" spans="1:19">
      <c r="A245" t="s">
        <v>8379</v>
      </c>
      <c r="B245" t="str">
        <f>IFERROR(_xlfn.XLOOKUP(tabExam[[#This Row],[Unique ID]], tblMaster[Unique ID], tblMaster[First Name], ""), "")</f>
        <v xml:space="preserve">Gethro </v>
      </c>
      <c r="C245" t="str">
        <f>IFERROR(_xlfn.XLOOKUP(tabExam[[#This Row],[Unique ID]], tblMaster[Unique ID], tblMaster[Last Name], ""), "")</f>
        <v xml:space="preserve">Nerosil </v>
      </c>
      <c r="D245" t="str">
        <f>IFERROR(_xlfn.XLOOKUP(tabExam[[#This Row],[Unique ID]], tblMaster[Unique ID], tblMaster[Email_Clean], ""), "")</f>
        <v>gnerosil86@gmail.com</v>
      </c>
      <c r="E245" t="str">
        <f>IFERROR(_xlfn.XLOOKUP(tabExam[[#This Row],[Unique ID]], tblMaster[Unique ID], tblMaster[Phone], ""), "")</f>
        <v xml:space="preserve">774-849-8493 </v>
      </c>
      <c r="F245">
        <f>IFERROR(_xlfn.XLOOKUP(tabExam[[#This Row],[Unique ID]], tblMaster[Unique ID], tblMaster[Recruiter], ""), "")</f>
        <v>0</v>
      </c>
      <c r="G245" t="str">
        <f>IFERROR(_xlfn.XLOOKUP(tabExam[[#This Row],[Unique ID]], tblMaster[Unique ID], tblMaster[Recruitment Cycle], ""), "")</f>
        <v xml:space="preserve">Re-Engagment/Post Civil Service Exam </v>
      </c>
      <c r="H245" t="s">
        <v>8360</v>
      </c>
      <c r="I245">
        <v>2025</v>
      </c>
      <c r="J245" t="s">
        <v>7446</v>
      </c>
      <c r="K245" t="s">
        <v>8151</v>
      </c>
      <c r="L245" t="s">
        <v>8165</v>
      </c>
      <c r="Q245" t="str">
        <f ca="1">IF(tabExam[[#This Row],[Log Date]]="","",TODAY()-tabExam[[#This Row],[Log Date]])</f>
        <v/>
      </c>
      <c r="R245" t="str">
        <f>IF(tabExam[[#This Row],[Log Date]]="","",IF(TRIM(tabExam[[#This Row],[Exam Cycle Stage]])="Asked to be removed from database","NO","YES"))</f>
        <v/>
      </c>
      <c r="S2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6" spans="1:19">
      <c r="A246" t="s">
        <v>8380</v>
      </c>
      <c r="B246" t="str">
        <f>IFERROR(_xlfn.XLOOKUP(tabExam[[#This Row],[Unique ID]], tblMaster[Unique ID], tblMaster[First Name], ""), "")</f>
        <v xml:space="preserve">Gregory </v>
      </c>
      <c r="C246" t="str">
        <f>IFERROR(_xlfn.XLOOKUP(tabExam[[#This Row],[Unique ID]], tblMaster[Unique ID], tblMaster[Last Name], ""), "")</f>
        <v xml:space="preserve"> Falkornia </v>
      </c>
      <c r="D246" t="str">
        <f>IFERROR(_xlfn.XLOOKUP(tabExam[[#This Row],[Unique ID]], tblMaster[Unique ID], tblMaster[Email_Clean], ""), "")</f>
        <v>gfalkorn01@northshore.edu</v>
      </c>
      <c r="E246" t="str">
        <f>IFERROR(_xlfn.XLOOKUP(tabExam[[#This Row],[Unique ID]], tblMaster[Unique ID], tblMaster[Phone], ""), "")</f>
        <v xml:space="preserve">(978) 394-4453 </v>
      </c>
      <c r="F246" t="str">
        <f>IFERROR(_xlfn.XLOOKUP(tabExam[[#This Row],[Unique ID]], tblMaster[Unique ID], tblMaster[Recruiter], ""), "")</f>
        <v xml:space="preserve">Jevon Brown Simpson </v>
      </c>
      <c r="G246" t="str">
        <f>IFERROR(_xlfn.XLOOKUP(tabExam[[#This Row],[Unique ID]], tblMaster[Unique ID], tblMaster[Recruitment Cycle], ""), "")</f>
        <v xml:space="preserve">Re-Engagment/Post Civil Service Exam </v>
      </c>
      <c r="H246" t="s">
        <v>8357</v>
      </c>
      <c r="I246">
        <v>2025</v>
      </c>
      <c r="J246" t="s">
        <v>7446</v>
      </c>
      <c r="K246" t="s">
        <v>8151</v>
      </c>
      <c r="L246" t="s">
        <v>8165</v>
      </c>
      <c r="Q246" t="str">
        <f ca="1">IF(tabExam[[#This Row],[Log Date]]="","",TODAY()-tabExam[[#This Row],[Log Date]])</f>
        <v/>
      </c>
      <c r="R246" t="str">
        <f>IF(tabExam[[#This Row],[Log Date]]="","",IF(TRIM(tabExam[[#This Row],[Exam Cycle Stage]])="Asked to be removed from database","NO","YES"))</f>
        <v/>
      </c>
      <c r="S2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7" spans="1:19">
      <c r="A247" t="s">
        <v>8381</v>
      </c>
      <c r="B247" t="str">
        <f>IFERROR(_xlfn.XLOOKUP(tabExam[[#This Row],[Unique ID]], tblMaster[Unique ID], tblMaster[First Name], ""), "")</f>
        <v xml:space="preserve">Kayla </v>
      </c>
      <c r="C247" t="str">
        <f>IFERROR(_xlfn.XLOOKUP(tabExam[[#This Row],[Unique ID]], tblMaster[Unique ID], tblMaster[Last Name], ""), "")</f>
        <v xml:space="preserve"> Dias </v>
      </c>
      <c r="D247" t="str">
        <f>IFERROR(_xlfn.XLOOKUP(tabExam[[#This Row],[Unique ID]], tblMaster[Unique ID], tblMaster[Email_Clean], ""), "")</f>
        <v>kayladias@icloud.com</v>
      </c>
      <c r="E247" t="str">
        <f>IFERROR(_xlfn.XLOOKUP(tabExam[[#This Row],[Unique ID]], tblMaster[Unique ID], tblMaster[Phone], ""), "")</f>
        <v xml:space="preserve">(508) 496-6808 </v>
      </c>
      <c r="F247" t="str">
        <f>IFERROR(_xlfn.XLOOKUP(tabExam[[#This Row],[Unique ID]], tblMaster[Unique ID], tblMaster[Recruiter], ""), "")</f>
        <v>Zenon Moses</v>
      </c>
      <c r="G247" t="str">
        <f>IFERROR(_xlfn.XLOOKUP(tabExam[[#This Row],[Unique ID]], tblMaster[Unique ID], tblMaster[Recruitment Cycle], ""), "")</f>
        <v xml:space="preserve">Re-Engagment/Post Civil Service Exam </v>
      </c>
      <c r="H247" t="s">
        <v>8366</v>
      </c>
      <c r="I247">
        <v>2025</v>
      </c>
      <c r="J247" t="s">
        <v>7446</v>
      </c>
      <c r="K247" t="s">
        <v>8151</v>
      </c>
      <c r="L247" t="s">
        <v>8165</v>
      </c>
      <c r="Q247" t="str">
        <f ca="1">IF(tabExam[[#This Row],[Log Date]]="","",TODAY()-tabExam[[#This Row],[Log Date]])</f>
        <v/>
      </c>
      <c r="R247" t="str">
        <f>IF(tabExam[[#This Row],[Log Date]]="","",IF(TRIM(tabExam[[#This Row],[Exam Cycle Stage]])="Asked to be removed from database","NO","YES"))</f>
        <v/>
      </c>
      <c r="S2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8" spans="1:19">
      <c r="A248" t="s">
        <v>8382</v>
      </c>
      <c r="B248" t="str">
        <f>IFERROR(_xlfn.XLOOKUP(tabExam[[#This Row],[Unique ID]], tblMaster[Unique ID], tblMaster[First Name], ""), "")</f>
        <v>Mothusi</v>
      </c>
      <c r="C248" t="str">
        <f>IFERROR(_xlfn.XLOOKUP(tabExam[[#This Row],[Unique ID]], tblMaster[Unique ID], tblMaster[Last Name], ""), "")</f>
        <v>Diseko</v>
      </c>
      <c r="D248" t="str">
        <f>IFERROR(_xlfn.XLOOKUP(tabExam[[#This Row],[Unique ID]], tblMaster[Unique ID], tblMaster[Email_Clean], ""), "")</f>
        <v>mmdiseko@gmail.com</v>
      </c>
      <c r="E248" t="str">
        <f>IFERROR(_xlfn.XLOOKUP(tabExam[[#This Row],[Unique ID]], tblMaster[Unique ID], tblMaster[Phone], ""), "")</f>
        <v>774 422 8257</v>
      </c>
      <c r="F248" t="str">
        <f>IFERROR(_xlfn.XLOOKUP(tabExam[[#This Row],[Unique ID]], tblMaster[Unique ID], tblMaster[Recruiter], ""), "")</f>
        <v xml:space="preserve">Jevon Brown Simpson </v>
      </c>
      <c r="G248" t="str">
        <f>IFERROR(_xlfn.XLOOKUP(tabExam[[#This Row],[Unique ID]], tblMaster[Unique ID], tblMaster[Recruitment Cycle], ""), "")</f>
        <v xml:space="preserve">Re-Engagment/Post Civil Service Exam </v>
      </c>
      <c r="H248" t="s">
        <v>8366</v>
      </c>
      <c r="I248">
        <v>2025</v>
      </c>
      <c r="J248" t="s">
        <v>7446</v>
      </c>
      <c r="K248" t="s">
        <v>8151</v>
      </c>
      <c r="L248" t="s">
        <v>8165</v>
      </c>
      <c r="Q248" t="str">
        <f ca="1">IF(tabExam[[#This Row],[Log Date]]="","",TODAY()-tabExam[[#This Row],[Log Date]])</f>
        <v/>
      </c>
      <c r="R248" t="str">
        <f>IF(tabExam[[#This Row],[Log Date]]="","",IF(TRIM(tabExam[[#This Row],[Exam Cycle Stage]])="Asked to be removed from database","NO","YES"))</f>
        <v/>
      </c>
      <c r="S2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49" spans="1:19">
      <c r="A249" t="s">
        <v>8383</v>
      </c>
      <c r="B249" t="str">
        <f>IFERROR(_xlfn.XLOOKUP(tabExam[[#This Row],[Unique ID]], tblMaster[Unique ID], tblMaster[First Name], ""), "")</f>
        <v xml:space="preserve">Brianna </v>
      </c>
      <c r="C249" t="str">
        <f>IFERROR(_xlfn.XLOOKUP(tabExam[[#This Row],[Unique ID]], tblMaster[Unique ID], tblMaster[Last Name], ""), "")</f>
        <v xml:space="preserve">Metcalf </v>
      </c>
      <c r="D249" t="str">
        <f>IFERROR(_xlfn.XLOOKUP(tabExam[[#This Row],[Unique ID]], tblMaster[Unique ID], tblMaster[Email_Clean], ""), "")</f>
        <v>briannajoycex0@gmail.com</v>
      </c>
      <c r="E249" t="str">
        <f>IFERROR(_xlfn.XLOOKUP(tabExam[[#This Row],[Unique ID]], tblMaster[Unique ID], tblMaster[Phone], ""), "")</f>
        <v xml:space="preserve">(716) 446-7093 </v>
      </c>
      <c r="F249" t="str">
        <f>IFERROR(_xlfn.XLOOKUP(tabExam[[#This Row],[Unique ID]], tblMaster[Unique ID], tblMaster[Recruiter], ""), "")</f>
        <v xml:space="preserve">Jevon Brown Simpson </v>
      </c>
      <c r="G249" t="str">
        <f>IFERROR(_xlfn.XLOOKUP(tabExam[[#This Row],[Unique ID]], tblMaster[Unique ID], tblMaster[Recruitment Cycle], ""), "")</f>
        <v xml:space="preserve">Re-Engagment/Post Civil Service Exam </v>
      </c>
      <c r="H249" t="s">
        <v>8366</v>
      </c>
      <c r="I249">
        <v>2025</v>
      </c>
      <c r="J249" t="s">
        <v>7446</v>
      </c>
      <c r="K249" t="s">
        <v>8151</v>
      </c>
      <c r="L249" t="s">
        <v>8165</v>
      </c>
      <c r="Q249" t="str">
        <f ca="1">IF(tabExam[[#This Row],[Log Date]]="","",TODAY()-tabExam[[#This Row],[Log Date]])</f>
        <v/>
      </c>
      <c r="R249" t="str">
        <f>IF(tabExam[[#This Row],[Log Date]]="","",IF(TRIM(tabExam[[#This Row],[Exam Cycle Stage]])="Asked to be removed from database","NO","YES"))</f>
        <v/>
      </c>
      <c r="S2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0" spans="1:19">
      <c r="A250" t="s">
        <v>8384</v>
      </c>
      <c r="B250" t="str">
        <f>IFERROR(_xlfn.XLOOKUP(tabExam[[#This Row],[Unique ID]], tblMaster[Unique ID], tblMaster[First Name], ""), "")</f>
        <v xml:space="preserve">Seth </v>
      </c>
      <c r="C250" t="str">
        <f>IFERROR(_xlfn.XLOOKUP(tabExam[[#This Row],[Unique ID]], tblMaster[Unique ID], tblMaster[Last Name], ""), "")</f>
        <v xml:space="preserve">Perry </v>
      </c>
      <c r="D250" t="str">
        <f>IFERROR(_xlfn.XLOOKUP(tabExam[[#This Row],[Unique ID]], tblMaster[Unique ID], tblMaster[Email_Clean], ""), "")</f>
        <v>sethianjames02@gmail.com</v>
      </c>
      <c r="E250" t="str">
        <f>IFERROR(_xlfn.XLOOKUP(tabExam[[#This Row],[Unique ID]], tblMaster[Unique ID], tblMaster[Phone], ""), "")</f>
        <v xml:space="preserve">(978) 930-4753 </v>
      </c>
      <c r="F250" t="str">
        <f>IFERROR(_xlfn.XLOOKUP(tabExam[[#This Row],[Unique ID]], tblMaster[Unique ID], tblMaster[Recruiter], ""), "")</f>
        <v>Zenon Moses</v>
      </c>
      <c r="G250" t="str">
        <f>IFERROR(_xlfn.XLOOKUP(tabExam[[#This Row],[Unique ID]], tblMaster[Unique ID], tblMaster[Recruitment Cycle], ""), "")</f>
        <v xml:space="preserve">Re-Engagment/Post Civil Service Exam </v>
      </c>
      <c r="H250" t="s">
        <v>8366</v>
      </c>
      <c r="I250">
        <v>2025</v>
      </c>
      <c r="J250" t="s">
        <v>7446</v>
      </c>
      <c r="K250" t="s">
        <v>8151</v>
      </c>
      <c r="L250" t="s">
        <v>8165</v>
      </c>
      <c r="Q250" t="str">
        <f ca="1">IF(tabExam[[#This Row],[Log Date]]="","",TODAY()-tabExam[[#This Row],[Log Date]])</f>
        <v/>
      </c>
      <c r="R250" t="str">
        <f>IF(tabExam[[#This Row],[Log Date]]="","",IF(TRIM(tabExam[[#This Row],[Exam Cycle Stage]])="Asked to be removed from database","NO","YES"))</f>
        <v/>
      </c>
      <c r="S2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1" spans="1:19">
      <c r="A251" t="s">
        <v>8385</v>
      </c>
      <c r="B251" t="str">
        <f>IFERROR(_xlfn.XLOOKUP(tabExam[[#This Row],[Unique ID]], tblMaster[Unique ID], tblMaster[First Name], ""), "")</f>
        <v>Ebenzer</v>
      </c>
      <c r="C251" t="str">
        <f>IFERROR(_xlfn.XLOOKUP(tabExam[[#This Row],[Unique ID]], tblMaster[Unique ID], tblMaster[Last Name], ""), "")</f>
        <v>Ihejirika</v>
      </c>
      <c r="D251" t="str">
        <f>IFERROR(_xlfn.XLOOKUP(tabExam[[#This Row],[Unique ID]], tblMaster[Unique ID], tblMaster[Email_Clean], ""), "")</f>
        <v>nezer.ihejirika@yahoo.com</v>
      </c>
      <c r="E251" t="str">
        <f>IFERROR(_xlfn.XLOOKUP(tabExam[[#This Row],[Unique ID]], tblMaster[Unique ID], tblMaster[Phone], ""), "")</f>
        <v>425-399-4453</v>
      </c>
      <c r="F251" t="str">
        <f>IFERROR(_xlfn.XLOOKUP(tabExam[[#This Row],[Unique ID]], tblMaster[Unique ID], tblMaster[Recruiter], ""), "")</f>
        <v>Zenon Moses</v>
      </c>
      <c r="G251" t="str">
        <f>IFERROR(_xlfn.XLOOKUP(tabExam[[#This Row],[Unique ID]], tblMaster[Unique ID], tblMaster[Recruitment Cycle], ""), "")</f>
        <v xml:space="preserve">Re-Engagment/Post Civil Service Exam </v>
      </c>
      <c r="H251" t="s">
        <v>8360</v>
      </c>
      <c r="I251">
        <v>2025</v>
      </c>
      <c r="J251" t="s">
        <v>7446</v>
      </c>
      <c r="K251" t="s">
        <v>8151</v>
      </c>
      <c r="L251" t="s">
        <v>8165</v>
      </c>
      <c r="Q251" t="str">
        <f ca="1">IF(tabExam[[#This Row],[Log Date]]="","",TODAY()-tabExam[[#This Row],[Log Date]])</f>
        <v/>
      </c>
      <c r="R251" t="str">
        <f>IF(tabExam[[#This Row],[Log Date]]="","",IF(TRIM(tabExam[[#This Row],[Exam Cycle Stage]])="Asked to be removed from database","NO","YES"))</f>
        <v/>
      </c>
      <c r="S2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2" spans="1:19">
      <c r="A252" t="s">
        <v>8140</v>
      </c>
      <c r="B252" t="str">
        <f>IFERROR(_xlfn.XLOOKUP(tabExam[[#This Row],[Unique ID]], tblMaster[Unique ID], tblMaster[First Name], ""), "")</f>
        <v xml:space="preserve">Samantha </v>
      </c>
      <c r="C252" t="str">
        <f>IFERROR(_xlfn.XLOOKUP(tabExam[[#This Row],[Unique ID]], tblMaster[Unique ID], tblMaster[Last Name], ""), "")</f>
        <v xml:space="preserve"> Zaragoza Gonzalez</v>
      </c>
      <c r="D252" t="str">
        <f>IFERROR(_xlfn.XLOOKUP(tabExam[[#This Row],[Unique ID]], tblMaster[Unique ID], tblMaster[Email_Clean], ""), "")</f>
        <v>5039022sam@gmail.com</v>
      </c>
      <c r="E252" t="str">
        <f>IFERROR(_xlfn.XLOOKUP(tabExam[[#This Row],[Unique ID]], tblMaster[Unique ID], tblMaster[Phone], ""), "")</f>
        <v>508-206-0417</v>
      </c>
      <c r="F252" t="str">
        <f>IFERROR(_xlfn.XLOOKUP(tabExam[[#This Row],[Unique ID]], tblMaster[Unique ID], tblMaster[Recruiter], ""), "")</f>
        <v xml:space="preserve">Jevon Brown Simpson </v>
      </c>
      <c r="G252" t="str">
        <f>IFERROR(_xlfn.XLOOKUP(tabExam[[#This Row],[Unique ID]], tblMaster[Unique ID], tblMaster[Recruitment Cycle], ""), "")</f>
        <v xml:space="preserve">Re-Engagment/Post Civil Service Exam </v>
      </c>
      <c r="H252" t="s">
        <v>8360</v>
      </c>
      <c r="I252">
        <v>2025</v>
      </c>
      <c r="J252" t="s">
        <v>7446</v>
      </c>
      <c r="K252" t="s">
        <v>8151</v>
      </c>
      <c r="L252" t="s">
        <v>8165</v>
      </c>
      <c r="Q252" t="str">
        <f ca="1">IF(tabExam[[#This Row],[Log Date]]="","",TODAY()-tabExam[[#This Row],[Log Date]])</f>
        <v/>
      </c>
      <c r="R252" t="str">
        <f>IF(tabExam[[#This Row],[Log Date]]="","",IF(TRIM(tabExam[[#This Row],[Exam Cycle Stage]])="Asked to be removed from database","NO","YES"))</f>
        <v/>
      </c>
      <c r="S2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3" spans="1:19">
      <c r="A253" t="s">
        <v>8009</v>
      </c>
      <c r="B253" t="str">
        <f>IFERROR(_xlfn.XLOOKUP(tabExam[[#This Row],[Unique ID]], tblMaster[Unique ID], tblMaster[First Name], ""), "")</f>
        <v/>
      </c>
      <c r="C253" t="str">
        <f>IFERROR(_xlfn.XLOOKUP(tabExam[[#This Row],[Unique ID]], tblMaster[Unique ID], tblMaster[Last Name], ""), "")</f>
        <v/>
      </c>
      <c r="D253" t="str">
        <f>IFERROR(_xlfn.XLOOKUP(tabExam[[#This Row],[Unique ID]], tblMaster[Unique ID], tblMaster[Email_Clean], ""), "")</f>
        <v/>
      </c>
      <c r="E253" t="str">
        <f>IFERROR(_xlfn.XLOOKUP(tabExam[[#This Row],[Unique ID]], tblMaster[Unique ID], tblMaster[Phone], ""), "")</f>
        <v/>
      </c>
      <c r="F253" t="str">
        <f>IFERROR(_xlfn.XLOOKUP(tabExam[[#This Row],[Unique ID]], tblMaster[Unique ID], tblMaster[Recruiter], ""), "")</f>
        <v/>
      </c>
      <c r="G253" t="str">
        <f>IFERROR(_xlfn.XLOOKUP(tabExam[[#This Row],[Unique ID]], tblMaster[Unique ID], tblMaster[Recruitment Cycle], ""), "")</f>
        <v/>
      </c>
      <c r="H253" t="s">
        <v>8357</v>
      </c>
      <c r="I253">
        <v>2025</v>
      </c>
      <c r="J253" t="s">
        <v>7446</v>
      </c>
      <c r="K253" t="s">
        <v>8151</v>
      </c>
      <c r="L253" t="s">
        <v>8165</v>
      </c>
      <c r="Q253" t="str">
        <f ca="1">IF(tabExam[[#This Row],[Log Date]]="","",TODAY()-tabExam[[#This Row],[Log Date]])</f>
        <v/>
      </c>
      <c r="R253" t="str">
        <f>IF(tabExam[[#This Row],[Log Date]]="","",IF(TRIM(tabExam[[#This Row],[Exam Cycle Stage]])="Asked to be removed from database","NO","YES"))</f>
        <v/>
      </c>
      <c r="S2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4" spans="1:19">
      <c r="A254" t="s">
        <v>8386</v>
      </c>
      <c r="B254" t="str">
        <f>IFERROR(_xlfn.XLOOKUP(tabExam[[#This Row],[Unique ID]], tblMaster[Unique ID], tblMaster[First Name], ""), "")</f>
        <v xml:space="preserve">Adam </v>
      </c>
      <c r="C254" t="str">
        <f>IFERROR(_xlfn.XLOOKUP(tabExam[[#This Row],[Unique ID]], tblMaster[Unique ID], tblMaster[Last Name], ""), "")</f>
        <v xml:space="preserve">Woodland </v>
      </c>
      <c r="D254" t="str">
        <f>IFERROR(_xlfn.XLOOKUP(tabExam[[#This Row],[Unique ID]], tblMaster[Unique ID], tblMaster[Email_Clean], ""), "")</f>
        <v>adamwoodland16@icloud.com</v>
      </c>
      <c r="E254" t="str">
        <f>IFERROR(_xlfn.XLOOKUP(tabExam[[#This Row],[Unique ID]], tblMaster[Unique ID], tblMaster[Phone], ""), "")</f>
        <v xml:space="preserve">(774) 331-1989 </v>
      </c>
      <c r="F254" t="str">
        <f>IFERROR(_xlfn.XLOOKUP(tabExam[[#This Row],[Unique ID]], tblMaster[Unique ID], tblMaster[Recruiter], ""), "")</f>
        <v>Zenon Moses</v>
      </c>
      <c r="G254" t="str">
        <f>IFERROR(_xlfn.XLOOKUP(tabExam[[#This Row],[Unique ID]], tblMaster[Unique ID], tblMaster[Recruitment Cycle], ""), "")</f>
        <v xml:space="preserve">Re-Engagment/Post Civil Service Exam </v>
      </c>
      <c r="H254" t="s">
        <v>8357</v>
      </c>
      <c r="I254">
        <v>2025</v>
      </c>
      <c r="J254" t="s">
        <v>7446</v>
      </c>
      <c r="K254" t="s">
        <v>8151</v>
      </c>
      <c r="L254" t="s">
        <v>8165</v>
      </c>
      <c r="Q254" t="str">
        <f ca="1">IF(tabExam[[#This Row],[Log Date]]="","",TODAY()-tabExam[[#This Row],[Log Date]])</f>
        <v/>
      </c>
      <c r="R254" t="str">
        <f>IF(tabExam[[#This Row],[Log Date]]="","",IF(TRIM(tabExam[[#This Row],[Exam Cycle Stage]])="Asked to be removed from database","NO","YES"))</f>
        <v/>
      </c>
      <c r="S2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5" spans="1:19">
      <c r="A255" t="s">
        <v>8387</v>
      </c>
      <c r="B255" t="str">
        <f>IFERROR(_xlfn.XLOOKUP(tabExam[[#This Row],[Unique ID]], tblMaster[Unique ID], tblMaster[First Name], ""), "")</f>
        <v>Jimmy</v>
      </c>
      <c r="C255" t="str">
        <f>IFERROR(_xlfn.XLOOKUP(tabExam[[#This Row],[Unique ID]], tblMaster[Unique ID], tblMaster[Last Name], ""), "")</f>
        <v>Ventura</v>
      </c>
      <c r="D255" t="str">
        <f>IFERROR(_xlfn.XLOOKUP(tabExam[[#This Row],[Unique ID]], tblMaster[Unique ID], tblMaster[Email_Clean], ""), "")</f>
        <v>jimmyventura8787@yahoo.com</v>
      </c>
      <c r="E255" t="str">
        <f>IFERROR(_xlfn.XLOOKUP(tabExam[[#This Row],[Unique ID]], tblMaster[Unique ID], tblMaster[Phone], ""), "")</f>
        <v>(907)947-2918</v>
      </c>
      <c r="F255" t="str">
        <f>IFERROR(_xlfn.XLOOKUP(tabExam[[#This Row],[Unique ID]], tblMaster[Unique ID], tblMaster[Recruiter], ""), "")</f>
        <v xml:space="preserve">Jevon Brown Simpson </v>
      </c>
      <c r="G255" t="str">
        <f>IFERROR(_xlfn.XLOOKUP(tabExam[[#This Row],[Unique ID]], tblMaster[Unique ID], tblMaster[Recruitment Cycle], ""), "")</f>
        <v xml:space="preserve">Re-Engagment/Post Civil Service Exam </v>
      </c>
      <c r="H255" t="s">
        <v>8358</v>
      </c>
      <c r="I255">
        <v>2025</v>
      </c>
      <c r="J255" t="s">
        <v>7446</v>
      </c>
      <c r="K255" t="s">
        <v>8151</v>
      </c>
      <c r="L255" t="s">
        <v>8165</v>
      </c>
      <c r="Q255" t="str">
        <f ca="1">IF(tabExam[[#This Row],[Log Date]]="","",TODAY()-tabExam[[#This Row],[Log Date]])</f>
        <v/>
      </c>
      <c r="R255" t="str">
        <f>IF(tabExam[[#This Row],[Log Date]]="","",IF(TRIM(tabExam[[#This Row],[Exam Cycle Stage]])="Asked to be removed from database","NO","YES"))</f>
        <v/>
      </c>
      <c r="S25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6" spans="1:19">
      <c r="A256" t="s">
        <v>8388</v>
      </c>
      <c r="B256" t="str">
        <f>IFERROR(_xlfn.XLOOKUP(tabExam[[#This Row],[Unique ID]], tblMaster[Unique ID], tblMaster[First Name], ""), "")</f>
        <v>Ryan</v>
      </c>
      <c r="C256" t="str">
        <f>IFERROR(_xlfn.XLOOKUP(tabExam[[#This Row],[Unique ID]], tblMaster[Unique ID], tblMaster[Last Name], ""), "")</f>
        <v>Walcott</v>
      </c>
      <c r="D256" t="str">
        <f>IFERROR(_xlfn.XLOOKUP(tabExam[[#This Row],[Unique ID]], tblMaster[Unique ID], tblMaster[Email_Clean], ""), "")</f>
        <v>rwalcott@live.com</v>
      </c>
      <c r="E256" t="str">
        <f>IFERROR(_xlfn.XLOOKUP(tabExam[[#This Row],[Unique ID]], tblMaster[Unique ID], tblMaster[Phone], ""), "")</f>
        <v>(617)990-7683 </v>
      </c>
      <c r="F256" t="str">
        <f>IFERROR(_xlfn.XLOOKUP(tabExam[[#This Row],[Unique ID]], tblMaster[Unique ID], tblMaster[Recruiter], ""), "")</f>
        <v xml:space="preserve">Jevon Brown Simpson </v>
      </c>
      <c r="G256" t="str">
        <f>IFERROR(_xlfn.XLOOKUP(tabExam[[#This Row],[Unique ID]], tblMaster[Unique ID], tblMaster[Recruitment Cycle], ""), "")</f>
        <v xml:space="preserve">Re-Engagment/Post Civil Service Exam </v>
      </c>
      <c r="H256" t="s">
        <v>8358</v>
      </c>
      <c r="I256">
        <v>2025</v>
      </c>
      <c r="J256" t="s">
        <v>7446</v>
      </c>
      <c r="K256" t="s">
        <v>8151</v>
      </c>
      <c r="L256" t="s">
        <v>8165</v>
      </c>
      <c r="Q256" t="str">
        <f ca="1">IF(tabExam[[#This Row],[Log Date]]="","",TODAY()-tabExam[[#This Row],[Log Date]])</f>
        <v/>
      </c>
      <c r="R256" t="str">
        <f>IF(tabExam[[#This Row],[Log Date]]="","",IF(TRIM(tabExam[[#This Row],[Exam Cycle Stage]])="Asked to be removed from database","NO","YES"))</f>
        <v/>
      </c>
      <c r="S2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7" spans="1:19">
      <c r="A257" t="s">
        <v>8389</v>
      </c>
      <c r="B257" t="str">
        <f>IFERROR(_xlfn.XLOOKUP(tabExam[[#This Row],[Unique ID]], tblMaster[Unique ID], tblMaster[First Name], ""), "")</f>
        <v xml:space="preserve">Frashley </v>
      </c>
      <c r="C257" t="str">
        <f>IFERROR(_xlfn.XLOOKUP(tabExam[[#This Row],[Unique ID]], tblMaster[Unique ID], tblMaster[Last Name], ""), "")</f>
        <v>Paula</v>
      </c>
      <c r="D257" t="str">
        <f>IFERROR(_xlfn.XLOOKUP(tabExam[[#This Row],[Unique ID]], tblMaster[Unique ID], tblMaster[Email_Clean], ""), "")</f>
        <v>paulafrashley@gmail.com</v>
      </c>
      <c r="E257" t="str">
        <f>IFERROR(_xlfn.XLOOKUP(tabExam[[#This Row],[Unique ID]], tblMaster[Unique ID], tblMaster[Phone], ""), "")</f>
        <v>617-963-4266</v>
      </c>
      <c r="F257" t="str">
        <f>IFERROR(_xlfn.XLOOKUP(tabExam[[#This Row],[Unique ID]], tblMaster[Unique ID], tblMaster[Recruiter], ""), "")</f>
        <v>Zenon Moses</v>
      </c>
      <c r="G257" t="str">
        <f>IFERROR(_xlfn.XLOOKUP(tabExam[[#This Row],[Unique ID]], tblMaster[Unique ID], tblMaster[Recruitment Cycle], ""), "")</f>
        <v xml:space="preserve">Re-Engagment/Post Civil Service Exam </v>
      </c>
      <c r="H257" t="s">
        <v>8366</v>
      </c>
      <c r="I257">
        <v>2025</v>
      </c>
      <c r="J257" t="s">
        <v>7446</v>
      </c>
      <c r="K257" t="s">
        <v>8151</v>
      </c>
      <c r="L257" t="s">
        <v>8165</v>
      </c>
      <c r="Q257" t="str">
        <f ca="1">IF(tabExam[[#This Row],[Log Date]]="","",TODAY()-tabExam[[#This Row],[Log Date]])</f>
        <v/>
      </c>
      <c r="R257" t="str">
        <f>IF(tabExam[[#This Row],[Log Date]]="","",IF(TRIM(tabExam[[#This Row],[Exam Cycle Stage]])="Asked to be removed from database","NO","YES"))</f>
        <v/>
      </c>
      <c r="S2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8" spans="1:19">
      <c r="A258" t="s">
        <v>8390</v>
      </c>
      <c r="B258" t="str">
        <f>IFERROR(_xlfn.XLOOKUP(tabExam[[#This Row],[Unique ID]], tblMaster[Unique ID], tblMaster[First Name], ""), "")</f>
        <v>Jacqueline</v>
      </c>
      <c r="C258" t="str">
        <f>IFERROR(_xlfn.XLOOKUP(tabExam[[#This Row],[Unique ID]], tblMaster[Unique ID], tblMaster[Last Name], ""), "")</f>
        <v>Benjamin</v>
      </c>
      <c r="D258" t="str">
        <f>IFERROR(_xlfn.XLOOKUP(tabExam[[#This Row],[Unique ID]], tblMaster[Unique ID], tblMaster[Email_Clean], ""), "")</f>
        <v>bjacquie45@yahoo.com</v>
      </c>
      <c r="E258" t="str">
        <f>IFERROR(_xlfn.XLOOKUP(tabExam[[#This Row],[Unique ID]], tblMaster[Unique ID], tblMaster[Phone], ""), "")</f>
        <v>781-510-1760</v>
      </c>
      <c r="F258" t="str">
        <f>IFERROR(_xlfn.XLOOKUP(tabExam[[#This Row],[Unique ID]], tblMaster[Unique ID], tblMaster[Recruiter], ""), "")</f>
        <v xml:space="preserve">Jevon Brown Simpson </v>
      </c>
      <c r="G258" t="str">
        <f>IFERROR(_xlfn.XLOOKUP(tabExam[[#This Row],[Unique ID]], tblMaster[Unique ID], tblMaster[Recruitment Cycle], ""), "")</f>
        <v xml:space="preserve">Re-Engagment/Post Civil Service Exam </v>
      </c>
      <c r="H258" t="s">
        <v>8360</v>
      </c>
      <c r="I258">
        <v>2025</v>
      </c>
      <c r="J258" t="s">
        <v>7446</v>
      </c>
      <c r="K258" t="s">
        <v>8151</v>
      </c>
      <c r="L258" t="s">
        <v>8165</v>
      </c>
      <c r="Q258" t="str">
        <f ca="1">IF(tabExam[[#This Row],[Log Date]]="","",TODAY()-tabExam[[#This Row],[Log Date]])</f>
        <v/>
      </c>
      <c r="R258" t="str">
        <f>IF(tabExam[[#This Row],[Log Date]]="","",IF(TRIM(tabExam[[#This Row],[Exam Cycle Stage]])="Asked to be removed from database","NO","YES"))</f>
        <v/>
      </c>
      <c r="S2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59" spans="1:19">
      <c r="A259" t="s">
        <v>7514</v>
      </c>
      <c r="B259" t="str">
        <f>IFERROR(_xlfn.XLOOKUP(tabExam[[#This Row],[Unique ID]], tblMaster[Unique ID], tblMaster[First Name], ""), "")</f>
        <v>Joshua</v>
      </c>
      <c r="C259" t="str">
        <f>IFERROR(_xlfn.XLOOKUP(tabExam[[#This Row],[Unique ID]], tblMaster[Unique ID], tblMaster[Last Name], ""), "")</f>
        <v xml:space="preserve">Clancy </v>
      </c>
      <c r="D259" t="str">
        <f>IFERROR(_xlfn.XLOOKUP(tabExam[[#This Row],[Unique ID]], tblMaster[Unique ID], tblMaster[Email_Clean], ""), "")</f>
        <v>joshua.clancy@gmail.com</v>
      </c>
      <c r="E259" t="str">
        <f>IFERROR(_xlfn.XLOOKUP(tabExam[[#This Row],[Unique ID]], tblMaster[Unique ID], tblMaster[Phone], ""), "")</f>
        <v>508-507-0140</v>
      </c>
      <c r="F259" t="str">
        <f>IFERROR(_xlfn.XLOOKUP(tabExam[[#This Row],[Unique ID]], tblMaster[Unique ID], tblMaster[Recruiter], ""), "")</f>
        <v>Zenon Moses</v>
      </c>
      <c r="G259" t="str">
        <f>IFERROR(_xlfn.XLOOKUP(tabExam[[#This Row],[Unique ID]], tblMaster[Unique ID], tblMaster[Recruitment Cycle], ""), "")</f>
        <v xml:space="preserve">Re-Engagment/Post Civil Service Exam </v>
      </c>
      <c r="H259" t="s">
        <v>8360</v>
      </c>
      <c r="I259">
        <v>2025</v>
      </c>
      <c r="J259" t="s">
        <v>7446</v>
      </c>
      <c r="K259" t="s">
        <v>8151</v>
      </c>
      <c r="L259" t="s">
        <v>8165</v>
      </c>
      <c r="Q259" t="str">
        <f ca="1">IF(tabExam[[#This Row],[Log Date]]="","",TODAY()-tabExam[[#This Row],[Log Date]])</f>
        <v/>
      </c>
      <c r="R259" t="str">
        <f>IF(tabExam[[#This Row],[Log Date]]="","",IF(TRIM(tabExam[[#This Row],[Exam Cycle Stage]])="Asked to be removed from database","NO","YES"))</f>
        <v/>
      </c>
      <c r="S2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0" spans="1:19">
      <c r="A260" t="s">
        <v>8391</v>
      </c>
      <c r="B260" t="str">
        <f>IFERROR(_xlfn.XLOOKUP(tabExam[[#This Row],[Unique ID]], tblMaster[Unique ID], tblMaster[First Name], ""), "")</f>
        <v xml:space="preserve">Kayla </v>
      </c>
      <c r="C260" t="str">
        <f>IFERROR(_xlfn.XLOOKUP(tabExam[[#This Row],[Unique ID]], tblMaster[Unique ID], tblMaster[Last Name], ""), "")</f>
        <v>McDevitt</v>
      </c>
      <c r="D260" t="str">
        <f>IFERROR(_xlfn.XLOOKUP(tabExam[[#This Row],[Unique ID]], tblMaster[Unique ID], tblMaster[Email_Clean], ""), "")</f>
        <v>kayla.mcdevitt@yahoo.com</v>
      </c>
      <c r="E260" t="str">
        <f>IFERROR(_xlfn.XLOOKUP(tabExam[[#This Row],[Unique ID]], tblMaster[Unique ID], tblMaster[Phone], ""), "")</f>
        <v>508-397-4082</v>
      </c>
      <c r="F260" t="str">
        <f>IFERROR(_xlfn.XLOOKUP(tabExam[[#This Row],[Unique ID]], tblMaster[Unique ID], tblMaster[Recruiter], ""), "")</f>
        <v>Zenon Moses</v>
      </c>
      <c r="G260" t="str">
        <f>IFERROR(_xlfn.XLOOKUP(tabExam[[#This Row],[Unique ID]], tblMaster[Unique ID], tblMaster[Recruitment Cycle], ""), "")</f>
        <v xml:space="preserve">Re-Engagment/Post Civil Service Exam </v>
      </c>
      <c r="H260" t="s">
        <v>8357</v>
      </c>
      <c r="I260">
        <v>2025</v>
      </c>
      <c r="J260" t="s">
        <v>7446</v>
      </c>
      <c r="K260" t="s">
        <v>8151</v>
      </c>
      <c r="L260" t="s">
        <v>8165</v>
      </c>
      <c r="Q260" t="str">
        <f ca="1">IF(tabExam[[#This Row],[Log Date]]="","",TODAY()-tabExam[[#This Row],[Log Date]])</f>
        <v/>
      </c>
      <c r="R260" t="str">
        <f>IF(tabExam[[#This Row],[Log Date]]="","",IF(TRIM(tabExam[[#This Row],[Exam Cycle Stage]])="Asked to be removed from database","NO","YES"))</f>
        <v/>
      </c>
      <c r="S2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1" spans="1:19">
      <c r="A261" t="s">
        <v>8392</v>
      </c>
      <c r="B261" t="str">
        <f>IFERROR(_xlfn.XLOOKUP(tabExam[[#This Row],[Unique ID]], tblMaster[Unique ID], tblMaster[First Name], ""), "")</f>
        <v xml:space="preserve">Liengu </v>
      </c>
      <c r="C261" t="str">
        <f>IFERROR(_xlfn.XLOOKUP(tabExam[[#This Row],[Unique ID]], tblMaster[Unique ID], tblMaster[Last Name], ""), "")</f>
        <v>Etaka Liote</v>
      </c>
      <c r="D261" t="str">
        <f>IFERROR(_xlfn.XLOOKUP(tabExam[[#This Row],[Unique ID]], tblMaster[Unique ID], tblMaster[Email_Clean], ""), "")</f>
        <v>lienguetakaliote@gmail.com</v>
      </c>
      <c r="E261" t="str">
        <f>IFERROR(_xlfn.XLOOKUP(tabExam[[#This Row],[Unique ID]], tblMaster[Unique ID], tblMaster[Phone], ""), "")</f>
        <v>(346) 434-4515</v>
      </c>
      <c r="F261" t="str">
        <f>IFERROR(_xlfn.XLOOKUP(tabExam[[#This Row],[Unique ID]], tblMaster[Unique ID], tblMaster[Recruiter], ""), "")</f>
        <v>Zenon Moses</v>
      </c>
      <c r="G261" t="str">
        <f>IFERROR(_xlfn.XLOOKUP(tabExam[[#This Row],[Unique ID]], tblMaster[Unique ID], tblMaster[Recruitment Cycle], ""), "")</f>
        <v xml:space="preserve">Re-Engagment/Post Civil Service Exam </v>
      </c>
      <c r="H261" t="s">
        <v>8366</v>
      </c>
      <c r="I261">
        <v>2025</v>
      </c>
      <c r="J261" t="s">
        <v>7446</v>
      </c>
      <c r="K261" t="s">
        <v>8151</v>
      </c>
      <c r="L261" t="s">
        <v>8165</v>
      </c>
      <c r="Q261" t="str">
        <f ca="1">IF(tabExam[[#This Row],[Log Date]]="","",TODAY()-tabExam[[#This Row],[Log Date]])</f>
        <v/>
      </c>
      <c r="R261" t="str">
        <f>IF(tabExam[[#This Row],[Log Date]]="","",IF(TRIM(tabExam[[#This Row],[Exam Cycle Stage]])="Asked to be removed from database","NO","YES"))</f>
        <v/>
      </c>
      <c r="S2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2" spans="1:19">
      <c r="A262" t="s">
        <v>8393</v>
      </c>
      <c r="B262" t="str">
        <f>IFERROR(_xlfn.XLOOKUP(tabExam[[#This Row],[Unique ID]], tblMaster[Unique ID], tblMaster[First Name], ""), "")</f>
        <v xml:space="preserve">kelly  </v>
      </c>
      <c r="C262" t="str">
        <f>IFERROR(_xlfn.XLOOKUP(tabExam[[#This Row],[Unique ID]], tblMaster[Unique ID], tblMaster[Last Name], ""), "")</f>
        <v xml:space="preserve">O’Connor </v>
      </c>
      <c r="D262" t="str">
        <f>IFERROR(_xlfn.XLOOKUP(tabExam[[#This Row],[Unique ID]], tblMaster[Unique ID], tblMaster[Email_Clean], ""), "")</f>
        <v>kellyantonia.2411@gmail.com</v>
      </c>
      <c r="E262" t="str">
        <f>IFERROR(_xlfn.XLOOKUP(tabExam[[#This Row],[Unique ID]], tblMaster[Unique ID], tblMaster[Phone], ""), "")</f>
        <v>774-279-8093</v>
      </c>
      <c r="F262" t="str">
        <f>IFERROR(_xlfn.XLOOKUP(tabExam[[#This Row],[Unique ID]], tblMaster[Unique ID], tblMaster[Recruiter], ""), "")</f>
        <v xml:space="preserve">Tom Clark </v>
      </c>
      <c r="G262" t="str">
        <f>IFERROR(_xlfn.XLOOKUP(tabExam[[#This Row],[Unique ID]], tblMaster[Unique ID], tblMaster[Recruitment Cycle], ""), "")</f>
        <v xml:space="preserve">Re-Engagment/Post Civil Service Exam </v>
      </c>
      <c r="H262" t="s">
        <v>8366</v>
      </c>
      <c r="I262">
        <v>2025</v>
      </c>
      <c r="J262" t="s">
        <v>7446</v>
      </c>
      <c r="K262" t="s">
        <v>8151</v>
      </c>
      <c r="L262" t="s">
        <v>8165</v>
      </c>
      <c r="Q262" t="str">
        <f ca="1">IF(tabExam[[#This Row],[Log Date]]="","",TODAY()-tabExam[[#This Row],[Log Date]])</f>
        <v/>
      </c>
      <c r="R262" t="str">
        <f>IF(tabExam[[#This Row],[Log Date]]="","",IF(TRIM(tabExam[[#This Row],[Exam Cycle Stage]])="Asked to be removed from database","NO","YES"))</f>
        <v/>
      </c>
      <c r="S2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3" spans="1:19">
      <c r="A263" t="s">
        <v>8394</v>
      </c>
      <c r="B263" t="str">
        <f>IFERROR(_xlfn.XLOOKUP(tabExam[[#This Row],[Unique ID]], tblMaster[Unique ID], tblMaster[First Name], ""), "")</f>
        <v>Mohamed</v>
      </c>
      <c r="C263" t="str">
        <f>IFERROR(_xlfn.XLOOKUP(tabExam[[#This Row],[Unique ID]], tblMaster[Unique ID], tblMaster[Last Name], ""), "")</f>
        <v xml:space="preserve"> Bah</v>
      </c>
      <c r="D263" t="str">
        <f>IFERROR(_xlfn.XLOOKUP(tabExam[[#This Row],[Unique ID]], tblMaster[Unique ID], tblMaster[Email_Clean], ""), "")</f>
        <v>bahmo278@gmail.com</v>
      </c>
      <c r="E263" t="str">
        <f>IFERROR(_xlfn.XLOOKUP(tabExam[[#This Row],[Unique ID]], tblMaster[Unique ID], tblMaster[Phone], ""), "")</f>
        <v xml:space="preserve"> (617) 982-4011</v>
      </c>
      <c r="F263" t="str">
        <f>IFERROR(_xlfn.XLOOKUP(tabExam[[#This Row],[Unique ID]], tblMaster[Unique ID], tblMaster[Recruiter], ""), "")</f>
        <v xml:space="preserve">Jevon Brown Simpson </v>
      </c>
      <c r="G263" t="str">
        <f>IFERROR(_xlfn.XLOOKUP(tabExam[[#This Row],[Unique ID]], tblMaster[Unique ID], tblMaster[Recruitment Cycle], ""), "")</f>
        <v xml:space="preserve">Re-Engagment/Post Civil Service Exam </v>
      </c>
      <c r="H263" t="s">
        <v>8366</v>
      </c>
      <c r="I263">
        <v>2025</v>
      </c>
      <c r="J263" t="s">
        <v>7446</v>
      </c>
      <c r="K263" t="s">
        <v>8151</v>
      </c>
      <c r="L263" t="s">
        <v>8165</v>
      </c>
      <c r="Q263" t="str">
        <f ca="1">IF(tabExam[[#This Row],[Log Date]]="","",TODAY()-tabExam[[#This Row],[Log Date]])</f>
        <v/>
      </c>
      <c r="R263" t="str">
        <f>IF(tabExam[[#This Row],[Log Date]]="","",IF(TRIM(tabExam[[#This Row],[Exam Cycle Stage]])="Asked to be removed from database","NO","YES"))</f>
        <v/>
      </c>
      <c r="S2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4" spans="1:19">
      <c r="A264" t="s">
        <v>8395</v>
      </c>
      <c r="B264" t="str">
        <f>IFERROR(_xlfn.XLOOKUP(tabExam[[#This Row],[Unique ID]], tblMaster[Unique ID], tblMaster[First Name], ""), "")</f>
        <v>Catherine</v>
      </c>
      <c r="C264" t="str">
        <f>IFERROR(_xlfn.XLOOKUP(tabExam[[#This Row],[Unique ID]], tblMaster[Unique ID], tblMaster[Last Name], ""), "")</f>
        <v>Lopes</v>
      </c>
      <c r="D264" t="str">
        <f>IFERROR(_xlfn.XLOOKUP(tabExam[[#This Row],[Unique ID]], tblMaster[Unique ID], tblMaster[Email_Clean], ""), "")</f>
        <v>catherinelopes94@gmail.com</v>
      </c>
      <c r="E264" t="str">
        <f>IFERROR(_xlfn.XLOOKUP(tabExam[[#This Row],[Unique ID]], tblMaster[Unique ID], tblMaster[Phone], ""), "")</f>
        <v>617-888-0144</v>
      </c>
      <c r="F264" t="str">
        <f>IFERROR(_xlfn.XLOOKUP(tabExam[[#This Row],[Unique ID]], tblMaster[Unique ID], tblMaster[Recruiter], ""), "")</f>
        <v xml:space="preserve">Jevon Brown Simpson </v>
      </c>
      <c r="G264" t="str">
        <f>IFERROR(_xlfn.XLOOKUP(tabExam[[#This Row],[Unique ID]], tblMaster[Unique ID], tblMaster[Recruitment Cycle], ""), "")</f>
        <v xml:space="preserve">Re-Engagment/Post Civil Service Exam </v>
      </c>
      <c r="H264" t="s">
        <v>8357</v>
      </c>
      <c r="I264">
        <v>2025</v>
      </c>
      <c r="J264" t="s">
        <v>7446</v>
      </c>
      <c r="K264" t="s">
        <v>8151</v>
      </c>
      <c r="L264" t="s">
        <v>8165</v>
      </c>
      <c r="Q264" t="str">
        <f ca="1">IF(tabExam[[#This Row],[Log Date]]="","",TODAY()-tabExam[[#This Row],[Log Date]])</f>
        <v/>
      </c>
      <c r="R264" t="str">
        <f>IF(tabExam[[#This Row],[Log Date]]="","",IF(TRIM(tabExam[[#This Row],[Exam Cycle Stage]])="Asked to be removed from database","NO","YES"))</f>
        <v/>
      </c>
      <c r="S2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5" spans="1:19">
      <c r="A265" t="s">
        <v>8396</v>
      </c>
      <c r="B265" t="str">
        <f>IFERROR(_xlfn.XLOOKUP(tabExam[[#This Row],[Unique ID]], tblMaster[Unique ID], tblMaster[First Name], ""), "")</f>
        <v>Anneris</v>
      </c>
      <c r="C265" t="str">
        <f>IFERROR(_xlfn.XLOOKUP(tabExam[[#This Row],[Unique ID]], tblMaster[Unique ID], tblMaster[Last Name], ""), "")</f>
        <v>Camacho</v>
      </c>
      <c r="D265" t="str">
        <f>IFERROR(_xlfn.XLOOKUP(tabExam[[#This Row],[Unique ID]], tblMaster[Unique ID], tblMaster[Email_Clean], ""), "")</f>
        <v>ajcr.610@gmail.com</v>
      </c>
      <c r="E265" t="str">
        <f>IFERROR(_xlfn.XLOOKUP(tabExam[[#This Row],[Unique ID]], tblMaster[Unique ID], tblMaster[Phone], ""), "")</f>
        <v>978-942-0007</v>
      </c>
      <c r="F265" t="str">
        <f>IFERROR(_xlfn.XLOOKUP(tabExam[[#This Row],[Unique ID]], tblMaster[Unique ID], tblMaster[Recruiter], ""), "")</f>
        <v xml:space="preserve">Tom Clark </v>
      </c>
      <c r="G265" t="str">
        <f>IFERROR(_xlfn.XLOOKUP(tabExam[[#This Row],[Unique ID]], tblMaster[Unique ID], tblMaster[Recruitment Cycle], ""), "")</f>
        <v xml:space="preserve">Re-Engagment/Post Civil Service Exam </v>
      </c>
      <c r="H265" t="s">
        <v>8358</v>
      </c>
      <c r="I265">
        <v>2025</v>
      </c>
      <c r="J265" t="s">
        <v>7446</v>
      </c>
      <c r="K265" t="s">
        <v>8151</v>
      </c>
      <c r="L265" t="s">
        <v>8165</v>
      </c>
      <c r="Q265" t="str">
        <f ca="1">IF(tabExam[[#This Row],[Log Date]]="","",TODAY()-tabExam[[#This Row],[Log Date]])</f>
        <v/>
      </c>
      <c r="R265" t="str">
        <f>IF(tabExam[[#This Row],[Log Date]]="","",IF(TRIM(tabExam[[#This Row],[Exam Cycle Stage]])="Asked to be removed from database","NO","YES"))</f>
        <v/>
      </c>
      <c r="S2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6" spans="1:19">
      <c r="A266" t="s">
        <v>8397</v>
      </c>
      <c r="B266" t="str">
        <f>IFERROR(_xlfn.XLOOKUP(tabExam[[#This Row],[Unique ID]], tblMaster[Unique ID], tblMaster[First Name], ""), "")</f>
        <v xml:space="preserve">Johathan </v>
      </c>
      <c r="C266" t="str">
        <f>IFERROR(_xlfn.XLOOKUP(tabExam[[#This Row],[Unique ID]], tblMaster[Unique ID], tblMaster[Last Name], ""), "")</f>
        <v>berthiaume</v>
      </c>
      <c r="D266" t="str">
        <f>IFERROR(_xlfn.XLOOKUP(tabExam[[#This Row],[Unique ID]], tblMaster[Unique ID], tblMaster[Email_Clean], ""), "")</f>
        <v>johnjr1820@gmail.com</v>
      </c>
      <c r="E266" t="str">
        <f>IFERROR(_xlfn.XLOOKUP(tabExam[[#This Row],[Unique ID]], tblMaster[Unique ID], tblMaster[Phone], ""), "")</f>
        <v>401-500-5948</v>
      </c>
      <c r="F266" t="str">
        <f>IFERROR(_xlfn.XLOOKUP(tabExam[[#This Row],[Unique ID]], tblMaster[Unique ID], tblMaster[Recruiter], ""), "")</f>
        <v>Zenon Moses</v>
      </c>
      <c r="G266" t="str">
        <f>IFERROR(_xlfn.XLOOKUP(tabExam[[#This Row],[Unique ID]], tblMaster[Unique ID], tblMaster[Recruitment Cycle], ""), "")</f>
        <v xml:space="preserve">Re-Engagment/Post Civil Service Exam </v>
      </c>
      <c r="H266" t="s">
        <v>8366</v>
      </c>
      <c r="I266">
        <v>2025</v>
      </c>
      <c r="J266" t="s">
        <v>7446</v>
      </c>
      <c r="K266" t="s">
        <v>8151</v>
      </c>
      <c r="L266" t="s">
        <v>8165</v>
      </c>
      <c r="Q266" t="str">
        <f ca="1">IF(tabExam[[#This Row],[Log Date]]="","",TODAY()-tabExam[[#This Row],[Log Date]])</f>
        <v/>
      </c>
      <c r="R266" t="str">
        <f>IF(tabExam[[#This Row],[Log Date]]="","",IF(TRIM(tabExam[[#This Row],[Exam Cycle Stage]])="Asked to be removed from database","NO","YES"))</f>
        <v/>
      </c>
      <c r="S2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7" spans="1:19">
      <c r="A267" t="s">
        <v>8398</v>
      </c>
      <c r="B267" t="str">
        <f>IFERROR(_xlfn.XLOOKUP(tabExam[[#This Row],[Unique ID]], tblMaster[Unique ID], tblMaster[First Name], ""), "")</f>
        <v xml:space="preserve">Moise </v>
      </c>
      <c r="C267" t="str">
        <f>IFERROR(_xlfn.XLOOKUP(tabExam[[#This Row],[Unique ID]], tblMaster[Unique ID], tblMaster[Last Name], ""), "")</f>
        <v xml:space="preserve"> Carice-Cadet</v>
      </c>
      <c r="D267" t="str">
        <f>IFERROR(_xlfn.XLOOKUP(tabExam[[#This Row],[Unique ID]], tblMaster[Unique ID], tblMaster[Email_Clean], ""), "")</f>
        <v>moisecadet8523@gmail.com</v>
      </c>
      <c r="E267" t="str">
        <f>IFERROR(_xlfn.XLOOKUP(tabExam[[#This Row],[Unique ID]], tblMaster[Unique ID], tblMaster[Phone], ""), "")</f>
        <v>617-828-0471</v>
      </c>
      <c r="F267" t="str">
        <f>IFERROR(_xlfn.XLOOKUP(tabExam[[#This Row],[Unique ID]], tblMaster[Unique ID], tblMaster[Recruiter], ""), "")</f>
        <v xml:space="preserve">Jevon Brown Simpson </v>
      </c>
      <c r="G267" t="str">
        <f>IFERROR(_xlfn.XLOOKUP(tabExam[[#This Row],[Unique ID]], tblMaster[Unique ID], tblMaster[Recruitment Cycle], ""), "")</f>
        <v xml:space="preserve">Re-Engagment/Post Civil Service Exam </v>
      </c>
      <c r="H267" t="s">
        <v>8366</v>
      </c>
      <c r="I267">
        <v>2025</v>
      </c>
      <c r="J267" t="s">
        <v>7446</v>
      </c>
      <c r="K267" t="s">
        <v>8151</v>
      </c>
      <c r="L267" t="s">
        <v>8165</v>
      </c>
      <c r="Q267" t="str">
        <f ca="1">IF(tabExam[[#This Row],[Log Date]]="","",TODAY()-tabExam[[#This Row],[Log Date]])</f>
        <v/>
      </c>
      <c r="R267" t="str">
        <f>IF(tabExam[[#This Row],[Log Date]]="","",IF(TRIM(tabExam[[#This Row],[Exam Cycle Stage]])="Asked to be removed from database","NO","YES"))</f>
        <v/>
      </c>
      <c r="S2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8" spans="1:19">
      <c r="A268" t="s">
        <v>8399</v>
      </c>
      <c r="B268" t="str">
        <f>IFERROR(_xlfn.XLOOKUP(tabExam[[#This Row],[Unique ID]], tblMaster[Unique ID], tblMaster[First Name], ""), "")</f>
        <v xml:space="preserve">Micheal </v>
      </c>
      <c r="C268" t="str">
        <f>IFERROR(_xlfn.XLOOKUP(tabExam[[#This Row],[Unique ID]], tblMaster[Unique ID], tblMaster[Last Name], ""), "")</f>
        <v xml:space="preserve">Linsky </v>
      </c>
      <c r="D268" t="str">
        <f>IFERROR(_xlfn.XLOOKUP(tabExam[[#This Row],[Unique ID]], tblMaster[Unique ID], tblMaster[Email_Clean], ""), "")</f>
        <v>mikelinsky3@gmail.com</v>
      </c>
      <c r="E268" t="str">
        <f>IFERROR(_xlfn.XLOOKUP(tabExam[[#This Row],[Unique ID]], tblMaster[Unique ID], tblMaster[Phone], ""), "")</f>
        <v xml:space="preserve">(508) 397-6984 </v>
      </c>
      <c r="F268" t="str">
        <f>IFERROR(_xlfn.XLOOKUP(tabExam[[#This Row],[Unique ID]], tblMaster[Unique ID], tblMaster[Recruiter], ""), "")</f>
        <v>Zenon Moses</v>
      </c>
      <c r="G268" t="str">
        <f>IFERROR(_xlfn.XLOOKUP(tabExam[[#This Row],[Unique ID]], tblMaster[Unique ID], tblMaster[Recruitment Cycle], ""), "")</f>
        <v xml:space="preserve">Re-Engagment/Post Civil Service Exam </v>
      </c>
      <c r="H268" t="s">
        <v>8366</v>
      </c>
      <c r="I268">
        <v>2025</v>
      </c>
      <c r="J268" t="s">
        <v>7446</v>
      </c>
      <c r="K268" t="s">
        <v>8151</v>
      </c>
      <c r="L268" t="s">
        <v>8165</v>
      </c>
      <c r="Q268" t="str">
        <f ca="1">IF(tabExam[[#This Row],[Log Date]]="","",TODAY()-tabExam[[#This Row],[Log Date]])</f>
        <v/>
      </c>
      <c r="R268" t="str">
        <f>IF(tabExam[[#This Row],[Log Date]]="","",IF(TRIM(tabExam[[#This Row],[Exam Cycle Stage]])="Asked to be removed from database","NO","YES"))</f>
        <v/>
      </c>
      <c r="S2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69" spans="1:19">
      <c r="A269" t="s">
        <v>8400</v>
      </c>
      <c r="B269" t="str">
        <f>IFERROR(_xlfn.XLOOKUP(tabExam[[#This Row],[Unique ID]], tblMaster[Unique ID], tblMaster[First Name], ""), "")</f>
        <v xml:space="preserve">Newton </v>
      </c>
      <c r="C269" t="str">
        <f>IFERROR(_xlfn.XLOOKUP(tabExam[[#This Row],[Unique ID]], tblMaster[Unique ID], tblMaster[Last Name], ""), "")</f>
        <v>Previlon</v>
      </c>
      <c r="D269" t="str">
        <f>IFERROR(_xlfn.XLOOKUP(tabExam[[#This Row],[Unique ID]], tblMaster[Unique ID], tblMaster[Email_Clean], ""), "")</f>
        <v>newtonprevilon@gmail.com</v>
      </c>
      <c r="E269" t="str">
        <f>IFERROR(_xlfn.XLOOKUP(tabExam[[#This Row],[Unique ID]], tblMaster[Unique ID], tblMaster[Phone], ""), "")</f>
        <v>857-417-8643</v>
      </c>
      <c r="F269" t="str">
        <f>IFERROR(_xlfn.XLOOKUP(tabExam[[#This Row],[Unique ID]], tblMaster[Unique ID], tblMaster[Recruiter], ""), "")</f>
        <v>Zenon Moses</v>
      </c>
      <c r="G269" t="str">
        <f>IFERROR(_xlfn.XLOOKUP(tabExam[[#This Row],[Unique ID]], tblMaster[Unique ID], tblMaster[Recruitment Cycle], ""), "")</f>
        <v xml:space="preserve">Re-Engagment/Post Civil Service Exam </v>
      </c>
      <c r="H269" t="s">
        <v>8360</v>
      </c>
      <c r="I269">
        <v>2025</v>
      </c>
      <c r="J269" t="s">
        <v>7446</v>
      </c>
      <c r="K269" t="s">
        <v>8151</v>
      </c>
      <c r="L269" t="s">
        <v>8165</v>
      </c>
      <c r="Q269" t="str">
        <f ca="1">IF(tabExam[[#This Row],[Log Date]]="","",TODAY()-tabExam[[#This Row],[Log Date]])</f>
        <v/>
      </c>
      <c r="R269" t="str">
        <f>IF(tabExam[[#This Row],[Log Date]]="","",IF(TRIM(tabExam[[#This Row],[Exam Cycle Stage]])="Asked to be removed from database","NO","YES"))</f>
        <v/>
      </c>
      <c r="S2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0" spans="1:19">
      <c r="A270" t="s">
        <v>8401</v>
      </c>
      <c r="B270" t="str">
        <f>IFERROR(_xlfn.XLOOKUP(tabExam[[#This Row],[Unique ID]], tblMaster[Unique ID], tblMaster[First Name], ""), "")</f>
        <v xml:space="preserve">Peter </v>
      </c>
      <c r="C270" t="str">
        <f>IFERROR(_xlfn.XLOOKUP(tabExam[[#This Row],[Unique ID]], tblMaster[Unique ID], tblMaster[Last Name], ""), "")</f>
        <v>montenegrino</v>
      </c>
      <c r="D270" t="str">
        <f>IFERROR(_xlfn.XLOOKUP(tabExam[[#This Row],[Unique ID]], tblMaster[Unique ID], tblMaster[Email_Clean], ""), "")</f>
        <v>petermontenegrino@gmail.com</v>
      </c>
      <c r="E270" t="str">
        <f>IFERROR(_xlfn.XLOOKUP(tabExam[[#This Row],[Unique ID]], tblMaster[Unique ID], tblMaster[Phone], ""), "")</f>
        <v xml:space="preserve">(508) 250-8234 </v>
      </c>
      <c r="F270" t="str">
        <f>IFERROR(_xlfn.XLOOKUP(tabExam[[#This Row],[Unique ID]], tblMaster[Unique ID], tblMaster[Recruiter], ""), "")</f>
        <v>Zenon Moses</v>
      </c>
      <c r="G270" t="str">
        <f>IFERROR(_xlfn.XLOOKUP(tabExam[[#This Row],[Unique ID]], tblMaster[Unique ID], tblMaster[Recruitment Cycle], ""), "")</f>
        <v xml:space="preserve">Re-Engagment/Post Civil Service Exam </v>
      </c>
      <c r="H270" t="s">
        <v>8357</v>
      </c>
      <c r="I270">
        <v>2025</v>
      </c>
      <c r="J270" t="s">
        <v>7446</v>
      </c>
      <c r="K270" t="s">
        <v>8151</v>
      </c>
      <c r="L270" t="s">
        <v>8165</v>
      </c>
      <c r="Q270" t="str">
        <f ca="1">IF(tabExam[[#This Row],[Log Date]]="","",TODAY()-tabExam[[#This Row],[Log Date]])</f>
        <v/>
      </c>
      <c r="R270" t="str">
        <f>IF(tabExam[[#This Row],[Log Date]]="","",IF(TRIM(tabExam[[#This Row],[Exam Cycle Stage]])="Asked to be removed from database","NO","YES"))</f>
        <v/>
      </c>
      <c r="S2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1" spans="1:19">
      <c r="A271" t="s">
        <v>8402</v>
      </c>
      <c r="B271" t="str">
        <f>IFERROR(_xlfn.XLOOKUP(tabExam[[#This Row],[Unique ID]], tblMaster[Unique ID], tblMaster[First Name], ""), "")</f>
        <v xml:space="preserve">Mae </v>
      </c>
      <c r="C271" t="str">
        <f>IFERROR(_xlfn.XLOOKUP(tabExam[[#This Row],[Unique ID]], tblMaster[Unique ID], tblMaster[Last Name], ""), "")</f>
        <v xml:space="preserve">Luchini </v>
      </c>
      <c r="D271" t="str">
        <f>IFERROR(_xlfn.XLOOKUP(tabExam[[#This Row],[Unique ID]], tblMaster[Unique ID], tblMaster[Email_Clean], ""), "")</f>
        <v>maeml17@aol.com</v>
      </c>
      <c r="E271" t="str">
        <f>IFERROR(_xlfn.XLOOKUP(tabExam[[#This Row],[Unique ID]], tblMaster[Unique ID], tblMaster[Phone], ""), "")</f>
        <v>781-901-2284</v>
      </c>
      <c r="F271" t="str">
        <f>IFERROR(_xlfn.XLOOKUP(tabExam[[#This Row],[Unique ID]], tblMaster[Unique ID], tblMaster[Recruiter], ""), "")</f>
        <v>Zenon Moses</v>
      </c>
      <c r="G271" t="str">
        <f>IFERROR(_xlfn.XLOOKUP(tabExam[[#This Row],[Unique ID]], tblMaster[Unique ID], tblMaster[Recruitment Cycle], ""), "")</f>
        <v xml:space="preserve">Re-Engagment/Post Civil Service Exam </v>
      </c>
      <c r="H271" t="s">
        <v>8366</v>
      </c>
      <c r="I271">
        <v>2025</v>
      </c>
      <c r="J271" t="s">
        <v>7446</v>
      </c>
      <c r="K271" t="s">
        <v>8151</v>
      </c>
      <c r="L271" t="s">
        <v>8165</v>
      </c>
      <c r="Q271" t="str">
        <f ca="1">IF(tabExam[[#This Row],[Log Date]]="","",TODAY()-tabExam[[#This Row],[Log Date]])</f>
        <v/>
      </c>
      <c r="R271" t="str">
        <f>IF(tabExam[[#This Row],[Log Date]]="","",IF(TRIM(tabExam[[#This Row],[Exam Cycle Stage]])="Asked to be removed from database","NO","YES"))</f>
        <v/>
      </c>
      <c r="S2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2" spans="1:19">
      <c r="A272" t="s">
        <v>8403</v>
      </c>
      <c r="B272" t="str">
        <f>IFERROR(_xlfn.XLOOKUP(tabExam[[#This Row],[Unique ID]], tblMaster[Unique ID], tblMaster[First Name], ""), "")</f>
        <v xml:space="preserve">Alex </v>
      </c>
      <c r="C272" t="str">
        <f>IFERROR(_xlfn.XLOOKUP(tabExam[[#This Row],[Unique ID]], tblMaster[Unique ID], tblMaster[Last Name], ""), "")</f>
        <v xml:space="preserve">Mcfarlane </v>
      </c>
      <c r="D272" t="str">
        <f>IFERROR(_xlfn.XLOOKUP(tabExam[[#This Row],[Unique ID]], tblMaster[Unique ID], tblMaster[Email_Clean], ""), "")</f>
        <v>alexmcfarlanebsc@gmail.com</v>
      </c>
      <c r="E272" t="str">
        <f>IFERROR(_xlfn.XLOOKUP(tabExam[[#This Row],[Unique ID]], tblMaster[Unique ID], tblMaster[Phone], ""), "")</f>
        <v xml:space="preserve">508) 364-7522 </v>
      </c>
      <c r="F272" t="str">
        <f>IFERROR(_xlfn.XLOOKUP(tabExam[[#This Row],[Unique ID]], tblMaster[Unique ID], tblMaster[Recruiter], ""), "")</f>
        <v>Zenon Moses</v>
      </c>
      <c r="G272" t="str">
        <f>IFERROR(_xlfn.XLOOKUP(tabExam[[#This Row],[Unique ID]], tblMaster[Unique ID], tblMaster[Recruitment Cycle], ""), "")</f>
        <v xml:space="preserve">Re-Engagment/Post Civil Service Exam </v>
      </c>
      <c r="H272" t="s">
        <v>8366</v>
      </c>
      <c r="I272">
        <v>2025</v>
      </c>
      <c r="J272" t="s">
        <v>7446</v>
      </c>
      <c r="K272" t="s">
        <v>8151</v>
      </c>
      <c r="L272" t="s">
        <v>8165</v>
      </c>
      <c r="Q272" t="str">
        <f ca="1">IF(tabExam[[#This Row],[Log Date]]="","",TODAY()-tabExam[[#This Row],[Log Date]])</f>
        <v/>
      </c>
      <c r="R272" t="str">
        <f>IF(tabExam[[#This Row],[Log Date]]="","",IF(TRIM(tabExam[[#This Row],[Exam Cycle Stage]])="Asked to be removed from database","NO","YES"))</f>
        <v/>
      </c>
      <c r="S2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3" spans="1:19">
      <c r="A273" t="s">
        <v>8404</v>
      </c>
      <c r="B273" t="str">
        <f>IFERROR(_xlfn.XLOOKUP(tabExam[[#This Row],[Unique ID]], tblMaster[Unique ID], tblMaster[First Name], ""), "")</f>
        <v xml:space="preserve">Gabrielle </v>
      </c>
      <c r="C273" t="str">
        <f>IFERROR(_xlfn.XLOOKUP(tabExam[[#This Row],[Unique ID]], tblMaster[Unique ID], tblMaster[Last Name], ""), "")</f>
        <v xml:space="preserve">Gonzalez </v>
      </c>
      <c r="D273" t="str">
        <f>IFERROR(_xlfn.XLOOKUP(tabExam[[#This Row],[Unique ID]], tblMaster[Unique ID], tblMaster[Email_Clean], ""), "")</f>
        <v>gabriellegonzalez117@gmail.com</v>
      </c>
      <c r="E273" t="str">
        <f>IFERROR(_xlfn.XLOOKUP(tabExam[[#This Row],[Unique ID]], tblMaster[Unique ID], tblMaster[Phone], ""), "")</f>
        <v xml:space="preserve">(413) 330-0338 </v>
      </c>
      <c r="F273" t="str">
        <f>IFERROR(_xlfn.XLOOKUP(tabExam[[#This Row],[Unique ID]], tblMaster[Unique ID], tblMaster[Recruiter], ""), "")</f>
        <v xml:space="preserve">Jevon Brown Simpson </v>
      </c>
      <c r="G273" t="str">
        <f>IFERROR(_xlfn.XLOOKUP(tabExam[[#This Row],[Unique ID]], tblMaster[Unique ID], tblMaster[Recruitment Cycle], ""), "")</f>
        <v xml:space="preserve">Re-Engagment/Post Civil Service Exam </v>
      </c>
      <c r="H273" t="s">
        <v>8357</v>
      </c>
      <c r="I273">
        <v>2025</v>
      </c>
      <c r="J273" t="s">
        <v>7446</v>
      </c>
      <c r="K273" t="s">
        <v>8151</v>
      </c>
      <c r="L273" t="s">
        <v>8165</v>
      </c>
      <c r="Q273" t="str">
        <f ca="1">IF(tabExam[[#This Row],[Log Date]]="","",TODAY()-tabExam[[#This Row],[Log Date]])</f>
        <v/>
      </c>
      <c r="R273" t="str">
        <f>IF(tabExam[[#This Row],[Log Date]]="","",IF(TRIM(tabExam[[#This Row],[Exam Cycle Stage]])="Asked to be removed from database","NO","YES"))</f>
        <v/>
      </c>
      <c r="S2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4" spans="1:19">
      <c r="A274" t="s">
        <v>7864</v>
      </c>
      <c r="B274" t="str">
        <f>IFERROR(_xlfn.XLOOKUP(tabExam[[#This Row],[Unique ID]], tblMaster[Unique ID], tblMaster[First Name], ""), "")</f>
        <v xml:space="preserve">Michael </v>
      </c>
      <c r="C274" t="str">
        <f>IFERROR(_xlfn.XLOOKUP(tabExam[[#This Row],[Unique ID]], tblMaster[Unique ID], tblMaster[Last Name], ""), "")</f>
        <v xml:space="preserve">Ryan </v>
      </c>
      <c r="D274" t="str">
        <f>IFERROR(_xlfn.XLOOKUP(tabExam[[#This Row],[Unique ID]], tblMaster[Unique ID], tblMaster[Email_Clean], ""), "")</f>
        <v>mryan881@yahoo.com</v>
      </c>
      <c r="E274" t="str">
        <f>IFERROR(_xlfn.XLOOKUP(tabExam[[#This Row],[Unique ID]], tblMaster[Unique ID], tblMaster[Phone], ""), "")</f>
        <v>978-799-5176</v>
      </c>
      <c r="F274" t="str">
        <f>IFERROR(_xlfn.XLOOKUP(tabExam[[#This Row],[Unique ID]], tblMaster[Unique ID], tblMaster[Recruiter], ""), "")</f>
        <v xml:space="preserve">Enrique Ortiz </v>
      </c>
      <c r="G274" t="str">
        <f>IFERROR(_xlfn.XLOOKUP(tabExam[[#This Row],[Unique ID]], tblMaster[Unique ID], tblMaster[Recruitment Cycle], ""), "")</f>
        <v xml:space="preserve">Re-Engagment/Post Civil Service Exam </v>
      </c>
      <c r="H274" t="s">
        <v>8357</v>
      </c>
      <c r="I274">
        <v>2025</v>
      </c>
      <c r="J274" t="s">
        <v>7446</v>
      </c>
      <c r="K274" t="s">
        <v>8151</v>
      </c>
      <c r="L274" t="s">
        <v>8165</v>
      </c>
      <c r="Q274" t="str">
        <f ca="1">IF(tabExam[[#This Row],[Log Date]]="","",TODAY()-tabExam[[#This Row],[Log Date]])</f>
        <v/>
      </c>
      <c r="R274" t="str">
        <f>IF(tabExam[[#This Row],[Log Date]]="","",IF(TRIM(tabExam[[#This Row],[Exam Cycle Stage]])="Asked to be removed from database","NO","YES"))</f>
        <v/>
      </c>
      <c r="S2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5" spans="1:19">
      <c r="A275" t="s">
        <v>8405</v>
      </c>
      <c r="B275" t="str">
        <f>IFERROR(_xlfn.XLOOKUP(tabExam[[#This Row],[Unique ID]], tblMaster[Unique ID], tblMaster[First Name], ""), "")</f>
        <v>Darlene</v>
      </c>
      <c r="C275" t="str">
        <f>IFERROR(_xlfn.XLOOKUP(tabExam[[#This Row],[Unique ID]], tblMaster[Unique ID], tblMaster[Last Name], ""), "")</f>
        <v>Hernandez</v>
      </c>
      <c r="D275" t="str">
        <f>IFERROR(_xlfn.XLOOKUP(tabExam[[#This Row],[Unique ID]], tblMaster[Unique ID], tblMaster[Email_Clean], ""), "")</f>
        <v>darlenehsrnandez944@gmail.com</v>
      </c>
      <c r="E275" t="str">
        <f>IFERROR(_xlfn.XLOOKUP(tabExam[[#This Row],[Unique ID]], tblMaster[Unique ID], tblMaster[Phone], ""), "")</f>
        <v>413-390-5058</v>
      </c>
      <c r="F275" t="str">
        <f>IFERROR(_xlfn.XLOOKUP(tabExam[[#This Row],[Unique ID]], tblMaster[Unique ID], tblMaster[Recruiter], ""), "")</f>
        <v>Zenon Moses</v>
      </c>
      <c r="G275" t="str">
        <f>IFERROR(_xlfn.XLOOKUP(tabExam[[#This Row],[Unique ID]], tblMaster[Unique ID], tblMaster[Recruitment Cycle], ""), "")</f>
        <v xml:space="preserve">Re-Engagment/Post Civil Service Exam </v>
      </c>
      <c r="H275" t="s">
        <v>8357</v>
      </c>
      <c r="I275">
        <v>2025</v>
      </c>
      <c r="J275" t="s">
        <v>7446</v>
      </c>
      <c r="K275" t="s">
        <v>8151</v>
      </c>
      <c r="L275" t="s">
        <v>8165</v>
      </c>
      <c r="Q275" t="str">
        <f ca="1">IF(tabExam[[#This Row],[Log Date]]="","",TODAY()-tabExam[[#This Row],[Log Date]])</f>
        <v/>
      </c>
      <c r="R275" t="str">
        <f>IF(tabExam[[#This Row],[Log Date]]="","",IF(TRIM(tabExam[[#This Row],[Exam Cycle Stage]])="Asked to be removed from database","NO","YES"))</f>
        <v/>
      </c>
      <c r="S2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6" spans="1:19">
      <c r="A276" t="s">
        <v>8406</v>
      </c>
      <c r="B276" t="str">
        <f>IFERROR(_xlfn.XLOOKUP(tabExam[[#This Row],[Unique ID]], tblMaster[Unique ID], tblMaster[First Name], ""), "")</f>
        <v xml:space="preserve">John </v>
      </c>
      <c r="C276" t="str">
        <f>IFERROR(_xlfn.XLOOKUP(tabExam[[#This Row],[Unique ID]], tblMaster[Unique ID], tblMaster[Last Name], ""), "")</f>
        <v xml:space="preserve"> Scurry </v>
      </c>
      <c r="D276" t="str">
        <f>IFERROR(_xlfn.XLOOKUP(tabExam[[#This Row],[Unique ID]], tblMaster[Unique ID], tblMaster[Email_Clean], ""), "")</f>
        <v>jacknmarley32@gmail.com</v>
      </c>
      <c r="E276" t="str">
        <f>IFERROR(_xlfn.XLOOKUP(tabExam[[#This Row],[Unique ID]], tblMaster[Unique ID], tblMaster[Phone], ""), "")</f>
        <v xml:space="preserve">860-922-7123 </v>
      </c>
      <c r="F276">
        <f>IFERROR(_xlfn.XLOOKUP(tabExam[[#This Row],[Unique ID]], tblMaster[Unique ID], tblMaster[Recruiter], ""), "")</f>
        <v>0</v>
      </c>
      <c r="G276" t="str">
        <f>IFERROR(_xlfn.XLOOKUP(tabExam[[#This Row],[Unique ID]], tblMaster[Unique ID], tblMaster[Recruitment Cycle], ""), "")</f>
        <v xml:space="preserve">Re-Engagment/Post Civil Service Exam </v>
      </c>
      <c r="H276" t="s">
        <v>8357</v>
      </c>
      <c r="I276">
        <v>2025</v>
      </c>
      <c r="J276" t="s">
        <v>7446</v>
      </c>
      <c r="K276" t="s">
        <v>8151</v>
      </c>
      <c r="L276" t="s">
        <v>8165</v>
      </c>
      <c r="Q276" t="str">
        <f ca="1">IF(tabExam[[#This Row],[Log Date]]="","",TODAY()-tabExam[[#This Row],[Log Date]])</f>
        <v/>
      </c>
      <c r="R276" t="str">
        <f>IF(tabExam[[#This Row],[Log Date]]="","",IF(TRIM(tabExam[[#This Row],[Exam Cycle Stage]])="Asked to be removed from database","NO","YES"))</f>
        <v/>
      </c>
      <c r="S2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7" spans="1:19">
      <c r="A277" t="s">
        <v>8407</v>
      </c>
      <c r="B277" t="str">
        <f>IFERROR(_xlfn.XLOOKUP(tabExam[[#This Row],[Unique ID]], tblMaster[Unique ID], tblMaster[First Name], ""), "")</f>
        <v xml:space="preserve">Dante </v>
      </c>
      <c r="C277" t="str">
        <f>IFERROR(_xlfn.XLOOKUP(tabExam[[#This Row],[Unique ID]], tblMaster[Unique ID], tblMaster[Last Name], ""), "")</f>
        <v xml:space="preserve"> Duqueestrada </v>
      </c>
      <c r="D277" t="str">
        <f>IFERROR(_xlfn.XLOOKUP(tabExam[[#This Row],[Unique ID]], tblMaster[Unique ID], tblMaster[Email_Clean], ""), "")</f>
        <v>danteheyyy@icloud.com</v>
      </c>
      <c r="E277" t="str">
        <f>IFERROR(_xlfn.XLOOKUP(tabExam[[#This Row],[Unique ID]], tblMaster[Unique ID], tblMaster[Phone], ""), "")</f>
        <v>774-364-3886</v>
      </c>
      <c r="F277" t="str">
        <f>IFERROR(_xlfn.XLOOKUP(tabExam[[#This Row],[Unique ID]], tblMaster[Unique ID], tblMaster[Recruiter], ""), "")</f>
        <v xml:space="preserve">Jevon Brown Simpson </v>
      </c>
      <c r="G277" t="str">
        <f>IFERROR(_xlfn.XLOOKUP(tabExam[[#This Row],[Unique ID]], tblMaster[Unique ID], tblMaster[Recruitment Cycle], ""), "")</f>
        <v xml:space="preserve">Re-Engagment/Post Civil Service Exam </v>
      </c>
      <c r="H277" t="s">
        <v>8358</v>
      </c>
      <c r="I277">
        <v>2025</v>
      </c>
      <c r="J277" t="s">
        <v>7446</v>
      </c>
      <c r="K277" t="s">
        <v>8151</v>
      </c>
      <c r="L277" t="s">
        <v>8165</v>
      </c>
      <c r="Q277" t="str">
        <f ca="1">IF(tabExam[[#This Row],[Log Date]]="","",TODAY()-tabExam[[#This Row],[Log Date]])</f>
        <v/>
      </c>
      <c r="R277" t="str">
        <f>IF(tabExam[[#This Row],[Log Date]]="","",IF(TRIM(tabExam[[#This Row],[Exam Cycle Stage]])="Asked to be removed from database","NO","YES"))</f>
        <v/>
      </c>
      <c r="S2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8" spans="1:19">
      <c r="A278" t="s">
        <v>8007</v>
      </c>
      <c r="B278" t="str">
        <f>IFERROR(_xlfn.XLOOKUP(tabExam[[#This Row],[Unique ID]], tblMaster[Unique ID], tblMaster[First Name], ""), "")</f>
        <v xml:space="preserve">Antony </v>
      </c>
      <c r="C278" t="str">
        <f>IFERROR(_xlfn.XLOOKUP(tabExam[[#This Row],[Unique ID]], tblMaster[Unique ID], tblMaster[Last Name], ""), "")</f>
        <v xml:space="preserve"> Perez </v>
      </c>
      <c r="D278" t="str">
        <f>IFERROR(_xlfn.XLOOKUP(tabExam[[#This Row],[Unique ID]], tblMaster[Unique ID], tblMaster[Email_Clean], ""), "")</f>
        <v>perez.antonyj@gmail.com</v>
      </c>
      <c r="E278" t="str">
        <f>IFERROR(_xlfn.XLOOKUP(tabExam[[#This Row],[Unique ID]], tblMaster[Unique ID], tblMaster[Phone], ""), "")</f>
        <v xml:space="preserve">774-578-1558 </v>
      </c>
      <c r="F278" t="str">
        <f>IFERROR(_xlfn.XLOOKUP(tabExam[[#This Row],[Unique ID]], tblMaster[Unique ID], tblMaster[Recruiter], ""), "")</f>
        <v xml:space="preserve">Jevon Brown Simpson </v>
      </c>
      <c r="G278" t="str">
        <f>IFERROR(_xlfn.XLOOKUP(tabExam[[#This Row],[Unique ID]], tblMaster[Unique ID], tblMaster[Recruitment Cycle], ""), "")</f>
        <v xml:space="preserve">Re-Engagment/Post Civil Service Exam </v>
      </c>
      <c r="H278" t="s">
        <v>8358</v>
      </c>
      <c r="I278">
        <v>2025</v>
      </c>
      <c r="J278" t="s">
        <v>7446</v>
      </c>
      <c r="K278" t="s">
        <v>8151</v>
      </c>
      <c r="L278" t="s">
        <v>8165</v>
      </c>
      <c r="Q278" t="str">
        <f ca="1">IF(tabExam[[#This Row],[Log Date]]="","",TODAY()-tabExam[[#This Row],[Log Date]])</f>
        <v/>
      </c>
      <c r="R278" t="str">
        <f>IF(tabExam[[#This Row],[Log Date]]="","",IF(TRIM(tabExam[[#This Row],[Exam Cycle Stage]])="Asked to be removed from database","NO","YES"))</f>
        <v/>
      </c>
      <c r="S2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79" spans="1:19">
      <c r="A279" t="s">
        <v>8408</v>
      </c>
      <c r="B279" t="str">
        <f>IFERROR(_xlfn.XLOOKUP(tabExam[[#This Row],[Unique ID]], tblMaster[Unique ID], tblMaster[First Name], ""), "")</f>
        <v>Loujeames</v>
      </c>
      <c r="C279" t="str">
        <f>IFERROR(_xlfn.XLOOKUP(tabExam[[#This Row],[Unique ID]], tblMaster[Unique ID], tblMaster[Last Name], ""), "")</f>
        <v>Jusmé</v>
      </c>
      <c r="D279" t="str">
        <f>IFERROR(_xlfn.XLOOKUP(tabExam[[#This Row],[Unique ID]], tblMaster[Unique ID], tblMaster[Email_Clean], ""), "")</f>
        <v>jusmloujeames@yahoo.com</v>
      </c>
      <c r="E279" t="str">
        <f>IFERROR(_xlfn.XLOOKUP(tabExam[[#This Row],[Unique ID]], tblMaster[Unique ID], tblMaster[Phone], ""), "")</f>
        <v>(781) 308-0638</v>
      </c>
      <c r="F279" t="str">
        <f>IFERROR(_xlfn.XLOOKUP(tabExam[[#This Row],[Unique ID]], tblMaster[Unique ID], tblMaster[Recruiter], ""), "")</f>
        <v>Zenon Moses</v>
      </c>
      <c r="G279" t="str">
        <f>IFERROR(_xlfn.XLOOKUP(tabExam[[#This Row],[Unique ID]], tblMaster[Unique ID], tblMaster[Recruitment Cycle], ""), "")</f>
        <v xml:space="preserve">Re-Engagment/Post Civil Service Exam </v>
      </c>
      <c r="H279" t="s">
        <v>8366</v>
      </c>
      <c r="I279">
        <v>2025</v>
      </c>
      <c r="J279" t="s">
        <v>7446</v>
      </c>
      <c r="K279" t="s">
        <v>8151</v>
      </c>
      <c r="L279" t="s">
        <v>8165</v>
      </c>
      <c r="Q279" t="str">
        <f ca="1">IF(tabExam[[#This Row],[Log Date]]="","",TODAY()-tabExam[[#This Row],[Log Date]])</f>
        <v/>
      </c>
      <c r="R279" t="str">
        <f>IF(tabExam[[#This Row],[Log Date]]="","",IF(TRIM(tabExam[[#This Row],[Exam Cycle Stage]])="Asked to be removed from database","NO","YES"))</f>
        <v/>
      </c>
      <c r="S2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0" spans="1:19">
      <c r="A280" t="s">
        <v>8409</v>
      </c>
      <c r="B280" t="str">
        <f>IFERROR(_xlfn.XLOOKUP(tabExam[[#This Row],[Unique ID]], tblMaster[Unique ID], tblMaster[First Name], ""), "")</f>
        <v xml:space="preserve">Jay' Len </v>
      </c>
      <c r="C280" t="str">
        <f>IFERROR(_xlfn.XLOOKUP(tabExam[[#This Row],[Unique ID]], tblMaster[Unique ID], tblMaster[Last Name], ""), "")</f>
        <v xml:space="preserve"> Mahan </v>
      </c>
      <c r="D280" t="str">
        <f>IFERROR(_xlfn.XLOOKUP(tabExam[[#This Row],[Unique ID]], tblMaster[Unique ID], tblMaster[Email_Clean], ""), "")</f>
        <v>jaylen.mahan11@yahoo.com</v>
      </c>
      <c r="E280" t="str">
        <f>IFERROR(_xlfn.XLOOKUP(tabExam[[#This Row],[Unique ID]], tblMaster[Unique ID], tblMaster[Phone], ""), "")</f>
        <v xml:space="preserve">(203) 349-0017 </v>
      </c>
      <c r="F280" t="str">
        <f>IFERROR(_xlfn.XLOOKUP(tabExam[[#This Row],[Unique ID]], tblMaster[Unique ID], tblMaster[Recruiter], ""), "")</f>
        <v>Zenon Moses</v>
      </c>
      <c r="G280" t="str">
        <f>IFERROR(_xlfn.XLOOKUP(tabExam[[#This Row],[Unique ID]], tblMaster[Unique ID], tblMaster[Recruitment Cycle], ""), "")</f>
        <v xml:space="preserve">Re-Engagment/Post Civil Service Exam </v>
      </c>
      <c r="H280" t="s">
        <v>8366</v>
      </c>
      <c r="I280">
        <v>2025</v>
      </c>
      <c r="J280" t="s">
        <v>7446</v>
      </c>
      <c r="K280" t="s">
        <v>8151</v>
      </c>
      <c r="L280" t="s">
        <v>8165</v>
      </c>
      <c r="Q280" t="str">
        <f ca="1">IF(tabExam[[#This Row],[Log Date]]="","",TODAY()-tabExam[[#This Row],[Log Date]])</f>
        <v/>
      </c>
      <c r="R280" t="str">
        <f>IF(tabExam[[#This Row],[Log Date]]="","",IF(TRIM(tabExam[[#This Row],[Exam Cycle Stage]])="Asked to be removed from database","NO","YES"))</f>
        <v/>
      </c>
      <c r="S2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1" spans="1:19">
      <c r="A281" t="s">
        <v>8410</v>
      </c>
      <c r="B281" t="str">
        <f>IFERROR(_xlfn.XLOOKUP(tabExam[[#This Row],[Unique ID]], tblMaster[Unique ID], tblMaster[First Name], ""), "")</f>
        <v xml:space="preserve">Eugene </v>
      </c>
      <c r="C281" t="str">
        <f>IFERROR(_xlfn.XLOOKUP(tabExam[[#This Row],[Unique ID]], tblMaster[Unique ID], tblMaster[Last Name], ""), "")</f>
        <v xml:space="preserve">Opong </v>
      </c>
      <c r="D281" t="str">
        <f>IFERROR(_xlfn.XLOOKUP(tabExam[[#This Row],[Unique ID]], tblMaster[Unique ID], tblMaster[Email_Clean], ""), "")</f>
        <v>opongeugene@gmail.com</v>
      </c>
      <c r="E281" t="str">
        <f>IFERROR(_xlfn.XLOOKUP(tabExam[[#This Row],[Unique ID]], tblMaster[Unique ID], tblMaster[Phone], ""), "")</f>
        <v>774-701-4827</v>
      </c>
      <c r="F281" t="str">
        <f>IFERROR(_xlfn.XLOOKUP(tabExam[[#This Row],[Unique ID]], tblMaster[Unique ID], tblMaster[Recruiter], ""), "")</f>
        <v>Zenon Moses</v>
      </c>
      <c r="G281" t="str">
        <f>IFERROR(_xlfn.XLOOKUP(tabExam[[#This Row],[Unique ID]], tblMaster[Unique ID], tblMaster[Recruitment Cycle], ""), "")</f>
        <v xml:space="preserve">Re-Engagment/Post Civil Service Exam </v>
      </c>
      <c r="H281" t="s">
        <v>8366</v>
      </c>
      <c r="I281">
        <v>2025</v>
      </c>
      <c r="J281" t="s">
        <v>7446</v>
      </c>
      <c r="K281" t="s">
        <v>8151</v>
      </c>
      <c r="L281" t="s">
        <v>8165</v>
      </c>
      <c r="Q281" t="str">
        <f ca="1">IF(tabExam[[#This Row],[Log Date]]="","",TODAY()-tabExam[[#This Row],[Log Date]])</f>
        <v/>
      </c>
      <c r="R281" t="str">
        <f>IF(tabExam[[#This Row],[Log Date]]="","",IF(TRIM(tabExam[[#This Row],[Exam Cycle Stage]])="Asked to be removed from database","NO","YES"))</f>
        <v/>
      </c>
      <c r="S2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2" spans="1:19">
      <c r="B282" t="str">
        <f>IFERROR(_xlfn.XLOOKUP(tabExam[[#This Row],[Unique ID]], tblMaster[Unique ID], tblMaster[First Name], ""), "")</f>
        <v/>
      </c>
      <c r="C282" t="str">
        <f>IFERROR(_xlfn.XLOOKUP(tabExam[[#This Row],[Unique ID]], tblMaster[Unique ID], tblMaster[Last Name], ""), "")</f>
        <v/>
      </c>
      <c r="D282" t="str">
        <f>IFERROR(_xlfn.XLOOKUP(tabExam[[#This Row],[Unique ID]], tblMaster[Unique ID], tblMaster[Email_Clean], ""), "")</f>
        <v/>
      </c>
      <c r="E282" t="str">
        <f>IFERROR(_xlfn.XLOOKUP(tabExam[[#This Row],[Unique ID]], tblMaster[Unique ID], tblMaster[Phone], ""), "")</f>
        <v/>
      </c>
      <c r="F282" t="str">
        <f>IFERROR(_xlfn.XLOOKUP(tabExam[[#This Row],[Unique ID]], tblMaster[Unique ID], tblMaster[Recruiter], ""), "")</f>
        <v/>
      </c>
      <c r="G282" t="str">
        <f>IFERROR(_xlfn.XLOOKUP(tabExam[[#This Row],[Unique ID]], tblMaster[Unique ID], tblMaster[Recruitment Cycle], ""), "")</f>
        <v/>
      </c>
      <c r="H282" t="s">
        <v>8360</v>
      </c>
      <c r="I282">
        <v>2025</v>
      </c>
      <c r="J282" t="s">
        <v>7446</v>
      </c>
      <c r="K282" t="s">
        <v>8151</v>
      </c>
      <c r="L282" t="s">
        <v>8165</v>
      </c>
      <c r="Q282" t="str">
        <f ca="1">IF(tabExam[[#This Row],[Log Date]]="","",TODAY()-tabExam[[#This Row],[Log Date]])</f>
        <v/>
      </c>
      <c r="R282" t="str">
        <f>IF(tabExam[[#This Row],[Log Date]]="","",IF(TRIM(tabExam[[#This Row],[Exam Cycle Stage]])="Asked to be removed from database","NO","YES"))</f>
        <v/>
      </c>
      <c r="S2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3" spans="1:19">
      <c r="A283" t="s">
        <v>8411</v>
      </c>
      <c r="B283" t="str">
        <f>IFERROR(_xlfn.XLOOKUP(tabExam[[#This Row],[Unique ID]], tblMaster[Unique ID], tblMaster[First Name], ""), "")</f>
        <v xml:space="preserve">Alec </v>
      </c>
      <c r="C283" t="str">
        <f>IFERROR(_xlfn.XLOOKUP(tabExam[[#This Row],[Unique ID]], tblMaster[Unique ID], tblMaster[Last Name], ""), "")</f>
        <v xml:space="preserve">Turner </v>
      </c>
      <c r="D283" t="str">
        <f>IFERROR(_xlfn.XLOOKUP(tabExam[[#This Row],[Unique ID]], tblMaster[Unique ID], tblMaster[Email_Clean], ""), "")</f>
        <v>aturnerbuisness@aol.com</v>
      </c>
      <c r="E283" t="str">
        <f>IFERROR(_xlfn.XLOOKUP(tabExam[[#This Row],[Unique ID]], tblMaster[Unique ID], tblMaster[Phone], ""), "")</f>
        <v>774-280-9071</v>
      </c>
      <c r="F283" t="str">
        <f>IFERROR(_xlfn.XLOOKUP(tabExam[[#This Row],[Unique ID]], tblMaster[Unique ID], tblMaster[Recruiter], ""), "")</f>
        <v>Zenon Moses</v>
      </c>
      <c r="G283" t="str">
        <f>IFERROR(_xlfn.XLOOKUP(tabExam[[#This Row],[Unique ID]], tblMaster[Unique ID], tblMaster[Recruitment Cycle], ""), "")</f>
        <v xml:space="preserve">Re-Engagment/Post Civil Service Exam </v>
      </c>
      <c r="H283" t="s">
        <v>8357</v>
      </c>
      <c r="I283">
        <v>2025</v>
      </c>
      <c r="J283" t="s">
        <v>7446</v>
      </c>
      <c r="K283" t="s">
        <v>8151</v>
      </c>
      <c r="L283" t="s">
        <v>8165</v>
      </c>
      <c r="Q283" t="str">
        <f ca="1">IF(tabExam[[#This Row],[Log Date]]="","",TODAY()-tabExam[[#This Row],[Log Date]])</f>
        <v/>
      </c>
      <c r="R283" t="str">
        <f>IF(tabExam[[#This Row],[Log Date]]="","",IF(TRIM(tabExam[[#This Row],[Exam Cycle Stage]])="Asked to be removed from database","NO","YES"))</f>
        <v/>
      </c>
      <c r="S2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4" spans="1:19">
      <c r="A284" t="s">
        <v>8412</v>
      </c>
      <c r="B284" t="str">
        <f>IFERROR(_xlfn.XLOOKUP(tabExam[[#This Row],[Unique ID]], tblMaster[Unique ID], tblMaster[First Name], ""), "")</f>
        <v>Pouchon</v>
      </c>
      <c r="C284" t="str">
        <f>IFERROR(_xlfn.XLOOKUP(tabExam[[#This Row],[Unique ID]], tblMaster[Unique ID], tblMaster[Last Name], ""), "")</f>
        <v>Henry</v>
      </c>
      <c r="D284" t="str">
        <f>IFERROR(_xlfn.XLOOKUP(tabExam[[#This Row],[Unique ID]], tblMaster[Unique ID], tblMaster[Email_Clean], ""), "")</f>
        <v>pouchonh1999@gmail.com</v>
      </c>
      <c r="E284" t="str">
        <f>IFERROR(_xlfn.XLOOKUP(tabExam[[#This Row],[Unique ID]], tblMaster[Unique ID], tblMaster[Phone], ""), "")</f>
        <v>(857) 991-7598</v>
      </c>
      <c r="F284" t="str">
        <f>IFERROR(_xlfn.XLOOKUP(tabExam[[#This Row],[Unique ID]], tblMaster[Unique ID], tblMaster[Recruiter], ""), "")</f>
        <v xml:space="preserve">Jevon Brown Simpson </v>
      </c>
      <c r="G284" t="str">
        <f>IFERROR(_xlfn.XLOOKUP(tabExam[[#This Row],[Unique ID]], tblMaster[Unique ID], tblMaster[Recruitment Cycle], ""), "")</f>
        <v xml:space="preserve">Re-Engagment/Post Civil Service Exam </v>
      </c>
      <c r="H284" t="s">
        <v>8358</v>
      </c>
      <c r="I284">
        <v>2025</v>
      </c>
      <c r="J284" t="s">
        <v>7446</v>
      </c>
      <c r="K284" t="s">
        <v>8151</v>
      </c>
      <c r="L284" t="s">
        <v>8165</v>
      </c>
      <c r="Q284" t="str">
        <f ca="1">IF(tabExam[[#This Row],[Log Date]]="","",TODAY()-tabExam[[#This Row],[Log Date]])</f>
        <v/>
      </c>
      <c r="R284" t="str">
        <f>IF(tabExam[[#This Row],[Log Date]]="","",IF(TRIM(tabExam[[#This Row],[Exam Cycle Stage]])="Asked to be removed from database","NO","YES"))</f>
        <v/>
      </c>
      <c r="S2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5" spans="1:19">
      <c r="A285" t="s">
        <v>8413</v>
      </c>
      <c r="B285" t="str">
        <f>IFERROR(_xlfn.XLOOKUP(tabExam[[#This Row],[Unique ID]], tblMaster[Unique ID], tblMaster[First Name], ""), "")</f>
        <v>Ruth</v>
      </c>
      <c r="C285" t="str">
        <f>IFERROR(_xlfn.XLOOKUP(tabExam[[#This Row],[Unique ID]], tblMaster[Unique ID], tblMaster[Last Name], ""), "")</f>
        <v>Luna</v>
      </c>
      <c r="D285" t="str">
        <f>IFERROR(_xlfn.XLOOKUP(tabExam[[#This Row],[Unique ID]], tblMaster[Unique ID], tblMaster[Email_Clean], ""), "")</f>
        <v>ruthyluna1008@gmail.com</v>
      </c>
      <c r="E285">
        <f>IFERROR(_xlfn.XLOOKUP(tabExam[[#This Row],[Unique ID]], tblMaster[Unique ID], tblMaster[Phone], ""), "")</f>
        <v>5080637899</v>
      </c>
      <c r="F285" t="str">
        <f>IFERROR(_xlfn.XLOOKUP(tabExam[[#This Row],[Unique ID]], tblMaster[Unique ID], tblMaster[Recruiter], ""), "")</f>
        <v xml:space="preserve">Jevon Brown Simpson </v>
      </c>
      <c r="G285" t="str">
        <f>IFERROR(_xlfn.XLOOKUP(tabExam[[#This Row],[Unique ID]], tblMaster[Unique ID], tblMaster[Recruitment Cycle], ""), "")</f>
        <v xml:space="preserve">Re-Engagment/Post Civil Service Exam </v>
      </c>
      <c r="H285" t="s">
        <v>8358</v>
      </c>
      <c r="I285">
        <v>2025</v>
      </c>
      <c r="J285" t="s">
        <v>7446</v>
      </c>
      <c r="K285" t="s">
        <v>8151</v>
      </c>
      <c r="L285" t="s">
        <v>8165</v>
      </c>
      <c r="Q285" t="str">
        <f ca="1">IF(tabExam[[#This Row],[Log Date]]="","",TODAY()-tabExam[[#This Row],[Log Date]])</f>
        <v/>
      </c>
      <c r="R285" t="str">
        <f>IF(tabExam[[#This Row],[Log Date]]="","",IF(TRIM(tabExam[[#This Row],[Exam Cycle Stage]])="Asked to be removed from database","NO","YES"))</f>
        <v/>
      </c>
      <c r="S2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6" spans="1:19">
      <c r="A286" t="s">
        <v>8414</v>
      </c>
      <c r="B286" t="str">
        <f>IFERROR(_xlfn.XLOOKUP(tabExam[[#This Row],[Unique ID]], tblMaster[Unique ID], tblMaster[First Name], ""), "")</f>
        <v xml:space="preserve">Diana </v>
      </c>
      <c r="C286" t="str">
        <f>IFERROR(_xlfn.XLOOKUP(tabExam[[#This Row],[Unique ID]], tblMaster[Unique ID], tblMaster[Last Name], ""), "")</f>
        <v xml:space="preserve"> Palacio </v>
      </c>
      <c r="D286" t="str">
        <f>IFERROR(_xlfn.XLOOKUP(tabExam[[#This Row],[Unique ID]], tblMaster[Unique ID], tblMaster[Email_Clean], ""), "")</f>
        <v>dianap_1981@hotmail.com</v>
      </c>
      <c r="E286" t="str">
        <f>IFERROR(_xlfn.XLOOKUP(tabExam[[#This Row],[Unique ID]], tblMaster[Unique ID], tblMaster[Phone], ""), "")</f>
        <v xml:space="preserve">(401) 574-6430 </v>
      </c>
      <c r="F286" t="str">
        <f>IFERROR(_xlfn.XLOOKUP(tabExam[[#This Row],[Unique ID]], tblMaster[Unique ID], tblMaster[Recruiter], ""), "")</f>
        <v xml:space="preserve">Jevon Brown Simpson </v>
      </c>
      <c r="G286" t="str">
        <f>IFERROR(_xlfn.XLOOKUP(tabExam[[#This Row],[Unique ID]], tblMaster[Unique ID], tblMaster[Recruitment Cycle], ""), "")</f>
        <v xml:space="preserve">Re-Engagment/Post Civil Service Exam </v>
      </c>
      <c r="H286" t="s">
        <v>8358</v>
      </c>
      <c r="I286">
        <v>2025</v>
      </c>
      <c r="J286" t="s">
        <v>7446</v>
      </c>
      <c r="K286" t="s">
        <v>8151</v>
      </c>
      <c r="L286" t="s">
        <v>8165</v>
      </c>
      <c r="Q286" t="str">
        <f ca="1">IF(tabExam[[#This Row],[Log Date]]="","",TODAY()-tabExam[[#This Row],[Log Date]])</f>
        <v/>
      </c>
      <c r="R286" t="str">
        <f>IF(tabExam[[#This Row],[Log Date]]="","",IF(TRIM(tabExam[[#This Row],[Exam Cycle Stage]])="Asked to be removed from database","NO","YES"))</f>
        <v/>
      </c>
      <c r="S2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7" spans="1:19">
      <c r="A287" t="s">
        <v>8415</v>
      </c>
      <c r="B287" t="str">
        <f>IFERROR(_xlfn.XLOOKUP(tabExam[[#This Row],[Unique ID]], tblMaster[Unique ID], tblMaster[First Name], ""), "")</f>
        <v xml:space="preserve">Kyle </v>
      </c>
      <c r="C287" t="str">
        <f>IFERROR(_xlfn.XLOOKUP(tabExam[[#This Row],[Unique ID]], tblMaster[Unique ID], tblMaster[Last Name], ""), "")</f>
        <v xml:space="preserve">Theriault </v>
      </c>
      <c r="D287" t="str">
        <f>IFERROR(_xlfn.XLOOKUP(tabExam[[#This Row],[Unique ID]], tblMaster[Unique ID], tblMaster[Email_Clean], ""), "")</f>
        <v>kyletheriault50@gmail.com</v>
      </c>
      <c r="E287" t="str">
        <f>IFERROR(_xlfn.XLOOKUP(tabExam[[#This Row],[Unique ID]], tblMaster[Unique ID], tblMaster[Phone], ""), "")</f>
        <v xml:space="preserve">774-461-5025 </v>
      </c>
      <c r="F287" t="str">
        <f>IFERROR(_xlfn.XLOOKUP(tabExam[[#This Row],[Unique ID]], tblMaster[Unique ID], tblMaster[Recruiter], ""), "")</f>
        <v xml:space="preserve">Jevon Brown Simpson </v>
      </c>
      <c r="G287" t="str">
        <f>IFERROR(_xlfn.XLOOKUP(tabExam[[#This Row],[Unique ID]], tblMaster[Unique ID], tblMaster[Recruitment Cycle], ""), "")</f>
        <v xml:space="preserve">Re-Engagment/Post Civil Service Exam </v>
      </c>
      <c r="H287" t="s">
        <v>8358</v>
      </c>
      <c r="I287">
        <v>2025</v>
      </c>
      <c r="J287" t="s">
        <v>7446</v>
      </c>
      <c r="K287" t="s">
        <v>8151</v>
      </c>
      <c r="L287" t="s">
        <v>8165</v>
      </c>
      <c r="Q287" t="str">
        <f ca="1">IF(tabExam[[#This Row],[Log Date]]="","",TODAY()-tabExam[[#This Row],[Log Date]])</f>
        <v/>
      </c>
      <c r="R287" t="str">
        <f>IF(tabExam[[#This Row],[Log Date]]="","",IF(TRIM(tabExam[[#This Row],[Exam Cycle Stage]])="Asked to be removed from database","NO","YES"))</f>
        <v/>
      </c>
      <c r="S2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8" spans="1:19">
      <c r="A288" t="s">
        <v>8416</v>
      </c>
      <c r="B288" t="str">
        <f>IFERROR(_xlfn.XLOOKUP(tabExam[[#This Row],[Unique ID]], tblMaster[Unique ID], tblMaster[First Name], ""), "")</f>
        <v>Nathaly</v>
      </c>
      <c r="C288" t="str">
        <f>IFERROR(_xlfn.XLOOKUP(tabExam[[#This Row],[Unique ID]], tblMaster[Unique ID], tblMaster[Last Name], ""), "")</f>
        <v>Torres</v>
      </c>
      <c r="D288" t="str">
        <f>IFERROR(_xlfn.XLOOKUP(tabExam[[#This Row],[Unique ID]], tblMaster[Unique ID], tblMaster[Email_Clean], ""), "")</f>
        <v>nathalytorresveras65@gmail.com</v>
      </c>
      <c r="E288" t="str">
        <f>IFERROR(_xlfn.XLOOKUP(tabExam[[#This Row],[Unique ID]], tblMaster[Unique ID], tblMaster[Phone], ""), "")</f>
        <v>786-750-1902</v>
      </c>
      <c r="F288" t="str">
        <f>IFERROR(_xlfn.XLOOKUP(tabExam[[#This Row],[Unique ID]], tblMaster[Unique ID], tblMaster[Recruiter], ""), "")</f>
        <v xml:space="preserve">Jevon Brown Simpson </v>
      </c>
      <c r="G288" t="str">
        <f>IFERROR(_xlfn.XLOOKUP(tabExam[[#This Row],[Unique ID]], tblMaster[Unique ID], tblMaster[Recruitment Cycle], ""), "")</f>
        <v xml:space="preserve">Re-Engagment/Post Civil Service Exam </v>
      </c>
      <c r="H288" t="s">
        <v>8358</v>
      </c>
      <c r="I288">
        <v>2025</v>
      </c>
      <c r="J288" t="s">
        <v>7446</v>
      </c>
      <c r="K288" t="s">
        <v>8151</v>
      </c>
      <c r="L288" t="s">
        <v>8165</v>
      </c>
      <c r="Q288" t="str">
        <f ca="1">IF(tabExam[[#This Row],[Log Date]]="","",TODAY()-tabExam[[#This Row],[Log Date]])</f>
        <v/>
      </c>
      <c r="R288" t="str">
        <f>IF(tabExam[[#This Row],[Log Date]]="","",IF(TRIM(tabExam[[#This Row],[Exam Cycle Stage]])="Asked to be removed from database","NO","YES"))</f>
        <v/>
      </c>
      <c r="S2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89" spans="1:19">
      <c r="A289" t="s">
        <v>8417</v>
      </c>
      <c r="B289" t="str">
        <f>IFERROR(_xlfn.XLOOKUP(tabExam[[#This Row],[Unique ID]], tblMaster[Unique ID], tblMaster[First Name], ""), "")</f>
        <v>Taiana (Cassandra)</v>
      </c>
      <c r="C289" t="str">
        <f>IFERROR(_xlfn.XLOOKUP(tabExam[[#This Row],[Unique ID]], tblMaster[Unique ID], tblMaster[Last Name], ""), "")</f>
        <v>Pierre-Louis</v>
      </c>
      <c r="D289" t="str">
        <f>IFERROR(_xlfn.XLOOKUP(tabExam[[#This Row],[Unique ID]], tblMaster[Unique ID], tblMaster[Email_Clean], ""), "")</f>
        <v>taiouetrey11@gmail.com</v>
      </c>
      <c r="E289" t="str">
        <f>IFERROR(_xlfn.XLOOKUP(tabExam[[#This Row],[Unique ID]], tblMaster[Unique ID], tblMaster[Phone], ""), "")</f>
        <v>617-750-3873</v>
      </c>
      <c r="F289" t="str">
        <f>IFERROR(_xlfn.XLOOKUP(tabExam[[#This Row],[Unique ID]], tblMaster[Unique ID], tblMaster[Recruiter], ""), "")</f>
        <v>Zenon Moses</v>
      </c>
      <c r="G289" t="str">
        <f>IFERROR(_xlfn.XLOOKUP(tabExam[[#This Row],[Unique ID]], tblMaster[Unique ID], tblMaster[Recruitment Cycle], ""), "")</f>
        <v xml:space="preserve">Re-Engagment/Post Civil Service Exam </v>
      </c>
      <c r="H289" t="s">
        <v>8366</v>
      </c>
      <c r="I289">
        <v>2025</v>
      </c>
      <c r="J289" t="s">
        <v>7446</v>
      </c>
      <c r="K289" t="s">
        <v>8151</v>
      </c>
      <c r="L289" t="s">
        <v>8165</v>
      </c>
      <c r="Q289" t="str">
        <f ca="1">IF(tabExam[[#This Row],[Log Date]]="","",TODAY()-tabExam[[#This Row],[Log Date]])</f>
        <v/>
      </c>
      <c r="R289" t="str">
        <f>IF(tabExam[[#This Row],[Log Date]]="","",IF(TRIM(tabExam[[#This Row],[Exam Cycle Stage]])="Asked to be removed from database","NO","YES"))</f>
        <v/>
      </c>
      <c r="S2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0" spans="1:19">
      <c r="A290" t="s">
        <v>8418</v>
      </c>
      <c r="B290" t="str">
        <f>IFERROR(_xlfn.XLOOKUP(tabExam[[#This Row],[Unique ID]], tblMaster[Unique ID], tblMaster[First Name], ""), "")</f>
        <v>Michael</v>
      </c>
      <c r="C290" t="str">
        <f>IFERROR(_xlfn.XLOOKUP(tabExam[[#This Row],[Unique ID]], tblMaster[Unique ID], tblMaster[Last Name], ""), "")</f>
        <v>Mensah</v>
      </c>
      <c r="D290" t="str">
        <f>IFERROR(_xlfn.XLOOKUP(tabExam[[#This Row],[Unique ID]], tblMaster[Unique ID], tblMaster[Email_Clean], ""), "")</f>
        <v>mensgends@yahoo.com</v>
      </c>
      <c r="E290" t="str">
        <f>IFERROR(_xlfn.XLOOKUP(tabExam[[#This Row],[Unique ID]], tblMaster[Unique ID], tblMaster[Phone], ""), "")</f>
        <v>413-218-9289</v>
      </c>
      <c r="F290" t="str">
        <f>IFERROR(_xlfn.XLOOKUP(tabExam[[#This Row],[Unique ID]], tblMaster[Unique ID], tblMaster[Recruiter], ""), "")</f>
        <v>Zenon Moses</v>
      </c>
      <c r="G290" t="str">
        <f>IFERROR(_xlfn.XLOOKUP(tabExam[[#This Row],[Unique ID]], tblMaster[Unique ID], tblMaster[Recruitment Cycle], ""), "")</f>
        <v xml:space="preserve">Re-Engagment/Post Civil Service Exam </v>
      </c>
      <c r="H290" t="s">
        <v>8366</v>
      </c>
      <c r="I290">
        <v>2025</v>
      </c>
      <c r="J290" t="s">
        <v>7446</v>
      </c>
      <c r="K290" t="s">
        <v>8151</v>
      </c>
      <c r="L290" t="s">
        <v>8165</v>
      </c>
      <c r="Q290" t="str">
        <f ca="1">IF(tabExam[[#This Row],[Log Date]]="","",TODAY()-tabExam[[#This Row],[Log Date]])</f>
        <v/>
      </c>
      <c r="R290" t="str">
        <f>IF(tabExam[[#This Row],[Log Date]]="","",IF(TRIM(tabExam[[#This Row],[Exam Cycle Stage]])="Asked to be removed from database","NO","YES"))</f>
        <v/>
      </c>
      <c r="S2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1" spans="1:19">
      <c r="A291" t="s">
        <v>8419</v>
      </c>
      <c r="B291" t="str">
        <f>IFERROR(_xlfn.XLOOKUP(tabExam[[#This Row],[Unique ID]], tblMaster[Unique ID], tblMaster[First Name], ""), "")</f>
        <v>Mohammad</v>
      </c>
      <c r="C291" t="str">
        <f>IFERROR(_xlfn.XLOOKUP(tabExam[[#This Row],[Unique ID]], tblMaster[Unique ID], tblMaster[Last Name], ""), "")</f>
        <v>Abdullh Al Mamun</v>
      </c>
      <c r="D291" t="str">
        <f>IFERROR(_xlfn.XLOOKUP(tabExam[[#This Row],[Unique ID]], tblMaster[Unique ID], tblMaster[Email_Clean], ""), "")</f>
        <v>mamunbabu@hotmail.com</v>
      </c>
      <c r="E291" t="str">
        <f>IFERROR(_xlfn.XLOOKUP(tabExam[[#This Row],[Unique ID]], tblMaster[Unique ID], tblMaster[Phone], ""), "")</f>
        <v>857)381-8871</v>
      </c>
      <c r="F291" t="str">
        <f>IFERROR(_xlfn.XLOOKUP(tabExam[[#This Row],[Unique ID]], tblMaster[Unique ID], tblMaster[Recruiter], ""), "")</f>
        <v xml:space="preserve">Jevon Brown Simpson </v>
      </c>
      <c r="G291" t="str">
        <f>IFERROR(_xlfn.XLOOKUP(tabExam[[#This Row],[Unique ID]], tblMaster[Unique ID], tblMaster[Recruitment Cycle], ""), "")</f>
        <v xml:space="preserve">Re-Engagment/Post Civil Service Exam </v>
      </c>
      <c r="H291" t="s">
        <v>8360</v>
      </c>
      <c r="I291">
        <v>2025</v>
      </c>
      <c r="J291" t="s">
        <v>7446</v>
      </c>
      <c r="K291" t="s">
        <v>8151</v>
      </c>
      <c r="L291" t="s">
        <v>8165</v>
      </c>
      <c r="Q291" t="str">
        <f ca="1">IF(tabExam[[#This Row],[Log Date]]="","",TODAY()-tabExam[[#This Row],[Log Date]])</f>
        <v/>
      </c>
      <c r="R291" t="str">
        <f>IF(tabExam[[#This Row],[Log Date]]="","",IF(TRIM(tabExam[[#This Row],[Exam Cycle Stage]])="Asked to be removed from database","NO","YES"))</f>
        <v/>
      </c>
      <c r="S2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2" spans="1:19">
      <c r="A292" t="s">
        <v>8420</v>
      </c>
      <c r="B292" t="str">
        <f>IFERROR(_xlfn.XLOOKUP(tabExam[[#This Row],[Unique ID]], tblMaster[Unique ID], tblMaster[First Name], ""), "")</f>
        <v>Emmanuel</v>
      </c>
      <c r="C292" t="str">
        <f>IFERROR(_xlfn.XLOOKUP(tabExam[[#This Row],[Unique ID]], tblMaster[Unique ID], tblMaster[Last Name], ""), "")</f>
        <v xml:space="preserve"> Gelin </v>
      </c>
      <c r="D292" t="str">
        <f>IFERROR(_xlfn.XLOOKUP(tabExam[[#This Row],[Unique ID]], tblMaster[Unique ID], tblMaster[Email_Clean], ""), "")</f>
        <v>emmge90@gmail.com</v>
      </c>
      <c r="E292" t="str">
        <f>IFERROR(_xlfn.XLOOKUP(tabExam[[#This Row],[Unique ID]], tblMaster[Unique ID], tblMaster[Phone], ""), "")</f>
        <v>857-888-7328</v>
      </c>
      <c r="F292">
        <f>IFERROR(_xlfn.XLOOKUP(tabExam[[#This Row],[Unique ID]], tblMaster[Unique ID], tblMaster[Recruiter], ""), "")</f>
        <v>0</v>
      </c>
      <c r="G292" t="str">
        <f>IFERROR(_xlfn.XLOOKUP(tabExam[[#This Row],[Unique ID]], tblMaster[Unique ID], tblMaster[Recruitment Cycle], ""), "")</f>
        <v xml:space="preserve">Re-Engagment/Post Civil Service Exam </v>
      </c>
      <c r="H292" t="s">
        <v>8358</v>
      </c>
      <c r="I292">
        <v>2025</v>
      </c>
      <c r="J292" t="s">
        <v>7446</v>
      </c>
      <c r="K292" t="s">
        <v>8151</v>
      </c>
      <c r="L292" t="s">
        <v>8165</v>
      </c>
      <c r="Q292" t="str">
        <f ca="1">IF(tabExam[[#This Row],[Log Date]]="","",TODAY()-tabExam[[#This Row],[Log Date]])</f>
        <v/>
      </c>
      <c r="R292" t="str">
        <f>IF(tabExam[[#This Row],[Log Date]]="","",IF(TRIM(tabExam[[#This Row],[Exam Cycle Stage]])="Asked to be removed from database","NO","YES"))</f>
        <v/>
      </c>
      <c r="S2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3" spans="1:19">
      <c r="A293" t="s">
        <v>8421</v>
      </c>
      <c r="B293" t="str">
        <f>IFERROR(_xlfn.XLOOKUP(tabExam[[#This Row],[Unique ID]], tblMaster[Unique ID], tblMaster[First Name], ""), "")</f>
        <v>Saliim</v>
      </c>
      <c r="C293" t="str">
        <f>IFERROR(_xlfn.XLOOKUP(tabExam[[#This Row],[Unique ID]], tblMaster[Unique ID], tblMaster[Last Name], ""), "")</f>
        <v>Lee</v>
      </c>
      <c r="D293" t="str">
        <f>IFERROR(_xlfn.XLOOKUP(tabExam[[#This Row],[Unique ID]], tblMaster[Unique ID], tblMaster[Email_Clean], ""), "")</f>
        <v>saliimlee@outlook.com</v>
      </c>
      <c r="E293" t="str">
        <f>IFERROR(_xlfn.XLOOKUP(tabExam[[#This Row],[Unique ID]], tblMaster[Unique ID], tblMaster[Phone], ""), "")</f>
        <v>(617) 206-0905</v>
      </c>
      <c r="F293" t="str">
        <f>IFERROR(_xlfn.XLOOKUP(tabExam[[#This Row],[Unique ID]], tblMaster[Unique ID], tblMaster[Recruiter], ""), "")</f>
        <v xml:space="preserve">Jevon Brown Simpson </v>
      </c>
      <c r="G293" t="str">
        <f>IFERROR(_xlfn.XLOOKUP(tabExam[[#This Row],[Unique ID]], tblMaster[Unique ID], tblMaster[Recruitment Cycle], ""), "")</f>
        <v xml:space="preserve">Re-Engagment/Post Civil Service Exam </v>
      </c>
      <c r="H293" t="s">
        <v>8358</v>
      </c>
      <c r="I293">
        <v>2025</v>
      </c>
      <c r="J293" t="s">
        <v>7446</v>
      </c>
      <c r="K293" t="s">
        <v>8151</v>
      </c>
      <c r="L293" t="s">
        <v>8165</v>
      </c>
      <c r="Q293" t="str">
        <f ca="1">IF(tabExam[[#This Row],[Log Date]]="","",TODAY()-tabExam[[#This Row],[Log Date]])</f>
        <v/>
      </c>
      <c r="R293" t="str">
        <f>IF(tabExam[[#This Row],[Log Date]]="","",IF(TRIM(tabExam[[#This Row],[Exam Cycle Stage]])="Asked to be removed from database","NO","YES"))</f>
        <v/>
      </c>
      <c r="S2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4" spans="1:19">
      <c r="A294" t="s">
        <v>8422</v>
      </c>
      <c r="B294" t="str">
        <f>IFERROR(_xlfn.XLOOKUP(tabExam[[#This Row],[Unique ID]], tblMaster[Unique ID], tblMaster[First Name], ""), "")</f>
        <v xml:space="preserve">Tanike </v>
      </c>
      <c r="C294" t="str">
        <f>IFERROR(_xlfn.XLOOKUP(tabExam[[#This Row],[Unique ID]], tblMaster[Unique ID], tblMaster[Last Name], ""), "")</f>
        <v>Thrope</v>
      </c>
      <c r="D294" t="str">
        <f>IFERROR(_xlfn.XLOOKUP(tabExam[[#This Row],[Unique ID]], tblMaster[Unique ID], tblMaster[Email_Clean], ""), "")</f>
        <v>tanikethorpe@gmail.com</v>
      </c>
      <c r="E294" t="str">
        <f>IFERROR(_xlfn.XLOOKUP(tabExam[[#This Row],[Unique ID]], tblMaster[Unique ID], tblMaster[Phone], ""), "")</f>
        <v xml:space="preserve">754-284-8887 </v>
      </c>
      <c r="F294" t="str">
        <f>IFERROR(_xlfn.XLOOKUP(tabExam[[#This Row],[Unique ID]], tblMaster[Unique ID], tblMaster[Recruiter], ""), "")</f>
        <v>Zenon Moses</v>
      </c>
      <c r="G294" t="str">
        <f>IFERROR(_xlfn.XLOOKUP(tabExam[[#This Row],[Unique ID]], tblMaster[Unique ID], tblMaster[Recruitment Cycle], ""), "")</f>
        <v xml:space="preserve">Re-Engagment/Post Civil Service Exam </v>
      </c>
      <c r="H294" t="s">
        <v>8358</v>
      </c>
      <c r="I294">
        <v>2025</v>
      </c>
      <c r="J294" t="s">
        <v>7446</v>
      </c>
      <c r="K294" t="s">
        <v>8151</v>
      </c>
      <c r="L294" t="s">
        <v>8165</v>
      </c>
      <c r="Q294" t="str">
        <f ca="1">IF(tabExam[[#This Row],[Log Date]]="","",TODAY()-tabExam[[#This Row],[Log Date]])</f>
        <v/>
      </c>
      <c r="R294" t="str">
        <f>IF(tabExam[[#This Row],[Log Date]]="","",IF(TRIM(tabExam[[#This Row],[Exam Cycle Stage]])="Asked to be removed from database","NO","YES"))</f>
        <v/>
      </c>
      <c r="S2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5" spans="1:19">
      <c r="A295" t="s">
        <v>8423</v>
      </c>
      <c r="B295" t="str">
        <f>IFERROR(_xlfn.XLOOKUP(tabExam[[#This Row],[Unique ID]], tblMaster[Unique ID], tblMaster[First Name], ""), "")</f>
        <v xml:space="preserve">Erica </v>
      </c>
      <c r="C295" t="str">
        <f>IFERROR(_xlfn.XLOOKUP(tabExam[[#This Row],[Unique ID]], tblMaster[Unique ID], tblMaster[Last Name], ""), "")</f>
        <v xml:space="preserve">Cruz </v>
      </c>
      <c r="D295" t="str">
        <f>IFERROR(_xlfn.XLOOKUP(tabExam[[#This Row],[Unique ID]], tblMaster[Unique ID], tblMaster[Email_Clean], ""), "")</f>
        <v>tru3lov30983@icloud.com</v>
      </c>
      <c r="E295" t="str">
        <f>IFERROR(_xlfn.XLOOKUP(tabExam[[#This Row],[Unique ID]], tblMaster[Unique ID], tblMaster[Phone], ""), "")</f>
        <v>860-997-0943</v>
      </c>
      <c r="F295" t="str">
        <f>IFERROR(_xlfn.XLOOKUP(tabExam[[#This Row],[Unique ID]], tblMaster[Unique ID], tblMaster[Recruiter], ""), "")</f>
        <v>Zenon Moses</v>
      </c>
      <c r="G295" t="str">
        <f>IFERROR(_xlfn.XLOOKUP(tabExam[[#This Row],[Unique ID]], tblMaster[Unique ID], tblMaster[Recruitment Cycle], ""), "")</f>
        <v xml:space="preserve">Re-Engagment/Post Civil Service Exam </v>
      </c>
      <c r="H295" t="s">
        <v>8366</v>
      </c>
      <c r="I295">
        <v>2025</v>
      </c>
      <c r="J295" t="s">
        <v>7446</v>
      </c>
      <c r="K295" t="s">
        <v>8151</v>
      </c>
      <c r="L295" t="s">
        <v>8165</v>
      </c>
      <c r="Q295" t="str">
        <f ca="1">IF(tabExam[[#This Row],[Log Date]]="","",TODAY()-tabExam[[#This Row],[Log Date]])</f>
        <v/>
      </c>
      <c r="R295" t="str">
        <f>IF(tabExam[[#This Row],[Log Date]]="","",IF(TRIM(tabExam[[#This Row],[Exam Cycle Stage]])="Asked to be removed from database","NO","YES"))</f>
        <v/>
      </c>
      <c r="S2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6" spans="1:19">
      <c r="A296" t="s">
        <v>8424</v>
      </c>
      <c r="B296" t="str">
        <f>IFERROR(_xlfn.XLOOKUP(tabExam[[#This Row],[Unique ID]], tblMaster[Unique ID], tblMaster[First Name], ""), "")</f>
        <v>Keith</v>
      </c>
      <c r="C296" t="str">
        <f>IFERROR(_xlfn.XLOOKUP(tabExam[[#This Row],[Unique ID]], tblMaster[Unique ID], tblMaster[Last Name], ""), "")</f>
        <v>Pontes</v>
      </c>
      <c r="D296" t="str">
        <f>IFERROR(_xlfn.XLOOKUP(tabExam[[#This Row],[Unique ID]], tblMaster[Unique ID], tblMaster[Email_Clean], ""), "")</f>
        <v>kgp553@gmail.com</v>
      </c>
      <c r="E296" t="str">
        <f>IFERROR(_xlfn.XLOOKUP(tabExam[[#This Row],[Unique ID]], tblMaster[Unique ID], tblMaster[Phone], ""), "")</f>
        <v>401-398-9472</v>
      </c>
      <c r="F296" t="str">
        <f>IFERROR(_xlfn.XLOOKUP(tabExam[[#This Row],[Unique ID]], tblMaster[Unique ID], tblMaster[Recruiter], ""), "")</f>
        <v xml:space="preserve">Tom Clark </v>
      </c>
      <c r="G296" t="str">
        <f>IFERROR(_xlfn.XLOOKUP(tabExam[[#This Row],[Unique ID]], tblMaster[Unique ID], tblMaster[Recruitment Cycle], ""), "")</f>
        <v xml:space="preserve">Re-Engagment/Post Civil Service Exam </v>
      </c>
      <c r="H296" t="s">
        <v>8360</v>
      </c>
      <c r="I296">
        <v>2025</v>
      </c>
      <c r="J296" t="s">
        <v>7446</v>
      </c>
      <c r="K296" t="s">
        <v>8151</v>
      </c>
      <c r="L296" t="s">
        <v>8165</v>
      </c>
      <c r="Q296" t="str">
        <f ca="1">IF(tabExam[[#This Row],[Log Date]]="","",TODAY()-tabExam[[#This Row],[Log Date]])</f>
        <v/>
      </c>
      <c r="R296" t="str">
        <f>IF(tabExam[[#This Row],[Log Date]]="","",IF(TRIM(tabExam[[#This Row],[Exam Cycle Stage]])="Asked to be removed from database","NO","YES"))</f>
        <v/>
      </c>
      <c r="S2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7" spans="1:19">
      <c r="A297" t="s">
        <v>8425</v>
      </c>
      <c r="B297" t="str">
        <f>IFERROR(_xlfn.XLOOKUP(tabExam[[#This Row],[Unique ID]], tblMaster[Unique ID], tblMaster[First Name], ""), "")</f>
        <v>Luke</v>
      </c>
      <c r="C297" t="str">
        <f>IFERROR(_xlfn.XLOOKUP(tabExam[[#This Row],[Unique ID]], tblMaster[Unique ID], tblMaster[Last Name], ""), "")</f>
        <v>Rowe</v>
      </c>
      <c r="D297" t="str">
        <f>IFERROR(_xlfn.XLOOKUP(tabExam[[#This Row],[Unique ID]], tblMaster[Unique ID], tblMaster[Email_Clean], ""), "")</f>
        <v>roweluke57@gmail.com</v>
      </c>
      <c r="E297" t="str">
        <f>IFERROR(_xlfn.XLOOKUP(tabExam[[#This Row],[Unique ID]], tblMaster[Unique ID], tblMaster[Phone], ""), "")</f>
        <v>508-558-6145</v>
      </c>
      <c r="F297" t="str">
        <f>IFERROR(_xlfn.XLOOKUP(tabExam[[#This Row],[Unique ID]], tblMaster[Unique ID], tblMaster[Recruiter], ""), "")</f>
        <v xml:space="preserve">Jevon Brown Simpson </v>
      </c>
      <c r="G297" t="str">
        <f>IFERROR(_xlfn.XLOOKUP(tabExam[[#This Row],[Unique ID]], tblMaster[Unique ID], tblMaster[Recruitment Cycle], ""), "")</f>
        <v xml:space="preserve">Re-Engagment/Post Civil Service Exam </v>
      </c>
      <c r="H297" t="s">
        <v>8357</v>
      </c>
      <c r="I297">
        <v>2025</v>
      </c>
      <c r="J297" t="s">
        <v>7446</v>
      </c>
      <c r="K297" t="s">
        <v>8151</v>
      </c>
      <c r="L297" t="s">
        <v>8165</v>
      </c>
      <c r="Q297" t="str">
        <f ca="1">IF(tabExam[[#This Row],[Log Date]]="","",TODAY()-tabExam[[#This Row],[Log Date]])</f>
        <v/>
      </c>
      <c r="R297" t="str">
        <f>IF(tabExam[[#This Row],[Log Date]]="","",IF(TRIM(tabExam[[#This Row],[Exam Cycle Stage]])="Asked to be removed from database","NO","YES"))</f>
        <v/>
      </c>
      <c r="S2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8" spans="1:19">
      <c r="A298" t="s">
        <v>8426</v>
      </c>
      <c r="B298" t="str">
        <f>IFERROR(_xlfn.XLOOKUP(tabExam[[#This Row],[Unique ID]], tblMaster[Unique ID], tblMaster[First Name], ""), "")</f>
        <v xml:space="preserve">Jessica </v>
      </c>
      <c r="C298" t="str">
        <f>IFERROR(_xlfn.XLOOKUP(tabExam[[#This Row],[Unique ID]], tblMaster[Unique ID], tblMaster[Last Name], ""), "")</f>
        <v>lagoy</v>
      </c>
      <c r="D298" t="str">
        <f>IFERROR(_xlfn.XLOOKUP(tabExam[[#This Row],[Unique ID]], tblMaster[Unique ID], tblMaster[Email_Clean], ""), "")</f>
        <v>jlagoy2014@gmail.com</v>
      </c>
      <c r="E298" t="str">
        <f>IFERROR(_xlfn.XLOOKUP(tabExam[[#This Row],[Unique ID]], tblMaster[Unique ID], tblMaster[Phone], ""), "")</f>
        <v>978-413-6683</v>
      </c>
      <c r="F298" t="str">
        <f>IFERROR(_xlfn.XLOOKUP(tabExam[[#This Row],[Unique ID]], tblMaster[Unique ID], tblMaster[Recruiter], ""), "")</f>
        <v>Zenon Moses</v>
      </c>
      <c r="G298" t="str">
        <f>IFERROR(_xlfn.XLOOKUP(tabExam[[#This Row],[Unique ID]], tblMaster[Unique ID], tblMaster[Recruitment Cycle], ""), "")</f>
        <v xml:space="preserve">Re-Engagment/Post Civil Service Exam </v>
      </c>
      <c r="H298" t="s">
        <v>8358</v>
      </c>
      <c r="I298">
        <v>2025</v>
      </c>
      <c r="J298" t="s">
        <v>7446</v>
      </c>
      <c r="K298" t="s">
        <v>8151</v>
      </c>
      <c r="L298" t="s">
        <v>8165</v>
      </c>
      <c r="Q298" t="str">
        <f ca="1">IF(tabExam[[#This Row],[Log Date]]="","",TODAY()-tabExam[[#This Row],[Log Date]])</f>
        <v/>
      </c>
      <c r="R298" t="str">
        <f>IF(tabExam[[#This Row],[Log Date]]="","",IF(TRIM(tabExam[[#This Row],[Exam Cycle Stage]])="Asked to be removed from database","NO","YES"))</f>
        <v/>
      </c>
      <c r="S2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299" spans="1:19">
      <c r="A299" t="s">
        <v>8427</v>
      </c>
      <c r="B299" t="str">
        <f>IFERROR(_xlfn.XLOOKUP(tabExam[[#This Row],[Unique ID]], tblMaster[Unique ID], tblMaster[First Name], ""), "")</f>
        <v xml:space="preserve">Anthony </v>
      </c>
      <c r="C299" t="str">
        <f>IFERROR(_xlfn.XLOOKUP(tabExam[[#This Row],[Unique ID]], tblMaster[Unique ID], tblMaster[Last Name], ""), "")</f>
        <v xml:space="preserve"> Quinones</v>
      </c>
      <c r="D299" t="str">
        <f>IFERROR(_xlfn.XLOOKUP(tabExam[[#This Row],[Unique ID]], tblMaster[Unique ID], tblMaster[Email_Clean], ""), "")</f>
        <v>aqusmc@gmail.com</v>
      </c>
      <c r="E299" t="str">
        <f>IFERROR(_xlfn.XLOOKUP(tabExam[[#This Row],[Unique ID]], tblMaster[Unique ID], tblMaster[Phone], ""), "")</f>
        <v>(401)601-9592</v>
      </c>
      <c r="F299" t="str">
        <f>IFERROR(_xlfn.XLOOKUP(tabExam[[#This Row],[Unique ID]], tblMaster[Unique ID], tblMaster[Recruiter], ""), "")</f>
        <v xml:space="preserve">Jevon Brown Simpson </v>
      </c>
      <c r="G299" t="str">
        <f>IFERROR(_xlfn.XLOOKUP(tabExam[[#This Row],[Unique ID]], tblMaster[Unique ID], tblMaster[Recruitment Cycle], ""), "")</f>
        <v xml:space="preserve">Re-Engagment/Post Civil Service Exam </v>
      </c>
      <c r="H299" t="s">
        <v>8358</v>
      </c>
      <c r="I299">
        <v>2025</v>
      </c>
      <c r="J299" t="s">
        <v>7446</v>
      </c>
      <c r="K299" t="s">
        <v>8151</v>
      </c>
      <c r="L299" t="s">
        <v>8165</v>
      </c>
      <c r="Q299" t="str">
        <f ca="1">IF(tabExam[[#This Row],[Log Date]]="","",TODAY()-tabExam[[#This Row],[Log Date]])</f>
        <v/>
      </c>
      <c r="R299" t="str">
        <f>IF(tabExam[[#This Row],[Log Date]]="","",IF(TRIM(tabExam[[#This Row],[Exam Cycle Stage]])="Asked to be removed from database","NO","YES"))</f>
        <v/>
      </c>
      <c r="S2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0" spans="1:19">
      <c r="A300" t="s">
        <v>8428</v>
      </c>
      <c r="B300" t="str">
        <f>IFERROR(_xlfn.XLOOKUP(tabExam[[#This Row],[Unique ID]], tblMaster[Unique ID], tblMaster[First Name], ""), "")</f>
        <v xml:space="preserve">Brianna </v>
      </c>
      <c r="C300" t="str">
        <f>IFERROR(_xlfn.XLOOKUP(tabExam[[#This Row],[Unique ID]], tblMaster[Unique ID], tblMaster[Last Name], ""), "")</f>
        <v xml:space="preserve"> Libbey-Lajoie </v>
      </c>
      <c r="D300" t="str">
        <f>IFERROR(_xlfn.XLOOKUP(tabExam[[#This Row],[Unique ID]], tblMaster[Unique ID], tblMaster[Email_Clean], ""), "")</f>
        <v>libbeyla@gmail.com</v>
      </c>
      <c r="E300" t="str">
        <f>IFERROR(_xlfn.XLOOKUP(tabExam[[#This Row],[Unique ID]], tblMaster[Unique ID], tblMaster[Phone], ""), "")</f>
        <v xml:space="preserve">(774) 280-2286 </v>
      </c>
      <c r="F300" t="str">
        <f>IFERROR(_xlfn.XLOOKUP(tabExam[[#This Row],[Unique ID]], tblMaster[Unique ID], tblMaster[Recruiter], ""), "")</f>
        <v>Zenon Moses</v>
      </c>
      <c r="G300" t="str">
        <f>IFERROR(_xlfn.XLOOKUP(tabExam[[#This Row],[Unique ID]], tblMaster[Unique ID], tblMaster[Recruitment Cycle], ""), "")</f>
        <v xml:space="preserve">Re-Engagment/Post Civil Service Exam </v>
      </c>
      <c r="H300" t="s">
        <v>8358</v>
      </c>
      <c r="I300">
        <v>2025</v>
      </c>
      <c r="J300" t="s">
        <v>7446</v>
      </c>
      <c r="K300" t="s">
        <v>8151</v>
      </c>
      <c r="L300" t="s">
        <v>8165</v>
      </c>
      <c r="Q300" t="str">
        <f ca="1">IF(tabExam[[#This Row],[Log Date]]="","",TODAY()-tabExam[[#This Row],[Log Date]])</f>
        <v/>
      </c>
      <c r="R300" t="str">
        <f>IF(tabExam[[#This Row],[Log Date]]="","",IF(TRIM(tabExam[[#This Row],[Exam Cycle Stage]])="Asked to be removed from database","NO","YES"))</f>
        <v/>
      </c>
      <c r="S3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1" spans="1:19">
      <c r="A301" t="s">
        <v>8429</v>
      </c>
      <c r="B301" t="str">
        <f>IFERROR(_xlfn.XLOOKUP(tabExam[[#This Row],[Unique ID]], tblMaster[Unique ID], tblMaster[First Name], ""), "")</f>
        <v xml:space="preserve">Sharisse </v>
      </c>
      <c r="C301" t="str">
        <f>IFERROR(_xlfn.XLOOKUP(tabExam[[#This Row],[Unique ID]], tblMaster[Unique ID], tblMaster[Last Name], ""), "")</f>
        <v xml:space="preserve"> Kelly-White</v>
      </c>
      <c r="D301" t="str">
        <f>IFERROR(_xlfn.XLOOKUP(tabExam[[#This Row],[Unique ID]], tblMaster[Unique ID], tblMaster[Email_Clean], ""), "")</f>
        <v>sharissekw@gmail.com</v>
      </c>
      <c r="E301" t="str">
        <f>IFERROR(_xlfn.XLOOKUP(tabExam[[#This Row],[Unique ID]], tblMaster[Unique ID], tblMaster[Phone], ""), "")</f>
        <v>857-504-5157</v>
      </c>
      <c r="F301" t="str">
        <f>IFERROR(_xlfn.XLOOKUP(tabExam[[#This Row],[Unique ID]], tblMaster[Unique ID], tblMaster[Recruiter], ""), "")</f>
        <v>Zenon Moses</v>
      </c>
      <c r="G301" t="str">
        <f>IFERROR(_xlfn.XLOOKUP(tabExam[[#This Row],[Unique ID]], tblMaster[Unique ID], tblMaster[Recruitment Cycle], ""), "")</f>
        <v xml:space="preserve">Re-Engagment/Post Civil Service Exam </v>
      </c>
      <c r="H301" t="s">
        <v>8358</v>
      </c>
      <c r="I301">
        <v>2025</v>
      </c>
      <c r="J301" t="s">
        <v>7446</v>
      </c>
      <c r="K301" t="s">
        <v>8151</v>
      </c>
      <c r="L301" t="s">
        <v>8165</v>
      </c>
      <c r="Q301" t="str">
        <f ca="1">IF(tabExam[[#This Row],[Log Date]]="","",TODAY()-tabExam[[#This Row],[Log Date]])</f>
        <v/>
      </c>
      <c r="R301" t="str">
        <f>IF(tabExam[[#This Row],[Log Date]]="","",IF(TRIM(tabExam[[#This Row],[Exam Cycle Stage]])="Asked to be removed from database","NO","YES"))</f>
        <v/>
      </c>
      <c r="S3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2" spans="1:19">
      <c r="A302" t="s">
        <v>8430</v>
      </c>
      <c r="B302" t="str">
        <f>IFERROR(_xlfn.XLOOKUP(tabExam[[#This Row],[Unique ID]], tblMaster[Unique ID], tblMaster[First Name], ""), "")</f>
        <v xml:space="preserve">Christain </v>
      </c>
      <c r="C302" t="str">
        <f>IFERROR(_xlfn.XLOOKUP(tabExam[[#This Row],[Unique ID]], tblMaster[Unique ID], tblMaster[Last Name], ""), "")</f>
        <v xml:space="preserve">Vega </v>
      </c>
      <c r="D302" t="str">
        <f>IFERROR(_xlfn.XLOOKUP(tabExam[[#This Row],[Unique ID]], tblMaster[Unique ID], tblMaster[Email_Clean], ""), "")</f>
        <v>christian.vega86@gmail.com</v>
      </c>
      <c r="E302" t="str">
        <f>IFERROR(_xlfn.XLOOKUP(tabExam[[#This Row],[Unique ID]], tblMaster[Unique ID], tblMaster[Phone], ""), "")</f>
        <v>774-420-0191</v>
      </c>
      <c r="F302" t="str">
        <f>IFERROR(_xlfn.XLOOKUP(tabExam[[#This Row],[Unique ID]], tblMaster[Unique ID], tblMaster[Recruiter], ""), "")</f>
        <v>Zenon Moses</v>
      </c>
      <c r="G302" t="str">
        <f>IFERROR(_xlfn.XLOOKUP(tabExam[[#This Row],[Unique ID]], tblMaster[Unique ID], tblMaster[Recruitment Cycle], ""), "")</f>
        <v xml:space="preserve">Re-Engagment/Post Civil Service Exam </v>
      </c>
      <c r="H302" t="s">
        <v>8358</v>
      </c>
      <c r="I302">
        <v>2025</v>
      </c>
      <c r="J302" t="s">
        <v>7446</v>
      </c>
      <c r="K302" t="s">
        <v>8151</v>
      </c>
      <c r="L302" t="s">
        <v>8165</v>
      </c>
      <c r="Q302" t="str">
        <f ca="1">IF(tabExam[[#This Row],[Log Date]]="","",TODAY()-tabExam[[#This Row],[Log Date]])</f>
        <v/>
      </c>
      <c r="R302" t="str">
        <f>IF(tabExam[[#This Row],[Log Date]]="","",IF(TRIM(tabExam[[#This Row],[Exam Cycle Stage]])="Asked to be removed from database","NO","YES"))</f>
        <v/>
      </c>
      <c r="S3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3" spans="1:19">
      <c r="A303" t="s">
        <v>8431</v>
      </c>
      <c r="B303" t="str">
        <f>IFERROR(_xlfn.XLOOKUP(tabExam[[#This Row],[Unique ID]], tblMaster[Unique ID], tblMaster[First Name], ""), "")</f>
        <v>Karl</v>
      </c>
      <c r="C303" t="str">
        <f>IFERROR(_xlfn.XLOOKUP(tabExam[[#This Row],[Unique ID]], tblMaster[Unique ID], tblMaster[Last Name], ""), "")</f>
        <v>Auguste </v>
      </c>
      <c r="D303" t="str">
        <f>IFERROR(_xlfn.XLOOKUP(tabExam[[#This Row],[Unique ID]], tblMaster[Unique ID], tblMaster[Email_Clean], ""), "")</f>
        <v>rivelinokarl@gmail.com</v>
      </c>
      <c r="E303" t="str">
        <f>IFERROR(_xlfn.XLOOKUP(tabExam[[#This Row],[Unique ID]], tblMaster[Unique ID], tblMaster[Phone], ""), "")</f>
        <v>774-386-7248</v>
      </c>
      <c r="F303" t="str">
        <f>IFERROR(_xlfn.XLOOKUP(tabExam[[#This Row],[Unique ID]], tblMaster[Unique ID], tblMaster[Recruiter], ""), "")</f>
        <v xml:space="preserve">Jevon Brown Simpson </v>
      </c>
      <c r="G303" t="str">
        <f>IFERROR(_xlfn.XLOOKUP(tabExam[[#This Row],[Unique ID]], tblMaster[Unique ID], tblMaster[Recruitment Cycle], ""), "")</f>
        <v xml:space="preserve">Re-Engagment/Post Civil Service Exam </v>
      </c>
      <c r="H303" t="s">
        <v>8360</v>
      </c>
      <c r="I303">
        <v>2025</v>
      </c>
      <c r="J303" t="s">
        <v>7446</v>
      </c>
      <c r="K303" t="s">
        <v>8151</v>
      </c>
      <c r="L303" t="s">
        <v>8165</v>
      </c>
      <c r="Q303" t="str">
        <f ca="1">IF(tabExam[[#This Row],[Log Date]]="","",TODAY()-tabExam[[#This Row],[Log Date]])</f>
        <v/>
      </c>
      <c r="R303" t="str">
        <f>IF(tabExam[[#This Row],[Log Date]]="","",IF(TRIM(tabExam[[#This Row],[Exam Cycle Stage]])="Asked to be removed from database","NO","YES"))</f>
        <v/>
      </c>
      <c r="S3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4" spans="1:19">
      <c r="A304" t="s">
        <v>8432</v>
      </c>
      <c r="B304" t="str">
        <f>IFERROR(_xlfn.XLOOKUP(tabExam[[#This Row],[Unique ID]], tblMaster[Unique ID], tblMaster[First Name], ""), "")</f>
        <v xml:space="preserve">Alex </v>
      </c>
      <c r="C304" t="str">
        <f>IFERROR(_xlfn.XLOOKUP(tabExam[[#This Row],[Unique ID]], tblMaster[Unique ID], tblMaster[Last Name], ""), "")</f>
        <v xml:space="preserve">Srieng </v>
      </c>
      <c r="D304" t="str">
        <f>IFERROR(_xlfn.XLOOKUP(tabExam[[#This Row],[Unique ID]], tblMaster[Unique ID], tblMaster[Email_Clean], ""), "")</f>
        <v>alexsrieng18@gmail.com</v>
      </c>
      <c r="E304" t="str">
        <f>IFERROR(_xlfn.XLOOKUP(tabExam[[#This Row],[Unique ID]], tblMaster[Unique ID], tblMaster[Phone], ""), "")</f>
        <v xml:space="preserve">(978) 419-6812 </v>
      </c>
      <c r="F304" t="str">
        <f>IFERROR(_xlfn.XLOOKUP(tabExam[[#This Row],[Unique ID]], tblMaster[Unique ID], tblMaster[Recruiter], ""), "")</f>
        <v>Zenon Moses</v>
      </c>
      <c r="G304" t="str">
        <f>IFERROR(_xlfn.XLOOKUP(tabExam[[#This Row],[Unique ID]], tblMaster[Unique ID], tblMaster[Recruitment Cycle], ""), "")</f>
        <v xml:space="preserve">Re-Engagment/Post Civil Service Exam </v>
      </c>
      <c r="H304" t="s">
        <v>8366</v>
      </c>
      <c r="I304">
        <v>2025</v>
      </c>
      <c r="J304" t="s">
        <v>7446</v>
      </c>
      <c r="K304" t="s">
        <v>8151</v>
      </c>
      <c r="L304" t="s">
        <v>8165</v>
      </c>
      <c r="Q304" t="str">
        <f ca="1">IF(tabExam[[#This Row],[Log Date]]="","",TODAY()-tabExam[[#This Row],[Log Date]])</f>
        <v/>
      </c>
      <c r="R304" t="str">
        <f>IF(tabExam[[#This Row],[Log Date]]="","",IF(TRIM(tabExam[[#This Row],[Exam Cycle Stage]])="Asked to be removed from database","NO","YES"))</f>
        <v/>
      </c>
      <c r="S3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5" spans="1:19">
      <c r="A305" t="s">
        <v>8433</v>
      </c>
      <c r="B305" t="str">
        <f>IFERROR(_xlfn.XLOOKUP(tabExam[[#This Row],[Unique ID]], tblMaster[Unique ID], tblMaster[First Name], ""), "")</f>
        <v xml:space="preserve">Shykela </v>
      </c>
      <c r="C305" t="str">
        <f>IFERROR(_xlfn.XLOOKUP(tabExam[[#This Row],[Unique ID]], tblMaster[Unique ID], tblMaster[Last Name], ""), "")</f>
        <v xml:space="preserve">McAndrews </v>
      </c>
      <c r="D305" t="str">
        <f>IFERROR(_xlfn.XLOOKUP(tabExam[[#This Row],[Unique ID]], tblMaster[Unique ID], tblMaster[Email_Clean], ""), "")</f>
        <v>shykelamcandrew33@gmail.com</v>
      </c>
      <c r="E305" t="str">
        <f>IFERROR(_xlfn.XLOOKUP(tabExam[[#This Row],[Unique ID]], tblMaster[Unique ID], tblMaster[Phone], ""), "")</f>
        <v>857-249-7902</v>
      </c>
      <c r="F305" t="str">
        <f>IFERROR(_xlfn.XLOOKUP(tabExam[[#This Row],[Unique ID]], tblMaster[Unique ID], tblMaster[Recruiter], ""), "")</f>
        <v>Zenon Moses</v>
      </c>
      <c r="G305" t="str">
        <f>IFERROR(_xlfn.XLOOKUP(tabExam[[#This Row],[Unique ID]], tblMaster[Unique ID], tblMaster[Recruitment Cycle], ""), "")</f>
        <v xml:space="preserve">Re-Engagment/Post Civil Service Exam </v>
      </c>
      <c r="H305" t="s">
        <v>8366</v>
      </c>
      <c r="I305">
        <v>2025</v>
      </c>
      <c r="J305" t="s">
        <v>7446</v>
      </c>
      <c r="K305" t="s">
        <v>8151</v>
      </c>
      <c r="L305" t="s">
        <v>8165</v>
      </c>
      <c r="Q305" t="str">
        <f ca="1">IF(tabExam[[#This Row],[Log Date]]="","",TODAY()-tabExam[[#This Row],[Log Date]])</f>
        <v/>
      </c>
      <c r="R305" t="str">
        <f>IF(tabExam[[#This Row],[Log Date]]="","",IF(TRIM(tabExam[[#This Row],[Exam Cycle Stage]])="Asked to be removed from database","NO","YES"))</f>
        <v/>
      </c>
      <c r="S3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6" spans="1:19">
      <c r="A306" t="s">
        <v>8022</v>
      </c>
      <c r="B306" t="str">
        <f>IFERROR(_xlfn.XLOOKUP(tabExam[[#This Row],[Unique ID]], tblMaster[Unique ID], tblMaster[First Name], ""), "")</f>
        <v>Bony</v>
      </c>
      <c r="C306" t="str">
        <f>IFERROR(_xlfn.XLOOKUP(tabExam[[#This Row],[Unique ID]], tblMaster[Unique ID], tblMaster[Last Name], ""), "")</f>
        <v>Belois</v>
      </c>
      <c r="D306" t="str">
        <f>IFERROR(_xlfn.XLOOKUP(tabExam[[#This Row],[Unique ID]], tblMaster[Unique ID], tblMaster[Email_Clean], ""), "")</f>
        <v>bonybls6@gmail.com</v>
      </c>
      <c r="E306" t="str">
        <f>IFERROR(_xlfn.XLOOKUP(tabExam[[#This Row],[Unique ID]], tblMaster[Unique ID], tblMaster[Phone], ""), "")</f>
        <v>(857) 246-5263</v>
      </c>
      <c r="F306" t="str">
        <f>IFERROR(_xlfn.XLOOKUP(tabExam[[#This Row],[Unique ID]], tblMaster[Unique ID], tblMaster[Recruiter], ""), "")</f>
        <v xml:space="preserve">Jevon Brown Simpson </v>
      </c>
      <c r="G306" t="str">
        <f>IFERROR(_xlfn.XLOOKUP(tabExam[[#This Row],[Unique ID]], tblMaster[Unique ID], tblMaster[Recruitment Cycle], ""), "")</f>
        <v xml:space="preserve">Re-Engagment/Post Civil Service Exam </v>
      </c>
      <c r="H306" t="s">
        <v>8366</v>
      </c>
      <c r="I306">
        <v>2025</v>
      </c>
      <c r="J306" t="s">
        <v>7446</v>
      </c>
      <c r="K306" t="s">
        <v>8151</v>
      </c>
      <c r="L306" t="s">
        <v>8165</v>
      </c>
      <c r="Q306" t="str">
        <f ca="1">IF(tabExam[[#This Row],[Log Date]]="","",TODAY()-tabExam[[#This Row],[Log Date]])</f>
        <v/>
      </c>
      <c r="R306" t="str">
        <f>IF(tabExam[[#This Row],[Log Date]]="","",IF(TRIM(tabExam[[#This Row],[Exam Cycle Stage]])="Asked to be removed from database","NO","YES"))</f>
        <v/>
      </c>
      <c r="S3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7" spans="1:19">
      <c r="A307" t="s">
        <v>8434</v>
      </c>
      <c r="B307" t="str">
        <f>IFERROR(_xlfn.XLOOKUP(tabExam[[#This Row],[Unique ID]], tblMaster[Unique ID], tblMaster[First Name], ""), "")</f>
        <v>Exantus</v>
      </c>
      <c r="C307" t="str">
        <f>IFERROR(_xlfn.XLOOKUP(tabExam[[#This Row],[Unique ID]], tblMaster[Unique ID], tblMaster[Last Name], ""), "")</f>
        <v>Alcimbert </v>
      </c>
      <c r="D307" t="str">
        <f>IFERROR(_xlfn.XLOOKUP(tabExam[[#This Row],[Unique ID]], tblMaster[Unique ID], tblMaster[Email_Clean], ""), "")</f>
        <v>exantus.alcimbert@gmail.com</v>
      </c>
      <c r="E307" t="str">
        <f>IFERROR(_xlfn.XLOOKUP(tabExam[[#This Row],[Unique ID]], tblMaster[Unique ID], tblMaster[Phone], ""), "")</f>
        <v>508-239-3529</v>
      </c>
      <c r="F307" t="str">
        <f>IFERROR(_xlfn.XLOOKUP(tabExam[[#This Row],[Unique ID]], tblMaster[Unique ID], tblMaster[Recruiter], ""), "")</f>
        <v xml:space="preserve">Jevon Brown Simpson </v>
      </c>
      <c r="G307" t="str">
        <f>IFERROR(_xlfn.XLOOKUP(tabExam[[#This Row],[Unique ID]], tblMaster[Unique ID], tblMaster[Recruitment Cycle], ""), "")</f>
        <v xml:space="preserve">Re-Engagment/Post Civil Service Exam </v>
      </c>
      <c r="H307" t="s">
        <v>8366</v>
      </c>
      <c r="I307">
        <v>2025</v>
      </c>
      <c r="J307" t="s">
        <v>7446</v>
      </c>
      <c r="K307" t="s">
        <v>8151</v>
      </c>
      <c r="L307" t="s">
        <v>8165</v>
      </c>
      <c r="Q307" t="str">
        <f ca="1">IF(tabExam[[#This Row],[Log Date]]="","",TODAY()-tabExam[[#This Row],[Log Date]])</f>
        <v/>
      </c>
      <c r="R307" t="str">
        <f>IF(tabExam[[#This Row],[Log Date]]="","",IF(TRIM(tabExam[[#This Row],[Exam Cycle Stage]])="Asked to be removed from database","NO","YES"))</f>
        <v/>
      </c>
      <c r="S3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8" spans="1:19">
      <c r="A308" t="s">
        <v>8435</v>
      </c>
      <c r="B308" t="str">
        <f>IFERROR(_xlfn.XLOOKUP(tabExam[[#This Row],[Unique ID]], tblMaster[Unique ID], tblMaster[First Name], ""), "")</f>
        <v xml:space="preserve">Tiann </v>
      </c>
      <c r="C308" t="str">
        <f>IFERROR(_xlfn.XLOOKUP(tabExam[[#This Row],[Unique ID]], tblMaster[Unique ID], tblMaster[Last Name], ""), "")</f>
        <v xml:space="preserve">Dasilva </v>
      </c>
      <c r="D308" t="str">
        <f>IFERROR(_xlfn.XLOOKUP(tabExam[[#This Row],[Unique ID]], tblMaster[Unique ID], tblMaster[Email_Clean], ""), "")</f>
        <v>tianndasilva@rocketmail.com</v>
      </c>
      <c r="E308" t="str">
        <f>IFERROR(_xlfn.XLOOKUP(tabExam[[#This Row],[Unique ID]], tblMaster[Unique ID], tblMaster[Phone], ""), "")</f>
        <v>774-634-7628</v>
      </c>
      <c r="F308" t="str">
        <f>IFERROR(_xlfn.XLOOKUP(tabExam[[#This Row],[Unique ID]], tblMaster[Unique ID], tblMaster[Recruiter], ""), "")</f>
        <v>Zenon Moses</v>
      </c>
      <c r="G308" t="str">
        <f>IFERROR(_xlfn.XLOOKUP(tabExam[[#This Row],[Unique ID]], tblMaster[Unique ID], tblMaster[Recruitment Cycle], ""), "")</f>
        <v xml:space="preserve">Re-Engagment/Post Civil Service Exam </v>
      </c>
      <c r="H308" t="s">
        <v>8366</v>
      </c>
      <c r="I308">
        <v>2025</v>
      </c>
      <c r="J308" t="s">
        <v>7446</v>
      </c>
      <c r="K308" t="s">
        <v>8151</v>
      </c>
      <c r="L308" t="s">
        <v>8165</v>
      </c>
      <c r="Q308" t="str">
        <f ca="1">IF(tabExam[[#This Row],[Log Date]]="","",TODAY()-tabExam[[#This Row],[Log Date]])</f>
        <v/>
      </c>
      <c r="R308" t="str">
        <f>IF(tabExam[[#This Row],[Log Date]]="","",IF(TRIM(tabExam[[#This Row],[Exam Cycle Stage]])="Asked to be removed from database","NO","YES"))</f>
        <v/>
      </c>
      <c r="S3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09" spans="1:19">
      <c r="A309" t="s">
        <v>8436</v>
      </c>
      <c r="B309" t="str">
        <f>IFERROR(_xlfn.XLOOKUP(tabExam[[#This Row],[Unique ID]], tblMaster[Unique ID], tblMaster[First Name], ""), "")</f>
        <v xml:space="preserve">Anfer </v>
      </c>
      <c r="C309" t="str">
        <f>IFERROR(_xlfn.XLOOKUP(tabExam[[#This Row],[Unique ID]], tblMaster[Unique ID], tblMaster[Last Name], ""), "")</f>
        <v xml:space="preserve">Adames </v>
      </c>
      <c r="D309" t="str">
        <f>IFERROR(_xlfn.XLOOKUP(tabExam[[#This Row],[Unique ID]], tblMaster[Unique ID], tblMaster[Email_Clean], ""), "")</f>
        <v>anferadames1305@gmail.com</v>
      </c>
      <c r="E309" t="str">
        <f>IFERROR(_xlfn.XLOOKUP(tabExam[[#This Row],[Unique ID]], tblMaster[Unique ID], tblMaster[Phone], ""), "")</f>
        <v>401-414-9804</v>
      </c>
      <c r="F309" t="str">
        <f>IFERROR(_xlfn.XLOOKUP(tabExam[[#This Row],[Unique ID]], tblMaster[Unique ID], tblMaster[Recruiter], ""), "")</f>
        <v xml:space="preserve">Christopher Servello </v>
      </c>
      <c r="G309" t="str">
        <f>IFERROR(_xlfn.XLOOKUP(tabExam[[#This Row],[Unique ID]], tblMaster[Unique ID], tblMaster[Recruitment Cycle], ""), "")</f>
        <v xml:space="preserve">Re-Engagment/Post Civil Service Exam </v>
      </c>
      <c r="H309" t="s">
        <v>8366</v>
      </c>
      <c r="I309">
        <v>2025</v>
      </c>
      <c r="J309" t="s">
        <v>7446</v>
      </c>
      <c r="K309" t="s">
        <v>8151</v>
      </c>
      <c r="L309" t="s">
        <v>8165</v>
      </c>
      <c r="Q309" t="str">
        <f ca="1">IF(tabExam[[#This Row],[Log Date]]="","",TODAY()-tabExam[[#This Row],[Log Date]])</f>
        <v/>
      </c>
      <c r="R309" t="str">
        <f>IF(tabExam[[#This Row],[Log Date]]="","",IF(TRIM(tabExam[[#This Row],[Exam Cycle Stage]])="Asked to be removed from database","NO","YES"))</f>
        <v/>
      </c>
      <c r="S3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0" spans="1:19">
      <c r="A310" t="s">
        <v>8437</v>
      </c>
      <c r="B310" t="str">
        <f>IFERROR(_xlfn.XLOOKUP(tabExam[[#This Row],[Unique ID]], tblMaster[Unique ID], tblMaster[First Name], ""), "")</f>
        <v xml:space="preserve">Anthony </v>
      </c>
      <c r="C310" t="str">
        <f>IFERROR(_xlfn.XLOOKUP(tabExam[[#This Row],[Unique ID]], tblMaster[Unique ID], tblMaster[Last Name], ""), "")</f>
        <v>Pierre-Louis</v>
      </c>
      <c r="D310" t="str">
        <f>IFERROR(_xlfn.XLOOKUP(tabExam[[#This Row],[Unique ID]], tblMaster[Unique ID], tblMaster[Email_Clean], ""), "")</f>
        <v>apl2k14@gmail.com</v>
      </c>
      <c r="E310" t="str">
        <f>IFERROR(_xlfn.XLOOKUP(tabExam[[#This Row],[Unique ID]], tblMaster[Unique ID], tblMaster[Phone], ""), "")</f>
        <v>772-361-5658</v>
      </c>
      <c r="F310" t="str">
        <f>IFERROR(_xlfn.XLOOKUP(tabExam[[#This Row],[Unique ID]], tblMaster[Unique ID], tblMaster[Recruiter], ""), "")</f>
        <v xml:space="preserve">Jevon Brown Simpson </v>
      </c>
      <c r="G310" t="str">
        <f>IFERROR(_xlfn.XLOOKUP(tabExam[[#This Row],[Unique ID]], tblMaster[Unique ID], tblMaster[Recruitment Cycle], ""), "")</f>
        <v xml:space="preserve">Re-Engagment/Post Civil Service Exam </v>
      </c>
      <c r="H310" t="s">
        <v>8164</v>
      </c>
      <c r="I310">
        <v>2025</v>
      </c>
      <c r="J310" t="s">
        <v>7446</v>
      </c>
      <c r="K310" t="s">
        <v>8151</v>
      </c>
      <c r="L310" t="s">
        <v>8165</v>
      </c>
      <c r="Q310" t="str">
        <f ca="1">IF(tabExam[[#This Row],[Log Date]]="","",TODAY()-tabExam[[#This Row],[Log Date]])</f>
        <v/>
      </c>
      <c r="R310" t="str">
        <f>IF(tabExam[[#This Row],[Log Date]]="","",IF(TRIM(tabExam[[#This Row],[Exam Cycle Stage]])="Asked to be removed from database","NO","YES"))</f>
        <v/>
      </c>
      <c r="S3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1" spans="1:19">
      <c r="A311" t="s">
        <v>8438</v>
      </c>
      <c r="B311" t="str">
        <f>IFERROR(_xlfn.XLOOKUP(tabExam[[#This Row],[Unique ID]], tblMaster[Unique ID], tblMaster[First Name], ""), "")</f>
        <v xml:space="preserve">Paulo </v>
      </c>
      <c r="C311" t="str">
        <f>IFERROR(_xlfn.XLOOKUP(tabExam[[#This Row],[Unique ID]], tblMaster[Unique ID], tblMaster[Last Name], ""), "")</f>
        <v xml:space="preserve"> Lopes </v>
      </c>
      <c r="D311" t="str">
        <f>IFERROR(_xlfn.XLOOKUP(tabExam[[#This Row],[Unique ID]], tblMaster[Unique ID], tblMaster[Email_Clean], ""), "")</f>
        <v>plphotos@icloud.com</v>
      </c>
      <c r="E311" t="str">
        <f>IFERROR(_xlfn.XLOOKUP(tabExam[[#This Row],[Unique ID]], tblMaster[Unique ID], tblMaster[Phone], ""), "")</f>
        <v xml:space="preserve">(774) 207-8104 </v>
      </c>
      <c r="F311" t="str">
        <f>IFERROR(_xlfn.XLOOKUP(tabExam[[#This Row],[Unique ID]], tblMaster[Unique ID], tblMaster[Recruiter], ""), "")</f>
        <v>Zenon Moses</v>
      </c>
      <c r="G311" t="str">
        <f>IFERROR(_xlfn.XLOOKUP(tabExam[[#This Row],[Unique ID]], tblMaster[Unique ID], tblMaster[Recruitment Cycle], ""), "")</f>
        <v xml:space="preserve">Re-Engagment/Post Civil Service Exam </v>
      </c>
      <c r="H311" t="s">
        <v>8357</v>
      </c>
      <c r="I311">
        <v>2025</v>
      </c>
      <c r="J311" t="s">
        <v>7446</v>
      </c>
      <c r="K311" t="s">
        <v>8151</v>
      </c>
      <c r="L311" t="s">
        <v>8165</v>
      </c>
      <c r="Q311" t="str">
        <f ca="1">IF(tabExam[[#This Row],[Log Date]]="","",TODAY()-tabExam[[#This Row],[Log Date]])</f>
        <v/>
      </c>
      <c r="R311" t="str">
        <f>IF(tabExam[[#This Row],[Log Date]]="","",IF(TRIM(tabExam[[#This Row],[Exam Cycle Stage]])="Asked to be removed from database","NO","YES"))</f>
        <v/>
      </c>
      <c r="S3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2" spans="1:19">
      <c r="A312" t="s">
        <v>8439</v>
      </c>
      <c r="B312" t="str">
        <f>IFERROR(_xlfn.XLOOKUP(tabExam[[#This Row],[Unique ID]], tblMaster[Unique ID], tblMaster[First Name], ""), "")</f>
        <v xml:space="preserve">Melvin </v>
      </c>
      <c r="C312" t="str">
        <f>IFERROR(_xlfn.XLOOKUP(tabExam[[#This Row],[Unique ID]], tblMaster[Unique ID], tblMaster[Last Name], ""), "")</f>
        <v xml:space="preserve">Cuevas </v>
      </c>
      <c r="D312" t="str">
        <f>IFERROR(_xlfn.XLOOKUP(tabExam[[#This Row],[Unique ID]], tblMaster[Unique ID], tblMaster[Email_Clean], ""), "")</f>
        <v>melvincuevas051@gmail.com</v>
      </c>
      <c r="E312" t="str">
        <f>IFERROR(_xlfn.XLOOKUP(tabExam[[#This Row],[Unique ID]], tblMaster[Unique ID], tblMaster[Phone], ""), "")</f>
        <v>857-506-9521</v>
      </c>
      <c r="F312" t="str">
        <f>IFERROR(_xlfn.XLOOKUP(tabExam[[#This Row],[Unique ID]], tblMaster[Unique ID], tblMaster[Recruiter], ""), "")</f>
        <v>Zenon Moses</v>
      </c>
      <c r="G312" t="str">
        <f>IFERROR(_xlfn.XLOOKUP(tabExam[[#This Row],[Unique ID]], tblMaster[Unique ID], tblMaster[Recruitment Cycle], ""), "")</f>
        <v xml:space="preserve">Re-Engagment/Post Civil Service Exam </v>
      </c>
      <c r="H312" t="s">
        <v>8366</v>
      </c>
      <c r="I312">
        <v>2025</v>
      </c>
      <c r="J312" t="s">
        <v>7446</v>
      </c>
      <c r="K312" t="s">
        <v>8151</v>
      </c>
      <c r="L312" t="s">
        <v>8165</v>
      </c>
      <c r="Q312" t="str">
        <f ca="1">IF(tabExam[[#This Row],[Log Date]]="","",TODAY()-tabExam[[#This Row],[Log Date]])</f>
        <v/>
      </c>
      <c r="R312" t="str">
        <f>IF(tabExam[[#This Row],[Log Date]]="","",IF(TRIM(tabExam[[#This Row],[Exam Cycle Stage]])="Asked to be removed from database","NO","YES"))</f>
        <v/>
      </c>
      <c r="S31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3" spans="1:19">
      <c r="A313" t="s">
        <v>8440</v>
      </c>
      <c r="B313" t="str">
        <f>IFERROR(_xlfn.XLOOKUP(tabExam[[#This Row],[Unique ID]], tblMaster[Unique ID], tblMaster[First Name], ""), "")</f>
        <v xml:space="preserve">Adrianna </v>
      </c>
      <c r="C313" t="str">
        <f>IFERROR(_xlfn.XLOOKUP(tabExam[[#This Row],[Unique ID]], tblMaster[Unique ID], tblMaster[Last Name], ""), "")</f>
        <v xml:space="preserve"> White </v>
      </c>
      <c r="D313" t="str">
        <f>IFERROR(_xlfn.XLOOKUP(tabExam[[#This Row],[Unique ID]], tblMaster[Unique ID], tblMaster[Email_Clean], ""), "")</f>
        <v>adriianna.white@gmail.com</v>
      </c>
      <c r="E313" t="str">
        <f>IFERROR(_xlfn.XLOOKUP(tabExam[[#This Row],[Unique ID]], tblMaster[Unique ID], tblMaster[Phone], ""), "")</f>
        <v>(978) 717-8232</v>
      </c>
      <c r="F313" t="str">
        <f>IFERROR(_xlfn.XLOOKUP(tabExam[[#This Row],[Unique ID]], tblMaster[Unique ID], tblMaster[Recruiter], ""), "")</f>
        <v xml:space="preserve">Jevon Brown Simpson </v>
      </c>
      <c r="G313" t="str">
        <f>IFERROR(_xlfn.XLOOKUP(tabExam[[#This Row],[Unique ID]], tblMaster[Unique ID], tblMaster[Recruitment Cycle], ""), "")</f>
        <v xml:space="preserve">Re-Engagment/Post Civil Service Exam </v>
      </c>
      <c r="H313" t="s">
        <v>8360</v>
      </c>
      <c r="I313">
        <v>2025</v>
      </c>
      <c r="J313" t="s">
        <v>7446</v>
      </c>
      <c r="K313" t="s">
        <v>8151</v>
      </c>
      <c r="L313" t="s">
        <v>8165</v>
      </c>
      <c r="Q313" t="str">
        <f ca="1">IF(tabExam[[#This Row],[Log Date]]="","",TODAY()-tabExam[[#This Row],[Log Date]])</f>
        <v/>
      </c>
      <c r="R313" t="str">
        <f>IF(tabExam[[#This Row],[Log Date]]="","",IF(TRIM(tabExam[[#This Row],[Exam Cycle Stage]])="Asked to be removed from database","NO","YES"))</f>
        <v/>
      </c>
      <c r="S3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4" spans="1:19">
      <c r="A314" t="s">
        <v>8441</v>
      </c>
      <c r="B314" t="str">
        <f>IFERROR(_xlfn.XLOOKUP(tabExam[[#This Row],[Unique ID]], tblMaster[Unique ID], tblMaster[First Name], ""), "")</f>
        <v>Emmanuel</v>
      </c>
      <c r="C314" t="str">
        <f>IFERROR(_xlfn.XLOOKUP(tabExam[[#This Row],[Unique ID]], tblMaster[Unique ID], tblMaster[Last Name], ""), "")</f>
        <v>Yillah</v>
      </c>
      <c r="D314" t="str">
        <f>IFERROR(_xlfn.XLOOKUP(tabExam[[#This Row],[Unique ID]], tblMaster[Unique ID], tblMaster[Email_Clean], ""), "")</f>
        <v>emmanuelyillah1@gmail.com</v>
      </c>
      <c r="E314" t="str">
        <f>IFERROR(_xlfn.XLOOKUP(tabExam[[#This Row],[Unique ID]], tblMaster[Unique ID], tblMaster[Phone], ""), "")</f>
        <v>571-477-6774</v>
      </c>
      <c r="F314" t="str">
        <f>IFERROR(_xlfn.XLOOKUP(tabExam[[#This Row],[Unique ID]], tblMaster[Unique ID], tblMaster[Recruiter], ""), "")</f>
        <v xml:space="preserve">Tom Clark </v>
      </c>
      <c r="G314" t="str">
        <f>IFERROR(_xlfn.XLOOKUP(tabExam[[#This Row],[Unique ID]], tblMaster[Unique ID], tblMaster[Recruitment Cycle], ""), "")</f>
        <v xml:space="preserve">Re-Engagment/Post Civil Service Exam </v>
      </c>
      <c r="H314" t="s">
        <v>8360</v>
      </c>
      <c r="I314">
        <v>2025</v>
      </c>
      <c r="J314" t="s">
        <v>7446</v>
      </c>
      <c r="K314" t="s">
        <v>8151</v>
      </c>
      <c r="L314" t="s">
        <v>8165</v>
      </c>
      <c r="Q314" t="str">
        <f ca="1">IF(tabExam[[#This Row],[Log Date]]="","",TODAY()-tabExam[[#This Row],[Log Date]])</f>
        <v/>
      </c>
      <c r="R314" t="str">
        <f>IF(tabExam[[#This Row],[Log Date]]="","",IF(TRIM(tabExam[[#This Row],[Exam Cycle Stage]])="Asked to be removed from database","NO","YES"))</f>
        <v/>
      </c>
      <c r="S3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5" spans="1:19">
      <c r="A315" t="s">
        <v>8442</v>
      </c>
      <c r="B315" t="str">
        <f>IFERROR(_xlfn.XLOOKUP(tabExam[[#This Row],[Unique ID]], tblMaster[Unique ID], tblMaster[First Name], ""), "")</f>
        <v xml:space="preserve">Edward </v>
      </c>
      <c r="C315" t="str">
        <f>IFERROR(_xlfn.XLOOKUP(tabExam[[#This Row],[Unique ID]], tblMaster[Unique ID], tblMaster[Last Name], ""), "")</f>
        <v xml:space="preserve">Hackett Jr. </v>
      </c>
      <c r="D315" t="str">
        <f>IFERROR(_xlfn.XLOOKUP(tabExam[[#This Row],[Unique ID]], tblMaster[Unique ID], tblMaster[Email_Clean], ""), "")</f>
        <v>eddie.hackett@gmail.com</v>
      </c>
      <c r="E315" t="str">
        <f>IFERROR(_xlfn.XLOOKUP(tabExam[[#This Row],[Unique ID]], tblMaster[Unique ID], tblMaster[Phone], ""), "")</f>
        <v xml:space="preserve">(603) 233-3351 </v>
      </c>
      <c r="F315" t="str">
        <f>IFERROR(_xlfn.XLOOKUP(tabExam[[#This Row],[Unique ID]], tblMaster[Unique ID], tblMaster[Recruiter], ""), "")</f>
        <v>Zenon Moses</v>
      </c>
      <c r="G315" t="str">
        <f>IFERROR(_xlfn.XLOOKUP(tabExam[[#This Row],[Unique ID]], tblMaster[Unique ID], tblMaster[Recruitment Cycle], ""), "")</f>
        <v xml:space="preserve">Re-Engagment/Post Civil Service Exam </v>
      </c>
      <c r="H315" t="s">
        <v>8358</v>
      </c>
      <c r="I315">
        <v>2025</v>
      </c>
      <c r="J315" t="s">
        <v>7446</v>
      </c>
      <c r="K315" t="s">
        <v>8151</v>
      </c>
      <c r="L315" t="s">
        <v>8165</v>
      </c>
      <c r="Q315" t="str">
        <f ca="1">IF(tabExam[[#This Row],[Log Date]]="","",TODAY()-tabExam[[#This Row],[Log Date]])</f>
        <v/>
      </c>
      <c r="R315" t="str">
        <f>IF(tabExam[[#This Row],[Log Date]]="","",IF(TRIM(tabExam[[#This Row],[Exam Cycle Stage]])="Asked to be removed from database","NO","YES"))</f>
        <v/>
      </c>
      <c r="S3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6" spans="1:19">
      <c r="A316" t="s">
        <v>7942</v>
      </c>
      <c r="B316" t="str">
        <f>IFERROR(_xlfn.XLOOKUP(tabExam[[#This Row],[Unique ID]], tblMaster[Unique ID], tblMaster[First Name], ""), "")</f>
        <v xml:space="preserve">Luis </v>
      </c>
      <c r="C316" t="str">
        <f>IFERROR(_xlfn.XLOOKUP(tabExam[[#This Row],[Unique ID]], tblMaster[Unique ID], tblMaster[Last Name], ""), "")</f>
        <v>Garcia</v>
      </c>
      <c r="D316" t="str">
        <f>IFERROR(_xlfn.XLOOKUP(tabExam[[#This Row],[Unique ID]], tblMaster[Unique ID], tblMaster[Email_Clean], ""), "")</f>
        <v>luiscanton128@icloud.com</v>
      </c>
      <c r="E316" t="str">
        <f>IFERROR(_xlfn.XLOOKUP(tabExam[[#This Row],[Unique ID]], tblMaster[Unique ID], tblMaster[Phone], ""), "")</f>
        <v>508-963-3448</v>
      </c>
      <c r="F316" t="str">
        <f>IFERROR(_xlfn.XLOOKUP(tabExam[[#This Row],[Unique ID]], tblMaster[Unique ID], tblMaster[Recruiter], ""), "")</f>
        <v xml:space="preserve">Jevon Brown Simpson </v>
      </c>
      <c r="G316" t="str">
        <f>IFERROR(_xlfn.XLOOKUP(tabExam[[#This Row],[Unique ID]], tblMaster[Unique ID], tblMaster[Recruitment Cycle], ""), "")</f>
        <v xml:space="preserve">Re-Engagment/Post Civil Service Exam </v>
      </c>
      <c r="H316" t="s">
        <v>8357</v>
      </c>
      <c r="I316">
        <v>2025</v>
      </c>
      <c r="J316" t="s">
        <v>7446</v>
      </c>
      <c r="K316" t="s">
        <v>8151</v>
      </c>
      <c r="L316" t="s">
        <v>8165</v>
      </c>
      <c r="Q316" t="str">
        <f ca="1">IF(tabExam[[#This Row],[Log Date]]="","",TODAY()-tabExam[[#This Row],[Log Date]])</f>
        <v/>
      </c>
      <c r="R316" t="str">
        <f>IF(tabExam[[#This Row],[Log Date]]="","",IF(TRIM(tabExam[[#This Row],[Exam Cycle Stage]])="Asked to be removed from database","NO","YES"))</f>
        <v/>
      </c>
      <c r="S3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7" spans="1:19">
      <c r="A317" t="s">
        <v>7941</v>
      </c>
      <c r="B317" t="str">
        <f>IFERROR(_xlfn.XLOOKUP(tabExam[[#This Row],[Unique ID]], tblMaster[Unique ID], tblMaster[First Name], ""), "")</f>
        <v xml:space="preserve">Clayton </v>
      </c>
      <c r="C317" t="str">
        <f>IFERROR(_xlfn.XLOOKUP(tabExam[[#This Row],[Unique ID]], tblMaster[Unique ID], tblMaster[Last Name], ""), "")</f>
        <v xml:space="preserve"> lemos-Martin </v>
      </c>
      <c r="D317" t="str">
        <f>IFERROR(_xlfn.XLOOKUP(tabExam[[#This Row],[Unique ID]], tblMaster[Unique ID], tblMaster[Email_Clean], ""), "")</f>
        <v>lemosmartin6524@gmail.com</v>
      </c>
      <c r="E317" t="str">
        <f>IFERROR(_xlfn.XLOOKUP(tabExam[[#This Row],[Unique ID]], tblMaster[Unique ID], tblMaster[Phone], ""), "")</f>
        <v xml:space="preserve">(774) 438-2011 </v>
      </c>
      <c r="F317" t="str">
        <f>IFERROR(_xlfn.XLOOKUP(tabExam[[#This Row],[Unique ID]], tblMaster[Unique ID], tblMaster[Recruiter], ""), "")</f>
        <v xml:space="preserve">Jevon Brown Simpson </v>
      </c>
      <c r="G317" t="str">
        <f>IFERROR(_xlfn.XLOOKUP(tabExam[[#This Row],[Unique ID]], tblMaster[Unique ID], tblMaster[Recruitment Cycle], ""), "")</f>
        <v xml:space="preserve">Re-Engagment/Post Civil Service Exam </v>
      </c>
      <c r="H317" t="s">
        <v>8357</v>
      </c>
      <c r="I317">
        <v>2025</v>
      </c>
      <c r="J317" t="s">
        <v>7446</v>
      </c>
      <c r="K317" t="s">
        <v>8151</v>
      </c>
      <c r="L317" t="s">
        <v>8165</v>
      </c>
      <c r="Q317" t="str">
        <f ca="1">IF(tabExam[[#This Row],[Log Date]]="","",TODAY()-tabExam[[#This Row],[Log Date]])</f>
        <v/>
      </c>
      <c r="R317" t="str">
        <f>IF(tabExam[[#This Row],[Log Date]]="","",IF(TRIM(tabExam[[#This Row],[Exam Cycle Stage]])="Asked to be removed from database","NO","YES"))</f>
        <v/>
      </c>
      <c r="S3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8" spans="1:19">
      <c r="A318" t="s">
        <v>7937</v>
      </c>
      <c r="B318" t="str">
        <f>IFERROR(_xlfn.XLOOKUP(tabExam[[#This Row],[Unique ID]], tblMaster[Unique ID], tblMaster[First Name], ""), "")</f>
        <v>Christian</v>
      </c>
      <c r="C318" t="str">
        <f>IFERROR(_xlfn.XLOOKUP(tabExam[[#This Row],[Unique ID]], tblMaster[Unique ID], tblMaster[Last Name], ""), "")</f>
        <v xml:space="preserve"> Smith</v>
      </c>
      <c r="D318" t="str">
        <f>IFERROR(_xlfn.XLOOKUP(tabExam[[#This Row],[Unique ID]], tblMaster[Unique ID], tblMaster[Email_Clean], ""), "")</f>
        <v>christian.smith41@yahoo.com</v>
      </c>
      <c r="E318" t="str">
        <f>IFERROR(_xlfn.XLOOKUP(tabExam[[#This Row],[Unique ID]], tblMaster[Unique ID], tblMaster[Phone], ""), "")</f>
        <v>413-325-7411</v>
      </c>
      <c r="F318" t="str">
        <f>IFERROR(_xlfn.XLOOKUP(tabExam[[#This Row],[Unique ID]], tblMaster[Unique ID], tblMaster[Recruiter], ""), "")</f>
        <v xml:space="preserve">Jevon Brown Simpson </v>
      </c>
      <c r="G318" t="str">
        <f>IFERROR(_xlfn.XLOOKUP(tabExam[[#This Row],[Unique ID]], tblMaster[Unique ID], tblMaster[Recruitment Cycle], ""), "")</f>
        <v xml:space="preserve">Re-Engagment/Post Civil Service Exam </v>
      </c>
      <c r="H318" t="s">
        <v>8357</v>
      </c>
      <c r="I318">
        <v>2025</v>
      </c>
      <c r="J318" t="s">
        <v>7446</v>
      </c>
      <c r="K318" t="s">
        <v>8151</v>
      </c>
      <c r="L318" t="s">
        <v>8165</v>
      </c>
      <c r="Q318" t="str">
        <f ca="1">IF(tabExam[[#This Row],[Log Date]]="","",TODAY()-tabExam[[#This Row],[Log Date]])</f>
        <v/>
      </c>
      <c r="R318" t="str">
        <f>IF(tabExam[[#This Row],[Log Date]]="","",IF(TRIM(tabExam[[#This Row],[Exam Cycle Stage]])="Asked to be removed from database","NO","YES"))</f>
        <v/>
      </c>
      <c r="S3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19" spans="1:19">
      <c r="A319" t="s">
        <v>8443</v>
      </c>
      <c r="B319" t="str">
        <f>IFERROR(_xlfn.XLOOKUP(tabExam[[#This Row],[Unique ID]], tblMaster[Unique ID], tblMaster[First Name], ""), "")</f>
        <v xml:space="preserve">Dalton </v>
      </c>
      <c r="C319" t="str">
        <f>IFERROR(_xlfn.XLOOKUP(tabExam[[#This Row],[Unique ID]], tblMaster[Unique ID], tblMaster[Last Name], ""), "")</f>
        <v xml:space="preserve">Brewer </v>
      </c>
      <c r="D319" t="str">
        <f>IFERROR(_xlfn.XLOOKUP(tabExam[[#This Row],[Unique ID]], tblMaster[Unique ID], tblMaster[Email_Clean], ""), "")</f>
        <v>daltonbrewer3@hotmail.com</v>
      </c>
      <c r="E319" t="str">
        <f>IFERROR(_xlfn.XLOOKUP(tabExam[[#This Row],[Unique ID]], tblMaster[Unique ID], tblMaster[Phone], ""), "")</f>
        <v>508-736-6529</v>
      </c>
      <c r="F319" t="str">
        <f>IFERROR(_xlfn.XLOOKUP(tabExam[[#This Row],[Unique ID]], tblMaster[Unique ID], tblMaster[Recruiter], ""), "")</f>
        <v>Zenon Moses</v>
      </c>
      <c r="G319" t="str">
        <f>IFERROR(_xlfn.XLOOKUP(tabExam[[#This Row],[Unique ID]], tblMaster[Unique ID], tblMaster[Recruitment Cycle], ""), "")</f>
        <v xml:space="preserve">Re-Engagment/Post Civil Service Exam </v>
      </c>
      <c r="H319" t="s">
        <v>8358</v>
      </c>
      <c r="I319">
        <v>2025</v>
      </c>
      <c r="J319" t="s">
        <v>7446</v>
      </c>
      <c r="K319" t="s">
        <v>8151</v>
      </c>
      <c r="L319" t="s">
        <v>8165</v>
      </c>
      <c r="Q319" t="str">
        <f ca="1">IF(tabExam[[#This Row],[Log Date]]="","",TODAY()-tabExam[[#This Row],[Log Date]])</f>
        <v/>
      </c>
      <c r="R319" t="str">
        <f>IF(tabExam[[#This Row],[Log Date]]="","",IF(TRIM(tabExam[[#This Row],[Exam Cycle Stage]])="Asked to be removed from database","NO","YES"))</f>
        <v/>
      </c>
      <c r="S3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0" spans="1:19">
      <c r="A320" t="s">
        <v>7938</v>
      </c>
      <c r="B320" t="str">
        <f>IFERROR(_xlfn.XLOOKUP(tabExam[[#This Row],[Unique ID]], tblMaster[Unique ID], tblMaster[First Name], ""), "")</f>
        <v xml:space="preserve">Renel </v>
      </c>
      <c r="C320" t="str">
        <f>IFERROR(_xlfn.XLOOKUP(tabExam[[#This Row],[Unique ID]], tblMaster[Unique ID], tblMaster[Last Name], ""), "")</f>
        <v xml:space="preserve">Marcelin </v>
      </c>
      <c r="D320" t="str">
        <f>IFERROR(_xlfn.XLOOKUP(tabExam[[#This Row],[Unique ID]], tblMaster[Unique ID], tblMaster[Email_Clean], ""), "")</f>
        <v>padovaniknoll@gmail.com</v>
      </c>
      <c r="E320" t="str">
        <f>IFERROR(_xlfn.XLOOKUP(tabExam[[#This Row],[Unique ID]], tblMaster[Unique ID], tblMaster[Phone], ""), "")</f>
        <v xml:space="preserve">(845) 213-5552 </v>
      </c>
      <c r="F320" t="str">
        <f>IFERROR(_xlfn.XLOOKUP(tabExam[[#This Row],[Unique ID]], tblMaster[Unique ID], tblMaster[Recruiter], ""), "")</f>
        <v xml:space="preserve">Jevon Brown Simpson </v>
      </c>
      <c r="G320" t="str">
        <f>IFERROR(_xlfn.XLOOKUP(tabExam[[#This Row],[Unique ID]], tblMaster[Unique ID], tblMaster[Recruitment Cycle], ""), "")</f>
        <v xml:space="preserve">Re-Engagment/Post Civil Service Exam </v>
      </c>
      <c r="H320" t="s">
        <v>8358</v>
      </c>
      <c r="I320">
        <v>2025</v>
      </c>
      <c r="J320" t="s">
        <v>7446</v>
      </c>
      <c r="K320" t="s">
        <v>8151</v>
      </c>
      <c r="L320" t="s">
        <v>8165</v>
      </c>
      <c r="Q320" t="str">
        <f ca="1">IF(tabExam[[#This Row],[Log Date]]="","",TODAY()-tabExam[[#This Row],[Log Date]])</f>
        <v/>
      </c>
      <c r="R320" t="str">
        <f>IF(tabExam[[#This Row],[Log Date]]="","",IF(TRIM(tabExam[[#This Row],[Exam Cycle Stage]])="Asked to be removed from database","NO","YES"))</f>
        <v/>
      </c>
      <c r="S3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1" spans="1:19">
      <c r="A321" t="s">
        <v>8444</v>
      </c>
      <c r="B321" t="str">
        <f>IFERROR(_xlfn.XLOOKUP(tabExam[[#This Row],[Unique ID]], tblMaster[Unique ID], tblMaster[First Name], ""), "")</f>
        <v>Brian</v>
      </c>
      <c r="C321" t="str">
        <f>IFERROR(_xlfn.XLOOKUP(tabExam[[#This Row],[Unique ID]], tblMaster[Unique ID], tblMaster[Last Name], ""), "")</f>
        <v>McNeil</v>
      </c>
      <c r="D321" t="str">
        <f>IFERROR(_xlfn.XLOOKUP(tabExam[[#This Row],[Unique ID]], tblMaster[Unique ID], tblMaster[Email_Clean], ""), "")</f>
        <v>mcneil2137@gmail.com</v>
      </c>
      <c r="E321" t="str">
        <f>IFERROR(_xlfn.XLOOKUP(tabExam[[#This Row],[Unique ID]], tblMaster[Unique ID], tblMaster[Phone], ""), "")</f>
        <v>978-760-9121</v>
      </c>
      <c r="F321" t="str">
        <f>IFERROR(_xlfn.XLOOKUP(tabExam[[#This Row],[Unique ID]], tblMaster[Unique ID], tblMaster[Recruiter], ""), "")</f>
        <v xml:space="preserve">Tom Clark </v>
      </c>
      <c r="G321" t="str">
        <f>IFERROR(_xlfn.XLOOKUP(tabExam[[#This Row],[Unique ID]], tblMaster[Unique ID], tblMaster[Recruitment Cycle], ""), "")</f>
        <v xml:space="preserve">Re-Engagment/Post Civil Service Exam </v>
      </c>
      <c r="H321" t="s">
        <v>8366</v>
      </c>
      <c r="I321">
        <v>2025</v>
      </c>
      <c r="J321" t="s">
        <v>7446</v>
      </c>
      <c r="K321" t="s">
        <v>8151</v>
      </c>
      <c r="L321" t="s">
        <v>8165</v>
      </c>
      <c r="Q321" t="str">
        <f ca="1">IF(tabExam[[#This Row],[Log Date]]="","",TODAY()-tabExam[[#This Row],[Log Date]])</f>
        <v/>
      </c>
      <c r="R321" t="str">
        <f>IF(tabExam[[#This Row],[Log Date]]="","",IF(TRIM(tabExam[[#This Row],[Exam Cycle Stage]])="Asked to be removed from database","NO","YES"))</f>
        <v/>
      </c>
      <c r="S3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2" spans="1:19">
      <c r="A322" t="s">
        <v>8445</v>
      </c>
      <c r="B322" t="str">
        <f>IFERROR(_xlfn.XLOOKUP(tabExam[[#This Row],[Unique ID]], tblMaster[Unique ID], tblMaster[First Name], ""), "")</f>
        <v xml:space="preserve">Paul </v>
      </c>
      <c r="C322" t="str">
        <f>IFERROR(_xlfn.XLOOKUP(tabExam[[#This Row],[Unique ID]], tblMaster[Unique ID], tblMaster[Last Name], ""), "")</f>
        <v xml:space="preserve">Colburn </v>
      </c>
      <c r="D322" t="str">
        <f>IFERROR(_xlfn.XLOOKUP(tabExam[[#This Row],[Unique ID]], tblMaster[Unique ID], tblMaster[Email_Clean], ""), "")</f>
        <v>pcolburn25@yahoo.com</v>
      </c>
      <c r="E322" t="str">
        <f>IFERROR(_xlfn.XLOOKUP(tabExam[[#This Row],[Unique ID]], tblMaster[Unique ID], tblMaster[Phone], ""), "")</f>
        <v xml:space="preserve">(978) 696-7129 </v>
      </c>
      <c r="F322">
        <f>IFERROR(_xlfn.XLOOKUP(tabExam[[#This Row],[Unique ID]], tblMaster[Unique ID], tblMaster[Recruiter], ""), "")</f>
        <v>0</v>
      </c>
      <c r="G322" t="str">
        <f>IFERROR(_xlfn.XLOOKUP(tabExam[[#This Row],[Unique ID]], tblMaster[Unique ID], tblMaster[Recruitment Cycle], ""), "")</f>
        <v xml:space="preserve">Re-Engagment/Post Civil Service Exam </v>
      </c>
      <c r="H322" t="s">
        <v>8358</v>
      </c>
      <c r="I322">
        <v>2025</v>
      </c>
      <c r="J322" t="s">
        <v>7446</v>
      </c>
      <c r="K322" t="s">
        <v>8151</v>
      </c>
      <c r="L322" t="s">
        <v>8165</v>
      </c>
      <c r="Q322" t="str">
        <f ca="1">IF(tabExam[[#This Row],[Log Date]]="","",TODAY()-tabExam[[#This Row],[Log Date]])</f>
        <v/>
      </c>
      <c r="R322" t="str">
        <f>IF(tabExam[[#This Row],[Log Date]]="","",IF(TRIM(tabExam[[#This Row],[Exam Cycle Stage]])="Asked to be removed from database","NO","YES"))</f>
        <v/>
      </c>
      <c r="S3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3" spans="1:19">
      <c r="A323" t="s">
        <v>8446</v>
      </c>
      <c r="B323" t="str">
        <f>IFERROR(_xlfn.XLOOKUP(tabExam[[#This Row],[Unique ID]], tblMaster[Unique ID], tblMaster[First Name], ""), "")</f>
        <v xml:space="preserve">Felix </v>
      </c>
      <c r="C323" t="str">
        <f>IFERROR(_xlfn.XLOOKUP(tabExam[[#This Row],[Unique ID]], tblMaster[Unique ID], tblMaster[Last Name], ""), "")</f>
        <v>Frias</v>
      </c>
      <c r="D323" t="str">
        <f>IFERROR(_xlfn.XLOOKUP(tabExam[[#This Row],[Unique ID]], tblMaster[Unique ID], tblMaster[Email_Clean], ""), "")</f>
        <v>felixfrias111@gmail.com</v>
      </c>
      <c r="E323" t="str">
        <f>IFERROR(_xlfn.XLOOKUP(tabExam[[#This Row],[Unique ID]], tblMaster[Unique ID], tblMaster[Phone], ""), "")</f>
        <v>413-356-0298</v>
      </c>
      <c r="F323" t="str">
        <f>IFERROR(_xlfn.XLOOKUP(tabExam[[#This Row],[Unique ID]], tblMaster[Unique ID], tblMaster[Recruiter], ""), "")</f>
        <v>Zenon Moses</v>
      </c>
      <c r="G323" t="str">
        <f>IFERROR(_xlfn.XLOOKUP(tabExam[[#This Row],[Unique ID]], tblMaster[Unique ID], tblMaster[Recruitment Cycle], ""), "")</f>
        <v xml:space="preserve">Re-Engagment/Post Civil Service Exam </v>
      </c>
      <c r="H323" t="s">
        <v>8358</v>
      </c>
      <c r="I323">
        <v>2025</v>
      </c>
      <c r="J323" t="s">
        <v>7446</v>
      </c>
      <c r="K323" t="s">
        <v>8151</v>
      </c>
      <c r="L323" t="s">
        <v>8165</v>
      </c>
      <c r="Q323" t="str">
        <f ca="1">IF(tabExam[[#This Row],[Log Date]]="","",TODAY()-tabExam[[#This Row],[Log Date]])</f>
        <v/>
      </c>
      <c r="R323" t="str">
        <f>IF(tabExam[[#This Row],[Log Date]]="","",IF(TRIM(tabExam[[#This Row],[Exam Cycle Stage]])="Asked to be removed from database","NO","YES"))</f>
        <v/>
      </c>
      <c r="S3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4" spans="1:19">
      <c r="B324" t="str">
        <f>IFERROR(_xlfn.XLOOKUP(tabExam[[#This Row],[Unique ID]], tblMaster[Unique ID], tblMaster[First Name], ""), "")</f>
        <v/>
      </c>
      <c r="C324" t="str">
        <f>IFERROR(_xlfn.XLOOKUP(tabExam[[#This Row],[Unique ID]], tblMaster[Unique ID], tblMaster[Last Name], ""), "")</f>
        <v/>
      </c>
      <c r="D324" t="str">
        <f>IFERROR(_xlfn.XLOOKUP(tabExam[[#This Row],[Unique ID]], tblMaster[Unique ID], tblMaster[Email_Clean], ""), "")</f>
        <v/>
      </c>
      <c r="E324" t="str">
        <f>IFERROR(_xlfn.XLOOKUP(tabExam[[#This Row],[Unique ID]], tblMaster[Unique ID], tblMaster[Phone], ""), "")</f>
        <v/>
      </c>
      <c r="F324" t="str">
        <f>IFERROR(_xlfn.XLOOKUP(tabExam[[#This Row],[Unique ID]], tblMaster[Unique ID], tblMaster[Recruiter], ""), "")</f>
        <v/>
      </c>
      <c r="G324" t="str">
        <f>IFERROR(_xlfn.XLOOKUP(tabExam[[#This Row],[Unique ID]], tblMaster[Unique ID], tblMaster[Recruitment Cycle], ""), "")</f>
        <v/>
      </c>
      <c r="H324" t="s">
        <v>8360</v>
      </c>
      <c r="I324">
        <v>2025</v>
      </c>
      <c r="J324" t="s">
        <v>7446</v>
      </c>
      <c r="K324" t="s">
        <v>8151</v>
      </c>
      <c r="L324" t="s">
        <v>8165</v>
      </c>
      <c r="Q324" t="str">
        <f ca="1">IF(tabExam[[#This Row],[Log Date]]="","",TODAY()-tabExam[[#This Row],[Log Date]])</f>
        <v/>
      </c>
      <c r="R324" t="str">
        <f>IF(tabExam[[#This Row],[Log Date]]="","",IF(TRIM(tabExam[[#This Row],[Exam Cycle Stage]])="Asked to be removed from database","NO","YES"))</f>
        <v/>
      </c>
      <c r="S3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5" spans="1:19">
      <c r="A325" t="s">
        <v>7929</v>
      </c>
      <c r="B325" t="str">
        <f>IFERROR(_xlfn.XLOOKUP(tabExam[[#This Row],[Unique ID]], tblMaster[Unique ID], tblMaster[First Name], ""), "")</f>
        <v>Samuel</v>
      </c>
      <c r="C325" t="str">
        <f>IFERROR(_xlfn.XLOOKUP(tabExam[[#This Row],[Unique ID]], tblMaster[Unique ID], tblMaster[Last Name], ""), "")</f>
        <v>Handrick</v>
      </c>
      <c r="D325" t="str">
        <f>IFERROR(_xlfn.XLOOKUP(tabExam[[#This Row],[Unique ID]], tblMaster[Unique ID], tblMaster[Email_Clean], ""), "")</f>
        <v>yeseagulls@outlook.com</v>
      </c>
      <c r="E325" t="str">
        <f>IFERROR(_xlfn.XLOOKUP(tabExam[[#This Row],[Unique ID]], tblMaster[Unique ID], tblMaster[Phone], ""), "")</f>
        <v>978-760-8404 </v>
      </c>
      <c r="F325" t="str">
        <f>IFERROR(_xlfn.XLOOKUP(tabExam[[#This Row],[Unique ID]], tblMaster[Unique ID], tblMaster[Recruiter], ""), "")</f>
        <v xml:space="preserve">Jevon Brown Simpson </v>
      </c>
      <c r="G325" t="str">
        <f>IFERROR(_xlfn.XLOOKUP(tabExam[[#This Row],[Unique ID]], tblMaster[Unique ID], tblMaster[Recruitment Cycle], ""), "")</f>
        <v xml:space="preserve">Re-Engagment/Post Civil Service Exam </v>
      </c>
      <c r="H325" t="s">
        <v>8357</v>
      </c>
      <c r="I325">
        <v>2025</v>
      </c>
      <c r="J325" t="s">
        <v>7446</v>
      </c>
      <c r="K325" t="s">
        <v>8151</v>
      </c>
      <c r="L325" t="s">
        <v>8165</v>
      </c>
      <c r="Q325" t="str">
        <f ca="1">IF(tabExam[[#This Row],[Log Date]]="","",TODAY()-tabExam[[#This Row],[Log Date]])</f>
        <v/>
      </c>
      <c r="R325" t="str">
        <f>IF(tabExam[[#This Row],[Log Date]]="","",IF(TRIM(tabExam[[#This Row],[Exam Cycle Stage]])="Asked to be removed from database","NO","YES"))</f>
        <v/>
      </c>
      <c r="S3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6" spans="1:19">
      <c r="A326" t="s">
        <v>8447</v>
      </c>
      <c r="B326" t="str">
        <f>IFERROR(_xlfn.XLOOKUP(tabExam[[#This Row],[Unique ID]], tblMaster[Unique ID], tblMaster[First Name], ""), "")</f>
        <v xml:space="preserve">Erik </v>
      </c>
      <c r="C326" t="str">
        <f>IFERROR(_xlfn.XLOOKUP(tabExam[[#This Row],[Unique ID]], tblMaster[Unique ID], tblMaster[Last Name], ""), "")</f>
        <v xml:space="preserve">Rauhala </v>
      </c>
      <c r="D326" t="str">
        <f>IFERROR(_xlfn.XLOOKUP(tabExam[[#This Row],[Unique ID]], tblMaster[Unique ID], tblMaster[Email_Clean], ""), "")</f>
        <v>erauh1217@gmail.com</v>
      </c>
      <c r="E326" t="str">
        <f>IFERROR(_xlfn.XLOOKUP(tabExam[[#This Row],[Unique ID]], tblMaster[Unique ID], tblMaster[Phone], ""), "")</f>
        <v xml:space="preserve">(978) 549-0320 </v>
      </c>
      <c r="F326" t="str">
        <f>IFERROR(_xlfn.XLOOKUP(tabExam[[#This Row],[Unique ID]], tblMaster[Unique ID], tblMaster[Recruiter], ""), "")</f>
        <v>Zenon Moses</v>
      </c>
      <c r="G326" t="str">
        <f>IFERROR(_xlfn.XLOOKUP(tabExam[[#This Row],[Unique ID]], tblMaster[Unique ID], tblMaster[Recruitment Cycle], ""), "")</f>
        <v xml:space="preserve">Re-Engagment/Post Civil Service Exam </v>
      </c>
      <c r="H326" t="s">
        <v>8357</v>
      </c>
      <c r="I326">
        <v>2025</v>
      </c>
      <c r="J326" t="s">
        <v>7446</v>
      </c>
      <c r="K326" t="s">
        <v>8151</v>
      </c>
      <c r="L326" t="s">
        <v>8165</v>
      </c>
      <c r="Q326" t="str">
        <f ca="1">IF(tabExam[[#This Row],[Log Date]]="","",TODAY()-tabExam[[#This Row],[Log Date]])</f>
        <v/>
      </c>
      <c r="R326" t="str">
        <f>IF(tabExam[[#This Row],[Log Date]]="","",IF(TRIM(tabExam[[#This Row],[Exam Cycle Stage]])="Asked to be removed from database","NO","YES"))</f>
        <v/>
      </c>
      <c r="S3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7" spans="1:19">
      <c r="A327" t="s">
        <v>8448</v>
      </c>
      <c r="B327" t="str">
        <f>IFERROR(_xlfn.XLOOKUP(tabExam[[#This Row],[Unique ID]], tblMaster[Unique ID], tblMaster[First Name], ""), "")</f>
        <v xml:space="preserve">Jayzer </v>
      </c>
      <c r="C327" t="str">
        <f>IFERROR(_xlfn.XLOOKUP(tabExam[[#This Row],[Unique ID]], tblMaster[Unique ID], tblMaster[Last Name], ""), "")</f>
        <v xml:space="preserve">Rodriguez </v>
      </c>
      <c r="D327" t="str">
        <f>IFERROR(_xlfn.XLOOKUP(tabExam[[#This Row],[Unique ID]], tblMaster[Unique ID], tblMaster[Email_Clean], ""), "")</f>
        <v>jzr630@gmail.com</v>
      </c>
      <c r="E327" t="str">
        <f>IFERROR(_xlfn.XLOOKUP(tabExam[[#This Row],[Unique ID]], tblMaster[Unique ID], tblMaster[Phone], ""), "")</f>
        <v>978-876-4187</v>
      </c>
      <c r="F327" t="str">
        <f>IFERROR(_xlfn.XLOOKUP(tabExam[[#This Row],[Unique ID]], tblMaster[Unique ID], tblMaster[Recruiter], ""), "")</f>
        <v>Zenon Moses</v>
      </c>
      <c r="G327" t="str">
        <f>IFERROR(_xlfn.XLOOKUP(tabExam[[#This Row],[Unique ID]], tblMaster[Unique ID], tblMaster[Recruitment Cycle], ""), "")</f>
        <v xml:space="preserve">Re-Engagment/Post Civil Service Exam </v>
      </c>
      <c r="H327" t="s">
        <v>8357</v>
      </c>
      <c r="I327">
        <v>2025</v>
      </c>
      <c r="J327" t="s">
        <v>7446</v>
      </c>
      <c r="K327" t="s">
        <v>8151</v>
      </c>
      <c r="L327" t="s">
        <v>8165</v>
      </c>
      <c r="Q327" t="str">
        <f ca="1">IF(tabExam[[#This Row],[Log Date]]="","",TODAY()-tabExam[[#This Row],[Log Date]])</f>
        <v/>
      </c>
      <c r="R327" t="str">
        <f>IF(tabExam[[#This Row],[Log Date]]="","",IF(TRIM(tabExam[[#This Row],[Exam Cycle Stage]])="Asked to be removed from database","NO","YES"))</f>
        <v/>
      </c>
      <c r="S3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8" spans="1:19">
      <c r="A328" t="s">
        <v>8449</v>
      </c>
      <c r="B328" t="str">
        <f>IFERROR(_xlfn.XLOOKUP(tabExam[[#This Row],[Unique ID]], tblMaster[Unique ID], tblMaster[First Name], ""), "")</f>
        <v xml:space="preserve">Roody </v>
      </c>
      <c r="C328" t="str">
        <f>IFERROR(_xlfn.XLOOKUP(tabExam[[#This Row],[Unique ID]], tblMaster[Unique ID], tblMaster[Last Name], ""), "")</f>
        <v xml:space="preserve">Sainvil </v>
      </c>
      <c r="D328" t="str">
        <f>IFERROR(_xlfn.XLOOKUP(tabExam[[#This Row],[Unique ID]], tblMaster[Unique ID], tblMaster[Email_Clean], ""), "")</f>
        <v>roodysainvil@gmail.com</v>
      </c>
      <c r="E328" t="str">
        <f>IFERROR(_xlfn.XLOOKUP(tabExam[[#This Row],[Unique ID]], tblMaster[Unique ID], tblMaster[Phone], ""), "")</f>
        <v xml:space="preserve">(978) 483-1394 </v>
      </c>
      <c r="F328" t="str">
        <f>IFERROR(_xlfn.XLOOKUP(tabExam[[#This Row],[Unique ID]], tblMaster[Unique ID], tblMaster[Recruiter], ""), "")</f>
        <v>Zenon Moses</v>
      </c>
      <c r="G328" t="str">
        <f>IFERROR(_xlfn.XLOOKUP(tabExam[[#This Row],[Unique ID]], tblMaster[Unique ID], tblMaster[Recruitment Cycle], ""), "")</f>
        <v xml:space="preserve">Re-Engagment/Post Civil Service Exam </v>
      </c>
      <c r="H328" t="s">
        <v>8357</v>
      </c>
      <c r="I328">
        <v>2025</v>
      </c>
      <c r="J328" t="s">
        <v>7446</v>
      </c>
      <c r="K328" t="s">
        <v>8151</v>
      </c>
      <c r="L328" t="s">
        <v>8165</v>
      </c>
      <c r="Q328" t="str">
        <f ca="1">IF(tabExam[[#This Row],[Log Date]]="","",TODAY()-tabExam[[#This Row],[Log Date]])</f>
        <v/>
      </c>
      <c r="R328" t="str">
        <f>IF(tabExam[[#This Row],[Log Date]]="","",IF(TRIM(tabExam[[#This Row],[Exam Cycle Stage]])="Asked to be removed from database","NO","YES"))</f>
        <v/>
      </c>
      <c r="S3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29" spans="1:19">
      <c r="A329" t="s">
        <v>8450</v>
      </c>
      <c r="B329" t="str">
        <f>IFERROR(_xlfn.XLOOKUP(tabExam[[#This Row],[Unique ID]], tblMaster[Unique ID], tblMaster[First Name], ""), "")</f>
        <v xml:space="preserve">Luis </v>
      </c>
      <c r="C329" t="str">
        <f>IFERROR(_xlfn.XLOOKUP(tabExam[[#This Row],[Unique ID]], tblMaster[Unique ID], tblMaster[Last Name], ""), "")</f>
        <v xml:space="preserve">Carrion </v>
      </c>
      <c r="D329" t="str">
        <f>IFERROR(_xlfn.XLOOKUP(tabExam[[#This Row],[Unique ID]], tblMaster[Unique ID], tblMaster[Email_Clean], ""), "")</f>
        <v>shaliacluis23@gmail.com</v>
      </c>
      <c r="E329" t="str">
        <f>IFERROR(_xlfn.XLOOKUP(tabExam[[#This Row],[Unique ID]], tblMaster[Unique ID], tblMaster[Phone], ""), "")</f>
        <v>413-214-9467</v>
      </c>
      <c r="F329" t="str">
        <f>IFERROR(_xlfn.XLOOKUP(tabExam[[#This Row],[Unique ID]], tblMaster[Unique ID], tblMaster[Recruiter], ""), "")</f>
        <v>Zenon Moses</v>
      </c>
      <c r="G329" t="str">
        <f>IFERROR(_xlfn.XLOOKUP(tabExam[[#This Row],[Unique ID]], tblMaster[Unique ID], tblMaster[Recruitment Cycle], ""), "")</f>
        <v xml:space="preserve">Re-Engagment/Post Civil Service Exam </v>
      </c>
      <c r="H329" t="s">
        <v>8358</v>
      </c>
      <c r="I329">
        <v>2025</v>
      </c>
      <c r="J329" t="s">
        <v>7446</v>
      </c>
      <c r="K329" t="s">
        <v>8151</v>
      </c>
      <c r="L329" t="s">
        <v>8165</v>
      </c>
      <c r="Q329" t="str">
        <f ca="1">IF(tabExam[[#This Row],[Log Date]]="","",TODAY()-tabExam[[#This Row],[Log Date]])</f>
        <v/>
      </c>
      <c r="R329" t="str">
        <f>IF(tabExam[[#This Row],[Log Date]]="","",IF(TRIM(tabExam[[#This Row],[Exam Cycle Stage]])="Asked to be removed from database","NO","YES"))</f>
        <v/>
      </c>
      <c r="S3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0" spans="1:19">
      <c r="A330" t="s">
        <v>8451</v>
      </c>
      <c r="B330" t="str">
        <f>IFERROR(_xlfn.XLOOKUP(tabExam[[#This Row],[Unique ID]], tblMaster[Unique ID], tblMaster[First Name], ""), "")</f>
        <v xml:space="preserve">Keven </v>
      </c>
      <c r="C330" t="str">
        <f>IFERROR(_xlfn.XLOOKUP(tabExam[[#This Row],[Unique ID]], tblMaster[Unique ID], tblMaster[Last Name], ""), "")</f>
        <v xml:space="preserve">Molina </v>
      </c>
      <c r="D330" t="str">
        <f>IFERROR(_xlfn.XLOOKUP(tabExam[[#This Row],[Unique ID]], tblMaster[Unique ID], tblMaster[Email_Clean], ""), "")</f>
        <v>kven243@gmail.com</v>
      </c>
      <c r="E330" t="str">
        <f>IFERROR(_xlfn.XLOOKUP(tabExam[[#This Row],[Unique ID]], tblMaster[Unique ID], tblMaster[Phone], ""), "")</f>
        <v xml:space="preserve">(774) 701-2258 </v>
      </c>
      <c r="F330" t="str">
        <f>IFERROR(_xlfn.XLOOKUP(tabExam[[#This Row],[Unique ID]], tblMaster[Unique ID], tblMaster[Recruiter], ""), "")</f>
        <v>Zenon Moses</v>
      </c>
      <c r="G330" t="str">
        <f>IFERROR(_xlfn.XLOOKUP(tabExam[[#This Row],[Unique ID]], tblMaster[Unique ID], tblMaster[Recruitment Cycle], ""), "")</f>
        <v xml:space="preserve">Re-Engagment/Post Civil Service Exam </v>
      </c>
      <c r="H330" t="s">
        <v>8358</v>
      </c>
      <c r="I330">
        <v>2025</v>
      </c>
      <c r="J330" t="s">
        <v>7446</v>
      </c>
      <c r="K330" t="s">
        <v>8151</v>
      </c>
      <c r="L330" t="s">
        <v>8165</v>
      </c>
      <c r="Q330" t="str">
        <f ca="1">IF(tabExam[[#This Row],[Log Date]]="","",TODAY()-tabExam[[#This Row],[Log Date]])</f>
        <v/>
      </c>
      <c r="R330" t="str">
        <f>IF(tabExam[[#This Row],[Log Date]]="","",IF(TRIM(tabExam[[#This Row],[Exam Cycle Stage]])="Asked to be removed from database","NO","YES"))</f>
        <v/>
      </c>
      <c r="S3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1" spans="1:19">
      <c r="A331" t="s">
        <v>8452</v>
      </c>
      <c r="B331" t="str">
        <f>IFERROR(_xlfn.XLOOKUP(tabExam[[#This Row],[Unique ID]], tblMaster[Unique ID], tblMaster[First Name], ""), "")</f>
        <v xml:space="preserve">NII </v>
      </c>
      <c r="C331" t="str">
        <f>IFERROR(_xlfn.XLOOKUP(tabExam[[#This Row],[Unique ID]], tblMaster[Unique ID], tblMaster[Last Name], ""), "")</f>
        <v xml:space="preserve">ADJETEY-SOWA </v>
      </c>
      <c r="D331" t="str">
        <f>IFERROR(_xlfn.XLOOKUP(tabExam[[#This Row],[Unique ID]], tblMaster[Unique ID], tblMaster[Email_Clean], ""), "")</f>
        <v>adjeteysowa.na@gmail.com</v>
      </c>
      <c r="E331" t="str">
        <f>IFERROR(_xlfn.XLOOKUP(tabExam[[#This Row],[Unique ID]], tblMaster[Unique ID], tblMaster[Phone], ""), "")</f>
        <v xml:space="preserve">347) 723-6230 </v>
      </c>
      <c r="F331" t="str">
        <f>IFERROR(_xlfn.XLOOKUP(tabExam[[#This Row],[Unique ID]], tblMaster[Unique ID], tblMaster[Recruiter], ""), "")</f>
        <v>Zenon Moses</v>
      </c>
      <c r="G331" t="str">
        <f>IFERROR(_xlfn.XLOOKUP(tabExam[[#This Row],[Unique ID]], tblMaster[Unique ID], tblMaster[Recruitment Cycle], ""), "")</f>
        <v xml:space="preserve">Re-Engagment/Post Civil Service Exam </v>
      </c>
      <c r="H331" t="s">
        <v>8366</v>
      </c>
      <c r="I331">
        <v>2025</v>
      </c>
      <c r="J331" t="s">
        <v>7446</v>
      </c>
      <c r="K331" t="s">
        <v>8151</v>
      </c>
      <c r="L331" t="s">
        <v>8165</v>
      </c>
      <c r="Q331" t="str">
        <f ca="1">IF(tabExam[[#This Row],[Log Date]]="","",TODAY()-tabExam[[#This Row],[Log Date]])</f>
        <v/>
      </c>
      <c r="R331" t="str">
        <f>IF(tabExam[[#This Row],[Log Date]]="","",IF(TRIM(tabExam[[#This Row],[Exam Cycle Stage]])="Asked to be removed from database","NO","YES"))</f>
        <v/>
      </c>
      <c r="S3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2" spans="1:19">
      <c r="A332" t="s">
        <v>8453</v>
      </c>
      <c r="B332" t="str">
        <f>IFERROR(_xlfn.XLOOKUP(tabExam[[#This Row],[Unique ID]], tblMaster[Unique ID], tblMaster[First Name], ""), "")</f>
        <v xml:space="preserve">Ruth </v>
      </c>
      <c r="C332" t="str">
        <f>IFERROR(_xlfn.XLOOKUP(tabExam[[#This Row],[Unique ID]], tblMaster[Unique ID], tblMaster[Last Name], ""), "")</f>
        <v xml:space="preserve"> Oros </v>
      </c>
      <c r="D332" t="str">
        <f>IFERROR(_xlfn.XLOOKUP(tabExam[[#This Row],[Unique ID]], tblMaster[Unique ID], tblMaster[Email_Clean], ""), "")</f>
        <v>ruthgolds76@gmail.com</v>
      </c>
      <c r="E332" t="str">
        <f>IFERROR(_xlfn.XLOOKUP(tabExam[[#This Row],[Unique ID]], tblMaster[Unique ID], tblMaster[Phone], ""), "")</f>
        <v xml:space="preserve">(508) 436-0264 </v>
      </c>
      <c r="F332" t="str">
        <f>IFERROR(_xlfn.XLOOKUP(tabExam[[#This Row],[Unique ID]], tblMaster[Unique ID], tblMaster[Recruiter], ""), "")</f>
        <v>Zenon Moses</v>
      </c>
      <c r="G332" t="str">
        <f>IFERROR(_xlfn.XLOOKUP(tabExam[[#This Row],[Unique ID]], tblMaster[Unique ID], tblMaster[Recruitment Cycle], ""), "")</f>
        <v xml:space="preserve">Re-Engagment/Post Civil Service Exam </v>
      </c>
      <c r="H332" t="s">
        <v>8357</v>
      </c>
      <c r="I332">
        <v>2025</v>
      </c>
      <c r="J332" t="s">
        <v>7446</v>
      </c>
      <c r="K332" t="s">
        <v>8151</v>
      </c>
      <c r="L332" t="s">
        <v>8165</v>
      </c>
      <c r="Q332" t="str">
        <f ca="1">IF(tabExam[[#This Row],[Log Date]]="","",TODAY()-tabExam[[#This Row],[Log Date]])</f>
        <v/>
      </c>
      <c r="R332" t="str">
        <f>IF(tabExam[[#This Row],[Log Date]]="","",IF(TRIM(tabExam[[#This Row],[Exam Cycle Stage]])="Asked to be removed from database","NO","YES"))</f>
        <v/>
      </c>
      <c r="S3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3" spans="1:19">
      <c r="A333" t="s">
        <v>8454</v>
      </c>
      <c r="B333" t="str">
        <f>IFERROR(_xlfn.XLOOKUP(tabExam[[#This Row],[Unique ID]], tblMaster[Unique ID], tblMaster[First Name], ""), "")</f>
        <v xml:space="preserve">Darius </v>
      </c>
      <c r="C333" t="str">
        <f>IFERROR(_xlfn.XLOOKUP(tabExam[[#This Row],[Unique ID]], tblMaster[Unique ID], tblMaster[Last Name], ""), "")</f>
        <v xml:space="preserve">White </v>
      </c>
      <c r="D333" t="str">
        <f>IFERROR(_xlfn.XLOOKUP(tabExam[[#This Row],[Unique ID]], tblMaster[Unique ID], tblMaster[Email_Clean], ""), "")</f>
        <v>dariuswhite85@yahoo.com</v>
      </c>
      <c r="E333" t="str">
        <f>IFERROR(_xlfn.XLOOKUP(tabExam[[#This Row],[Unique ID]], tblMaster[Unique ID], tblMaster[Phone], ""), "")</f>
        <v>617-697-9917</v>
      </c>
      <c r="F333" t="str">
        <f>IFERROR(_xlfn.XLOOKUP(tabExam[[#This Row],[Unique ID]], tblMaster[Unique ID], tblMaster[Recruiter], ""), "")</f>
        <v>Zenon Moses</v>
      </c>
      <c r="G333" t="str">
        <f>IFERROR(_xlfn.XLOOKUP(tabExam[[#This Row],[Unique ID]], tblMaster[Unique ID], tblMaster[Recruitment Cycle], ""), "")</f>
        <v xml:space="preserve">Re-Engagment/Post Civil Service Exam </v>
      </c>
      <c r="H333" t="s">
        <v>8358</v>
      </c>
      <c r="I333">
        <v>2025</v>
      </c>
      <c r="J333" t="s">
        <v>7446</v>
      </c>
      <c r="K333" t="s">
        <v>8151</v>
      </c>
      <c r="L333" t="s">
        <v>8165</v>
      </c>
      <c r="Q333" t="str">
        <f ca="1">IF(tabExam[[#This Row],[Log Date]]="","",TODAY()-tabExam[[#This Row],[Log Date]])</f>
        <v/>
      </c>
      <c r="R333" t="str">
        <f>IF(tabExam[[#This Row],[Log Date]]="","",IF(TRIM(tabExam[[#This Row],[Exam Cycle Stage]])="Asked to be removed from database","NO","YES"))</f>
        <v/>
      </c>
      <c r="S3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4" spans="1:19">
      <c r="A334" t="s">
        <v>8455</v>
      </c>
      <c r="B334" t="str">
        <f>IFERROR(_xlfn.XLOOKUP(tabExam[[#This Row],[Unique ID]], tblMaster[Unique ID], tblMaster[First Name], ""), "")</f>
        <v xml:space="preserve">Scott </v>
      </c>
      <c r="C334" t="str">
        <f>IFERROR(_xlfn.XLOOKUP(tabExam[[#This Row],[Unique ID]], tblMaster[Unique ID], tblMaster[Last Name], ""), "")</f>
        <v xml:space="preserve"> Lashua </v>
      </c>
      <c r="D334" t="str">
        <f>IFERROR(_xlfn.XLOOKUP(tabExam[[#This Row],[Unique ID]], tblMaster[Unique ID], tblMaster[Email_Clean], ""), "")</f>
        <v>slashua@comcast.net</v>
      </c>
      <c r="E334" t="str">
        <f>IFERROR(_xlfn.XLOOKUP(tabExam[[#This Row],[Unique ID]], tblMaster[Unique ID], tblMaster[Phone], ""), "")</f>
        <v xml:space="preserve">(978) 660-8295 </v>
      </c>
      <c r="F334" t="str">
        <f>IFERROR(_xlfn.XLOOKUP(tabExam[[#This Row],[Unique ID]], tblMaster[Unique ID], tblMaster[Recruiter], ""), "")</f>
        <v>Zenon Moses</v>
      </c>
      <c r="G334" t="str">
        <f>IFERROR(_xlfn.XLOOKUP(tabExam[[#This Row],[Unique ID]], tblMaster[Unique ID], tblMaster[Recruitment Cycle], ""), "")</f>
        <v xml:space="preserve">Re-Engagment/Post Civil Service Exam </v>
      </c>
      <c r="H334" t="s">
        <v>8366</v>
      </c>
      <c r="I334">
        <v>2025</v>
      </c>
      <c r="J334" t="s">
        <v>7446</v>
      </c>
      <c r="K334" t="s">
        <v>8151</v>
      </c>
      <c r="L334" t="s">
        <v>8165</v>
      </c>
      <c r="Q334" t="str">
        <f ca="1">IF(tabExam[[#This Row],[Log Date]]="","",TODAY()-tabExam[[#This Row],[Log Date]])</f>
        <v/>
      </c>
      <c r="R334" t="str">
        <f>IF(tabExam[[#This Row],[Log Date]]="","",IF(TRIM(tabExam[[#This Row],[Exam Cycle Stage]])="Asked to be removed from database","NO","YES"))</f>
        <v/>
      </c>
      <c r="S3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5" spans="1:19">
      <c r="A335" t="s">
        <v>8456</v>
      </c>
      <c r="B335" t="str">
        <f>IFERROR(_xlfn.XLOOKUP(tabExam[[#This Row],[Unique ID]], tblMaster[Unique ID], tblMaster[First Name], ""), "")</f>
        <v>Jenna</v>
      </c>
      <c r="C335" t="str">
        <f>IFERROR(_xlfn.XLOOKUP(tabExam[[#This Row],[Unique ID]], tblMaster[Unique ID], tblMaster[Last Name], ""), "")</f>
        <v>Bird</v>
      </c>
      <c r="D335" t="str">
        <f>IFERROR(_xlfn.XLOOKUP(tabExam[[#This Row],[Unique ID]], tblMaster[Unique ID], tblMaster[Email_Clean], ""), "")</f>
        <v>jennabeanmarie@gmail.com</v>
      </c>
      <c r="E335" t="str">
        <f>IFERROR(_xlfn.XLOOKUP(tabExam[[#This Row],[Unique ID]], tblMaster[Unique ID], tblMaster[Phone], ""), "")</f>
        <v>774-259-1730</v>
      </c>
      <c r="F335" t="str">
        <f>IFERROR(_xlfn.XLOOKUP(tabExam[[#This Row],[Unique ID]], tblMaster[Unique ID], tblMaster[Recruiter], ""), "")</f>
        <v xml:space="preserve">Jevon Brown Simpson </v>
      </c>
      <c r="G335" t="str">
        <f>IFERROR(_xlfn.XLOOKUP(tabExam[[#This Row],[Unique ID]], tblMaster[Unique ID], tblMaster[Recruitment Cycle], ""), "")</f>
        <v xml:space="preserve">Re-Engagment/Post Civil Service Exam </v>
      </c>
      <c r="H335" t="s">
        <v>8366</v>
      </c>
      <c r="I335">
        <v>2025</v>
      </c>
      <c r="J335" t="s">
        <v>7446</v>
      </c>
      <c r="K335" t="s">
        <v>8151</v>
      </c>
      <c r="L335" t="s">
        <v>8165</v>
      </c>
      <c r="Q335" t="str">
        <f ca="1">IF(tabExam[[#This Row],[Log Date]]="","",TODAY()-tabExam[[#This Row],[Log Date]])</f>
        <v/>
      </c>
      <c r="R335" t="str">
        <f>IF(tabExam[[#This Row],[Log Date]]="","",IF(TRIM(tabExam[[#This Row],[Exam Cycle Stage]])="Asked to be removed from database","NO","YES"))</f>
        <v/>
      </c>
      <c r="S3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6" spans="1:19">
      <c r="A336" t="s">
        <v>8457</v>
      </c>
      <c r="B336" t="str">
        <f>IFERROR(_xlfn.XLOOKUP(tabExam[[#This Row],[Unique ID]], tblMaster[Unique ID], tblMaster[First Name], ""), "")</f>
        <v xml:space="preserve">Kyle </v>
      </c>
      <c r="C336" t="str">
        <f>IFERROR(_xlfn.XLOOKUP(tabExam[[#This Row],[Unique ID]], tblMaster[Unique ID], tblMaster[Last Name], ""), "")</f>
        <v xml:space="preserve">Yeh </v>
      </c>
      <c r="D336" t="str">
        <f>IFERROR(_xlfn.XLOOKUP(tabExam[[#This Row],[Unique ID]], tblMaster[Unique ID], tblMaster[Email_Clean], ""), "")</f>
        <v>kylehyeh@gmail.com</v>
      </c>
      <c r="E336" t="str">
        <f>IFERROR(_xlfn.XLOOKUP(tabExam[[#This Row],[Unique ID]], tblMaster[Unique ID], tblMaster[Phone], ""), "")</f>
        <v>508-369-8664</v>
      </c>
      <c r="F336" t="str">
        <f>IFERROR(_xlfn.XLOOKUP(tabExam[[#This Row],[Unique ID]], tblMaster[Unique ID], tblMaster[Recruiter], ""), "")</f>
        <v>Zenon Moses</v>
      </c>
      <c r="G336" t="str">
        <f>IFERROR(_xlfn.XLOOKUP(tabExam[[#This Row],[Unique ID]], tblMaster[Unique ID], tblMaster[Recruitment Cycle], ""), "")</f>
        <v xml:space="preserve">Re-Engagment/Post Civil Service Exam </v>
      </c>
      <c r="H336" t="s">
        <v>8366</v>
      </c>
      <c r="I336">
        <v>2025</v>
      </c>
      <c r="J336" t="s">
        <v>7446</v>
      </c>
      <c r="K336" t="s">
        <v>8151</v>
      </c>
      <c r="L336" t="s">
        <v>8165</v>
      </c>
      <c r="Q336" t="str">
        <f ca="1">IF(tabExam[[#This Row],[Log Date]]="","",TODAY()-tabExam[[#This Row],[Log Date]])</f>
        <v/>
      </c>
      <c r="R336" t="str">
        <f>IF(tabExam[[#This Row],[Log Date]]="","",IF(TRIM(tabExam[[#This Row],[Exam Cycle Stage]])="Asked to be removed from database","NO","YES"))</f>
        <v/>
      </c>
      <c r="S3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7" spans="1:19">
      <c r="A337" t="s">
        <v>8458</v>
      </c>
      <c r="B337" t="str">
        <f>IFERROR(_xlfn.XLOOKUP(tabExam[[#This Row],[Unique ID]], tblMaster[Unique ID], tblMaster[First Name], ""), "")</f>
        <v>Wanda</v>
      </c>
      <c r="C337" t="str">
        <f>IFERROR(_xlfn.XLOOKUP(tabExam[[#This Row],[Unique ID]], tblMaster[Unique ID], tblMaster[Last Name], ""), "")</f>
        <v xml:space="preserve">Garcia </v>
      </c>
      <c r="D337" t="str">
        <f>IFERROR(_xlfn.XLOOKUP(tabExam[[#This Row],[Unique ID]], tblMaster[Unique ID], tblMaster[Email_Clean], ""), "")</f>
        <v>michellegarcia4611@live.com</v>
      </c>
      <c r="E337" t="str">
        <f>IFERROR(_xlfn.XLOOKUP(tabExam[[#This Row],[Unique ID]], tblMaster[Unique ID], tblMaster[Phone], ""), "")</f>
        <v>(401) 298-3859</v>
      </c>
      <c r="F337" t="str">
        <f>IFERROR(_xlfn.XLOOKUP(tabExam[[#This Row],[Unique ID]], tblMaster[Unique ID], tblMaster[Recruiter], ""), "")</f>
        <v xml:space="preserve">Jevon Brown Simpson </v>
      </c>
      <c r="G337" t="str">
        <f>IFERROR(_xlfn.XLOOKUP(tabExam[[#This Row],[Unique ID]], tblMaster[Unique ID], tblMaster[Recruitment Cycle], ""), "")</f>
        <v xml:space="preserve">Re-Engagment/Post Civil Service Exam </v>
      </c>
      <c r="H337" t="s">
        <v>8357</v>
      </c>
      <c r="I337">
        <v>2025</v>
      </c>
      <c r="J337" t="s">
        <v>7446</v>
      </c>
      <c r="K337" t="s">
        <v>8151</v>
      </c>
      <c r="L337" t="s">
        <v>8165</v>
      </c>
      <c r="Q337" t="str">
        <f ca="1">IF(tabExam[[#This Row],[Log Date]]="","",TODAY()-tabExam[[#This Row],[Log Date]])</f>
        <v/>
      </c>
      <c r="R337" t="str">
        <f>IF(tabExam[[#This Row],[Log Date]]="","",IF(TRIM(tabExam[[#This Row],[Exam Cycle Stage]])="Asked to be removed from database","NO","YES"))</f>
        <v/>
      </c>
      <c r="S3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8" spans="1:19">
      <c r="A338" t="s">
        <v>8459</v>
      </c>
      <c r="B338" t="str">
        <f>IFERROR(_xlfn.XLOOKUP(tabExam[[#This Row],[Unique ID]], tblMaster[Unique ID], tblMaster[First Name], ""), "")</f>
        <v xml:space="preserve">Jeremy </v>
      </c>
      <c r="C338" t="str">
        <f>IFERROR(_xlfn.XLOOKUP(tabExam[[#This Row],[Unique ID]], tblMaster[Unique ID], tblMaster[Last Name], ""), "")</f>
        <v>Xhija</v>
      </c>
      <c r="D338" t="str">
        <f>IFERROR(_xlfn.XLOOKUP(tabExam[[#This Row],[Unique ID]], tblMaster[Unique ID], tblMaster[Email_Clean], ""), "")</f>
        <v>jxhija14@gmail.com</v>
      </c>
      <c r="E338" t="str">
        <f>IFERROR(_xlfn.XLOOKUP(tabExam[[#This Row],[Unique ID]], tblMaster[Unique ID], tblMaster[Phone], ""), "")</f>
        <v xml:space="preserve">508-873-4044 </v>
      </c>
      <c r="F338" t="str">
        <f>IFERROR(_xlfn.XLOOKUP(tabExam[[#This Row],[Unique ID]], tblMaster[Unique ID], tblMaster[Recruiter], ""), "")</f>
        <v>Zenon Moses</v>
      </c>
      <c r="G338" t="str">
        <f>IFERROR(_xlfn.XLOOKUP(tabExam[[#This Row],[Unique ID]], tblMaster[Unique ID], tblMaster[Recruitment Cycle], ""), "")</f>
        <v xml:space="preserve">Re-Engagment/Post Civil Service Exam </v>
      </c>
      <c r="H338" t="s">
        <v>8357</v>
      </c>
      <c r="I338">
        <v>2025</v>
      </c>
      <c r="J338" t="s">
        <v>7446</v>
      </c>
      <c r="K338" t="s">
        <v>8151</v>
      </c>
      <c r="L338" t="s">
        <v>8165</v>
      </c>
      <c r="Q338" t="str">
        <f ca="1">IF(tabExam[[#This Row],[Log Date]]="","",TODAY()-tabExam[[#This Row],[Log Date]])</f>
        <v/>
      </c>
      <c r="R338" t="str">
        <f>IF(tabExam[[#This Row],[Log Date]]="","",IF(TRIM(tabExam[[#This Row],[Exam Cycle Stage]])="Asked to be removed from database","NO","YES"))</f>
        <v/>
      </c>
      <c r="S3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39" spans="1:19">
      <c r="A339" t="s">
        <v>7894</v>
      </c>
      <c r="B339" t="str">
        <f>IFERROR(_xlfn.XLOOKUP(tabExam[[#This Row],[Unique ID]], tblMaster[Unique ID], tblMaster[First Name], ""), "")</f>
        <v>Eliza</v>
      </c>
      <c r="C339" t="str">
        <f>IFERROR(_xlfn.XLOOKUP(tabExam[[#This Row],[Unique ID]], tblMaster[Unique ID], tblMaster[Last Name], ""), "")</f>
        <v xml:space="preserve"> Tripp </v>
      </c>
      <c r="D339" t="str">
        <f>IFERROR(_xlfn.XLOOKUP(tabExam[[#This Row],[Unique ID]], tblMaster[Unique ID], tblMaster[Email_Clean], ""), "")</f>
        <v>elizatripp01@gmail.com</v>
      </c>
      <c r="E339" t="str">
        <f>IFERROR(_xlfn.XLOOKUP(tabExam[[#This Row],[Unique ID]], tblMaster[Unique ID], tblMaster[Phone], ""), "")</f>
        <v xml:space="preserve">774) 208-3429 </v>
      </c>
      <c r="F339" t="str">
        <f>IFERROR(_xlfn.XLOOKUP(tabExam[[#This Row],[Unique ID]], tblMaster[Unique ID], tblMaster[Recruiter], ""), "")</f>
        <v xml:space="preserve">Jevon Brown Simpson </v>
      </c>
      <c r="G339" t="str">
        <f>IFERROR(_xlfn.XLOOKUP(tabExam[[#This Row],[Unique ID]], tblMaster[Unique ID], tblMaster[Recruitment Cycle], ""), "")</f>
        <v xml:space="preserve">Re-Engagment/Post Civil Service Exam </v>
      </c>
      <c r="H339" t="s">
        <v>8357</v>
      </c>
      <c r="I339">
        <v>2025</v>
      </c>
      <c r="J339" t="s">
        <v>7446</v>
      </c>
      <c r="K339" t="s">
        <v>8151</v>
      </c>
      <c r="L339" t="s">
        <v>8165</v>
      </c>
      <c r="Q339" t="str">
        <f ca="1">IF(tabExam[[#This Row],[Log Date]]="","",TODAY()-tabExam[[#This Row],[Log Date]])</f>
        <v/>
      </c>
      <c r="R339" t="str">
        <f>IF(tabExam[[#This Row],[Log Date]]="","",IF(TRIM(tabExam[[#This Row],[Exam Cycle Stage]])="Asked to be removed from database","NO","YES"))</f>
        <v/>
      </c>
      <c r="S3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0" spans="1:19">
      <c r="A340" t="s">
        <v>8460</v>
      </c>
      <c r="B340" t="str">
        <f>IFERROR(_xlfn.XLOOKUP(tabExam[[#This Row],[Unique ID]], tblMaster[Unique ID], tblMaster[First Name], ""), "")</f>
        <v xml:space="preserve">Guerby </v>
      </c>
      <c r="C340" t="str">
        <f>IFERROR(_xlfn.XLOOKUP(tabExam[[#This Row],[Unique ID]], tblMaster[Unique ID], tblMaster[Last Name], ""), "")</f>
        <v>Leonce</v>
      </c>
      <c r="D340" t="str">
        <f>IFERROR(_xlfn.XLOOKUP(tabExam[[#This Row],[Unique ID]], tblMaster[Unique ID], tblMaster[Email_Clean], ""), "")</f>
        <v>guerby1987@gmail.com</v>
      </c>
      <c r="E340" t="str">
        <f>IFERROR(_xlfn.XLOOKUP(tabExam[[#This Row],[Unique ID]], tblMaster[Unique ID], tblMaster[Phone], ""), "")</f>
        <v>781-535-4116</v>
      </c>
      <c r="F340" t="str">
        <f>IFERROR(_xlfn.XLOOKUP(tabExam[[#This Row],[Unique ID]], tblMaster[Unique ID], tblMaster[Recruiter], ""), "")</f>
        <v xml:space="preserve">Tom Clark </v>
      </c>
      <c r="G340" t="str">
        <f>IFERROR(_xlfn.XLOOKUP(tabExam[[#This Row],[Unique ID]], tblMaster[Unique ID], tblMaster[Recruitment Cycle], ""), "")</f>
        <v xml:space="preserve">Re-Engagment/Post Civil Service Exam </v>
      </c>
      <c r="H340" t="s">
        <v>8164</v>
      </c>
      <c r="I340">
        <v>2025</v>
      </c>
      <c r="J340" t="s">
        <v>7446</v>
      </c>
      <c r="K340" t="s">
        <v>8151</v>
      </c>
      <c r="L340" t="s">
        <v>8165</v>
      </c>
      <c r="M340" t="s">
        <v>7464</v>
      </c>
      <c r="O340" s="2">
        <v>46064</v>
      </c>
      <c r="Q340">
        <f ca="1">IF(tabExam[[#This Row],[Log Date]]="","",TODAY()-tabExam[[#This Row],[Log Date]])</f>
        <v>15</v>
      </c>
      <c r="R340" t="str">
        <f>IF(tabExam[[#This Row],[Log Date]]="","",IF(TRIM(tabExam[[#This Row],[Exam Cycle Stage]])="Asked to be removed from database","NO","YES"))</f>
        <v>YES</v>
      </c>
      <c r="S34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1" spans="1:19">
      <c r="A341" t="s">
        <v>8461</v>
      </c>
      <c r="B341" t="str">
        <f>IFERROR(_xlfn.XLOOKUP(tabExam[[#This Row],[Unique ID]], tblMaster[Unique ID], tblMaster[First Name], ""), "")</f>
        <v xml:space="preserve">Whitney </v>
      </c>
      <c r="C341" t="str">
        <f>IFERROR(_xlfn.XLOOKUP(tabExam[[#This Row],[Unique ID]], tblMaster[Unique ID], tblMaster[Last Name], ""), "")</f>
        <v xml:space="preserve">Stewart </v>
      </c>
      <c r="D341" t="str">
        <f>IFERROR(_xlfn.XLOOKUP(tabExam[[#This Row],[Unique ID]], tblMaster[Unique ID], tblMaster[Email_Clean], ""), "")</f>
        <v>lifesaver188@gmail.com</v>
      </c>
      <c r="E341" t="str">
        <f>IFERROR(_xlfn.XLOOKUP(tabExam[[#This Row],[Unique ID]], tblMaster[Unique ID], tblMaster[Phone], ""), "")</f>
        <v>860-977-4036</v>
      </c>
      <c r="F341" t="str">
        <f>IFERROR(_xlfn.XLOOKUP(tabExam[[#This Row],[Unique ID]], tblMaster[Unique ID], tblMaster[Recruiter], ""), "")</f>
        <v>Zenon Moses</v>
      </c>
      <c r="G341" t="str">
        <f>IFERROR(_xlfn.XLOOKUP(tabExam[[#This Row],[Unique ID]], tblMaster[Unique ID], tblMaster[Recruitment Cycle], ""), "")</f>
        <v xml:space="preserve">Re-Engagment/Post Civil Service Exam </v>
      </c>
      <c r="H341" t="s">
        <v>8164</v>
      </c>
      <c r="I341">
        <v>2025</v>
      </c>
      <c r="J341" t="s">
        <v>7446</v>
      </c>
      <c r="K341" t="s">
        <v>8277</v>
      </c>
      <c r="L341" t="s">
        <v>8154</v>
      </c>
      <c r="Q341" t="str">
        <f ca="1">IF(tabExam[[#This Row],[Log Date]]="","",TODAY()-tabExam[[#This Row],[Log Date]])</f>
        <v/>
      </c>
      <c r="R341" t="str">
        <f>IF(tabExam[[#This Row],[Log Date]]="","",IF(TRIM(tabExam[[#This Row],[Exam Cycle Stage]])="Asked to be removed from database","NO","YES"))</f>
        <v/>
      </c>
      <c r="S3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2" spans="1:19">
      <c r="A342" t="s">
        <v>8462</v>
      </c>
      <c r="B342" t="str">
        <f>IFERROR(_xlfn.XLOOKUP(tabExam[[#This Row],[Unique ID]], tblMaster[Unique ID], tblMaster[First Name], ""), "")</f>
        <v xml:space="preserve">Yvonne </v>
      </c>
      <c r="C342" t="str">
        <f>IFERROR(_xlfn.XLOOKUP(tabExam[[#This Row],[Unique ID]], tblMaster[Unique ID], tblMaster[Last Name], ""), "")</f>
        <v xml:space="preserve"> Martinez </v>
      </c>
      <c r="D342" t="str">
        <f>IFERROR(_xlfn.XLOOKUP(tabExam[[#This Row],[Unique ID]], tblMaster[Unique ID], tblMaster[Email_Clean], ""), "")</f>
        <v>yvonnemartinezx3@yahoo.com</v>
      </c>
      <c r="E342" t="str">
        <f>IFERROR(_xlfn.XLOOKUP(tabExam[[#This Row],[Unique ID]], tblMaster[Unique ID], tblMaster[Phone], ""), "")</f>
        <v xml:space="preserve">(954) 816-2377 </v>
      </c>
      <c r="F342" t="str">
        <f>IFERROR(_xlfn.XLOOKUP(tabExam[[#This Row],[Unique ID]], tblMaster[Unique ID], tblMaster[Recruiter], ""), "")</f>
        <v xml:space="preserve">Jevon Brown Simpson </v>
      </c>
      <c r="G342" t="str">
        <f>IFERROR(_xlfn.XLOOKUP(tabExam[[#This Row],[Unique ID]], tblMaster[Unique ID], tblMaster[Recruitment Cycle], ""), "")</f>
        <v xml:space="preserve">Re-Engagment/Post Civil Service Exam </v>
      </c>
      <c r="H342" t="s">
        <v>8164</v>
      </c>
      <c r="I342">
        <v>2025</v>
      </c>
      <c r="J342" t="s">
        <v>7446</v>
      </c>
      <c r="K342" t="s">
        <v>8277</v>
      </c>
      <c r="L342" t="s">
        <v>8154</v>
      </c>
      <c r="Q342" t="str">
        <f ca="1">IF(tabExam[[#This Row],[Log Date]]="","",TODAY()-tabExam[[#This Row],[Log Date]])</f>
        <v/>
      </c>
      <c r="R342" t="str">
        <f>IF(tabExam[[#This Row],[Log Date]]="","",IF(TRIM(tabExam[[#This Row],[Exam Cycle Stage]])="Asked to be removed from database","NO","YES"))</f>
        <v/>
      </c>
      <c r="S3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3" spans="1:19">
      <c r="A343" t="s">
        <v>8463</v>
      </c>
      <c r="B343" t="str">
        <f>IFERROR(_xlfn.XLOOKUP(tabExam[[#This Row],[Unique ID]], tblMaster[Unique ID], tblMaster[First Name], ""), "")</f>
        <v xml:space="preserve">Regine </v>
      </c>
      <c r="C343" t="str">
        <f>IFERROR(_xlfn.XLOOKUP(tabExam[[#This Row],[Unique ID]], tblMaster[Unique ID], tblMaster[Last Name], ""), "")</f>
        <v xml:space="preserve"> Gabelus</v>
      </c>
      <c r="D343" t="str">
        <f>IFERROR(_xlfn.XLOOKUP(tabExam[[#This Row],[Unique ID]], tblMaster[Unique ID], tblMaster[Email_Clean], ""), "")</f>
        <v>reginegabelus6@gmail.com</v>
      </c>
      <c r="E343" t="str">
        <f>IFERROR(_xlfn.XLOOKUP(tabExam[[#This Row],[Unique ID]], tblMaster[Unique ID], tblMaster[Phone], ""), "")</f>
        <v>774-517-7657</v>
      </c>
      <c r="F343" t="str">
        <f>IFERROR(_xlfn.XLOOKUP(tabExam[[#This Row],[Unique ID]], tblMaster[Unique ID], tblMaster[Recruiter], ""), "")</f>
        <v>Zenon Moses</v>
      </c>
      <c r="G343" t="str">
        <f>IFERROR(_xlfn.XLOOKUP(tabExam[[#This Row],[Unique ID]], tblMaster[Unique ID], tblMaster[Recruitment Cycle], ""), "")</f>
        <v xml:space="preserve">Re-Engagment/Post Civil Service Exam </v>
      </c>
      <c r="H343" t="s">
        <v>8164</v>
      </c>
      <c r="I343">
        <v>2025</v>
      </c>
      <c r="J343" t="s">
        <v>7446</v>
      </c>
      <c r="K343" t="s">
        <v>8277</v>
      </c>
      <c r="L343" t="s">
        <v>8154</v>
      </c>
      <c r="Q343" t="str">
        <f ca="1">IF(tabExam[[#This Row],[Log Date]]="","",TODAY()-tabExam[[#This Row],[Log Date]])</f>
        <v/>
      </c>
      <c r="R343" t="str">
        <f>IF(tabExam[[#This Row],[Log Date]]="","",IF(TRIM(tabExam[[#This Row],[Exam Cycle Stage]])="Asked to be removed from database","NO","YES"))</f>
        <v/>
      </c>
      <c r="S3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4" spans="1:19">
      <c r="A344" t="s">
        <v>8464</v>
      </c>
      <c r="B344" t="str">
        <f>IFERROR(_xlfn.XLOOKUP(tabExam[[#This Row],[Unique ID]], tblMaster[Unique ID], tblMaster[First Name], ""), "")</f>
        <v>Brandon</v>
      </c>
      <c r="C344" t="str">
        <f>IFERROR(_xlfn.XLOOKUP(tabExam[[#This Row],[Unique ID]], tblMaster[Unique ID], tblMaster[Last Name], ""), "")</f>
        <v>Whitehead</v>
      </c>
      <c r="D344" t="str">
        <f>IFERROR(_xlfn.XLOOKUP(tabExam[[#This Row],[Unique ID]], tblMaster[Unique ID], tblMaster[Email_Clean], ""), "")</f>
        <v>brandonwhitehead@hotmail.com</v>
      </c>
      <c r="E344" t="str">
        <f>IFERROR(_xlfn.XLOOKUP(tabExam[[#This Row],[Unique ID]], tblMaster[Unique ID], tblMaster[Phone], ""), "")</f>
        <v>206-724-4136</v>
      </c>
      <c r="F344" t="str">
        <f>IFERROR(_xlfn.XLOOKUP(tabExam[[#This Row],[Unique ID]], tblMaster[Unique ID], tblMaster[Recruiter], ""), "")</f>
        <v xml:space="preserve">Jevon Brown Simpson </v>
      </c>
      <c r="G344" t="str">
        <f>IFERROR(_xlfn.XLOOKUP(tabExam[[#This Row],[Unique ID]], tblMaster[Unique ID], tblMaster[Recruitment Cycle], ""), "")</f>
        <v xml:space="preserve">Re-Engagment/Post Civil Service Exam </v>
      </c>
      <c r="H344" t="s">
        <v>8164</v>
      </c>
      <c r="I344">
        <v>2025</v>
      </c>
      <c r="J344" t="s">
        <v>7446</v>
      </c>
      <c r="K344" t="s">
        <v>8277</v>
      </c>
      <c r="L344" t="s">
        <v>8154</v>
      </c>
      <c r="Q344" t="str">
        <f ca="1">IF(tabExam[[#This Row],[Log Date]]="","",TODAY()-tabExam[[#This Row],[Log Date]])</f>
        <v/>
      </c>
      <c r="R344" t="str">
        <f>IF(tabExam[[#This Row],[Log Date]]="","",IF(TRIM(tabExam[[#This Row],[Exam Cycle Stage]])="Asked to be removed from database","NO","YES"))</f>
        <v/>
      </c>
      <c r="S3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5" spans="1:19">
      <c r="A345" t="s">
        <v>8465</v>
      </c>
      <c r="B345" t="str">
        <f>IFERROR(_xlfn.XLOOKUP(tabExam[[#This Row],[Unique ID]], tblMaster[Unique ID], tblMaster[First Name], ""), "")</f>
        <v>Thomas</v>
      </c>
      <c r="C345" t="str">
        <f>IFERROR(_xlfn.XLOOKUP(tabExam[[#This Row],[Unique ID]], tblMaster[Unique ID], tblMaster[Last Name], ""), "")</f>
        <v>Leavitt</v>
      </c>
      <c r="D345" t="str">
        <f>IFERROR(_xlfn.XLOOKUP(tabExam[[#This Row],[Unique ID]], tblMaster[Unique ID], tblMaster[Email_Clean], ""), "")</f>
        <v>leavitt0331@gmail.com</v>
      </c>
      <c r="E345" t="str">
        <f>IFERROR(_xlfn.XLOOKUP(tabExam[[#This Row],[Unique ID]], tblMaster[Unique ID], tblMaster[Phone], ""), "")</f>
        <v>781-985-3231</v>
      </c>
      <c r="F345" t="str">
        <f>IFERROR(_xlfn.XLOOKUP(tabExam[[#This Row],[Unique ID]], tblMaster[Unique ID], tblMaster[Recruiter], ""), "")</f>
        <v xml:space="preserve">Tom Clark </v>
      </c>
      <c r="G345" t="str">
        <f>IFERROR(_xlfn.XLOOKUP(tabExam[[#This Row],[Unique ID]], tblMaster[Unique ID], tblMaster[Recruitment Cycle], ""), "")</f>
        <v xml:space="preserve">Re-Engagment/Post Civil Service Exam </v>
      </c>
      <c r="H345" t="s">
        <v>8164</v>
      </c>
      <c r="I345">
        <v>2025</v>
      </c>
      <c r="J345" t="s">
        <v>7446</v>
      </c>
      <c r="K345" t="s">
        <v>8277</v>
      </c>
      <c r="L345" t="s">
        <v>8154</v>
      </c>
      <c r="M345" t="s">
        <v>7464</v>
      </c>
      <c r="O345" s="2">
        <v>46064</v>
      </c>
      <c r="Q345">
        <f ca="1">IF(tabExam[[#This Row],[Log Date]]="","",TODAY()-tabExam[[#This Row],[Log Date]])</f>
        <v>15</v>
      </c>
      <c r="R345" t="str">
        <f>IF(tabExam[[#This Row],[Log Date]]="","",IF(TRIM(tabExam[[#This Row],[Exam Cycle Stage]])="Asked to be removed from database","NO","YES"))</f>
        <v>YES</v>
      </c>
      <c r="S34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6" spans="1:19">
      <c r="A346" t="s">
        <v>8466</v>
      </c>
      <c r="B346" t="str">
        <f>IFERROR(_xlfn.XLOOKUP(tabExam[[#This Row],[Unique ID]], tblMaster[Unique ID], tblMaster[First Name], ""), "")</f>
        <v>Joseph</v>
      </c>
      <c r="C346" t="str">
        <f>IFERROR(_xlfn.XLOOKUP(tabExam[[#This Row],[Unique ID]], tblMaster[Unique ID], tblMaster[Last Name], ""), "")</f>
        <v>Whyte</v>
      </c>
      <c r="D346" t="str">
        <f>IFERROR(_xlfn.XLOOKUP(tabExam[[#This Row],[Unique ID]], tblMaster[Unique ID], tblMaster[Email_Clean], ""), "")</f>
        <v>josephwhyte1993@gmail.com</v>
      </c>
      <c r="E346" t="str">
        <f>IFERROR(_xlfn.XLOOKUP(tabExam[[#This Row],[Unique ID]], tblMaster[Unique ID], tblMaster[Phone], ""), "")</f>
        <v>213-238-7508</v>
      </c>
      <c r="F346" t="str">
        <f>IFERROR(_xlfn.XLOOKUP(tabExam[[#This Row],[Unique ID]], tblMaster[Unique ID], tblMaster[Recruiter], ""), "")</f>
        <v>Zenon Moses</v>
      </c>
      <c r="G346" t="str">
        <f>IFERROR(_xlfn.XLOOKUP(tabExam[[#This Row],[Unique ID]], tblMaster[Unique ID], tblMaster[Recruitment Cycle], ""), "")</f>
        <v xml:space="preserve">Re-Engagment/Post Civil Service Exam </v>
      </c>
      <c r="H346" t="s">
        <v>8164</v>
      </c>
      <c r="I346">
        <v>2025</v>
      </c>
      <c r="J346" t="s">
        <v>7446</v>
      </c>
      <c r="K346" t="s">
        <v>8277</v>
      </c>
      <c r="L346" t="s">
        <v>8154</v>
      </c>
      <c r="Q346" t="str">
        <f ca="1">IF(tabExam[[#This Row],[Log Date]]="","",TODAY()-tabExam[[#This Row],[Log Date]])</f>
        <v/>
      </c>
      <c r="R346" t="str">
        <f>IF(tabExam[[#This Row],[Log Date]]="","",IF(TRIM(tabExam[[#This Row],[Exam Cycle Stage]])="Asked to be removed from database","NO","YES"))</f>
        <v/>
      </c>
      <c r="S3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7" spans="1:19">
      <c r="A347" t="s">
        <v>8467</v>
      </c>
      <c r="B347" t="str">
        <f>IFERROR(_xlfn.XLOOKUP(tabExam[[#This Row],[Unique ID]], tblMaster[Unique ID], tblMaster[First Name], ""), "")</f>
        <v xml:space="preserve">Jose </v>
      </c>
      <c r="C347" t="str">
        <f>IFERROR(_xlfn.XLOOKUP(tabExam[[#This Row],[Unique ID]], tblMaster[Unique ID], tblMaster[Last Name], ""), "")</f>
        <v xml:space="preserve">Rosa </v>
      </c>
      <c r="D347" t="str">
        <f>IFERROR(_xlfn.XLOOKUP(tabExam[[#This Row],[Unique ID]], tblMaster[Unique ID], tblMaster[Email_Clean], ""), "")</f>
        <v>jose.rosa1979@yahoo.com</v>
      </c>
      <c r="E347" t="str">
        <f>IFERROR(_xlfn.XLOOKUP(tabExam[[#This Row],[Unique ID]], tblMaster[Unique ID], tblMaster[Phone], ""), "")</f>
        <v>860-778-1890</v>
      </c>
      <c r="F347" t="str">
        <f>IFERROR(_xlfn.XLOOKUP(tabExam[[#This Row],[Unique ID]], tblMaster[Unique ID], tblMaster[Recruiter], ""), "")</f>
        <v xml:space="preserve">Jevon Brown Simpson </v>
      </c>
      <c r="G347" t="str">
        <f>IFERROR(_xlfn.XLOOKUP(tabExam[[#This Row],[Unique ID]], tblMaster[Unique ID], tblMaster[Recruitment Cycle], ""), "")</f>
        <v xml:space="preserve">Re-Engagment/Post Civil Service Exam </v>
      </c>
      <c r="H347" t="s">
        <v>8164</v>
      </c>
      <c r="I347">
        <v>2025</v>
      </c>
      <c r="J347" t="s">
        <v>7446</v>
      </c>
      <c r="K347" t="s">
        <v>8277</v>
      </c>
      <c r="L347" t="s">
        <v>8154</v>
      </c>
      <c r="Q347" t="str">
        <f ca="1">IF(tabExam[[#This Row],[Log Date]]="","",TODAY()-tabExam[[#This Row],[Log Date]])</f>
        <v/>
      </c>
      <c r="R347" t="str">
        <f>IF(tabExam[[#This Row],[Log Date]]="","",IF(TRIM(tabExam[[#This Row],[Exam Cycle Stage]])="Asked to be removed from database","NO","YES"))</f>
        <v/>
      </c>
      <c r="S3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8" spans="1:19">
      <c r="A348" t="s">
        <v>8468</v>
      </c>
      <c r="B348" t="str">
        <f>IFERROR(_xlfn.XLOOKUP(tabExam[[#This Row],[Unique ID]], tblMaster[Unique ID], tblMaster[First Name], ""), "")</f>
        <v>Marsha</v>
      </c>
      <c r="C348" t="str">
        <f>IFERROR(_xlfn.XLOOKUP(tabExam[[#This Row],[Unique ID]], tblMaster[Unique ID], tblMaster[Last Name], ""), "")</f>
        <v>Denis</v>
      </c>
      <c r="D348" t="str">
        <f>IFERROR(_xlfn.XLOOKUP(tabExam[[#This Row],[Unique ID]], tblMaster[Unique ID], tblMaster[Email_Clean], ""), "")</f>
        <v>marshadenis@gmail.com</v>
      </c>
      <c r="E348" t="str">
        <f>IFERROR(_xlfn.XLOOKUP(tabExam[[#This Row],[Unique ID]], tblMaster[Unique ID], tblMaster[Phone], ""), "")</f>
        <v>781-808-1616</v>
      </c>
      <c r="F348" t="str">
        <f>IFERROR(_xlfn.XLOOKUP(tabExam[[#This Row],[Unique ID]], tblMaster[Unique ID], tblMaster[Recruiter], ""), "")</f>
        <v xml:space="preserve">Tom Clark </v>
      </c>
      <c r="G348" t="str">
        <f>IFERROR(_xlfn.XLOOKUP(tabExam[[#This Row],[Unique ID]], tblMaster[Unique ID], tblMaster[Recruitment Cycle], ""), "")</f>
        <v xml:space="preserve">Re-Engagment/Post Civil Service Exam </v>
      </c>
      <c r="H348" t="s">
        <v>8164</v>
      </c>
      <c r="I348">
        <v>2025</v>
      </c>
      <c r="J348" t="s">
        <v>7446</v>
      </c>
      <c r="K348" t="s">
        <v>8277</v>
      </c>
      <c r="L348" t="s">
        <v>8154</v>
      </c>
      <c r="M348" t="s">
        <v>7464</v>
      </c>
      <c r="O348" s="2">
        <v>46064</v>
      </c>
      <c r="Q348">
        <f ca="1">IF(tabExam[[#This Row],[Log Date]]="","",TODAY()-tabExam[[#This Row],[Log Date]])</f>
        <v>15</v>
      </c>
      <c r="R348" t="str">
        <f>IF(tabExam[[#This Row],[Log Date]]="","",IF(TRIM(tabExam[[#This Row],[Exam Cycle Stage]])="Asked to be removed from database","NO","YES"))</f>
        <v>YES</v>
      </c>
      <c r="S34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49" spans="1:19">
      <c r="A349" t="s">
        <v>8469</v>
      </c>
      <c r="B349" t="str">
        <f>IFERROR(_xlfn.XLOOKUP(tabExam[[#This Row],[Unique ID]], tblMaster[Unique ID], tblMaster[First Name], ""), "")</f>
        <v>Rasheed</v>
      </c>
      <c r="C349" t="str">
        <f>IFERROR(_xlfn.XLOOKUP(tabExam[[#This Row],[Unique ID]], tblMaster[Unique ID], tblMaster[Last Name], ""), "")</f>
        <v>Cook</v>
      </c>
      <c r="D349" t="str">
        <f>IFERROR(_xlfn.XLOOKUP(tabExam[[#This Row],[Unique ID]], tblMaster[Unique ID], tblMaster[Email_Clean], ""), "")</f>
        <v>rasheed2390@gmail.com</v>
      </c>
      <c r="E349" t="str">
        <f>IFERROR(_xlfn.XLOOKUP(tabExam[[#This Row],[Unique ID]], tblMaster[Unique ID], tblMaster[Phone], ""), "")</f>
        <v>860-559-5135</v>
      </c>
      <c r="F349" t="str">
        <f>IFERROR(_xlfn.XLOOKUP(tabExam[[#This Row],[Unique ID]], tblMaster[Unique ID], tblMaster[Recruiter], ""), "")</f>
        <v>Zenon Moses</v>
      </c>
      <c r="G349" t="str">
        <f>IFERROR(_xlfn.XLOOKUP(tabExam[[#This Row],[Unique ID]], tblMaster[Unique ID], tblMaster[Recruitment Cycle], ""), "")</f>
        <v xml:space="preserve">Re-Engagment/Post Civil Service Exam </v>
      </c>
      <c r="H349" t="s">
        <v>8164</v>
      </c>
      <c r="I349">
        <v>2025</v>
      </c>
      <c r="J349" t="s">
        <v>7446</v>
      </c>
      <c r="K349" t="s">
        <v>8277</v>
      </c>
      <c r="L349" t="s">
        <v>8154</v>
      </c>
      <c r="Q349" t="str">
        <f ca="1">IF(tabExam[[#This Row],[Log Date]]="","",TODAY()-tabExam[[#This Row],[Log Date]])</f>
        <v/>
      </c>
      <c r="R349" t="str">
        <f>IF(tabExam[[#This Row],[Log Date]]="","",IF(TRIM(tabExam[[#This Row],[Exam Cycle Stage]])="Asked to be removed from database","NO","YES"))</f>
        <v/>
      </c>
      <c r="S3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0" spans="1:19">
      <c r="A350" t="s">
        <v>7659</v>
      </c>
      <c r="B350" t="str">
        <f>IFERROR(_xlfn.XLOOKUP(tabExam[[#This Row],[Unique ID]], tblMaster[Unique ID], tblMaster[First Name], ""), "")</f>
        <v xml:space="preserve">Carolin </v>
      </c>
      <c r="C350" t="str">
        <f>IFERROR(_xlfn.XLOOKUP(tabExam[[#This Row],[Unique ID]], tblMaster[Unique ID], tblMaster[Last Name], ""), "")</f>
        <v xml:space="preserve">Torres </v>
      </c>
      <c r="D350" t="str">
        <f>IFERROR(_xlfn.XLOOKUP(tabExam[[#This Row],[Unique ID]], tblMaster[Unique ID], tblMaster[Email_Clean], ""), "")</f>
        <v>carolyntorres009@gmail.com</v>
      </c>
      <c r="E350" t="str">
        <f>IFERROR(_xlfn.XLOOKUP(tabExam[[#This Row],[Unique ID]], tblMaster[Unique ID], tblMaster[Phone], ""), "")</f>
        <v xml:space="preserve">978) 818-4171 </v>
      </c>
      <c r="F350" t="str">
        <f>IFERROR(_xlfn.XLOOKUP(tabExam[[#This Row],[Unique ID]], tblMaster[Unique ID], tblMaster[Recruiter], ""), "")</f>
        <v xml:space="preserve">Enrique Ortiz </v>
      </c>
      <c r="G350" t="str">
        <f>IFERROR(_xlfn.XLOOKUP(tabExam[[#This Row],[Unique ID]], tblMaster[Unique ID], tblMaster[Recruitment Cycle], ""), "")</f>
        <v xml:space="preserve">New Submission/ Lead </v>
      </c>
      <c r="H350" t="s">
        <v>8150</v>
      </c>
      <c r="I350">
        <v>2026</v>
      </c>
      <c r="J350" t="s">
        <v>7446</v>
      </c>
      <c r="K350" t="s">
        <v>7439</v>
      </c>
      <c r="L350" t="s">
        <v>7491</v>
      </c>
      <c r="M350" t="s">
        <v>7434</v>
      </c>
      <c r="N350" t="s">
        <v>7435</v>
      </c>
      <c r="O350" s="2">
        <v>46059</v>
      </c>
      <c r="P350" t="s">
        <v>8158</v>
      </c>
      <c r="Q350">
        <f ca="1">IF(tabExam[[#This Row],[Log Date]]="","",TODAY()-tabExam[[#This Row],[Log Date]])</f>
        <v>20</v>
      </c>
      <c r="R350" t="str">
        <f>IF(tabExam[[#This Row],[Log Date]]="","",IF(TRIM(tabExam[[#This Row],[Exam Cycle Stage]])="Asked to be removed from database","NO","YES"))</f>
        <v>YES</v>
      </c>
      <c r="S35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1" spans="1:19">
      <c r="A351" t="s">
        <v>8470</v>
      </c>
      <c r="B351" t="str">
        <f>IFERROR(_xlfn.XLOOKUP(tabExam[[#This Row],[Unique ID]], tblMaster[Unique ID], tblMaster[First Name], ""), "")</f>
        <v xml:space="preserve">Stella </v>
      </c>
      <c r="C351" t="str">
        <f>IFERROR(_xlfn.XLOOKUP(tabExam[[#This Row],[Unique ID]], tblMaster[Unique ID], tblMaster[Last Name], ""), "")</f>
        <v xml:space="preserve"> DiFronzo </v>
      </c>
      <c r="D351" t="str">
        <f>IFERROR(_xlfn.XLOOKUP(tabExam[[#This Row],[Unique ID]], tblMaster[Unique ID], tblMaster[Email_Clean], ""), "")</f>
        <v>sdifronzo31@gmail.com</v>
      </c>
      <c r="E351" t="str">
        <f>IFERROR(_xlfn.XLOOKUP(tabExam[[#This Row],[Unique ID]], tblMaster[Unique ID], tblMaster[Phone], ""), "")</f>
        <v xml:space="preserve">(617) 999-4381 </v>
      </c>
      <c r="F351" t="str">
        <f>IFERROR(_xlfn.XLOOKUP(tabExam[[#This Row],[Unique ID]], tblMaster[Unique ID], tblMaster[Recruiter], ""), "")</f>
        <v xml:space="preserve">Christopher Servello </v>
      </c>
      <c r="G351" t="str">
        <f>IFERROR(_xlfn.XLOOKUP(tabExam[[#This Row],[Unique ID]], tblMaster[Unique ID], tblMaster[Recruitment Cycle], ""), "")</f>
        <v xml:space="preserve">New Submission/ Lead </v>
      </c>
      <c r="H351" t="s">
        <v>8150</v>
      </c>
      <c r="I351">
        <v>2026</v>
      </c>
      <c r="J351" t="s">
        <v>7446</v>
      </c>
      <c r="K351" t="s">
        <v>7439</v>
      </c>
      <c r="L351" t="s">
        <v>8167</v>
      </c>
      <c r="M351" t="s">
        <v>7434</v>
      </c>
      <c r="N351" t="s">
        <v>7435</v>
      </c>
      <c r="O351" s="2">
        <v>46059</v>
      </c>
      <c r="P351" t="s">
        <v>8158</v>
      </c>
      <c r="Q351">
        <f ca="1">IF(tabExam[[#This Row],[Log Date]]="","",TODAY()-tabExam[[#This Row],[Log Date]])</f>
        <v>20</v>
      </c>
      <c r="R351" t="str">
        <f>IF(tabExam[[#This Row],[Log Date]]="","",IF(TRIM(tabExam[[#This Row],[Exam Cycle Stage]])="Asked to be removed from database","NO","YES"))</f>
        <v>YES</v>
      </c>
      <c r="S35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2" spans="1:19">
      <c r="A352" t="s">
        <v>8118</v>
      </c>
      <c r="B352" t="str">
        <f>IFERROR(_xlfn.XLOOKUP(tabExam[[#This Row],[Unique ID]], tblMaster[Unique ID], tblMaster[First Name], ""), "")</f>
        <v>Cassandra</v>
      </c>
      <c r="C352" t="str">
        <f>IFERROR(_xlfn.XLOOKUP(tabExam[[#This Row],[Unique ID]], tblMaster[Unique ID], tblMaster[Last Name], ""), "")</f>
        <v xml:space="preserve"> Haile </v>
      </c>
      <c r="D352" t="str">
        <f>IFERROR(_xlfn.XLOOKUP(tabExam[[#This Row],[Unique ID]], tblMaster[Unique ID], tblMaster[Email_Clean], ""), "")</f>
        <v>chaile90@icloud.com</v>
      </c>
      <c r="E352" t="str">
        <f>IFERROR(_xlfn.XLOOKUP(tabExam[[#This Row],[Unique ID]], tblMaster[Unique ID], tblMaster[Phone], ""), "")</f>
        <v xml:space="preserve">(413) 364-5080 </v>
      </c>
      <c r="F352" t="str">
        <f>IFERROR(_xlfn.XLOOKUP(tabExam[[#This Row],[Unique ID]], tblMaster[Unique ID], tblMaster[Recruiter], ""), "")</f>
        <v xml:space="preserve">Enrique Ortiz </v>
      </c>
      <c r="G352" t="str">
        <f>IFERROR(_xlfn.XLOOKUP(tabExam[[#This Row],[Unique ID]], tblMaster[Unique ID], tblMaster[Recruitment Cycle], ""), "")</f>
        <v xml:space="preserve">New Submission/ Lead </v>
      </c>
      <c r="H352" t="s">
        <v>8186</v>
      </c>
      <c r="I352">
        <v>2026</v>
      </c>
      <c r="J352" t="s">
        <v>7436</v>
      </c>
      <c r="K352" t="s">
        <v>7439</v>
      </c>
      <c r="L352" t="s">
        <v>7491</v>
      </c>
      <c r="M352" t="s">
        <v>7434</v>
      </c>
      <c r="N352" t="s">
        <v>7435</v>
      </c>
      <c r="O352" s="2">
        <v>46059</v>
      </c>
      <c r="P352" t="s">
        <v>8158</v>
      </c>
      <c r="Q352">
        <f ca="1">IF(tabExam[[#This Row],[Log Date]]="","",TODAY()-tabExam[[#This Row],[Log Date]])</f>
        <v>20</v>
      </c>
      <c r="R352" t="str">
        <f>IF(tabExam[[#This Row],[Log Date]]="","",IF(TRIM(tabExam[[#This Row],[Exam Cycle Stage]])="Asked to be removed from database","NO","YES"))</f>
        <v>YES</v>
      </c>
      <c r="S35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3" spans="1:19">
      <c r="A353" t="s">
        <v>7706</v>
      </c>
      <c r="B353" t="str">
        <f>IFERROR(_xlfn.XLOOKUP(tabExam[[#This Row],[Unique ID]], tblMaster[Unique ID], tblMaster[First Name], ""), "")</f>
        <v>Richard</v>
      </c>
      <c r="C353" t="str">
        <f>IFERROR(_xlfn.XLOOKUP(tabExam[[#This Row],[Unique ID]], tblMaster[Unique ID], tblMaster[Last Name], ""), "")</f>
        <v xml:space="preserve">Carrington </v>
      </c>
      <c r="D353" t="str">
        <f>IFERROR(_xlfn.XLOOKUP(tabExam[[#This Row],[Unique ID]], tblMaster[Unique ID], tblMaster[Email_Clean], ""), "")</f>
        <v>mrrcarrington@gmail.com</v>
      </c>
      <c r="E353" t="str">
        <f>IFERROR(_xlfn.XLOOKUP(tabExam[[#This Row],[Unique ID]], tblMaster[Unique ID], tblMaster[Phone], ""), "")</f>
        <v>774-586-5085</v>
      </c>
      <c r="F353" t="str">
        <f>IFERROR(_xlfn.XLOOKUP(tabExam[[#This Row],[Unique ID]], tblMaster[Unique ID], tblMaster[Recruiter], ""), "")</f>
        <v xml:space="preserve">Austin Campos </v>
      </c>
      <c r="G353" t="str">
        <f>IFERROR(_xlfn.XLOOKUP(tabExam[[#This Row],[Unique ID]], tblMaster[Unique ID], tblMaster[Recruitment Cycle], ""), "")</f>
        <v xml:space="preserve">New Submission/ Lead </v>
      </c>
      <c r="H353" t="s">
        <v>8150</v>
      </c>
      <c r="I353">
        <v>2026</v>
      </c>
      <c r="J353" t="s">
        <v>7446</v>
      </c>
      <c r="K353" t="s">
        <v>7439</v>
      </c>
      <c r="L353" t="s">
        <v>7491</v>
      </c>
      <c r="M353" t="s">
        <v>7434</v>
      </c>
      <c r="N353" t="s">
        <v>7435</v>
      </c>
      <c r="O353" s="2">
        <v>46062</v>
      </c>
      <c r="P353" t="s">
        <v>8158</v>
      </c>
      <c r="Q353">
        <f ca="1">IF(tabExam[[#This Row],[Log Date]]="","",TODAY()-tabExam[[#This Row],[Log Date]])</f>
        <v>17</v>
      </c>
      <c r="R353" t="str">
        <f>IF(tabExam[[#This Row],[Log Date]]="","",IF(TRIM(tabExam[[#This Row],[Exam Cycle Stage]])="Asked to be removed from database","NO","YES"))</f>
        <v>YES</v>
      </c>
      <c r="S35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4" spans="1:19">
      <c r="A354" t="s">
        <v>7700</v>
      </c>
      <c r="B354" t="str">
        <f>IFERROR(_xlfn.XLOOKUP(tabExam[[#This Row],[Unique ID]], tblMaster[Unique ID], tblMaster[First Name], ""), "")</f>
        <v xml:space="preserve">Mikaila </v>
      </c>
      <c r="C354" t="str">
        <f>IFERROR(_xlfn.XLOOKUP(tabExam[[#This Row],[Unique ID]], tblMaster[Unique ID], tblMaster[Last Name], ""), "")</f>
        <v xml:space="preserve">Williams-Pina </v>
      </c>
      <c r="D354" t="str">
        <f>IFERROR(_xlfn.XLOOKUP(tabExam[[#This Row],[Unique ID]], tblMaster[Unique ID], tblMaster[Email_Clean], ""), "")</f>
        <v>mikailapina@gmail.com</v>
      </c>
      <c r="E354" t="str">
        <f>IFERROR(_xlfn.XLOOKUP(tabExam[[#This Row],[Unique ID]], tblMaster[Unique ID], tblMaster[Phone], ""), "")</f>
        <v xml:space="preserve">(781) 400-4357 </v>
      </c>
      <c r="F354" t="str">
        <f>IFERROR(_xlfn.XLOOKUP(tabExam[[#This Row],[Unique ID]], tblMaster[Unique ID], tblMaster[Recruiter], ""), "")</f>
        <v xml:space="preserve">Austin Campos </v>
      </c>
      <c r="G354" t="str">
        <f>IFERROR(_xlfn.XLOOKUP(tabExam[[#This Row],[Unique ID]], tblMaster[Unique ID], tblMaster[Recruitment Cycle], ""), "")</f>
        <v xml:space="preserve">New Submission/ Lead </v>
      </c>
      <c r="H354" t="s">
        <v>8150</v>
      </c>
      <c r="I354">
        <v>2026</v>
      </c>
      <c r="J354" t="s">
        <v>7446</v>
      </c>
      <c r="K354" t="s">
        <v>7439</v>
      </c>
      <c r="L354" t="s">
        <v>7491</v>
      </c>
      <c r="M354" t="s">
        <v>7434</v>
      </c>
      <c r="N354" t="s">
        <v>7435</v>
      </c>
      <c r="O354" s="2">
        <v>46062</v>
      </c>
      <c r="P354" t="s">
        <v>8158</v>
      </c>
      <c r="Q354">
        <f ca="1">IF(tabExam[[#This Row],[Log Date]]="","",TODAY()-tabExam[[#This Row],[Log Date]])</f>
        <v>17</v>
      </c>
      <c r="R354" t="str">
        <f>IF(tabExam[[#This Row],[Log Date]]="","",IF(TRIM(tabExam[[#This Row],[Exam Cycle Stage]])="Asked to be removed from database","NO","YES"))</f>
        <v>YES</v>
      </c>
      <c r="S35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5" spans="1:19">
      <c r="A355" t="s">
        <v>7649</v>
      </c>
      <c r="B355" t="str">
        <f>IFERROR(_xlfn.XLOOKUP(tabExam[[#This Row],[Unique ID]], tblMaster[Unique ID], tblMaster[First Name], ""), "")</f>
        <v>Devante</v>
      </c>
      <c r="C355" t="str">
        <f>IFERROR(_xlfn.XLOOKUP(tabExam[[#This Row],[Unique ID]], tblMaster[Unique ID], tblMaster[Last Name], ""), "")</f>
        <v xml:space="preserve"> Jones </v>
      </c>
      <c r="D355" t="str">
        <f>IFERROR(_xlfn.XLOOKUP(tabExam[[#This Row],[Unique ID]], tblMaster[Unique ID], tblMaster[Email_Clean], ""), "")</f>
        <v>devantejones135@gmail.com</v>
      </c>
      <c r="E355" t="str">
        <f>IFERROR(_xlfn.XLOOKUP(tabExam[[#This Row],[Unique ID]], tblMaster[Unique ID], tblMaster[Phone], ""), "")</f>
        <v xml:space="preserve">413) 363-3574 </v>
      </c>
      <c r="F355" t="str">
        <f>IFERROR(_xlfn.XLOOKUP(tabExam[[#This Row],[Unique ID]], tblMaster[Unique ID], tblMaster[Recruiter], ""), "")</f>
        <v xml:space="preserve">Christopher Servello </v>
      </c>
      <c r="G355" t="str">
        <f>IFERROR(_xlfn.XLOOKUP(tabExam[[#This Row],[Unique ID]], tblMaster[Unique ID], tblMaster[Recruitment Cycle], ""), "")</f>
        <v xml:space="preserve">New Submission/ Lead </v>
      </c>
      <c r="H355" t="s">
        <v>8150</v>
      </c>
      <c r="I355">
        <v>2026</v>
      </c>
      <c r="J355" t="s">
        <v>8471</v>
      </c>
      <c r="K355" t="s">
        <v>7439</v>
      </c>
      <c r="L355" t="s">
        <v>8167</v>
      </c>
      <c r="M355" t="s">
        <v>7434</v>
      </c>
      <c r="N355" t="s">
        <v>7435</v>
      </c>
      <c r="O355" s="2">
        <v>46062</v>
      </c>
      <c r="P355" t="s">
        <v>8158</v>
      </c>
      <c r="Q355">
        <f ca="1">IF(tabExam[[#This Row],[Log Date]]="","",TODAY()-tabExam[[#This Row],[Log Date]])</f>
        <v>17</v>
      </c>
      <c r="R355" t="str">
        <f>IF(tabExam[[#This Row],[Log Date]]="","",IF(TRIM(tabExam[[#This Row],[Exam Cycle Stage]])="Asked to be removed from database","NO","YES"))</f>
        <v>YES</v>
      </c>
      <c r="S3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6" spans="1:19">
      <c r="A356" t="s">
        <v>8061</v>
      </c>
      <c r="B356" t="str">
        <f>IFERROR(_xlfn.XLOOKUP(tabExam[[#This Row],[Unique ID]], tblMaster[Unique ID], tblMaster[First Name], ""), "")</f>
        <v xml:space="preserve">Van </v>
      </c>
      <c r="C356" t="str">
        <f>IFERROR(_xlfn.XLOOKUP(tabExam[[#This Row],[Unique ID]], tblMaster[Unique ID], tblMaster[Last Name], ""), "")</f>
        <v>Thomas</v>
      </c>
      <c r="D356" t="str">
        <f>IFERROR(_xlfn.XLOOKUP(tabExam[[#This Row],[Unique ID]], tblMaster[Unique ID], tblMaster[Email_Clean], ""), "")</f>
        <v>thomasvan731@gmail.com</v>
      </c>
      <c r="E356" t="str">
        <f>IFERROR(_xlfn.XLOOKUP(tabExam[[#This Row],[Unique ID]], tblMaster[Unique ID], tblMaster[Phone], ""), "")</f>
        <v>774-615-6312</v>
      </c>
      <c r="F356" t="str">
        <f>IFERROR(_xlfn.XLOOKUP(tabExam[[#This Row],[Unique ID]], tblMaster[Unique ID], tblMaster[Recruiter], ""), "")</f>
        <v xml:space="preserve">Christopher Servello </v>
      </c>
      <c r="G356" t="str">
        <f>IFERROR(_xlfn.XLOOKUP(tabExam[[#This Row],[Unique ID]], tblMaster[Unique ID], tblMaster[Recruitment Cycle], ""), "")</f>
        <v xml:space="preserve">Re-Engagment </v>
      </c>
      <c r="H356" t="s">
        <v>8150</v>
      </c>
      <c r="I356">
        <v>2026</v>
      </c>
      <c r="J356" t="s">
        <v>7446</v>
      </c>
      <c r="K356" t="s">
        <v>7439</v>
      </c>
      <c r="L356" t="s">
        <v>7491</v>
      </c>
      <c r="M356" t="s">
        <v>7434</v>
      </c>
      <c r="N356" t="s">
        <v>7435</v>
      </c>
      <c r="O356" s="2">
        <v>46062</v>
      </c>
      <c r="P356" t="s">
        <v>8158</v>
      </c>
      <c r="Q356">
        <f ca="1">IF(tabExam[[#This Row],[Log Date]]="","",TODAY()-tabExam[[#This Row],[Log Date]])</f>
        <v>17</v>
      </c>
      <c r="R356" t="str">
        <f>IF(tabExam[[#This Row],[Log Date]]="","",IF(TRIM(tabExam[[#This Row],[Exam Cycle Stage]])="Asked to be removed from database","NO","YES"))</f>
        <v>YES</v>
      </c>
      <c r="S35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7" spans="1:19">
      <c r="A357" t="s">
        <v>8063</v>
      </c>
      <c r="B357" t="str">
        <f>IFERROR(_xlfn.XLOOKUP(tabExam[[#This Row],[Unique ID]], tblMaster[Unique ID], tblMaster[First Name], ""), "")</f>
        <v>Anthony</v>
      </c>
      <c r="C357" t="str">
        <f>IFERROR(_xlfn.XLOOKUP(tabExam[[#This Row],[Unique ID]], tblMaster[Unique ID], tblMaster[Last Name], ""), "")</f>
        <v>Kairit</v>
      </c>
      <c r="D357" t="str">
        <f>IFERROR(_xlfn.XLOOKUP(tabExam[[#This Row],[Unique ID]], tblMaster[Unique ID], tblMaster[Email_Clean], ""), "")</f>
        <v>fishhook89@yahoo.com</v>
      </c>
      <c r="E357" t="str">
        <f>IFERROR(_xlfn.XLOOKUP(tabExam[[#This Row],[Unique ID]], tblMaster[Unique ID], tblMaster[Phone], ""), "")</f>
        <v>774-277-0343</v>
      </c>
      <c r="F357" t="str">
        <f>IFERROR(_xlfn.XLOOKUP(tabExam[[#This Row],[Unique ID]], tblMaster[Unique ID], tblMaster[Recruiter], ""), "")</f>
        <v xml:space="preserve">Christopher Servello </v>
      </c>
      <c r="G357" t="str">
        <f>IFERROR(_xlfn.XLOOKUP(tabExam[[#This Row],[Unique ID]], tblMaster[Unique ID], tblMaster[Recruitment Cycle], ""), "")</f>
        <v xml:space="preserve">Re-Engagment </v>
      </c>
      <c r="H357" t="s">
        <v>8164</v>
      </c>
      <c r="I357">
        <v>2025</v>
      </c>
      <c r="J357" t="s">
        <v>7446</v>
      </c>
      <c r="K357" t="s">
        <v>8277</v>
      </c>
      <c r="L357" t="s">
        <v>8167</v>
      </c>
      <c r="M357" t="s">
        <v>7434</v>
      </c>
      <c r="N357" t="s">
        <v>7435</v>
      </c>
      <c r="O357" s="2">
        <v>46062</v>
      </c>
      <c r="P357" t="s">
        <v>8158</v>
      </c>
      <c r="Q357">
        <f ca="1">IF(tabExam[[#This Row],[Log Date]]="","",TODAY()-tabExam[[#This Row],[Log Date]])</f>
        <v>17</v>
      </c>
      <c r="R357" t="str">
        <f>IF(tabExam[[#This Row],[Log Date]]="","",IF(TRIM(tabExam[[#This Row],[Exam Cycle Stage]])="Asked to be removed from database","NO","YES"))</f>
        <v>YES</v>
      </c>
      <c r="S35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8" spans="1:19">
      <c r="A358" t="s">
        <v>7788</v>
      </c>
      <c r="B358" t="str">
        <f>IFERROR(_xlfn.XLOOKUP(tabExam[[#This Row],[Unique ID]], tblMaster[Unique ID], tblMaster[First Name], ""), "")</f>
        <v>Josie</v>
      </c>
      <c r="C358" t="str">
        <f>IFERROR(_xlfn.XLOOKUP(tabExam[[#This Row],[Unique ID]], tblMaster[Unique ID], tblMaster[Last Name], ""), "")</f>
        <v>Desjardins</v>
      </c>
      <c r="D358" t="str">
        <f>IFERROR(_xlfn.XLOOKUP(tabExam[[#This Row],[Unique ID]], tblMaster[Unique ID], tblMaster[Email_Clean], ""), "")</f>
        <v>josiedesjardinsx96@gmail.com</v>
      </c>
      <c r="E358" t="str">
        <f>IFERROR(_xlfn.XLOOKUP(tabExam[[#This Row],[Unique ID]], tblMaster[Unique ID], tblMaster[Phone], ""), "")</f>
        <v>(401) 442-6228</v>
      </c>
      <c r="F358" t="str">
        <f>IFERROR(_xlfn.XLOOKUP(tabExam[[#This Row],[Unique ID]], tblMaster[Unique ID], tblMaster[Recruiter], ""), "")</f>
        <v xml:space="preserve">Tom Clark </v>
      </c>
      <c r="G358" t="str">
        <f>IFERROR(_xlfn.XLOOKUP(tabExam[[#This Row],[Unique ID]], tblMaster[Unique ID], tblMaster[Recruitment Cycle], ""), "")</f>
        <v xml:space="preserve">Re-Engagment </v>
      </c>
      <c r="H358" t="s">
        <v>8150</v>
      </c>
      <c r="I358">
        <v>2026</v>
      </c>
      <c r="J358" t="s">
        <v>7446</v>
      </c>
      <c r="K358" t="s">
        <v>7439</v>
      </c>
      <c r="L358" t="s">
        <v>8167</v>
      </c>
      <c r="M358" t="s">
        <v>7434</v>
      </c>
      <c r="N358" t="s">
        <v>7435</v>
      </c>
      <c r="O358" s="2">
        <v>46063</v>
      </c>
      <c r="P358" t="s">
        <v>8158</v>
      </c>
      <c r="Q358">
        <f ca="1">IF(tabExam[[#This Row],[Log Date]]="","",TODAY()-tabExam[[#This Row],[Log Date]])</f>
        <v>16</v>
      </c>
      <c r="R358" t="str">
        <f>IF(tabExam[[#This Row],[Log Date]]="","",IF(TRIM(tabExam[[#This Row],[Exam Cycle Stage]])="Asked to be removed from database","NO","YES"))</f>
        <v>YES</v>
      </c>
      <c r="S35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59" spans="1:19">
      <c r="A359" t="s">
        <v>7761</v>
      </c>
      <c r="B359" t="str">
        <f>IFERROR(_xlfn.XLOOKUP(tabExam[[#This Row],[Unique ID]], tblMaster[Unique ID], tblMaster[First Name], ""), "")</f>
        <v>Destiny</v>
      </c>
      <c r="C359" t="str">
        <f>IFERROR(_xlfn.XLOOKUP(tabExam[[#This Row],[Unique ID]], tblMaster[Unique ID], tblMaster[Last Name], ""), "")</f>
        <v>Oriakhi</v>
      </c>
      <c r="D359" t="str">
        <f>IFERROR(_xlfn.XLOOKUP(tabExam[[#This Row],[Unique ID]], tblMaster[Unique ID], tblMaster[Email_Clean], ""), "")</f>
        <v>oriakhidestiny@gmail.com</v>
      </c>
      <c r="E359" t="str">
        <f>IFERROR(_xlfn.XLOOKUP(tabExam[[#This Row],[Unique ID]], tblMaster[Unique ID], tblMaster[Phone], ""), "")</f>
        <v xml:space="preserve">781-888-5782 </v>
      </c>
      <c r="F359" t="str">
        <f>IFERROR(_xlfn.XLOOKUP(tabExam[[#This Row],[Unique ID]], tblMaster[Unique ID], tblMaster[Recruiter], ""), "")</f>
        <v xml:space="preserve">Austin Campos </v>
      </c>
      <c r="G359" t="str">
        <f>IFERROR(_xlfn.XLOOKUP(tabExam[[#This Row],[Unique ID]], tblMaster[Unique ID], tblMaster[Recruitment Cycle], ""), "")</f>
        <v xml:space="preserve">Re-Engagment </v>
      </c>
      <c r="H359" t="s">
        <v>8164</v>
      </c>
      <c r="I359">
        <v>2025</v>
      </c>
      <c r="J359" t="s">
        <v>8471</v>
      </c>
      <c r="K359" t="s">
        <v>8277</v>
      </c>
      <c r="L359" t="s">
        <v>8167</v>
      </c>
      <c r="M359" t="s">
        <v>7434</v>
      </c>
      <c r="N359" t="s">
        <v>7435</v>
      </c>
      <c r="O359" s="2">
        <v>46063</v>
      </c>
      <c r="P359" t="s">
        <v>8158</v>
      </c>
      <c r="Q359">
        <f ca="1">IF(tabExam[[#This Row],[Log Date]]="","",TODAY()-tabExam[[#This Row],[Log Date]])</f>
        <v>16</v>
      </c>
      <c r="R359" t="str">
        <f>IF(tabExam[[#This Row],[Log Date]]="","",IF(TRIM(tabExam[[#This Row],[Exam Cycle Stage]])="Asked to be removed from database","NO","YES"))</f>
        <v>YES</v>
      </c>
      <c r="S35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0" spans="1:19">
      <c r="A360" t="s">
        <v>7848</v>
      </c>
      <c r="B360" t="str">
        <f>IFERROR(_xlfn.XLOOKUP(tabExam[[#This Row],[Unique ID]], tblMaster[Unique ID], tblMaster[First Name], ""), "")</f>
        <v xml:space="preserve">Sarah </v>
      </c>
      <c r="C360" t="str">
        <f>IFERROR(_xlfn.XLOOKUP(tabExam[[#This Row],[Unique ID]], tblMaster[Unique ID], tblMaster[Last Name], ""), "")</f>
        <v xml:space="preserve">Ostrom </v>
      </c>
      <c r="D360" t="str">
        <f>IFERROR(_xlfn.XLOOKUP(tabExam[[#This Row],[Unique ID]], tblMaster[Unique ID], tblMaster[Email_Clean], ""), "")</f>
        <v>sarahrathburn@hotmail.com</v>
      </c>
      <c r="E360" t="str">
        <f>IFERROR(_xlfn.XLOOKUP(tabExam[[#This Row],[Unique ID]], tblMaster[Unique ID], tblMaster[Phone], ""), "")</f>
        <v>978 350 3613</v>
      </c>
      <c r="F360" t="str">
        <f>IFERROR(_xlfn.XLOOKUP(tabExam[[#This Row],[Unique ID]], tblMaster[Unique ID], tblMaster[Recruiter], ""), "")</f>
        <v xml:space="preserve">Enrique Ortiz </v>
      </c>
      <c r="G360" t="str">
        <f>IFERROR(_xlfn.XLOOKUP(tabExam[[#This Row],[Unique ID]], tblMaster[Unique ID], tblMaster[Recruitment Cycle], ""), "")</f>
        <v xml:space="preserve">Re-Engagment </v>
      </c>
      <c r="H360" t="s">
        <v>8150</v>
      </c>
      <c r="I360">
        <v>2026</v>
      </c>
      <c r="J360" t="s">
        <v>7446</v>
      </c>
      <c r="K360" t="s">
        <v>7439</v>
      </c>
      <c r="L360" t="s">
        <v>8167</v>
      </c>
      <c r="M360" t="s">
        <v>7434</v>
      </c>
      <c r="N360" t="s">
        <v>7435</v>
      </c>
      <c r="O360" s="2">
        <v>46063</v>
      </c>
      <c r="P360" t="s">
        <v>8158</v>
      </c>
      <c r="Q360">
        <f ca="1">IF(tabExam[[#This Row],[Log Date]]="","",TODAY()-tabExam[[#This Row],[Log Date]])</f>
        <v>16</v>
      </c>
      <c r="R360" t="str">
        <f>IF(tabExam[[#This Row],[Log Date]]="","",IF(TRIM(tabExam[[#This Row],[Exam Cycle Stage]])="Asked to be removed from database","NO","YES"))</f>
        <v>YES</v>
      </c>
      <c r="S36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1" spans="1:19">
      <c r="A361" t="s">
        <v>7869</v>
      </c>
      <c r="B361" t="str">
        <f>IFERROR(_xlfn.XLOOKUP(tabExam[[#This Row],[Unique ID]], tblMaster[Unique ID], tblMaster[First Name], ""), "")</f>
        <v xml:space="preserve">Alexandria </v>
      </c>
      <c r="C361" t="str">
        <f>IFERROR(_xlfn.XLOOKUP(tabExam[[#This Row],[Unique ID]], tblMaster[Unique ID], tblMaster[Last Name], ""), "")</f>
        <v>Gomes</v>
      </c>
      <c r="D361" t="str">
        <f>IFERROR(_xlfn.XLOOKUP(tabExam[[#This Row],[Unique ID]], tblMaster[Unique ID], tblMaster[Email_Clean], ""), "")</f>
        <v>allygomes4@gmail.com</v>
      </c>
      <c r="E361" t="str">
        <f>IFERROR(_xlfn.XLOOKUP(tabExam[[#This Row],[Unique ID]], tblMaster[Unique ID], tblMaster[Phone], ""), "")</f>
        <v>(774)-558-7151</v>
      </c>
      <c r="F361" t="str">
        <f>IFERROR(_xlfn.XLOOKUP(tabExam[[#This Row],[Unique ID]], tblMaster[Unique ID], tblMaster[Recruiter], ""), "")</f>
        <v xml:space="preserve">Tom Clark </v>
      </c>
      <c r="G361" t="str">
        <f>IFERROR(_xlfn.XLOOKUP(tabExam[[#This Row],[Unique ID]], tblMaster[Unique ID], tblMaster[Recruitment Cycle], ""), "")</f>
        <v xml:space="preserve">Re-Engagment </v>
      </c>
      <c r="H361" t="s">
        <v>8164</v>
      </c>
      <c r="I361">
        <v>2025</v>
      </c>
      <c r="J361" t="s">
        <v>7446</v>
      </c>
      <c r="K361" t="s">
        <v>8151</v>
      </c>
      <c r="L361" t="s">
        <v>8167</v>
      </c>
      <c r="M361" t="s">
        <v>7434</v>
      </c>
      <c r="N361" t="s">
        <v>7435</v>
      </c>
      <c r="O361" s="2">
        <v>46064</v>
      </c>
      <c r="P361" t="s">
        <v>8158</v>
      </c>
      <c r="Q361">
        <f ca="1">IF(tabExam[[#This Row],[Log Date]]="","",TODAY()-tabExam[[#This Row],[Log Date]])</f>
        <v>15</v>
      </c>
      <c r="R361" t="str">
        <f>IF(tabExam[[#This Row],[Log Date]]="","",IF(TRIM(tabExam[[#This Row],[Exam Cycle Stage]])="Asked to be removed from database","NO","YES"))</f>
        <v>YES</v>
      </c>
      <c r="S36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2" spans="1:19">
      <c r="A362" t="s">
        <v>7877</v>
      </c>
      <c r="B362" t="str">
        <f>IFERROR(_xlfn.XLOOKUP(tabExam[[#This Row],[Unique ID]], tblMaster[Unique ID], tblMaster[First Name], ""), "")</f>
        <v>Kyle</v>
      </c>
      <c r="C362" t="str">
        <f>IFERROR(_xlfn.XLOOKUP(tabExam[[#This Row],[Unique ID]], tblMaster[Unique ID], tblMaster[Last Name], ""), "")</f>
        <v xml:space="preserve">Russell </v>
      </c>
      <c r="D362" t="str">
        <f>IFERROR(_xlfn.XLOOKUP(tabExam[[#This Row],[Unique ID]], tblMaster[Unique ID], tblMaster[Email_Clean], ""), "")</f>
        <v>russellkyle2002@gmail.com</v>
      </c>
      <c r="E362" t="str">
        <f>IFERROR(_xlfn.XLOOKUP(tabExam[[#This Row],[Unique ID]], tblMaster[Unique ID], tblMaster[Phone], ""), "")</f>
        <v>(508) 685-4060</v>
      </c>
      <c r="F362" t="str">
        <f>IFERROR(_xlfn.XLOOKUP(tabExam[[#This Row],[Unique ID]], tblMaster[Unique ID], tblMaster[Recruiter], ""), "")</f>
        <v xml:space="preserve">Enrique Ortiz </v>
      </c>
      <c r="G362" t="str">
        <f>IFERROR(_xlfn.XLOOKUP(tabExam[[#This Row],[Unique ID]], tblMaster[Unique ID], tblMaster[Recruitment Cycle], ""), "")</f>
        <v xml:space="preserve">New Submission/ Lead </v>
      </c>
      <c r="H362" t="s">
        <v>8150</v>
      </c>
      <c r="I362">
        <v>2026</v>
      </c>
      <c r="J362" t="s">
        <v>7446</v>
      </c>
      <c r="K362" t="s">
        <v>7439</v>
      </c>
      <c r="L362" t="s">
        <v>8167</v>
      </c>
      <c r="M362" t="s">
        <v>7434</v>
      </c>
      <c r="N362" t="s">
        <v>8175</v>
      </c>
      <c r="O362" s="2">
        <v>46064</v>
      </c>
      <c r="P362" t="s">
        <v>8158</v>
      </c>
      <c r="Q362">
        <f ca="1">IF(tabExam[[#This Row],[Log Date]]="","",TODAY()-tabExam[[#This Row],[Log Date]])</f>
        <v>15</v>
      </c>
      <c r="R362" t="str">
        <f>IF(tabExam[[#This Row],[Log Date]]="","",IF(TRIM(tabExam[[#This Row],[Exam Cycle Stage]])="Asked to be removed from database","NO","YES"))</f>
        <v>YES</v>
      </c>
      <c r="S36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3" spans="1:19">
      <c r="A363" t="s">
        <v>7657</v>
      </c>
      <c r="B363" t="str">
        <f>IFERROR(_xlfn.XLOOKUP(tabExam[[#This Row],[Unique ID]], tblMaster[Unique ID], tblMaster[First Name], ""), "")</f>
        <v>Valentine</v>
      </c>
      <c r="C363" t="str">
        <f>IFERROR(_xlfn.XLOOKUP(tabExam[[#This Row],[Unique ID]], tblMaster[Unique ID], tblMaster[Last Name], ""), "")</f>
        <v xml:space="preserve">Beluchukwu </v>
      </c>
      <c r="D363" t="str">
        <f>IFERROR(_xlfn.XLOOKUP(tabExam[[#This Row],[Unique ID]], tblMaster[Unique ID], tblMaster[Email_Clean], ""), "")</f>
        <v>valentinebeluchukwu@yahoo.com</v>
      </c>
      <c r="E363" t="str">
        <f>IFERROR(_xlfn.XLOOKUP(tabExam[[#This Row],[Unique ID]], tblMaster[Unique ID], tblMaster[Phone], ""), "")</f>
        <v>(508) 808-5374</v>
      </c>
      <c r="F363" t="str">
        <f>IFERROR(_xlfn.XLOOKUP(tabExam[[#This Row],[Unique ID]], tblMaster[Unique ID], tblMaster[Recruiter], ""), "")</f>
        <v xml:space="preserve">Enrique Ortiz </v>
      </c>
      <c r="G363" t="str">
        <f>IFERROR(_xlfn.XLOOKUP(tabExam[[#This Row],[Unique ID]], tblMaster[Unique ID], tblMaster[Recruitment Cycle], ""), "")</f>
        <v xml:space="preserve">New Submission/ Lead </v>
      </c>
      <c r="H363" t="s">
        <v>8150</v>
      </c>
      <c r="I363">
        <v>2026</v>
      </c>
      <c r="J363" t="s">
        <v>7446</v>
      </c>
      <c r="K363" t="s">
        <v>7439</v>
      </c>
      <c r="L363" t="s">
        <v>8167</v>
      </c>
      <c r="M363" t="s">
        <v>7434</v>
      </c>
      <c r="N363" t="s">
        <v>7435</v>
      </c>
      <c r="O363" s="2">
        <v>46064</v>
      </c>
      <c r="P363" t="s">
        <v>8158</v>
      </c>
      <c r="Q363">
        <f ca="1">IF(tabExam[[#This Row],[Log Date]]="","",TODAY()-tabExam[[#This Row],[Log Date]])</f>
        <v>15</v>
      </c>
      <c r="R363" t="str">
        <f>IF(tabExam[[#This Row],[Log Date]]="","",IF(TRIM(tabExam[[#This Row],[Exam Cycle Stage]])="Asked to be removed from database","NO","YES"))</f>
        <v>YES</v>
      </c>
      <c r="S363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4" spans="1:19">
      <c r="A364" t="s">
        <v>7891</v>
      </c>
      <c r="B364" t="str">
        <f>IFERROR(_xlfn.XLOOKUP(tabExam[[#This Row],[Unique ID]], tblMaster[Unique ID], tblMaster[First Name], ""), "")</f>
        <v xml:space="preserve">Lea </v>
      </c>
      <c r="C364" t="str">
        <f>IFERROR(_xlfn.XLOOKUP(tabExam[[#This Row],[Unique ID]], tblMaster[Unique ID], tblMaster[Last Name], ""), "")</f>
        <v>Lea MacLean</v>
      </c>
      <c r="D364" t="str">
        <f>IFERROR(_xlfn.XLOOKUP(tabExam[[#This Row],[Unique ID]], tblMaster[Unique ID], tblMaster[Email_Clean], ""), "")</f>
        <v>lea@leamaclean.com</v>
      </c>
      <c r="E364" t="str">
        <f>IFERROR(_xlfn.XLOOKUP(tabExam[[#This Row],[Unique ID]], tblMaster[Unique ID], tblMaster[Phone], ""), "")</f>
        <v>774-666-0016</v>
      </c>
      <c r="F364" t="str">
        <f>IFERROR(_xlfn.XLOOKUP(tabExam[[#This Row],[Unique ID]], tblMaster[Unique ID], tblMaster[Recruiter], ""), "")</f>
        <v xml:space="preserve">Enrique Ortiz </v>
      </c>
      <c r="G364" t="str">
        <f>IFERROR(_xlfn.XLOOKUP(tabExam[[#This Row],[Unique ID]], tblMaster[Unique ID], tblMaster[Recruitment Cycle], ""), "")</f>
        <v xml:space="preserve">New Submission/ Lead </v>
      </c>
      <c r="H364" t="s">
        <v>8150</v>
      </c>
      <c r="I364">
        <v>2026</v>
      </c>
      <c r="J364" t="s">
        <v>7446</v>
      </c>
      <c r="K364" t="s">
        <v>7439</v>
      </c>
      <c r="L364" t="s">
        <v>8167</v>
      </c>
      <c r="M364" t="s">
        <v>7434</v>
      </c>
      <c r="N364" t="s">
        <v>7435</v>
      </c>
      <c r="O364" s="2">
        <v>46064</v>
      </c>
      <c r="P364" t="s">
        <v>8158</v>
      </c>
      <c r="Q364">
        <f ca="1">IF(tabExam[[#This Row],[Log Date]]="","",TODAY()-tabExam[[#This Row],[Log Date]])</f>
        <v>15</v>
      </c>
      <c r="R364" t="str">
        <f>IF(tabExam[[#This Row],[Log Date]]="","",IF(TRIM(tabExam[[#This Row],[Exam Cycle Stage]])="Asked to be removed from database","NO","YES"))</f>
        <v>YES</v>
      </c>
      <c r="S364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5" spans="1:19">
      <c r="A365" t="s">
        <v>8472</v>
      </c>
      <c r="B365" t="str">
        <f>IFERROR(_xlfn.XLOOKUP(tabExam[[#This Row],[Unique ID]], tblMaster[Unique ID], tblMaster[First Name], ""), "")</f>
        <v xml:space="preserve">Tristan </v>
      </c>
      <c r="C365" t="str">
        <f>IFERROR(_xlfn.XLOOKUP(tabExam[[#This Row],[Unique ID]], tblMaster[Unique ID], tblMaster[Last Name], ""), "")</f>
        <v xml:space="preserve"> Barrett </v>
      </c>
      <c r="D365" t="str">
        <f>IFERROR(_xlfn.XLOOKUP(tabExam[[#This Row],[Unique ID]], tblMaster[Unique ID], tblMaster[Email_Clean], ""), "")</f>
        <v>tristanbarrett12@gmail.com</v>
      </c>
      <c r="E365" t="str">
        <f>IFERROR(_xlfn.XLOOKUP(tabExam[[#This Row],[Unique ID]], tblMaster[Unique ID], tblMaster[Phone], ""), "")</f>
        <v xml:space="preserve">(857) 200-6227 </v>
      </c>
      <c r="F365">
        <f>IFERROR(_xlfn.XLOOKUP(tabExam[[#This Row],[Unique ID]], tblMaster[Unique ID], tblMaster[Recruiter], ""), "")</f>
        <v>0</v>
      </c>
      <c r="G365" t="str">
        <f>IFERROR(_xlfn.XLOOKUP(tabExam[[#This Row],[Unique ID]], tblMaster[Unique ID], tblMaster[Recruitment Cycle], ""), "")</f>
        <v xml:space="preserve">Re-Engagment </v>
      </c>
      <c r="Q365" t="str">
        <f ca="1">IF(tabExam[[#This Row],[Log Date]]="","",TODAY()-tabExam[[#This Row],[Log Date]])</f>
        <v/>
      </c>
      <c r="R365" t="str">
        <f>IF(tabExam[[#This Row],[Log Date]]="","",IF(TRIM(tabExam[[#This Row],[Exam Cycle Stage]])="Asked to be removed from database","NO","YES"))</f>
        <v/>
      </c>
      <c r="S3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6" spans="1:19">
      <c r="A366" t="s">
        <v>7913</v>
      </c>
      <c r="B366" t="str">
        <f>IFERROR(_xlfn.XLOOKUP(tabExam[[#This Row],[Unique ID]], tblMaster[Unique ID], tblMaster[First Name], ""), "")</f>
        <v xml:space="preserve">Seth </v>
      </c>
      <c r="C366" t="str">
        <f>IFERROR(_xlfn.XLOOKUP(tabExam[[#This Row],[Unique ID]], tblMaster[Unique ID], tblMaster[Last Name], ""), "")</f>
        <v xml:space="preserve"> Alexander </v>
      </c>
      <c r="D366" t="str">
        <f>IFERROR(_xlfn.XLOOKUP(tabExam[[#This Row],[Unique ID]], tblMaster[Unique ID], tblMaster[Email_Clean], ""), "")</f>
        <v>zander1812@yahoo.com</v>
      </c>
      <c r="E366" t="str">
        <f>IFERROR(_xlfn.XLOOKUP(tabExam[[#This Row],[Unique ID]], tblMaster[Unique ID], tblMaster[Phone], ""), "")</f>
        <v xml:space="preserve">(413) 281-2383 </v>
      </c>
      <c r="F366" t="str">
        <f>IFERROR(_xlfn.XLOOKUP(tabExam[[#This Row],[Unique ID]], tblMaster[Unique ID], tblMaster[Recruiter], ""), "")</f>
        <v xml:space="preserve">Tom Clark </v>
      </c>
      <c r="G366" t="str">
        <f>IFERROR(_xlfn.XLOOKUP(tabExam[[#This Row],[Unique ID]], tblMaster[Unique ID], tblMaster[Recruitment Cycle], ""), "")</f>
        <v xml:space="preserve">Re-Engagment </v>
      </c>
      <c r="H366" t="s">
        <v>8150</v>
      </c>
      <c r="I366">
        <v>2026</v>
      </c>
      <c r="J366" t="s">
        <v>7446</v>
      </c>
      <c r="K366" t="s">
        <v>7439</v>
      </c>
      <c r="L366" t="s">
        <v>7491</v>
      </c>
      <c r="M366" t="s">
        <v>7434</v>
      </c>
      <c r="N366" t="s">
        <v>7435</v>
      </c>
      <c r="O366" s="2">
        <v>46064</v>
      </c>
      <c r="P366" t="s">
        <v>8158</v>
      </c>
      <c r="Q366">
        <f ca="1">IF(tabExam[[#This Row],[Log Date]]="","",TODAY()-tabExam[[#This Row],[Log Date]])</f>
        <v>15</v>
      </c>
      <c r="R366" t="str">
        <f>IF(tabExam[[#This Row],[Log Date]]="","",IF(TRIM(tabExam[[#This Row],[Exam Cycle Stage]])="Asked to be removed from database","NO","YES"))</f>
        <v>YES</v>
      </c>
      <c r="S366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7" spans="1:19">
      <c r="A367" t="s">
        <v>7710</v>
      </c>
      <c r="B367" t="str">
        <f>IFERROR(_xlfn.XLOOKUP(tabExam[[#This Row],[Unique ID]], tblMaster[Unique ID], tblMaster[First Name], ""), "")</f>
        <v>Raymond</v>
      </c>
      <c r="C367" t="str">
        <f>IFERROR(_xlfn.XLOOKUP(tabExam[[#This Row],[Unique ID]], tblMaster[Unique ID], tblMaster[Last Name], ""), "")</f>
        <v xml:space="preserve"> lopez-Quiles</v>
      </c>
      <c r="D367" t="str">
        <f>IFERROR(_xlfn.XLOOKUP(tabExam[[#This Row],[Unique ID]], tblMaster[Unique ID], tblMaster[Email_Clean], ""), "")</f>
        <v>rllopezquiles98@gmail.com</v>
      </c>
      <c r="E367" t="str">
        <f>IFERROR(_xlfn.XLOOKUP(tabExam[[#This Row],[Unique ID]], tblMaster[Unique ID], tblMaster[Phone], ""), "")</f>
        <v>(774) 441-4427</v>
      </c>
      <c r="F367" t="str">
        <f>IFERROR(_xlfn.XLOOKUP(tabExam[[#This Row],[Unique ID]], tblMaster[Unique ID], tblMaster[Recruiter], ""), "")</f>
        <v>Zenon Moses</v>
      </c>
      <c r="G367" t="str">
        <f>IFERROR(_xlfn.XLOOKUP(tabExam[[#This Row],[Unique ID]], tblMaster[Unique ID], tblMaster[Recruitment Cycle], ""), "")</f>
        <v xml:space="preserve">New Submission/ Lead </v>
      </c>
      <c r="H367" t="s">
        <v>8150</v>
      </c>
      <c r="I367">
        <v>2026</v>
      </c>
      <c r="J367" t="s">
        <v>7446</v>
      </c>
      <c r="K367" t="s">
        <v>7439</v>
      </c>
      <c r="L367" t="s">
        <v>8167</v>
      </c>
      <c r="M367" t="s">
        <v>7434</v>
      </c>
      <c r="N367" t="s">
        <v>7435</v>
      </c>
      <c r="O367" s="2">
        <v>46064</v>
      </c>
      <c r="P367" t="s">
        <v>8158</v>
      </c>
      <c r="Q367">
        <f ca="1">IF(tabExam[[#This Row],[Log Date]]="","",TODAY()-tabExam[[#This Row],[Log Date]])</f>
        <v>15</v>
      </c>
      <c r="R367" t="str">
        <f>IF(tabExam[[#This Row],[Log Date]]="","",IF(TRIM(tabExam[[#This Row],[Exam Cycle Stage]])="Asked to be removed from database","NO","YES"))</f>
        <v>YES</v>
      </c>
      <c r="S367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8" spans="1:19">
      <c r="A368" t="s">
        <v>7919</v>
      </c>
      <c r="B368" t="str">
        <f>IFERROR(_xlfn.XLOOKUP(tabExam[[#This Row],[Unique ID]], tblMaster[Unique ID], tblMaster[First Name], ""), "")</f>
        <v>Georgia</v>
      </c>
      <c r="C368" t="str">
        <f>IFERROR(_xlfn.XLOOKUP(tabExam[[#This Row],[Unique ID]], tblMaster[Unique ID], tblMaster[Last Name], ""), "")</f>
        <v xml:space="preserve">Silv </v>
      </c>
      <c r="D368" t="str">
        <f>IFERROR(_xlfn.XLOOKUP(tabExam[[#This Row],[Unique ID]], tblMaster[Unique ID], tblMaster[Email_Clean], ""), "")</f>
        <v>georgiasarai@hotmail.com</v>
      </c>
      <c r="E368" t="str">
        <f>IFERROR(_xlfn.XLOOKUP(tabExam[[#This Row],[Unique ID]], tblMaster[Unique ID], tblMaster[Phone], ""), "")</f>
        <v xml:space="preserve">857) 346-8037 </v>
      </c>
      <c r="F368" t="str">
        <f>IFERROR(_xlfn.XLOOKUP(tabExam[[#This Row],[Unique ID]], tblMaster[Unique ID], tblMaster[Recruiter], ""), "")</f>
        <v xml:space="preserve">Enrique Ortiz </v>
      </c>
      <c r="G368" t="str">
        <f>IFERROR(_xlfn.XLOOKUP(tabExam[[#This Row],[Unique ID]], tblMaster[Unique ID], tblMaster[Recruitment Cycle], ""), "")</f>
        <v xml:space="preserve">Re-Engagment </v>
      </c>
      <c r="H368" t="s">
        <v>8164</v>
      </c>
      <c r="I368">
        <v>2025</v>
      </c>
      <c r="J368" t="s">
        <v>7446</v>
      </c>
      <c r="K368" t="s">
        <v>8277</v>
      </c>
      <c r="L368" t="s">
        <v>8167</v>
      </c>
      <c r="M368" t="s">
        <v>7434</v>
      </c>
      <c r="N368" t="s">
        <v>7435</v>
      </c>
      <c r="O368" s="2">
        <v>46064</v>
      </c>
      <c r="P368" t="s">
        <v>8158</v>
      </c>
      <c r="Q368">
        <f ca="1">IF(tabExam[[#This Row],[Log Date]]="","",TODAY()-tabExam[[#This Row],[Log Date]])</f>
        <v>15</v>
      </c>
      <c r="R368" t="str">
        <f>IF(tabExam[[#This Row],[Log Date]]="","",IF(TRIM(tabExam[[#This Row],[Exam Cycle Stage]])="Asked to be removed from database","NO","YES"))</f>
        <v>YES</v>
      </c>
      <c r="S36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69" spans="1:19">
      <c r="A369" t="s">
        <v>8026</v>
      </c>
      <c r="B369" t="str">
        <f>IFERROR(_xlfn.XLOOKUP(tabExam[[#This Row],[Unique ID]], tblMaster[Unique ID], tblMaster[First Name], ""), "")</f>
        <v xml:space="preserve">Javis </v>
      </c>
      <c r="C369" t="str">
        <f>IFERROR(_xlfn.XLOOKUP(tabExam[[#This Row],[Unique ID]], tblMaster[Unique ID], tblMaster[Last Name], ""), "")</f>
        <v xml:space="preserve">Njinda </v>
      </c>
      <c r="D369" t="str">
        <f>IFERROR(_xlfn.XLOOKUP(tabExam[[#This Row],[Unique ID]], tblMaster[Unique ID], tblMaster[Email_Clean], ""), "")</f>
        <v>djindajarvis@yahoo.com</v>
      </c>
      <c r="E369" t="str">
        <f>IFERROR(_xlfn.XLOOKUP(tabExam[[#This Row],[Unique ID]], tblMaster[Unique ID], tblMaster[Phone], ""), "")</f>
        <v>(508) 309-2430</v>
      </c>
      <c r="F369" t="str">
        <f>IFERROR(_xlfn.XLOOKUP(tabExam[[#This Row],[Unique ID]], tblMaster[Unique ID], tblMaster[Recruiter], ""), "")</f>
        <v xml:space="preserve">Jevon Brown Simpson </v>
      </c>
      <c r="G369" t="str">
        <f>IFERROR(_xlfn.XLOOKUP(tabExam[[#This Row],[Unique ID]], tblMaster[Unique ID], tblMaster[Recruitment Cycle], ""), "")</f>
        <v xml:space="preserve">New Submission/ Lead </v>
      </c>
      <c r="H369" t="s">
        <v>8150</v>
      </c>
      <c r="I369">
        <v>2026</v>
      </c>
      <c r="J369" t="s">
        <v>7446</v>
      </c>
      <c r="K369" t="s">
        <v>7439</v>
      </c>
      <c r="M369" t="s">
        <v>7464</v>
      </c>
      <c r="N369" t="s">
        <v>7435</v>
      </c>
      <c r="O369" s="2">
        <v>46066</v>
      </c>
      <c r="P369" t="s">
        <v>8158</v>
      </c>
      <c r="Q369">
        <f ca="1">IF(tabExam[[#This Row],[Log Date]]="","",TODAY()-tabExam[[#This Row],[Log Date]])</f>
        <v>13</v>
      </c>
      <c r="R369" t="str">
        <f>IF(tabExam[[#This Row],[Log Date]]="","",IF(TRIM(tabExam[[#This Row],[Exam Cycle Stage]])="Asked to be removed from database","NO","YES"))</f>
        <v>YES</v>
      </c>
      <c r="S36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0" spans="1:19">
      <c r="A370" t="s">
        <v>8055</v>
      </c>
      <c r="B370" t="str">
        <f>IFERROR(_xlfn.XLOOKUP(tabExam[[#This Row],[Unique ID]], tblMaster[Unique ID], tblMaster[First Name], ""), "")</f>
        <v>Ari</v>
      </c>
      <c r="C370" t="str">
        <f>IFERROR(_xlfn.XLOOKUP(tabExam[[#This Row],[Unique ID]], tblMaster[Unique ID], tblMaster[Last Name], ""), "")</f>
        <v>Koutsogiannis</v>
      </c>
      <c r="D370" t="str">
        <f>IFERROR(_xlfn.XLOOKUP(tabExam[[#This Row],[Unique ID]], tblMaster[Unique ID], tblMaster[Email_Clean], ""), "")</f>
        <v>akouts123@gmail.com</v>
      </c>
      <c r="E370" t="str">
        <f>IFERROR(_xlfn.XLOOKUP(tabExam[[#This Row],[Unique ID]], tblMaster[Unique ID], tblMaster[Phone], ""), "")</f>
        <v>(774) 274-9433</v>
      </c>
      <c r="F370" t="str">
        <f>IFERROR(_xlfn.XLOOKUP(tabExam[[#This Row],[Unique ID]], tblMaster[Unique ID], tblMaster[Recruiter], ""), "")</f>
        <v xml:space="preserve">Jevon Brown Simpson </v>
      </c>
      <c r="G370" t="str">
        <f>IFERROR(_xlfn.XLOOKUP(tabExam[[#This Row],[Unique ID]], tblMaster[Unique ID], tblMaster[Recruitment Cycle], ""), "")</f>
        <v xml:space="preserve">New Submission/ Lead </v>
      </c>
      <c r="H370" t="s">
        <v>8150</v>
      </c>
      <c r="I370">
        <v>2026</v>
      </c>
      <c r="J370" t="s">
        <v>7446</v>
      </c>
      <c r="K370" t="s">
        <v>7439</v>
      </c>
      <c r="M370" t="s">
        <v>7434</v>
      </c>
      <c r="N370" t="s">
        <v>7435</v>
      </c>
      <c r="O370" s="2">
        <v>46066</v>
      </c>
      <c r="P370" t="s">
        <v>8158</v>
      </c>
      <c r="Q370">
        <f ca="1">IF(tabExam[[#This Row],[Log Date]]="","",TODAY()-tabExam[[#This Row],[Log Date]])</f>
        <v>13</v>
      </c>
      <c r="R370" t="str">
        <f>IF(tabExam[[#This Row],[Log Date]]="","",IF(TRIM(tabExam[[#This Row],[Exam Cycle Stage]])="Asked to be removed from database","NO","YES"))</f>
        <v>YES</v>
      </c>
      <c r="S370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1" spans="1:19">
      <c r="A371" t="s">
        <v>7376</v>
      </c>
      <c r="B371" t="s">
        <v>8473</v>
      </c>
      <c r="C371" t="s">
        <v>7378</v>
      </c>
      <c r="D371" s="108" t="s">
        <v>7379</v>
      </c>
      <c r="E371" t="str">
        <f>IFERROR(_xlfn.XLOOKUP(tabExam[[#This Row],[Unique ID]], tblMaster[Unique ID], tblMaster[Phone], ""), "")</f>
        <v>508-904-5057</v>
      </c>
      <c r="F371" t="str">
        <f>IFERROR(_xlfn.XLOOKUP(tabExam[[#This Row],[Unique ID]], tblMaster[Unique ID], tblMaster[Recruiter], ""), "")</f>
        <v xml:space="preserve">Tom Clark </v>
      </c>
      <c r="G371" t="str">
        <f>IFERROR(_xlfn.XLOOKUP(tabExam[[#This Row],[Unique ID]], tblMaster[Unique ID], tblMaster[Recruitment Cycle], ""), "")</f>
        <v xml:space="preserve">Re-Engagment/Post Civil Service Exam </v>
      </c>
      <c r="H371" t="s">
        <v>8164</v>
      </c>
      <c r="I371">
        <v>2025</v>
      </c>
      <c r="J371" t="s">
        <v>7446</v>
      </c>
      <c r="K371" t="s">
        <v>8151</v>
      </c>
      <c r="L371" t="s">
        <v>8165</v>
      </c>
      <c r="M371" t="s">
        <v>7434</v>
      </c>
      <c r="N371" t="s">
        <v>7435</v>
      </c>
      <c r="O371" s="2">
        <v>46071</v>
      </c>
      <c r="P371" t="s">
        <v>8158</v>
      </c>
      <c r="Q371">
        <f ca="1">IF(tabExam[[#This Row],[Log Date]]="","",TODAY()-tabExam[[#This Row],[Log Date]])</f>
        <v>8</v>
      </c>
      <c r="R371" t="str">
        <f>IF(tabExam[[#This Row],[Log Date]]="","",IF(TRIM(tabExam[[#This Row],[Exam Cycle Stage]])="Asked to be removed from database","NO","YES"))</f>
        <v>YES</v>
      </c>
      <c r="S371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2" spans="1:19">
      <c r="A372" t="s">
        <v>8474</v>
      </c>
      <c r="B372" t="str">
        <f>IFERROR(_xlfn.XLOOKUP(tabExam[[#This Row],[Unique ID]], tblMaster[Unique ID], tblMaster[First Name], ""), "")</f>
        <v xml:space="preserve">Frankllely </v>
      </c>
      <c r="C372" t="str">
        <f>IFERROR(_xlfn.XLOOKUP(tabExam[[#This Row],[Unique ID]], tblMaster[Unique ID], tblMaster[Last Name], ""), "")</f>
        <v xml:space="preserve">Hernandez </v>
      </c>
      <c r="D372" t="str">
        <f>IFERROR(_xlfn.XLOOKUP(tabExam[[#This Row],[Unique ID]], tblMaster[Unique ID], tblMaster[Email_Clean], ""), "")</f>
        <v>frankllely12h@gmail.com</v>
      </c>
      <c r="E372" t="str">
        <f>IFERROR(_xlfn.XLOOKUP(tabExam[[#This Row],[Unique ID]], tblMaster[Unique ID], tblMaster[Phone], ""), "")</f>
        <v xml:space="preserve">(857) 339-6599 </v>
      </c>
      <c r="F372" t="str">
        <f>IFERROR(_xlfn.XLOOKUP(tabExam[[#This Row],[Unique ID]], tblMaster[Unique ID], tblMaster[Recruiter], ""), "")</f>
        <v>Zenon Moses</v>
      </c>
      <c r="G372" t="str">
        <f>IFERROR(_xlfn.XLOOKUP(tabExam[[#This Row],[Unique ID]], tblMaster[Unique ID], tblMaster[Recruitment Cycle], ""), "")</f>
        <v xml:space="preserve">Re-Engagment/Post Civil Service Exam </v>
      </c>
      <c r="H372" t="s">
        <v>8164</v>
      </c>
      <c r="I372">
        <v>2025</v>
      </c>
      <c r="J372" t="s">
        <v>7446</v>
      </c>
      <c r="K372" t="s">
        <v>8151</v>
      </c>
      <c r="L372" t="s">
        <v>8165</v>
      </c>
      <c r="M372" t="s">
        <v>7434</v>
      </c>
      <c r="N372" t="s">
        <v>7435</v>
      </c>
      <c r="O372" s="2">
        <v>46071</v>
      </c>
      <c r="P372" t="s">
        <v>8158</v>
      </c>
      <c r="Q372">
        <f ca="1">IF(tabExam[[#This Row],[Log Date]]="","",TODAY()-tabExam[[#This Row],[Log Date]])</f>
        <v>8</v>
      </c>
      <c r="R372" t="str">
        <f>IF(tabExam[[#This Row],[Log Date]]="","",IF(TRIM(tabExam[[#This Row],[Exam Cycle Stage]])="Asked to be removed from database","NO","YES"))</f>
        <v>YES</v>
      </c>
      <c r="S37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3" spans="1:19">
      <c r="A373" t="s">
        <v>8475</v>
      </c>
      <c r="B373" t="str">
        <f>IFERROR(_xlfn.XLOOKUP(tabExam[[#This Row],[Unique ID]], tblMaster[Unique ID], tblMaster[First Name], ""), "")</f>
        <v xml:space="preserve">Roberta </v>
      </c>
      <c r="C373" t="str">
        <f>IFERROR(_xlfn.XLOOKUP(tabExam[[#This Row],[Unique ID]], tblMaster[Unique ID], tblMaster[Last Name], ""), "")</f>
        <v xml:space="preserve">Lopes </v>
      </c>
      <c r="D373" t="str">
        <f>IFERROR(_xlfn.XLOOKUP(tabExam[[#This Row],[Unique ID]], tblMaster[Unique ID], tblMaster[Email_Clean], ""), "")</f>
        <v>robertalopes62@hotmail.com</v>
      </c>
      <c r="E373" t="str">
        <f>IFERROR(_xlfn.XLOOKUP(tabExam[[#This Row],[Unique ID]], tblMaster[Unique ID], tblMaster[Phone], ""), "")</f>
        <v xml:space="preserve">(774) 206-0582 </v>
      </c>
      <c r="F373">
        <f>IFERROR(_xlfn.XLOOKUP(tabExam[[#This Row],[Unique ID]], tblMaster[Unique ID], tblMaster[Recruiter], ""), "")</f>
        <v>0</v>
      </c>
      <c r="G373" t="str">
        <f>IFERROR(_xlfn.XLOOKUP(tabExam[[#This Row],[Unique ID]], tblMaster[Unique ID], tblMaster[Recruitment Cycle], ""), "")</f>
        <v xml:space="preserve">Re-Engagment/Post Civil Service Exam </v>
      </c>
      <c r="H373" t="s">
        <v>8164</v>
      </c>
      <c r="I373">
        <v>2025</v>
      </c>
      <c r="J373" t="s">
        <v>7446</v>
      </c>
      <c r="K373" t="s">
        <v>8151</v>
      </c>
      <c r="L373" t="s">
        <v>8165</v>
      </c>
      <c r="Q373" t="str">
        <f ca="1">IF(tabExam[[#This Row],[Log Date]]="","",TODAY()-tabExam[[#This Row],[Log Date]])</f>
        <v/>
      </c>
      <c r="R373" t="str">
        <f>IF(tabExam[[#This Row],[Log Date]]="","",IF(TRIM(tabExam[[#This Row],[Exam Cycle Stage]])="Asked to be removed from database","NO","YES"))</f>
        <v/>
      </c>
      <c r="S3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4" spans="1:19">
      <c r="A374" t="s">
        <v>8476</v>
      </c>
      <c r="B374" t="str">
        <f>IFERROR(_xlfn.XLOOKUP(tabExam[[#This Row],[Unique ID]], tblMaster[Unique ID], tblMaster[First Name], ""), "")</f>
        <v>Linda</v>
      </c>
      <c r="C374" t="str">
        <f>IFERROR(_xlfn.XLOOKUP(tabExam[[#This Row],[Unique ID]], tblMaster[Unique ID], tblMaster[Last Name], ""), "")</f>
        <v>Son</v>
      </c>
      <c r="D374" t="str">
        <f>IFERROR(_xlfn.XLOOKUP(tabExam[[#This Row],[Unique ID]], tblMaster[Unique ID], tblMaster[Email_Clean], ""), "")</f>
        <v>sonliinda7@gmail.com</v>
      </c>
      <c r="E374" t="str">
        <f>IFERROR(_xlfn.XLOOKUP(tabExam[[#This Row],[Unique ID]], tblMaster[Unique ID], tblMaster[Phone], ""), "")</f>
        <v>(351) 209-8724</v>
      </c>
      <c r="F374">
        <f>IFERROR(_xlfn.XLOOKUP(tabExam[[#This Row],[Unique ID]], tblMaster[Unique ID], tblMaster[Recruiter], ""), "")</f>
        <v>0</v>
      </c>
      <c r="G374" t="str">
        <f>IFERROR(_xlfn.XLOOKUP(tabExam[[#This Row],[Unique ID]], tblMaster[Unique ID], tblMaster[Recruitment Cycle], ""), "")</f>
        <v xml:space="preserve">Re-Engagment/Post Civil Service Exam </v>
      </c>
      <c r="H374" t="s">
        <v>8164</v>
      </c>
      <c r="I374">
        <v>2025</v>
      </c>
      <c r="J374" t="s">
        <v>7446</v>
      </c>
      <c r="K374" t="s">
        <v>8151</v>
      </c>
      <c r="L374" t="s">
        <v>8165</v>
      </c>
      <c r="Q374" t="str">
        <f ca="1">IF(tabExam[[#This Row],[Log Date]]="","",TODAY()-tabExam[[#This Row],[Log Date]])</f>
        <v/>
      </c>
      <c r="R374" t="str">
        <f>IF(tabExam[[#This Row],[Log Date]]="","",IF(TRIM(tabExam[[#This Row],[Exam Cycle Stage]])="Asked to be removed from database","NO","YES"))</f>
        <v/>
      </c>
      <c r="S3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5" spans="1:19">
      <c r="A375" t="s">
        <v>8477</v>
      </c>
      <c r="B375" t="str">
        <f>IFERROR(_xlfn.XLOOKUP(tabExam[[#This Row],[Unique ID]], tblMaster[Unique ID], tblMaster[First Name], ""), "")</f>
        <v xml:space="preserve">Maxwell </v>
      </c>
      <c r="C375" t="str">
        <f>IFERROR(_xlfn.XLOOKUP(tabExam[[#This Row],[Unique ID]], tblMaster[Unique ID], tblMaster[Last Name], ""), "")</f>
        <v xml:space="preserve">Aduboakye </v>
      </c>
      <c r="D375" t="str">
        <f>IFERROR(_xlfn.XLOOKUP(tabExam[[#This Row],[Unique ID]], tblMaster[Unique ID], tblMaster[Email_Clean], ""), "")</f>
        <v>maxagriin@gmail.com</v>
      </c>
      <c r="E375" t="str">
        <f>IFERROR(_xlfn.XLOOKUP(tabExam[[#This Row],[Unique ID]], tblMaster[Unique ID], tblMaster[Phone], ""), "")</f>
        <v>715-497-6786</v>
      </c>
      <c r="F375">
        <f>IFERROR(_xlfn.XLOOKUP(tabExam[[#This Row],[Unique ID]], tblMaster[Unique ID], tblMaster[Recruiter], ""), "")</f>
        <v>0</v>
      </c>
      <c r="G375" t="str">
        <f>IFERROR(_xlfn.XLOOKUP(tabExam[[#This Row],[Unique ID]], tblMaster[Unique ID], tblMaster[Recruitment Cycle], ""), "")</f>
        <v xml:space="preserve">Re-Engagment/Post Civil Service Exam </v>
      </c>
      <c r="H375" t="s">
        <v>8164</v>
      </c>
      <c r="I375">
        <v>2025</v>
      </c>
      <c r="J375" t="s">
        <v>7446</v>
      </c>
      <c r="K375" t="s">
        <v>8151</v>
      </c>
      <c r="L375" t="s">
        <v>8165</v>
      </c>
      <c r="Q375" t="str">
        <f ca="1">IF(tabExam[[#This Row],[Log Date]]="","",TODAY()-tabExam[[#This Row],[Log Date]])</f>
        <v/>
      </c>
      <c r="R375" t="str">
        <f>IF(tabExam[[#This Row],[Log Date]]="","",IF(TRIM(tabExam[[#This Row],[Exam Cycle Stage]])="Asked to be removed from database","NO","YES"))</f>
        <v/>
      </c>
      <c r="S3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6" spans="1:19">
      <c r="A376" t="s">
        <v>8478</v>
      </c>
      <c r="B376" t="str">
        <f>IFERROR(_xlfn.XLOOKUP(tabExam[[#This Row],[Unique ID]], tblMaster[Unique ID], tblMaster[First Name], ""), "")</f>
        <v>Xavier</v>
      </c>
      <c r="C376" t="str">
        <f>IFERROR(_xlfn.XLOOKUP(tabExam[[#This Row],[Unique ID]], tblMaster[Unique ID], tblMaster[Last Name], ""), "")</f>
        <v>Medina</v>
      </c>
      <c r="D376" t="str">
        <f>IFERROR(_xlfn.XLOOKUP(tabExam[[#This Row],[Unique ID]], tblMaster[Unique ID], tblMaster[Email_Clean], ""), "")</f>
        <v>xjr12193842@gmail.com</v>
      </c>
      <c r="E376" t="str">
        <f>IFERROR(_xlfn.XLOOKUP(tabExam[[#This Row],[Unique ID]], tblMaster[Unique ID], tblMaster[Phone], ""), "")</f>
        <v>401-497-6254</v>
      </c>
      <c r="F376">
        <f>IFERROR(_xlfn.XLOOKUP(tabExam[[#This Row],[Unique ID]], tblMaster[Unique ID], tblMaster[Recruiter], ""), "")</f>
        <v>0</v>
      </c>
      <c r="G376" t="str">
        <f>IFERROR(_xlfn.XLOOKUP(tabExam[[#This Row],[Unique ID]], tblMaster[Unique ID], tblMaster[Recruitment Cycle], ""), "")</f>
        <v xml:space="preserve">Re-Engagment/Post Civil Service Exam </v>
      </c>
      <c r="H376" t="s">
        <v>8164</v>
      </c>
      <c r="I376">
        <v>2025</v>
      </c>
      <c r="J376" t="s">
        <v>7446</v>
      </c>
      <c r="K376" t="s">
        <v>8151</v>
      </c>
      <c r="L376" t="s">
        <v>8165</v>
      </c>
      <c r="Q376" t="str">
        <f ca="1">IF(tabExam[[#This Row],[Log Date]]="","",TODAY()-tabExam[[#This Row],[Log Date]])</f>
        <v/>
      </c>
      <c r="R376" t="str">
        <f>IF(tabExam[[#This Row],[Log Date]]="","",IF(TRIM(tabExam[[#This Row],[Exam Cycle Stage]])="Asked to be removed from database","NO","YES"))</f>
        <v/>
      </c>
      <c r="S3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7" spans="1:19">
      <c r="A377" t="s">
        <v>8437</v>
      </c>
      <c r="B377" t="str">
        <f>IFERROR(_xlfn.XLOOKUP(tabExam[[#This Row],[Unique ID]], tblMaster[Unique ID], tblMaster[First Name], ""), "")</f>
        <v xml:space="preserve">Anthony </v>
      </c>
      <c r="C377" t="str">
        <f>IFERROR(_xlfn.XLOOKUP(tabExam[[#This Row],[Unique ID]], tblMaster[Unique ID], tblMaster[Last Name], ""), "")</f>
        <v>Pierre-Louis</v>
      </c>
      <c r="D377" t="str">
        <f>IFERROR(_xlfn.XLOOKUP(tabExam[[#This Row],[Unique ID]], tblMaster[Unique ID], tblMaster[Email_Clean], ""), "")</f>
        <v>apl2k14@gmail.com</v>
      </c>
      <c r="E377" t="str">
        <f>IFERROR(_xlfn.XLOOKUP(tabExam[[#This Row],[Unique ID]], tblMaster[Unique ID], tblMaster[Phone], ""), "")</f>
        <v>772-361-5658</v>
      </c>
      <c r="F377" t="str">
        <f>IFERROR(_xlfn.XLOOKUP(tabExam[[#This Row],[Unique ID]], tblMaster[Unique ID], tblMaster[Recruiter], ""), "")</f>
        <v xml:space="preserve">Jevon Brown Simpson </v>
      </c>
      <c r="G377" t="str">
        <f>IFERROR(_xlfn.XLOOKUP(tabExam[[#This Row],[Unique ID]], tblMaster[Unique ID], tblMaster[Recruitment Cycle], ""), "")</f>
        <v xml:space="preserve">Re-Engagment/Post Civil Service Exam </v>
      </c>
      <c r="H377" t="s">
        <v>8164</v>
      </c>
      <c r="I377">
        <v>2025</v>
      </c>
      <c r="J377" t="s">
        <v>7446</v>
      </c>
      <c r="K377" t="s">
        <v>8151</v>
      </c>
      <c r="L377" t="s">
        <v>8165</v>
      </c>
      <c r="Q377" t="str">
        <f ca="1">IF(tabExam[[#This Row],[Log Date]]="","",TODAY()-tabExam[[#This Row],[Log Date]])</f>
        <v/>
      </c>
      <c r="R377" t="str">
        <f>IF(tabExam[[#This Row],[Log Date]]="","",IF(TRIM(tabExam[[#This Row],[Exam Cycle Stage]])="Asked to be removed from database","NO","YES"))</f>
        <v/>
      </c>
      <c r="S3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8" spans="1:19">
      <c r="A378" t="s">
        <v>8479</v>
      </c>
      <c r="B378" t="str">
        <f>IFERROR(_xlfn.XLOOKUP(tabExam[[#This Row],[Unique ID]], tblMaster[Unique ID], tblMaster[First Name], ""), "")</f>
        <v xml:space="preserve">Hayley </v>
      </c>
      <c r="C378" t="str">
        <f>IFERROR(_xlfn.XLOOKUP(tabExam[[#This Row],[Unique ID]], tblMaster[Unique ID], tblMaster[Last Name], ""), "")</f>
        <v xml:space="preserve">Richard </v>
      </c>
      <c r="D378" t="str">
        <f>IFERROR(_xlfn.XLOOKUP(tabExam[[#This Row],[Unique ID]], tblMaster[Unique ID], tblMaster[Email_Clean], ""), "")</f>
        <v>hayley.richard@yahoo.com</v>
      </c>
      <c r="E378" t="str">
        <f>IFERROR(_xlfn.XLOOKUP(tabExam[[#This Row],[Unique ID]], tblMaster[Unique ID], tblMaster[Phone], ""), "")</f>
        <v xml:space="preserve">(978) 516-8713 </v>
      </c>
      <c r="F378" t="str">
        <f>IFERROR(_xlfn.XLOOKUP(tabExam[[#This Row],[Unique ID]], tblMaster[Unique ID], tblMaster[Recruiter], ""), "")</f>
        <v xml:space="preserve">Jevon Brown Simpson </v>
      </c>
      <c r="G378" t="str">
        <f>IFERROR(_xlfn.XLOOKUP(tabExam[[#This Row],[Unique ID]], tblMaster[Unique ID], tblMaster[Recruitment Cycle], ""), "")</f>
        <v xml:space="preserve">Re-Engagment/Post Civil Service Exam </v>
      </c>
      <c r="H378" t="s">
        <v>8360</v>
      </c>
      <c r="I378">
        <v>2025</v>
      </c>
      <c r="J378" t="s">
        <v>7446</v>
      </c>
      <c r="K378" t="s">
        <v>8151</v>
      </c>
      <c r="L378" t="s">
        <v>8165</v>
      </c>
      <c r="Q378" t="str">
        <f ca="1">IF(tabExam[[#This Row],[Log Date]]="","",TODAY()-tabExam[[#This Row],[Log Date]])</f>
        <v/>
      </c>
      <c r="R378" t="str">
        <f>IF(tabExam[[#This Row],[Log Date]]="","",IF(TRIM(tabExam[[#This Row],[Exam Cycle Stage]])="Asked to be removed from database","NO","YES"))</f>
        <v/>
      </c>
      <c r="S3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79" spans="1:19">
      <c r="A379" t="s">
        <v>8480</v>
      </c>
      <c r="B379" t="str">
        <f>IFERROR(_xlfn.XLOOKUP(tabExam[[#This Row],[Unique ID]], tblMaster[Unique ID], tblMaster[First Name], ""), "")</f>
        <v>Giovanni</v>
      </c>
      <c r="C379" t="str">
        <f>IFERROR(_xlfn.XLOOKUP(tabExam[[#This Row],[Unique ID]], tblMaster[Unique ID], tblMaster[Last Name], ""), "")</f>
        <v>Acevedo-cruz</v>
      </c>
      <c r="D379" t="str">
        <f>IFERROR(_xlfn.XLOOKUP(tabExam[[#This Row],[Unique ID]], tblMaster[Unique ID], tblMaster[Email_Clean], ""), "")</f>
        <v>gio123787@gmail.com</v>
      </c>
      <c r="E379" t="str">
        <f>IFERROR(_xlfn.XLOOKUP(tabExam[[#This Row],[Unique ID]], tblMaster[Unique ID], tblMaster[Phone], ""), "")</f>
        <v>959-222-3257</v>
      </c>
      <c r="F379" t="str">
        <f>IFERROR(_xlfn.XLOOKUP(tabExam[[#This Row],[Unique ID]], tblMaster[Unique ID], tblMaster[Recruiter], ""), "")</f>
        <v xml:space="preserve">Tom Clark </v>
      </c>
      <c r="G379" t="str">
        <f>IFERROR(_xlfn.XLOOKUP(tabExam[[#This Row],[Unique ID]], tblMaster[Unique ID], tblMaster[Recruitment Cycle], ""), "")</f>
        <v xml:space="preserve">Re-Engagment/Post Civil Service Exam </v>
      </c>
      <c r="H379" t="s">
        <v>8360</v>
      </c>
      <c r="I379">
        <v>2025</v>
      </c>
      <c r="J379" t="s">
        <v>7446</v>
      </c>
      <c r="K379" t="s">
        <v>8151</v>
      </c>
      <c r="L379" t="s">
        <v>8165</v>
      </c>
      <c r="Q379" t="str">
        <f ca="1">IF(tabExam[[#This Row],[Log Date]]="","",TODAY()-tabExam[[#This Row],[Log Date]])</f>
        <v/>
      </c>
      <c r="R379" t="str">
        <f>IF(tabExam[[#This Row],[Log Date]]="","",IF(TRIM(tabExam[[#This Row],[Exam Cycle Stage]])="Asked to be removed from database","NO","YES"))</f>
        <v/>
      </c>
      <c r="S3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0" spans="1:19">
      <c r="A380" t="s">
        <v>8481</v>
      </c>
      <c r="B380" t="str">
        <f>IFERROR(_xlfn.XLOOKUP(tabExam[[#This Row],[Unique ID]], tblMaster[Unique ID], tblMaster[First Name], ""), "")</f>
        <v xml:space="preserve">Matt </v>
      </c>
      <c r="C380" t="str">
        <f>IFERROR(_xlfn.XLOOKUP(tabExam[[#This Row],[Unique ID]], tblMaster[Unique ID], tblMaster[Last Name], ""), "")</f>
        <v>Shaw</v>
      </c>
      <c r="D380" t="str">
        <f>IFERROR(_xlfn.XLOOKUP(tabExam[[#This Row],[Unique ID]], tblMaster[Unique ID], tblMaster[Email_Clean], ""), "")</f>
        <v>mshaw126@terpmail.umd.edu</v>
      </c>
      <c r="E380" t="str">
        <f>IFERROR(_xlfn.XLOOKUP(tabExam[[#This Row],[Unique ID]], tblMaster[Unique ID], tblMaster[Phone], ""), "")</f>
        <v>508-455-8368</v>
      </c>
      <c r="F380" t="str">
        <f>IFERROR(_xlfn.XLOOKUP(tabExam[[#This Row],[Unique ID]], tblMaster[Unique ID], tblMaster[Recruiter], ""), "")</f>
        <v xml:space="preserve">Tom Clark </v>
      </c>
      <c r="G380" t="str">
        <f>IFERROR(_xlfn.XLOOKUP(tabExam[[#This Row],[Unique ID]], tblMaster[Unique ID], tblMaster[Recruitment Cycle], ""), "")</f>
        <v xml:space="preserve">Re-Engagment/Post Civil Service Exam </v>
      </c>
      <c r="H380" t="s">
        <v>8360</v>
      </c>
      <c r="I380">
        <v>2025</v>
      </c>
      <c r="J380" t="s">
        <v>7446</v>
      </c>
      <c r="K380" t="s">
        <v>8151</v>
      </c>
      <c r="L380" t="s">
        <v>8165</v>
      </c>
      <c r="Q380" t="str">
        <f ca="1">IF(tabExam[[#This Row],[Log Date]]="","",TODAY()-tabExam[[#This Row],[Log Date]])</f>
        <v/>
      </c>
      <c r="R380" t="str">
        <f>IF(tabExam[[#This Row],[Log Date]]="","",IF(TRIM(tabExam[[#This Row],[Exam Cycle Stage]])="Asked to be removed from database","NO","YES"))</f>
        <v/>
      </c>
      <c r="S3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1" spans="1:19">
      <c r="A381" t="s">
        <v>8482</v>
      </c>
      <c r="B381" t="str">
        <f>IFERROR(_xlfn.XLOOKUP(tabExam[[#This Row],[Unique ID]], tblMaster[Unique ID], tblMaster[First Name], ""), "")</f>
        <v xml:space="preserve">Anderson </v>
      </c>
      <c r="C381" t="str">
        <f>IFERROR(_xlfn.XLOOKUP(tabExam[[#This Row],[Unique ID]], tblMaster[Unique ID], tblMaster[Last Name], ""), "")</f>
        <v>Soares</v>
      </c>
      <c r="D381" t="str">
        <f>IFERROR(_xlfn.XLOOKUP(tabExam[[#This Row],[Unique ID]], tblMaster[Unique ID], tblMaster[Email_Clean], ""), "")</f>
        <v>andy36.as@gmail.com</v>
      </c>
      <c r="E381" t="str">
        <f>IFERROR(_xlfn.XLOOKUP(tabExam[[#This Row],[Unique ID]], tblMaster[Unique ID], tblMaster[Phone], ""), "")</f>
        <v>774-635-1834</v>
      </c>
      <c r="F381" t="str">
        <f>IFERROR(_xlfn.XLOOKUP(tabExam[[#This Row],[Unique ID]], tblMaster[Unique ID], tblMaster[Recruiter], ""), "")</f>
        <v xml:space="preserve">Tom Clark </v>
      </c>
      <c r="G381" t="str">
        <f>IFERROR(_xlfn.XLOOKUP(tabExam[[#This Row],[Unique ID]], tblMaster[Unique ID], tblMaster[Recruitment Cycle], ""), "")</f>
        <v xml:space="preserve">New Submission/ Lead </v>
      </c>
      <c r="H381" t="s">
        <v>8360</v>
      </c>
      <c r="I381">
        <v>2025</v>
      </c>
      <c r="J381" t="s">
        <v>7446</v>
      </c>
      <c r="K381" t="s">
        <v>8151</v>
      </c>
      <c r="L381" t="s">
        <v>8165</v>
      </c>
      <c r="Q381" t="str">
        <f ca="1">IF(tabExam[[#This Row],[Log Date]]="","",TODAY()-tabExam[[#This Row],[Log Date]])</f>
        <v/>
      </c>
      <c r="R381" t="str">
        <f>IF(tabExam[[#This Row],[Log Date]]="","",IF(TRIM(tabExam[[#This Row],[Exam Cycle Stage]])="Asked to be removed from database","NO","YES"))</f>
        <v/>
      </c>
      <c r="S3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2" spans="1:19">
      <c r="A382" t="s">
        <v>8483</v>
      </c>
      <c r="B382" t="str">
        <f>IFERROR(_xlfn.XLOOKUP(tabExam[[#This Row],[Unique ID]], tblMaster[Unique ID], tblMaster[First Name], ""), "")</f>
        <v xml:space="preserve">Franklin </v>
      </c>
      <c r="C382" t="str">
        <f>IFERROR(_xlfn.XLOOKUP(tabExam[[#This Row],[Unique ID]], tblMaster[Unique ID], tblMaster[Last Name], ""), "")</f>
        <v xml:space="preserve">Gonzalez </v>
      </c>
      <c r="D382" t="str">
        <f>IFERROR(_xlfn.XLOOKUP(tabExam[[#This Row],[Unique ID]], tblMaster[Unique ID], tblMaster[Email_Clean], ""), "")</f>
        <v>gonzalezfranklin6052@gmail.com</v>
      </c>
      <c r="E382" t="str">
        <f>IFERROR(_xlfn.XLOOKUP(tabExam[[#This Row],[Unique ID]], tblMaster[Unique ID], tblMaster[Phone], ""), "")</f>
        <v>978-514-3952</v>
      </c>
      <c r="F382" t="str">
        <f>IFERROR(_xlfn.XLOOKUP(tabExam[[#This Row],[Unique ID]], tblMaster[Unique ID], tblMaster[Recruiter], ""), "")</f>
        <v>Zenon Moses</v>
      </c>
      <c r="G382" t="str">
        <f>IFERROR(_xlfn.XLOOKUP(tabExam[[#This Row],[Unique ID]], tblMaster[Unique ID], tblMaster[Recruitment Cycle], ""), "")</f>
        <v xml:space="preserve">Re-Engagment/Post Civil Service Exam </v>
      </c>
      <c r="H382" t="s">
        <v>8358</v>
      </c>
      <c r="I382">
        <v>2025</v>
      </c>
      <c r="J382" t="s">
        <v>7446</v>
      </c>
      <c r="K382" t="s">
        <v>8151</v>
      </c>
      <c r="L382" t="s">
        <v>8165</v>
      </c>
      <c r="Q382" t="str">
        <f ca="1">IF(tabExam[[#This Row],[Log Date]]="","",TODAY()-tabExam[[#This Row],[Log Date]])</f>
        <v/>
      </c>
      <c r="R382" t="str">
        <f>IF(tabExam[[#This Row],[Log Date]]="","",IF(TRIM(tabExam[[#This Row],[Exam Cycle Stage]])="Asked to be removed from database","NO","YES"))</f>
        <v/>
      </c>
      <c r="S3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3" spans="1:19">
      <c r="A383" t="s">
        <v>8484</v>
      </c>
      <c r="B383" t="str">
        <f>IFERROR(_xlfn.XLOOKUP(tabExam[[#This Row],[Unique ID]], tblMaster[Unique ID], tblMaster[First Name], ""), "")</f>
        <v xml:space="preserve">Emmanuel </v>
      </c>
      <c r="C383" t="str">
        <f>IFERROR(_xlfn.XLOOKUP(tabExam[[#This Row],[Unique ID]], tblMaster[Unique ID], tblMaster[Last Name], ""), "")</f>
        <v xml:space="preserve">Pean </v>
      </c>
      <c r="D383" t="str">
        <f>IFERROR(_xlfn.XLOOKUP(tabExam[[#This Row],[Unique ID]], tblMaster[Unique ID], tblMaster[Email_Clean], ""), "")</f>
        <v>pean1226@yahoo.fr</v>
      </c>
      <c r="E383" t="str">
        <f>IFERROR(_xlfn.XLOOKUP(tabExam[[#This Row],[Unique ID]], tblMaster[Unique ID], tblMaster[Phone], ""), "")</f>
        <v xml:space="preserve">(857) 258-5719 </v>
      </c>
      <c r="F383" t="str">
        <f>IFERROR(_xlfn.XLOOKUP(tabExam[[#This Row],[Unique ID]], tblMaster[Unique ID], tblMaster[Recruiter], ""), "")</f>
        <v xml:space="preserve">Tom Clark </v>
      </c>
      <c r="G383" t="str">
        <f>IFERROR(_xlfn.XLOOKUP(tabExam[[#This Row],[Unique ID]], tblMaster[Unique ID], tblMaster[Recruitment Cycle], ""), "")</f>
        <v xml:space="preserve">Re-Engagment/Post Civil Service Exam </v>
      </c>
      <c r="H383" t="s">
        <v>8360</v>
      </c>
      <c r="I383">
        <v>2025</v>
      </c>
      <c r="J383" t="s">
        <v>7446</v>
      </c>
      <c r="K383" t="s">
        <v>8151</v>
      </c>
      <c r="L383" t="s">
        <v>8165</v>
      </c>
      <c r="Q383" t="str">
        <f ca="1">IF(tabExam[[#This Row],[Log Date]]="","",TODAY()-tabExam[[#This Row],[Log Date]])</f>
        <v/>
      </c>
      <c r="R383" t="str">
        <f>IF(tabExam[[#This Row],[Log Date]]="","",IF(TRIM(tabExam[[#This Row],[Exam Cycle Stage]])="Asked to be removed from database","NO","YES"))</f>
        <v/>
      </c>
      <c r="S3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4" spans="1:19">
      <c r="A384" t="s">
        <v>8485</v>
      </c>
      <c r="B384" t="str">
        <f>IFERROR(_xlfn.XLOOKUP(tabExam[[#This Row],[Unique ID]], tblMaster[Unique ID], tblMaster[First Name], ""), "")</f>
        <v xml:space="preserve">Cassandra </v>
      </c>
      <c r="C384" t="str">
        <f>IFERROR(_xlfn.XLOOKUP(tabExam[[#This Row],[Unique ID]], tblMaster[Unique ID], tblMaster[Last Name], ""), "")</f>
        <v xml:space="preserve"> Williams </v>
      </c>
      <c r="D384" t="str">
        <f>IFERROR(_xlfn.XLOOKUP(tabExam[[#This Row],[Unique ID]], tblMaster[Unique ID], tblMaster[Email_Clean], ""), "")</f>
        <v>cassandran_32@hotmail.com</v>
      </c>
      <c r="E384" t="str">
        <f>IFERROR(_xlfn.XLOOKUP(tabExam[[#This Row],[Unique ID]], tblMaster[Unique ID], tblMaster[Phone], ""), "")</f>
        <v xml:space="preserve">(704) 726-4936 </v>
      </c>
      <c r="F384" t="str">
        <f>IFERROR(_xlfn.XLOOKUP(tabExam[[#This Row],[Unique ID]], tblMaster[Unique ID], tblMaster[Recruiter], ""), "")</f>
        <v>Zenon Moses</v>
      </c>
      <c r="G384" t="str">
        <f>IFERROR(_xlfn.XLOOKUP(tabExam[[#This Row],[Unique ID]], tblMaster[Unique ID], tblMaster[Recruitment Cycle], ""), "")</f>
        <v xml:space="preserve">Re-Engagment/Post Civil Service Exam </v>
      </c>
      <c r="H384" t="s">
        <v>8360</v>
      </c>
      <c r="I384">
        <v>2025</v>
      </c>
      <c r="J384" t="s">
        <v>7446</v>
      </c>
      <c r="K384" t="s">
        <v>8151</v>
      </c>
      <c r="L384" t="s">
        <v>8165</v>
      </c>
      <c r="Q384" t="str">
        <f ca="1">IF(tabExam[[#This Row],[Log Date]]="","",TODAY()-tabExam[[#This Row],[Log Date]])</f>
        <v/>
      </c>
      <c r="R384" t="str">
        <f>IF(tabExam[[#This Row],[Log Date]]="","",IF(TRIM(tabExam[[#This Row],[Exam Cycle Stage]])="Asked to be removed from database","NO","YES"))</f>
        <v/>
      </c>
      <c r="S3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5" spans="1:19">
      <c r="A385" t="s">
        <v>8138</v>
      </c>
      <c r="B385" t="str">
        <f>IFERROR(_xlfn.XLOOKUP(tabExam[[#This Row],[Unique ID]], tblMaster[Unique ID], tblMaster[First Name], ""), "")</f>
        <v>Dubem</v>
      </c>
      <c r="C385" t="str">
        <f>IFERROR(_xlfn.XLOOKUP(tabExam[[#This Row],[Unique ID]], tblMaster[Unique ID], tblMaster[Last Name], ""), "")</f>
        <v>Ezekwem</v>
      </c>
      <c r="D385" t="str">
        <f>IFERROR(_xlfn.XLOOKUP(tabExam[[#This Row],[Unique ID]], tblMaster[Unique ID], tblMaster[Email_Clean], ""), "")</f>
        <v>ciwezekwem@gmail.com</v>
      </c>
      <c r="E385" t="str">
        <f>IFERROR(_xlfn.XLOOKUP(tabExam[[#This Row],[Unique ID]], tblMaster[Unique ID], tblMaster[Phone], ""), "")</f>
        <v>706-908-8762</v>
      </c>
      <c r="F385" t="str">
        <f>IFERROR(_xlfn.XLOOKUP(tabExam[[#This Row],[Unique ID]], tblMaster[Unique ID], tblMaster[Recruiter], ""), "")</f>
        <v xml:space="preserve">Jevon Brown Simpson </v>
      </c>
      <c r="G385" t="str">
        <f>IFERROR(_xlfn.XLOOKUP(tabExam[[#This Row],[Unique ID]], tblMaster[Unique ID], tblMaster[Recruitment Cycle], ""), "")</f>
        <v xml:space="preserve">Re-Engagment/Post Civil Service Exam </v>
      </c>
      <c r="H385" t="s">
        <v>8360</v>
      </c>
      <c r="I385">
        <v>2025</v>
      </c>
      <c r="J385" t="s">
        <v>7446</v>
      </c>
      <c r="K385" t="s">
        <v>8151</v>
      </c>
      <c r="L385" t="s">
        <v>8165</v>
      </c>
      <c r="Q385" t="str">
        <f ca="1">IF(tabExam[[#This Row],[Log Date]]="","",TODAY()-tabExam[[#This Row],[Log Date]])</f>
        <v/>
      </c>
      <c r="R385" t="str">
        <f>IF(tabExam[[#This Row],[Log Date]]="","",IF(TRIM(tabExam[[#This Row],[Exam Cycle Stage]])="Asked to be removed from database","NO","YES"))</f>
        <v/>
      </c>
      <c r="S3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6" spans="1:19">
      <c r="A386" t="s">
        <v>8486</v>
      </c>
      <c r="B386" t="str">
        <f>IFERROR(_xlfn.XLOOKUP(tabExam[[#This Row],[Unique ID]], tblMaster[Unique ID], tblMaster[First Name], ""), "")</f>
        <v>Andrew</v>
      </c>
      <c r="C386" t="str">
        <f>IFERROR(_xlfn.XLOOKUP(tabExam[[#This Row],[Unique ID]], tblMaster[Unique ID], tblMaster[Last Name], ""), "")</f>
        <v>Calvagno</v>
      </c>
      <c r="D386" t="str">
        <f>IFERROR(_xlfn.XLOOKUP(tabExam[[#This Row],[Unique ID]], tblMaster[Unique ID], tblMaster[Email_Clean], ""), "")</f>
        <v>andrew_calvagno@yahoo.com</v>
      </c>
      <c r="E386" t="str">
        <f>IFERROR(_xlfn.XLOOKUP(tabExam[[#This Row],[Unique ID]], tblMaster[Unique ID], tblMaster[Phone], ""), "")</f>
        <v>781-924-9678</v>
      </c>
      <c r="F386" t="str">
        <f>IFERROR(_xlfn.XLOOKUP(tabExam[[#This Row],[Unique ID]], tblMaster[Unique ID], tblMaster[Recruiter], ""), "")</f>
        <v>Zenon Moses</v>
      </c>
      <c r="G386" t="str">
        <f>IFERROR(_xlfn.XLOOKUP(tabExam[[#This Row],[Unique ID]], tblMaster[Unique ID], tblMaster[Recruitment Cycle], ""), "")</f>
        <v xml:space="preserve">Re-Engagment/Post Civil Service Exam </v>
      </c>
      <c r="H386" t="s">
        <v>8360</v>
      </c>
      <c r="I386">
        <v>2025</v>
      </c>
      <c r="J386" t="s">
        <v>7446</v>
      </c>
      <c r="K386" t="s">
        <v>8151</v>
      </c>
      <c r="L386" t="s">
        <v>8165</v>
      </c>
      <c r="Q386" t="str">
        <f ca="1">IF(tabExam[[#This Row],[Log Date]]="","",TODAY()-tabExam[[#This Row],[Log Date]])</f>
        <v/>
      </c>
      <c r="R386" t="str">
        <f>IF(tabExam[[#This Row],[Log Date]]="","",IF(TRIM(tabExam[[#This Row],[Exam Cycle Stage]])="Asked to be removed from database","NO","YES"))</f>
        <v/>
      </c>
      <c r="S3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7" spans="1:19">
      <c r="A387" t="s">
        <v>8086</v>
      </c>
      <c r="B387" t="str">
        <f>IFERROR(_xlfn.XLOOKUP(tabExam[[#This Row],[Unique ID]], tblMaster[Unique ID], tblMaster[First Name], ""), "")</f>
        <v xml:space="preserve">Alexander </v>
      </c>
      <c r="C387" t="str">
        <f>IFERROR(_xlfn.XLOOKUP(tabExam[[#This Row],[Unique ID]], tblMaster[Unique ID], tblMaster[Last Name], ""), "")</f>
        <v xml:space="preserve">ervello Santiago </v>
      </c>
      <c r="D387" t="str">
        <f>IFERROR(_xlfn.XLOOKUP(tabExam[[#This Row],[Unique ID]], tblMaster[Unique ID], tblMaster[Email_Clean], ""), "")</f>
        <v>alexsantiago64@gmail.com</v>
      </c>
      <c r="E387" t="str">
        <f>IFERROR(_xlfn.XLOOKUP(tabExam[[#This Row],[Unique ID]], tblMaster[Unique ID], tblMaster[Phone], ""), "")</f>
        <v>978-728-1261</v>
      </c>
      <c r="F387" t="str">
        <f>IFERROR(_xlfn.XLOOKUP(tabExam[[#This Row],[Unique ID]], tblMaster[Unique ID], tblMaster[Recruiter], ""), "")</f>
        <v xml:space="preserve">Jevon Brown Simpson </v>
      </c>
      <c r="G387" t="str">
        <f>IFERROR(_xlfn.XLOOKUP(tabExam[[#This Row],[Unique ID]], tblMaster[Unique ID], tblMaster[Recruitment Cycle], ""), "")</f>
        <v xml:space="preserve">Re-Engagment/Post Civil Service Exam </v>
      </c>
      <c r="H387" t="s">
        <v>8360</v>
      </c>
      <c r="I387">
        <v>2025</v>
      </c>
      <c r="J387" t="s">
        <v>7446</v>
      </c>
      <c r="K387" t="s">
        <v>8151</v>
      </c>
      <c r="L387" t="s">
        <v>8165</v>
      </c>
      <c r="Q387" t="str">
        <f ca="1">IF(tabExam[[#This Row],[Log Date]]="","",TODAY()-tabExam[[#This Row],[Log Date]])</f>
        <v/>
      </c>
      <c r="R387" t="str">
        <f>IF(tabExam[[#This Row],[Log Date]]="","",IF(TRIM(tabExam[[#This Row],[Exam Cycle Stage]])="Asked to be removed from database","NO","YES"))</f>
        <v/>
      </c>
      <c r="S3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8" spans="1:19">
      <c r="A388" t="s">
        <v>8487</v>
      </c>
      <c r="B388" t="str">
        <f>IFERROR(_xlfn.XLOOKUP(tabExam[[#This Row],[Unique ID]], tblMaster[Unique ID], tblMaster[First Name], ""), "")</f>
        <v>Ama</v>
      </c>
      <c r="C388" t="str">
        <f>IFERROR(_xlfn.XLOOKUP(tabExam[[#This Row],[Unique ID]], tblMaster[Unique ID], tblMaster[Last Name], ""), "")</f>
        <v>Agyemang</v>
      </c>
      <c r="D388" t="str">
        <f>IFERROR(_xlfn.XLOOKUP(tabExam[[#This Row],[Unique ID]], tblMaster[Unique ID], tblMaster[Email_Clean], ""), "")</f>
        <v>aagyem1@gmail.com</v>
      </c>
      <c r="E388" t="str">
        <f>IFERROR(_xlfn.XLOOKUP(tabExam[[#This Row],[Unique ID]], tblMaster[Unique ID], tblMaster[Phone], ""), "")</f>
        <v>774-293-3252</v>
      </c>
      <c r="F388" t="str">
        <f>IFERROR(_xlfn.XLOOKUP(tabExam[[#This Row],[Unique ID]], tblMaster[Unique ID], tblMaster[Recruiter], ""), "")</f>
        <v xml:space="preserve">Tom Clark </v>
      </c>
      <c r="G388" t="str">
        <f>IFERROR(_xlfn.XLOOKUP(tabExam[[#This Row],[Unique ID]], tblMaster[Unique ID], tblMaster[Recruitment Cycle], ""), "")</f>
        <v xml:space="preserve">Re-Engagment/Post Civil Service Exam </v>
      </c>
      <c r="H388" t="s">
        <v>8360</v>
      </c>
      <c r="I388">
        <v>2025</v>
      </c>
      <c r="J388" t="s">
        <v>7446</v>
      </c>
      <c r="K388" t="s">
        <v>8151</v>
      </c>
      <c r="L388" t="s">
        <v>8165</v>
      </c>
      <c r="Q388" t="str">
        <f ca="1">IF(tabExam[[#This Row],[Log Date]]="","",TODAY()-tabExam[[#This Row],[Log Date]])</f>
        <v/>
      </c>
      <c r="R388" t="str">
        <f>IF(tabExam[[#This Row],[Log Date]]="","",IF(TRIM(tabExam[[#This Row],[Exam Cycle Stage]])="Asked to be removed from database","NO","YES"))</f>
        <v/>
      </c>
      <c r="S38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89" spans="1:19">
      <c r="A389" t="s">
        <v>8488</v>
      </c>
      <c r="B389" t="str">
        <f>IFERROR(_xlfn.XLOOKUP(tabExam[[#This Row],[Unique ID]], tblMaster[Unique ID], tblMaster[First Name], ""), "")</f>
        <v>Harrison</v>
      </c>
      <c r="C389" t="str">
        <f>IFERROR(_xlfn.XLOOKUP(tabExam[[#This Row],[Unique ID]], tblMaster[Unique ID], tblMaster[Last Name], ""), "")</f>
        <v>Eboigbe</v>
      </c>
      <c r="D389" t="str">
        <f>IFERROR(_xlfn.XLOOKUP(tabExam[[#This Row],[Unique ID]], tblMaster[Unique ID], tblMaster[Email_Clean], ""), "")</f>
        <v>gbharry@gmail.com</v>
      </c>
      <c r="E389" t="str">
        <f>IFERROR(_xlfn.XLOOKUP(tabExam[[#This Row],[Unique ID]], tblMaster[Unique ID], tblMaster[Phone], ""), "")</f>
        <v>774-826-9060</v>
      </c>
      <c r="F389" t="str">
        <f>IFERROR(_xlfn.XLOOKUP(tabExam[[#This Row],[Unique ID]], tblMaster[Unique ID], tblMaster[Recruiter], ""), "")</f>
        <v xml:space="preserve">Tom Clark </v>
      </c>
      <c r="G389" t="str">
        <f>IFERROR(_xlfn.XLOOKUP(tabExam[[#This Row],[Unique ID]], tblMaster[Unique ID], tblMaster[Recruitment Cycle], ""), "")</f>
        <v xml:space="preserve">Re-Engagment/Post Civil Service Exam </v>
      </c>
      <c r="H389" t="s">
        <v>8360</v>
      </c>
      <c r="I389">
        <v>2025</v>
      </c>
      <c r="J389" t="s">
        <v>7446</v>
      </c>
      <c r="K389" t="s">
        <v>8151</v>
      </c>
      <c r="L389" t="s">
        <v>8165</v>
      </c>
      <c r="Q389" t="str">
        <f ca="1">IF(tabExam[[#This Row],[Log Date]]="","",TODAY()-tabExam[[#This Row],[Log Date]])</f>
        <v/>
      </c>
      <c r="R389" t="str">
        <f>IF(tabExam[[#This Row],[Log Date]]="","",IF(TRIM(tabExam[[#This Row],[Exam Cycle Stage]])="Asked to be removed from database","NO","YES"))</f>
        <v/>
      </c>
      <c r="S38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0" spans="1:19">
      <c r="A390" t="s">
        <v>8489</v>
      </c>
      <c r="B390" t="str">
        <f>IFERROR(_xlfn.XLOOKUP(tabExam[[#This Row],[Unique ID]], tblMaster[Unique ID], tblMaster[First Name], ""), "")</f>
        <v>Tyler</v>
      </c>
      <c r="C390" t="str">
        <f>IFERROR(_xlfn.XLOOKUP(tabExam[[#This Row],[Unique ID]], tblMaster[Unique ID], tblMaster[Last Name], ""), "")</f>
        <v>Gabriel</v>
      </c>
      <c r="D390" t="str">
        <f>IFERROR(_xlfn.XLOOKUP(tabExam[[#This Row],[Unique ID]], tblMaster[Unique ID], tblMaster[Email_Clean], ""), "")</f>
        <v>tygabriel20@gmail.com</v>
      </c>
      <c r="E390" t="str">
        <f>IFERROR(_xlfn.XLOOKUP(tabExam[[#This Row],[Unique ID]], tblMaster[Unique ID], tblMaster[Phone], ""), "")</f>
        <v>(774) 331-6369</v>
      </c>
      <c r="F390" t="str">
        <f>IFERROR(_xlfn.XLOOKUP(tabExam[[#This Row],[Unique ID]], tblMaster[Unique ID], tblMaster[Recruiter], ""), "")</f>
        <v xml:space="preserve">Jevon Brown Simpson </v>
      </c>
      <c r="G390" t="str">
        <f>IFERROR(_xlfn.XLOOKUP(tabExam[[#This Row],[Unique ID]], tblMaster[Unique ID], tblMaster[Recruitment Cycle], ""), "")</f>
        <v xml:space="preserve">Re-Engagment/Post Civil Service Exam </v>
      </c>
      <c r="H390" t="s">
        <v>8360</v>
      </c>
      <c r="I390">
        <v>2025</v>
      </c>
      <c r="J390" t="s">
        <v>7446</v>
      </c>
      <c r="K390" t="s">
        <v>8151</v>
      </c>
      <c r="L390" t="s">
        <v>8165</v>
      </c>
      <c r="Q390" t="str">
        <f ca="1">IF(tabExam[[#This Row],[Log Date]]="","",TODAY()-tabExam[[#This Row],[Log Date]])</f>
        <v/>
      </c>
      <c r="R390" t="str">
        <f>IF(tabExam[[#This Row],[Log Date]]="","",IF(TRIM(tabExam[[#This Row],[Exam Cycle Stage]])="Asked to be removed from database","NO","YES"))</f>
        <v/>
      </c>
      <c r="S3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1" spans="1:19">
      <c r="A391" t="s">
        <v>8490</v>
      </c>
      <c r="B391" t="str">
        <f>IFERROR(_xlfn.XLOOKUP(tabExam[[#This Row],[Unique ID]], tblMaster[Unique ID], tblMaster[First Name], ""), "")</f>
        <v xml:space="preserve">Casey </v>
      </c>
      <c r="C391" t="str">
        <f>IFERROR(_xlfn.XLOOKUP(tabExam[[#This Row],[Unique ID]], tblMaster[Unique ID], tblMaster[Last Name], ""), "")</f>
        <v xml:space="preserve">Currie </v>
      </c>
      <c r="D391" t="str">
        <f>IFERROR(_xlfn.XLOOKUP(tabExam[[#This Row],[Unique ID]], tblMaster[Unique ID], tblMaster[Email_Clean], ""), "")</f>
        <v>caseycurrie1820@yahoo.com</v>
      </c>
      <c r="E391" t="str">
        <f>IFERROR(_xlfn.XLOOKUP(tabExam[[#This Row],[Unique ID]], tblMaster[Unique ID], tblMaster[Phone], ""), "")</f>
        <v>413) 523-6690</v>
      </c>
      <c r="F391" t="s">
        <v>7521</v>
      </c>
      <c r="G391" t="str">
        <f>IFERROR(_xlfn.XLOOKUP(tabExam[[#This Row],[Unique ID]], tblMaster[Unique ID], tblMaster[Recruitment Cycle], ""), "")</f>
        <v xml:space="preserve">Re-Engagment/Post Civil Service Exam </v>
      </c>
      <c r="H391" t="s">
        <v>8164</v>
      </c>
      <c r="I391">
        <v>2025</v>
      </c>
      <c r="J391" t="s">
        <v>7446</v>
      </c>
      <c r="K391" t="s">
        <v>8151</v>
      </c>
      <c r="L391" t="s">
        <v>8165</v>
      </c>
      <c r="Q391" t="str">
        <f ca="1">IF(tabExam[[#This Row],[Log Date]]="","",TODAY()-tabExam[[#This Row],[Log Date]])</f>
        <v/>
      </c>
      <c r="R391" t="str">
        <f>IF(tabExam[[#This Row],[Log Date]]="","",IF(TRIM(tabExam[[#This Row],[Exam Cycle Stage]])="Asked to be removed from database","NO","YES"))</f>
        <v/>
      </c>
      <c r="S3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2" spans="1:19">
      <c r="A392" t="s">
        <v>7859</v>
      </c>
      <c r="B392" t="str">
        <f>IFERROR(_xlfn.XLOOKUP(tabExam[[#This Row],[Unique ID]], tblMaster[Unique ID], tblMaster[First Name], ""), "")</f>
        <v>Jacey</v>
      </c>
      <c r="C392" t="str">
        <f>IFERROR(_xlfn.XLOOKUP(tabExam[[#This Row],[Unique ID]], tblMaster[Unique ID], tblMaster[Last Name], ""), "")</f>
        <v>Smith</v>
      </c>
      <c r="D392" t="str">
        <f>IFERROR(_xlfn.XLOOKUP(tabExam[[#This Row],[Unique ID]], tblMaster[Unique ID], tblMaster[Email_Clean], ""), "")</f>
        <v>smithjacey20@gmail.com</v>
      </c>
      <c r="E392" t="str">
        <f>IFERROR(_xlfn.XLOOKUP(tabExam[[#This Row],[Unique ID]], tblMaster[Unique ID], tblMaster[Phone], ""), "")</f>
        <v>857-385-6414</v>
      </c>
      <c r="F392" t="str">
        <f>IFERROR(_xlfn.XLOOKUP(tabExam[[#This Row],[Unique ID]], tblMaster[Unique ID], tblMaster[Recruiter], ""), "")</f>
        <v xml:space="preserve">Austin Campos </v>
      </c>
      <c r="G392" t="str">
        <f>IFERROR(_xlfn.XLOOKUP(tabExam[[#This Row],[Unique ID]], tblMaster[Unique ID], tblMaster[Recruitment Cycle], ""), "")</f>
        <v xml:space="preserve">Re-Engagment/Post Civil Service Exam </v>
      </c>
      <c r="H392" t="s">
        <v>8360</v>
      </c>
      <c r="I392">
        <v>2025</v>
      </c>
      <c r="J392" t="s">
        <v>7446</v>
      </c>
      <c r="K392" t="s">
        <v>8151</v>
      </c>
      <c r="L392" t="s">
        <v>8165</v>
      </c>
      <c r="Q392" t="str">
        <f ca="1">IF(tabExam[[#This Row],[Log Date]]="","",TODAY()-tabExam[[#This Row],[Log Date]])</f>
        <v/>
      </c>
      <c r="R392" t="str">
        <f>IF(tabExam[[#This Row],[Log Date]]="","",IF(TRIM(tabExam[[#This Row],[Exam Cycle Stage]])="Asked to be removed from database","NO","YES"))</f>
        <v/>
      </c>
      <c r="S39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3" spans="1:19">
      <c r="A393" t="s">
        <v>8112</v>
      </c>
      <c r="B393" t="str">
        <f>IFERROR(_xlfn.XLOOKUP(tabExam[[#This Row],[Unique ID]], tblMaster[Unique ID], tblMaster[First Name], ""), "")</f>
        <v xml:space="preserve">Jennifer </v>
      </c>
      <c r="C393" t="str">
        <f>IFERROR(_xlfn.XLOOKUP(tabExam[[#This Row],[Unique ID]], tblMaster[Unique ID], tblMaster[Last Name], ""), "")</f>
        <v xml:space="preserve"> Panarelli</v>
      </c>
      <c r="D393" t="str">
        <f>IFERROR(_xlfn.XLOOKUP(tabExam[[#This Row],[Unique ID]], tblMaster[Unique ID], tblMaster[Email_Clean], ""), "")</f>
        <v>jennifer_panarelli@yahoo.com</v>
      </c>
      <c r="E393" t="str">
        <f>IFERROR(_xlfn.XLOOKUP(tabExam[[#This Row],[Unique ID]], tblMaster[Unique ID], tblMaster[Phone], ""), "")</f>
        <v>857-346-4558</v>
      </c>
      <c r="F393" t="str">
        <f>IFERROR(_xlfn.XLOOKUP(tabExam[[#This Row],[Unique ID]], tblMaster[Unique ID], tblMaster[Recruiter], ""), "")</f>
        <v xml:space="preserve">Enrique Ortiz </v>
      </c>
      <c r="G393" t="str">
        <f>IFERROR(_xlfn.XLOOKUP(tabExam[[#This Row],[Unique ID]], tblMaster[Unique ID], tblMaster[Recruitment Cycle], ""), "")</f>
        <v xml:space="preserve">Re-Engagment </v>
      </c>
      <c r="H393" t="s">
        <v>8150</v>
      </c>
      <c r="I393">
        <v>2026</v>
      </c>
      <c r="J393" t="s">
        <v>7446</v>
      </c>
      <c r="K393" t="s">
        <v>8153</v>
      </c>
      <c r="L393" t="s">
        <v>8154</v>
      </c>
      <c r="Q393" t="str">
        <f ca="1">IF(tabExam[[#This Row],[Log Date]]="","",TODAY()-tabExam[[#This Row],[Log Date]])</f>
        <v/>
      </c>
      <c r="R393" t="str">
        <f>IF(tabExam[[#This Row],[Log Date]]="","",IF(TRIM(tabExam[[#This Row],[Exam Cycle Stage]])="Asked to be removed from database","NO","YES"))</f>
        <v/>
      </c>
      <c r="S39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4" spans="1:19">
      <c r="A394" t="s">
        <v>8491</v>
      </c>
      <c r="B394" t="str">
        <f>IFERROR(_xlfn.XLOOKUP(tabExam[[#This Row],[Unique ID]], tblMaster[Unique ID], tblMaster[First Name], ""), "")</f>
        <v xml:space="preserve">Jefferson </v>
      </c>
      <c r="C394" t="str">
        <f>IFERROR(_xlfn.XLOOKUP(tabExam[[#This Row],[Unique ID]], tblMaster[Unique ID], tblMaster[Last Name], ""), "")</f>
        <v xml:space="preserve">Dornezon </v>
      </c>
      <c r="D394" t="str">
        <f>IFERROR(_xlfn.XLOOKUP(tabExam[[#This Row],[Unique ID]], tblMaster[Unique ID], tblMaster[Email_Clean], ""), "")</f>
        <v>dornezonj@gmail.com</v>
      </c>
      <c r="E394" t="str">
        <f>IFERROR(_xlfn.XLOOKUP(tabExam[[#This Row],[Unique ID]], tblMaster[Unique ID], tblMaster[Phone], ""), "")</f>
        <v>978-397-7310</v>
      </c>
      <c r="F394" t="str">
        <f>IFERROR(_xlfn.XLOOKUP(tabExam[[#This Row],[Unique ID]], tblMaster[Unique ID], tblMaster[Recruiter], ""), "")</f>
        <v>Zenon Moses</v>
      </c>
      <c r="G394" t="str">
        <f>IFERROR(_xlfn.XLOOKUP(tabExam[[#This Row],[Unique ID]], tblMaster[Unique ID], tblMaster[Recruitment Cycle], ""), "")</f>
        <v xml:space="preserve">Re-Engagment/Post Civil Service Exam </v>
      </c>
      <c r="H394" t="s">
        <v>8360</v>
      </c>
      <c r="I394">
        <v>2025</v>
      </c>
      <c r="J394" t="s">
        <v>7446</v>
      </c>
      <c r="K394" t="s">
        <v>8151</v>
      </c>
      <c r="L394" t="s">
        <v>8165</v>
      </c>
      <c r="Q394" t="str">
        <f ca="1">IF(tabExam[[#This Row],[Log Date]]="","",TODAY()-tabExam[[#This Row],[Log Date]])</f>
        <v/>
      </c>
      <c r="R394" t="str">
        <f>IF(tabExam[[#This Row],[Log Date]]="","",IF(TRIM(tabExam[[#This Row],[Exam Cycle Stage]])="Asked to be removed from database","NO","YES"))</f>
        <v/>
      </c>
      <c r="S39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5" spans="1:19">
      <c r="A395" t="s">
        <v>8492</v>
      </c>
      <c r="B395" t="str">
        <f>IFERROR(_xlfn.XLOOKUP(tabExam[[#This Row],[Unique ID]], tblMaster[Unique ID], tblMaster[First Name], ""), "")</f>
        <v xml:space="preserve">Deborah </v>
      </c>
      <c r="C395" t="str">
        <f>IFERROR(_xlfn.XLOOKUP(tabExam[[#This Row],[Unique ID]], tblMaster[Unique ID], tblMaster[Last Name], ""), "")</f>
        <v>Robertson</v>
      </c>
      <c r="D395" t="str">
        <f>IFERROR(_xlfn.XLOOKUP(tabExam[[#This Row],[Unique ID]], tblMaster[Unique ID], tblMaster[Email_Clean], ""), "")</f>
        <v>debkayrob@gmail.com</v>
      </c>
      <c r="E395" t="str">
        <f>IFERROR(_xlfn.XLOOKUP(tabExam[[#This Row],[Unique ID]], tblMaster[Unique ID], tblMaster[Phone], ""), "")</f>
        <v xml:space="preserve">617-835-3192 </v>
      </c>
      <c r="F395">
        <f>IFERROR(_xlfn.XLOOKUP(tabExam[[#This Row],[Unique ID]], tblMaster[Unique ID], tblMaster[Recruiter], ""), "")</f>
        <v>0</v>
      </c>
      <c r="G395" t="str">
        <f>IFERROR(_xlfn.XLOOKUP(tabExam[[#This Row],[Unique ID]], tblMaster[Unique ID], tblMaster[Recruitment Cycle], ""), "")</f>
        <v xml:space="preserve">Re-Engagment/Post Civil Service Exam </v>
      </c>
      <c r="H395" t="s">
        <v>8360</v>
      </c>
      <c r="I395">
        <v>2025</v>
      </c>
      <c r="J395" t="s">
        <v>7446</v>
      </c>
      <c r="K395" t="s">
        <v>8151</v>
      </c>
      <c r="L395" t="s">
        <v>8165</v>
      </c>
      <c r="Q395" t="str">
        <f ca="1">IF(tabExam[[#This Row],[Log Date]]="","",TODAY()-tabExam[[#This Row],[Log Date]])</f>
        <v/>
      </c>
      <c r="R395" t="str">
        <f>IF(tabExam[[#This Row],[Log Date]]="","",IF(TRIM(tabExam[[#This Row],[Exam Cycle Stage]])="Asked to be removed from database","NO","YES"))</f>
        <v/>
      </c>
      <c r="S39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6" spans="1:19">
      <c r="A396" t="s">
        <v>8493</v>
      </c>
      <c r="B396" t="str">
        <f>IFERROR(_xlfn.XLOOKUP(tabExam[[#This Row],[Unique ID]], tblMaster[Unique ID], tblMaster[First Name], ""), "")</f>
        <v xml:space="preserve">Abdi </v>
      </c>
      <c r="C396" t="str">
        <f>IFERROR(_xlfn.XLOOKUP(tabExam[[#This Row],[Unique ID]], tblMaster[Unique ID], tblMaster[Last Name], ""), "")</f>
        <v>Hassan</v>
      </c>
      <c r="D396" t="str">
        <f>IFERROR(_xlfn.XLOOKUP(tabExam[[#This Row],[Unique ID]], tblMaster[Unique ID], tblMaster[Email_Clean], ""), "")</f>
        <v>abdihassan28@gmail.com</v>
      </c>
      <c r="E396" t="str">
        <f>IFERROR(_xlfn.XLOOKUP(tabExam[[#This Row],[Unique ID]], tblMaster[Unique ID], tblMaster[Phone], ""), "")</f>
        <v>857-230-8985</v>
      </c>
      <c r="F396" t="str">
        <f>IFERROR(_xlfn.XLOOKUP(tabExam[[#This Row],[Unique ID]], tblMaster[Unique ID], tblMaster[Recruiter], ""), "")</f>
        <v xml:space="preserve">Tom Clark </v>
      </c>
      <c r="G396" t="str">
        <f>IFERROR(_xlfn.XLOOKUP(tabExam[[#This Row],[Unique ID]], tblMaster[Unique ID], tblMaster[Recruitment Cycle], ""), "")</f>
        <v xml:space="preserve">Re-Engagment/Post Civil Service Exam </v>
      </c>
      <c r="H396" t="s">
        <v>8360</v>
      </c>
      <c r="I396">
        <v>2025</v>
      </c>
      <c r="J396" t="s">
        <v>7446</v>
      </c>
      <c r="K396" t="s">
        <v>8151</v>
      </c>
      <c r="L396" t="s">
        <v>8165</v>
      </c>
      <c r="Q396" t="str">
        <f ca="1">IF(tabExam[[#This Row],[Log Date]]="","",TODAY()-tabExam[[#This Row],[Log Date]])</f>
        <v/>
      </c>
      <c r="R396" t="str">
        <f>IF(tabExam[[#This Row],[Log Date]]="","",IF(TRIM(tabExam[[#This Row],[Exam Cycle Stage]])="Asked to be removed from database","NO","YES"))</f>
        <v/>
      </c>
      <c r="S39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7" spans="1:19">
      <c r="A397" t="s">
        <v>8141</v>
      </c>
      <c r="B397" t="str">
        <f>IFERROR(_xlfn.XLOOKUP(tabExam[[#This Row],[Unique ID]], tblMaster[Unique ID], tblMaster[First Name], ""), "")</f>
        <v xml:space="preserve">William </v>
      </c>
      <c r="C397" t="str">
        <f>IFERROR(_xlfn.XLOOKUP(tabExam[[#This Row],[Unique ID]], tblMaster[Unique ID], tblMaster[Last Name], ""), "")</f>
        <v>Kelley</v>
      </c>
      <c r="D397" t="str">
        <f>IFERROR(_xlfn.XLOOKUP(tabExam[[#This Row],[Unique ID]], tblMaster[Unique ID], tblMaster[Email_Clean], ""), "")</f>
        <v>william.luciano.kelley@gmail.com</v>
      </c>
      <c r="E397" t="str">
        <f>IFERROR(_xlfn.XLOOKUP(tabExam[[#This Row],[Unique ID]], tblMaster[Unique ID], tblMaster[Phone], ""), "")</f>
        <v>617 984 9321</v>
      </c>
      <c r="F397" t="str">
        <f>IFERROR(_xlfn.XLOOKUP(tabExam[[#This Row],[Unique ID]], tblMaster[Unique ID], tblMaster[Recruiter], ""), "")</f>
        <v xml:space="preserve">Jevon Brown Simpson </v>
      </c>
      <c r="G397" t="str">
        <f>IFERROR(_xlfn.XLOOKUP(tabExam[[#This Row],[Unique ID]], tblMaster[Unique ID], tblMaster[Recruitment Cycle], ""), "")</f>
        <v xml:space="preserve">Re-Engagment/Post Civil Service Exam </v>
      </c>
      <c r="H397" t="s">
        <v>8164</v>
      </c>
      <c r="I397">
        <v>2025</v>
      </c>
      <c r="J397" t="s">
        <v>7446</v>
      </c>
      <c r="K397" t="s">
        <v>8151</v>
      </c>
      <c r="L397" t="s">
        <v>8165</v>
      </c>
      <c r="Q397" t="str">
        <f ca="1">IF(tabExam[[#This Row],[Log Date]]="","",TODAY()-tabExam[[#This Row],[Log Date]])</f>
        <v/>
      </c>
      <c r="R397" t="str">
        <f>IF(tabExam[[#This Row],[Log Date]]="","",IF(TRIM(tabExam[[#This Row],[Exam Cycle Stage]])="Asked to be removed from database","NO","YES"))</f>
        <v/>
      </c>
      <c r="S39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8" spans="1:19">
      <c r="A398" t="s">
        <v>8494</v>
      </c>
      <c r="B398" t="str">
        <f>IFERROR(_xlfn.XLOOKUP(tabExam[[#This Row],[Unique ID]], tblMaster[Unique ID], tblMaster[First Name], ""), "")</f>
        <v xml:space="preserve">Jose </v>
      </c>
      <c r="C398" t="str">
        <f>IFERROR(_xlfn.XLOOKUP(tabExam[[#This Row],[Unique ID]], tblMaster[Unique ID], tblMaster[Last Name], ""), "")</f>
        <v>Baptista</v>
      </c>
      <c r="D398" t="str">
        <f>IFERROR(_xlfn.XLOOKUP(tabExam[[#This Row],[Unique ID]], tblMaster[Unique ID], tblMaster[Email_Clean], ""), "")</f>
        <v>josebaptista10273@gmail.com</v>
      </c>
      <c r="E398" t="str">
        <f>IFERROR(_xlfn.XLOOKUP(tabExam[[#This Row],[Unique ID]], tblMaster[Unique ID], tblMaster[Phone], ""), "")</f>
        <v>860-232-8241</v>
      </c>
      <c r="F398" t="str">
        <f>IFERROR(_xlfn.XLOOKUP(tabExam[[#This Row],[Unique ID]], tblMaster[Unique ID], tblMaster[Recruiter], ""), "")</f>
        <v>Zenon Moses</v>
      </c>
      <c r="G398" t="str">
        <f>IFERROR(_xlfn.XLOOKUP(tabExam[[#This Row],[Unique ID]], tblMaster[Unique ID], tblMaster[Recruitment Cycle], ""), "")</f>
        <v xml:space="preserve">Re-Engagment/Post Civil Service Exam </v>
      </c>
      <c r="H398" t="s">
        <v>8164</v>
      </c>
      <c r="I398">
        <v>2025</v>
      </c>
      <c r="J398" t="s">
        <v>7446</v>
      </c>
      <c r="K398" t="s">
        <v>8151</v>
      </c>
      <c r="L398" t="s">
        <v>8165</v>
      </c>
      <c r="Q398" t="str">
        <f ca="1">IF(tabExam[[#This Row],[Log Date]]="","",TODAY()-tabExam[[#This Row],[Log Date]])</f>
        <v/>
      </c>
      <c r="R398" t="str">
        <f>IF(tabExam[[#This Row],[Log Date]]="","",IF(TRIM(tabExam[[#This Row],[Exam Cycle Stage]])="Asked to be removed from database","NO","YES"))</f>
        <v/>
      </c>
      <c r="S39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399" spans="1:19">
      <c r="A399" t="s">
        <v>8495</v>
      </c>
      <c r="B399" t="str">
        <f>IFERROR(_xlfn.XLOOKUP(tabExam[[#This Row],[Unique ID]], tblMaster[Unique ID], tblMaster[First Name], ""), "")</f>
        <v xml:space="preserve">Brian </v>
      </c>
      <c r="C399" t="str">
        <f>IFERROR(_xlfn.XLOOKUP(tabExam[[#This Row],[Unique ID]], tblMaster[Unique ID], tblMaster[Last Name], ""), "")</f>
        <v>Arthur</v>
      </c>
      <c r="D399" t="str">
        <f>IFERROR(_xlfn.XLOOKUP(tabExam[[#This Row],[Unique ID]], tblMaster[Unique ID], tblMaster[Email_Clean], ""), "")</f>
        <v>brianarthur8982@gmail.com</v>
      </c>
      <c r="E399" t="str">
        <f>IFERROR(_xlfn.XLOOKUP(tabExam[[#This Row],[Unique ID]], tblMaster[Unique ID], tblMaster[Phone], ""), "")</f>
        <v>857-334-5729</v>
      </c>
      <c r="F399" t="str">
        <f>IFERROR(_xlfn.XLOOKUP(tabExam[[#This Row],[Unique ID]], tblMaster[Unique ID], tblMaster[Recruiter], ""), "")</f>
        <v xml:space="preserve">Tom Clark </v>
      </c>
      <c r="G399" t="str">
        <f>IFERROR(_xlfn.XLOOKUP(tabExam[[#This Row],[Unique ID]], tblMaster[Unique ID], tblMaster[Recruitment Cycle], ""), "")</f>
        <v xml:space="preserve">Re-Engagment/Post Civil Service Exam </v>
      </c>
      <c r="H399" t="s">
        <v>8164</v>
      </c>
      <c r="I399">
        <v>2025</v>
      </c>
      <c r="J399" t="s">
        <v>7446</v>
      </c>
      <c r="K399" t="s">
        <v>8151</v>
      </c>
      <c r="L399" t="s">
        <v>8165</v>
      </c>
      <c r="Q399" t="str">
        <f ca="1">IF(tabExam[[#This Row],[Log Date]]="","",TODAY()-tabExam[[#This Row],[Log Date]])</f>
        <v/>
      </c>
      <c r="R399" t="str">
        <f>IF(tabExam[[#This Row],[Log Date]]="","",IF(TRIM(tabExam[[#This Row],[Exam Cycle Stage]])="Asked to be removed from database","NO","YES"))</f>
        <v/>
      </c>
      <c r="S39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0" spans="1:19">
      <c r="A400" t="s">
        <v>8496</v>
      </c>
      <c r="B400" t="str">
        <f>IFERROR(_xlfn.XLOOKUP(tabExam[[#This Row],[Unique ID]], tblMaster[Unique ID], tblMaster[First Name], ""), "")</f>
        <v>Nicholas</v>
      </c>
      <c r="C400" t="str">
        <f>IFERROR(_xlfn.XLOOKUP(tabExam[[#This Row],[Unique ID]], tblMaster[Unique ID], tblMaster[Last Name], ""), "")</f>
        <v>Pirelli</v>
      </c>
      <c r="D400" t="str">
        <f>IFERROR(_xlfn.XLOOKUP(tabExam[[#This Row],[Unique ID]], tblMaster[Unique ID], tblMaster[Email_Clean], ""), "")</f>
        <v>cole.pirelli@outlook.com</v>
      </c>
      <c r="E400" t="str">
        <f>IFERROR(_xlfn.XLOOKUP(tabExam[[#This Row],[Unique ID]], tblMaster[Unique ID], tblMaster[Phone], ""), "")</f>
        <v>781-856-9185</v>
      </c>
      <c r="F400">
        <f>IFERROR(_xlfn.XLOOKUP(tabExam[[#This Row],[Unique ID]], tblMaster[Unique ID], tblMaster[Recruiter], ""), "")</f>
        <v>0</v>
      </c>
      <c r="G400" t="str">
        <f>IFERROR(_xlfn.XLOOKUP(tabExam[[#This Row],[Unique ID]], tblMaster[Unique ID], tblMaster[Recruitment Cycle], ""), "")</f>
        <v xml:space="preserve">Re-Engagment/Post Civil Service Exam </v>
      </c>
      <c r="H400" t="s">
        <v>8357</v>
      </c>
      <c r="I400">
        <v>2025</v>
      </c>
      <c r="J400" t="s">
        <v>7446</v>
      </c>
      <c r="K400" t="s">
        <v>8151</v>
      </c>
      <c r="L400" t="s">
        <v>8165</v>
      </c>
      <c r="Q400" t="str">
        <f ca="1">IF(tabExam[[#This Row],[Log Date]]="","",TODAY()-tabExam[[#This Row],[Log Date]])</f>
        <v/>
      </c>
      <c r="R400" t="str">
        <f>IF(tabExam[[#This Row],[Log Date]]="","",IF(TRIM(tabExam[[#This Row],[Exam Cycle Stage]])="Asked to be removed from database","NO","YES"))</f>
        <v/>
      </c>
      <c r="S40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1" spans="1:19">
      <c r="A401" t="s">
        <v>8118</v>
      </c>
      <c r="B401" t="str">
        <f>IFERROR(_xlfn.XLOOKUP(tabExam[[#This Row],[Unique ID]], tblMaster[Unique ID], tblMaster[First Name], ""), "")</f>
        <v>Cassandra</v>
      </c>
      <c r="C401" t="str">
        <f>IFERROR(_xlfn.XLOOKUP(tabExam[[#This Row],[Unique ID]], tblMaster[Unique ID], tblMaster[Last Name], ""), "")</f>
        <v xml:space="preserve"> Haile </v>
      </c>
      <c r="D401" t="str">
        <f>IFERROR(_xlfn.XLOOKUP(tabExam[[#This Row],[Unique ID]], tblMaster[Unique ID], tblMaster[Email_Clean], ""), "")</f>
        <v>chaile90@icloud.com</v>
      </c>
      <c r="E401" t="str">
        <f>IFERROR(_xlfn.XLOOKUP(tabExam[[#This Row],[Unique ID]], tblMaster[Unique ID], tblMaster[Phone], ""), "")</f>
        <v xml:space="preserve">(413) 364-5080 </v>
      </c>
      <c r="F401" t="str">
        <f>IFERROR(_xlfn.XLOOKUP(tabExam[[#This Row],[Unique ID]], tblMaster[Unique ID], tblMaster[Recruiter], ""), "")</f>
        <v xml:space="preserve">Enrique Ortiz </v>
      </c>
      <c r="G401" t="str">
        <f>IFERROR(_xlfn.XLOOKUP(tabExam[[#This Row],[Unique ID]], tblMaster[Unique ID], tblMaster[Recruitment Cycle], ""), "")</f>
        <v xml:space="preserve">New Submission/ Lead </v>
      </c>
      <c r="H401" t="s">
        <v>8150</v>
      </c>
      <c r="I401">
        <v>2026</v>
      </c>
      <c r="J401" t="s">
        <v>7446</v>
      </c>
      <c r="K401" t="s">
        <v>8153</v>
      </c>
      <c r="L401" t="s">
        <v>8154</v>
      </c>
      <c r="Q401" t="str">
        <f ca="1">IF(tabExam[[#This Row],[Log Date]]="","",TODAY()-tabExam[[#This Row],[Log Date]])</f>
        <v/>
      </c>
      <c r="R401" t="str">
        <f>IF(tabExam[[#This Row],[Log Date]]="","",IF(TRIM(tabExam[[#This Row],[Exam Cycle Stage]])="Asked to be removed from database","NO","YES"))</f>
        <v/>
      </c>
      <c r="S40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2" spans="1:19">
      <c r="A402" t="s">
        <v>8497</v>
      </c>
      <c r="B402" t="str">
        <f>IFERROR(_xlfn.XLOOKUP(tabExam[[#This Row],[Unique ID]], tblMaster[Unique ID], tblMaster[First Name], ""), "")</f>
        <v xml:space="preserve">Sylvia </v>
      </c>
      <c r="C402" t="str">
        <f>IFERROR(_xlfn.XLOOKUP(tabExam[[#This Row],[Unique ID]], tblMaster[Unique ID], tblMaster[Last Name], ""), "")</f>
        <v xml:space="preserve"> DaSilva </v>
      </c>
      <c r="D402" t="str">
        <f>IFERROR(_xlfn.XLOOKUP(tabExam[[#This Row],[Unique ID]], tblMaster[Unique ID], tblMaster[Email_Clean], ""), "")</f>
        <v>sdasilva0228@gmail.com</v>
      </c>
      <c r="E402" t="str">
        <f>IFERROR(_xlfn.XLOOKUP(tabExam[[#This Row],[Unique ID]], tblMaster[Unique ID], tblMaster[Phone], ""), "")</f>
        <v>508-818-4725</v>
      </c>
      <c r="F402" t="str">
        <f>IFERROR(_xlfn.XLOOKUP(tabExam[[#This Row],[Unique ID]], tblMaster[Unique ID], tblMaster[Recruiter], ""), "")</f>
        <v xml:space="preserve">Jevon Brown Simpson </v>
      </c>
      <c r="G402" t="str">
        <f>IFERROR(_xlfn.XLOOKUP(tabExam[[#This Row],[Unique ID]], tblMaster[Unique ID], tblMaster[Recruitment Cycle], ""), "")</f>
        <v xml:space="preserve">Re-Engagment/Post Civil Service Exam </v>
      </c>
      <c r="H402" t="s">
        <v>8357</v>
      </c>
      <c r="I402">
        <v>2025</v>
      </c>
      <c r="J402" t="s">
        <v>7446</v>
      </c>
      <c r="K402" t="s">
        <v>8151</v>
      </c>
      <c r="L402" t="s">
        <v>8165</v>
      </c>
      <c r="Q402" t="str">
        <f ca="1">IF(tabExam[[#This Row],[Log Date]]="","",TODAY()-tabExam[[#This Row],[Log Date]])</f>
        <v/>
      </c>
      <c r="R402" t="str">
        <f>IF(tabExam[[#This Row],[Log Date]]="","",IF(TRIM(tabExam[[#This Row],[Exam Cycle Stage]])="Asked to be removed from database","NO","YES"))</f>
        <v/>
      </c>
      <c r="S40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3" spans="1:19">
      <c r="A403" t="s">
        <v>8498</v>
      </c>
      <c r="B403" t="str">
        <f>IFERROR(_xlfn.XLOOKUP(tabExam[[#This Row],[Unique ID]], tblMaster[Unique ID], tblMaster[First Name], ""), "")</f>
        <v>Matthew</v>
      </c>
      <c r="C403" t="str">
        <f>IFERROR(_xlfn.XLOOKUP(tabExam[[#This Row],[Unique ID]], tblMaster[Unique ID], tblMaster[Last Name], ""), "")</f>
        <v xml:space="preserve">Arnold </v>
      </c>
      <c r="D403" t="str">
        <f>IFERROR(_xlfn.XLOOKUP(tabExam[[#This Row],[Unique ID]], tblMaster[Unique ID], tblMaster[Email_Clean], ""), "")</f>
        <v>mattitash1986@icloud.com</v>
      </c>
      <c r="E403" t="str">
        <f>IFERROR(_xlfn.XLOOKUP(tabExam[[#This Row],[Unique ID]], tblMaster[Unique ID], tblMaster[Phone], ""), "")</f>
        <v>508-567-9886</v>
      </c>
      <c r="F403" t="str">
        <f>IFERROR(_xlfn.XLOOKUP(tabExam[[#This Row],[Unique ID]], tblMaster[Unique ID], tblMaster[Recruiter], ""), "")</f>
        <v xml:space="preserve">Jevon Brown Simpson </v>
      </c>
      <c r="G403" t="str">
        <f>IFERROR(_xlfn.XLOOKUP(tabExam[[#This Row],[Unique ID]], tblMaster[Unique ID], tblMaster[Recruitment Cycle], ""), "")</f>
        <v xml:space="preserve">Re-Engagment/Post Civil Service Exam </v>
      </c>
      <c r="H403" t="s">
        <v>8357</v>
      </c>
      <c r="I403">
        <v>2025</v>
      </c>
      <c r="J403" t="s">
        <v>7446</v>
      </c>
      <c r="K403" t="s">
        <v>8151</v>
      </c>
      <c r="L403" t="s">
        <v>8165</v>
      </c>
      <c r="Q403" t="str">
        <f ca="1">IF(tabExam[[#This Row],[Log Date]]="","",TODAY()-tabExam[[#This Row],[Log Date]])</f>
        <v/>
      </c>
      <c r="R403" t="str">
        <f>IF(tabExam[[#This Row],[Log Date]]="","",IF(TRIM(tabExam[[#This Row],[Exam Cycle Stage]])="Asked to be removed from database","NO","YES"))</f>
        <v/>
      </c>
      <c r="S40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4" spans="1:19">
      <c r="A404" t="s">
        <v>8499</v>
      </c>
      <c r="B404" t="str">
        <f>IFERROR(_xlfn.XLOOKUP(tabExam[[#This Row],[Unique ID]], tblMaster[Unique ID], tblMaster[First Name], ""), "")</f>
        <v>Chris</v>
      </c>
      <c r="C404" t="str">
        <f>IFERROR(_xlfn.XLOOKUP(tabExam[[#This Row],[Unique ID]], tblMaster[Unique ID], tblMaster[Last Name], ""), "")</f>
        <v>Todd</v>
      </c>
      <c r="D404" t="str">
        <f>IFERROR(_xlfn.XLOOKUP(tabExam[[#This Row],[Unique ID]], tblMaster[Unique ID], tblMaster[Email_Clean], ""), "")</f>
        <v>christodd004@gmail.com</v>
      </c>
      <c r="E404" t="str">
        <f>IFERROR(_xlfn.XLOOKUP(tabExam[[#This Row],[Unique ID]], tblMaster[Unique ID], tblMaster[Phone], ""), "")</f>
        <v>(774) 273-5948</v>
      </c>
      <c r="F404">
        <f>IFERROR(_xlfn.XLOOKUP(tabExam[[#This Row],[Unique ID]], tblMaster[Unique ID], tblMaster[Recruiter], ""), "")</f>
        <v>0</v>
      </c>
      <c r="G404" t="str">
        <f>IFERROR(_xlfn.XLOOKUP(tabExam[[#This Row],[Unique ID]], tblMaster[Unique ID], tblMaster[Recruitment Cycle], ""), "")</f>
        <v xml:space="preserve">Re-Engagment/Post Civil Service Exam </v>
      </c>
      <c r="H404" t="s">
        <v>8358</v>
      </c>
      <c r="I404">
        <v>2025</v>
      </c>
      <c r="J404" t="s">
        <v>7446</v>
      </c>
      <c r="K404" t="s">
        <v>8151</v>
      </c>
      <c r="L404" t="s">
        <v>8165</v>
      </c>
      <c r="Q404" t="str">
        <f ca="1">IF(tabExam[[#This Row],[Log Date]]="","",TODAY()-tabExam[[#This Row],[Log Date]])</f>
        <v/>
      </c>
      <c r="R404" t="str">
        <f>IF(tabExam[[#This Row],[Log Date]]="","",IF(TRIM(tabExam[[#This Row],[Exam Cycle Stage]])="Asked to be removed from database","NO","YES"))</f>
        <v/>
      </c>
      <c r="S40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5" spans="1:19">
      <c r="A405" t="s">
        <v>8500</v>
      </c>
      <c r="B405" t="str">
        <f>IFERROR(_xlfn.XLOOKUP(tabExam[[#This Row],[Unique ID]], tblMaster[Unique ID], tblMaster[First Name], ""), "")</f>
        <v xml:space="preserve">James </v>
      </c>
      <c r="C405" t="str">
        <f>IFERROR(_xlfn.XLOOKUP(tabExam[[#This Row],[Unique ID]], tblMaster[Unique ID], tblMaster[Last Name], ""), "")</f>
        <v xml:space="preserve"> Ahern</v>
      </c>
      <c r="D405" t="str">
        <f>IFERROR(_xlfn.XLOOKUP(tabExam[[#This Row],[Unique ID]], tblMaster[Unique ID], tblMaster[Email_Clean], ""), "")</f>
        <v>jahern28@icloud.com</v>
      </c>
      <c r="E405" t="str">
        <f>IFERROR(_xlfn.XLOOKUP(tabExam[[#This Row],[Unique ID]], tblMaster[Unique ID], tblMaster[Phone], ""), "")</f>
        <v>978-987-5639</v>
      </c>
      <c r="F405" t="str">
        <f>IFERROR(_xlfn.XLOOKUP(tabExam[[#This Row],[Unique ID]], tblMaster[Unique ID], tblMaster[Recruiter], ""), "")</f>
        <v xml:space="preserve">Jevon Brown Simpson </v>
      </c>
      <c r="G405" t="str">
        <f>IFERROR(_xlfn.XLOOKUP(tabExam[[#This Row],[Unique ID]], tblMaster[Unique ID], tblMaster[Recruitment Cycle], ""), "")</f>
        <v xml:space="preserve">Re-Engagment/Post Civil Service Exam </v>
      </c>
      <c r="H405" t="s">
        <v>8358</v>
      </c>
      <c r="I405">
        <v>2025</v>
      </c>
      <c r="J405" t="s">
        <v>7446</v>
      </c>
      <c r="K405" t="s">
        <v>8151</v>
      </c>
      <c r="L405" t="s">
        <v>8165</v>
      </c>
      <c r="Q405" t="str">
        <f ca="1">IF(tabExam[[#This Row],[Log Date]]="","",TODAY()-tabExam[[#This Row],[Log Date]])</f>
        <v/>
      </c>
      <c r="R405" t="str">
        <f>IF(tabExam[[#This Row],[Log Date]]="","",IF(TRIM(tabExam[[#This Row],[Exam Cycle Stage]])="Asked to be removed from database","NO","YES"))</f>
        <v/>
      </c>
      <c r="S40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6" spans="1:19">
      <c r="A406" t="s">
        <v>8501</v>
      </c>
      <c r="B406" t="str">
        <f>IFERROR(_xlfn.XLOOKUP(tabExam[[#This Row],[Unique ID]], tblMaster[Unique ID], tblMaster[First Name], ""), "")</f>
        <v>Bryan</v>
      </c>
      <c r="C406" t="str">
        <f>IFERROR(_xlfn.XLOOKUP(tabExam[[#This Row],[Unique ID]], tblMaster[Unique ID], tblMaster[Last Name], ""), "")</f>
        <v>Bourgeois</v>
      </c>
      <c r="D406" t="str">
        <f>IFERROR(_xlfn.XLOOKUP(tabExam[[#This Row],[Unique ID]], tblMaster[Unique ID], tblMaster[Email_Clean], ""), "")</f>
        <v>bourgeois213@icloud.com</v>
      </c>
      <c r="E406" t="str">
        <f>IFERROR(_xlfn.XLOOKUP(tabExam[[#This Row],[Unique ID]], tblMaster[Unique ID], tblMaster[Phone], ""), "")</f>
        <v>702-521-1133</v>
      </c>
      <c r="F406" t="str">
        <f>IFERROR(_xlfn.XLOOKUP(tabExam[[#This Row],[Unique ID]], tblMaster[Unique ID], tblMaster[Recruiter], ""), "")</f>
        <v xml:space="preserve">Jevon Brown Simpson </v>
      </c>
      <c r="G406" t="str">
        <f>IFERROR(_xlfn.XLOOKUP(tabExam[[#This Row],[Unique ID]], tblMaster[Unique ID], tblMaster[Recruitment Cycle], ""), "")</f>
        <v xml:space="preserve">Re-Engagment/Post Civil Service Exam </v>
      </c>
      <c r="H406" t="s">
        <v>8358</v>
      </c>
      <c r="I406">
        <v>2025</v>
      </c>
      <c r="J406" t="s">
        <v>7446</v>
      </c>
      <c r="K406" t="s">
        <v>8151</v>
      </c>
      <c r="L406" t="s">
        <v>8165</v>
      </c>
      <c r="Q406" t="str">
        <f ca="1">IF(tabExam[[#This Row],[Log Date]]="","",TODAY()-tabExam[[#This Row],[Log Date]])</f>
        <v/>
      </c>
      <c r="R406" t="str">
        <f>IF(tabExam[[#This Row],[Log Date]]="","",IF(TRIM(tabExam[[#This Row],[Exam Cycle Stage]])="Asked to be removed from database","NO","YES"))</f>
        <v/>
      </c>
      <c r="S40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7" spans="1:19">
      <c r="A407" t="s">
        <v>7943</v>
      </c>
      <c r="B407" t="str">
        <f>IFERROR(_xlfn.XLOOKUP(tabExam[[#This Row],[Unique ID]], tblMaster[Unique ID], tblMaster[First Name], ""), "")</f>
        <v xml:space="preserve">Jaethen </v>
      </c>
      <c r="C407" t="str">
        <f>IFERROR(_xlfn.XLOOKUP(tabExam[[#This Row],[Unique ID]], tblMaster[Unique ID], tblMaster[Last Name], ""), "")</f>
        <v xml:space="preserve">Ramos </v>
      </c>
      <c r="D407" t="str">
        <f>IFERROR(_xlfn.XLOOKUP(tabExam[[#This Row],[Unique ID]], tblMaster[Unique ID], tblMaster[Email_Clean], ""), "")</f>
        <v>jaethen1@icloud.com</v>
      </c>
      <c r="E407" t="str">
        <f>IFERROR(_xlfn.XLOOKUP(tabExam[[#This Row],[Unique ID]], tblMaster[Unique ID], tblMaster[Phone], ""), "")</f>
        <v>774-633-7970</v>
      </c>
      <c r="F407" t="str">
        <f>IFERROR(_xlfn.XLOOKUP(tabExam[[#This Row],[Unique ID]], tblMaster[Unique ID], tblMaster[Recruiter], ""), "")</f>
        <v xml:space="preserve">Jevon Brown Simpson </v>
      </c>
      <c r="G407" t="str">
        <f>IFERROR(_xlfn.XLOOKUP(tabExam[[#This Row],[Unique ID]], tblMaster[Unique ID], tblMaster[Recruitment Cycle], ""), "")</f>
        <v xml:space="preserve">Re-Engagment/Post Civil Service Exam </v>
      </c>
      <c r="H407" t="s">
        <v>8358</v>
      </c>
      <c r="I407">
        <v>2025</v>
      </c>
      <c r="J407" t="s">
        <v>7446</v>
      </c>
      <c r="K407" t="s">
        <v>8151</v>
      </c>
      <c r="L407" t="s">
        <v>8165</v>
      </c>
      <c r="Q407" t="str">
        <f ca="1">IF(tabExam[[#This Row],[Log Date]]="","",TODAY()-tabExam[[#This Row],[Log Date]])</f>
        <v/>
      </c>
      <c r="R407" t="str">
        <f>IF(tabExam[[#This Row],[Log Date]]="","",IF(TRIM(tabExam[[#This Row],[Exam Cycle Stage]])="Asked to be removed from database","NO","YES"))</f>
        <v/>
      </c>
      <c r="S40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8" spans="1:19">
      <c r="A408" t="s">
        <v>8502</v>
      </c>
      <c r="B408" t="str">
        <f>IFERROR(_xlfn.XLOOKUP(tabExam[[#This Row],[Unique ID]], tblMaster[Unique ID], tblMaster[First Name], ""), "")</f>
        <v xml:space="preserve">Leette </v>
      </c>
      <c r="C408" t="str">
        <f>IFERROR(_xlfn.XLOOKUP(tabExam[[#This Row],[Unique ID]], tblMaster[Unique ID], tblMaster[Last Name], ""), "")</f>
        <v xml:space="preserve">Marshall </v>
      </c>
      <c r="D408" t="str">
        <f>IFERROR(_xlfn.XLOOKUP(tabExam[[#This Row],[Unique ID]], tblMaster[Unique ID], tblMaster[Email_Clean], ""), "")</f>
        <v>ladiielee@gmail.com</v>
      </c>
      <c r="E408" t="str">
        <f>IFERROR(_xlfn.XLOOKUP(tabExam[[#This Row],[Unique ID]], tblMaster[Unique ID], tblMaster[Phone], ""), "")</f>
        <v xml:space="preserve">(857) 287-0662 </v>
      </c>
      <c r="F408" t="str">
        <f>IFERROR(_xlfn.XLOOKUP(tabExam[[#This Row],[Unique ID]], tblMaster[Unique ID], tblMaster[Recruiter], ""), "")</f>
        <v>Zenon Moses</v>
      </c>
      <c r="G408" t="str">
        <f>IFERROR(_xlfn.XLOOKUP(tabExam[[#This Row],[Unique ID]], tblMaster[Unique ID], tblMaster[Recruitment Cycle], ""), "")</f>
        <v xml:space="preserve">Re-Engagment/Post Civil Service Exam </v>
      </c>
      <c r="Q408" t="str">
        <f ca="1">IF(tabExam[[#This Row],[Log Date]]="","",TODAY()-tabExam[[#This Row],[Log Date]])</f>
        <v/>
      </c>
      <c r="R408" t="str">
        <f>IF(tabExam[[#This Row],[Log Date]]="","",IF(TRIM(tabExam[[#This Row],[Exam Cycle Stage]])="Asked to be removed from database","NO","YES"))</f>
        <v/>
      </c>
      <c r="S40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09" spans="1:19">
      <c r="A409" t="s">
        <v>8503</v>
      </c>
      <c r="B409" t="str">
        <f>IFERROR(_xlfn.XLOOKUP(tabExam[[#This Row],[Unique ID]], tblMaster[Unique ID], tblMaster[First Name], ""), "")</f>
        <v xml:space="preserve">Marie </v>
      </c>
      <c r="C409" t="str">
        <f>IFERROR(_xlfn.XLOOKUP(tabExam[[#This Row],[Unique ID]], tblMaster[Unique ID], tblMaster[Last Name], ""), "")</f>
        <v xml:space="preserve">Charles </v>
      </c>
      <c r="D409" t="str">
        <f>IFERROR(_xlfn.XLOOKUP(tabExam[[#This Row],[Unique ID]], tblMaster[Unique ID], tblMaster[Email_Clean], ""), "")</f>
        <v>charlesmarie6@gmail.com</v>
      </c>
      <c r="E409" t="str">
        <f>IFERROR(_xlfn.XLOOKUP(tabExam[[#This Row],[Unique ID]], tblMaster[Unique ID], tblMaster[Phone], ""), "")</f>
        <v>781 492 6097</v>
      </c>
      <c r="F409">
        <f>IFERROR(_xlfn.XLOOKUP(tabExam[[#This Row],[Unique ID]], tblMaster[Unique ID], tblMaster[Recruiter], ""), "")</f>
        <v>0</v>
      </c>
      <c r="G409" t="str">
        <f>IFERROR(_xlfn.XLOOKUP(tabExam[[#This Row],[Unique ID]], tblMaster[Unique ID], tblMaster[Recruitment Cycle], ""), "")</f>
        <v xml:space="preserve">Re-Engagment/Post Civil Service Exam </v>
      </c>
      <c r="H409" t="s">
        <v>8164</v>
      </c>
      <c r="I409">
        <v>2025</v>
      </c>
      <c r="J409" t="s">
        <v>7446</v>
      </c>
      <c r="K409" t="s">
        <v>8151</v>
      </c>
      <c r="L409" t="s">
        <v>8165</v>
      </c>
      <c r="Q409" t="str">
        <f ca="1">IF(tabExam[[#This Row],[Log Date]]="","",TODAY()-tabExam[[#This Row],[Log Date]])</f>
        <v/>
      </c>
      <c r="R409" t="str">
        <f>IF(tabExam[[#This Row],[Log Date]]="","",IF(TRIM(tabExam[[#This Row],[Exam Cycle Stage]])="Asked to be removed from database","NO","YES"))</f>
        <v/>
      </c>
      <c r="S40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0" spans="1:19">
      <c r="A410" t="s">
        <v>8504</v>
      </c>
      <c r="B410" t="str">
        <f>IFERROR(_xlfn.XLOOKUP(tabExam[[#This Row],[Unique ID]], tblMaster[Unique ID], tblMaster[First Name], ""), "")</f>
        <v>Jovanni</v>
      </c>
      <c r="C410" t="str">
        <f>IFERROR(_xlfn.XLOOKUP(tabExam[[#This Row],[Unique ID]], tblMaster[Unique ID], tblMaster[Last Name], ""), "")</f>
        <v>Cruz</v>
      </c>
      <c r="D410" t="str">
        <f>IFERROR(_xlfn.XLOOKUP(tabExam[[#This Row],[Unique ID]], tblMaster[Unique ID], tblMaster[Email_Clean], ""), "")</f>
        <v>cruzjovanni508@gmail.com</v>
      </c>
      <c r="E410" t="str">
        <f>IFERROR(_xlfn.XLOOKUP(tabExam[[#This Row],[Unique ID]], tblMaster[Unique ID], tblMaster[Phone], ""), "")</f>
        <v>774-520-6963</v>
      </c>
      <c r="F410">
        <f>IFERROR(_xlfn.XLOOKUP(tabExam[[#This Row],[Unique ID]], tblMaster[Unique ID], tblMaster[Recruiter], ""), "")</f>
        <v>0</v>
      </c>
      <c r="G410" t="str">
        <f>IFERROR(_xlfn.XLOOKUP(tabExam[[#This Row],[Unique ID]], tblMaster[Unique ID], tblMaster[Recruitment Cycle], ""), "")</f>
        <v xml:space="preserve">Re-Engagment/Post Civil Service Exam </v>
      </c>
      <c r="H410" t="s">
        <v>8164</v>
      </c>
      <c r="I410">
        <v>2025</v>
      </c>
      <c r="J410" t="s">
        <v>7446</v>
      </c>
      <c r="K410" t="s">
        <v>8151</v>
      </c>
      <c r="L410" t="s">
        <v>8165</v>
      </c>
      <c r="Q410" t="str">
        <f ca="1">IF(tabExam[[#This Row],[Log Date]]="","",TODAY()-tabExam[[#This Row],[Log Date]])</f>
        <v/>
      </c>
      <c r="R410" t="str">
        <f>IF(tabExam[[#This Row],[Log Date]]="","",IF(TRIM(tabExam[[#This Row],[Exam Cycle Stage]])="Asked to be removed from database","NO","YES"))</f>
        <v/>
      </c>
      <c r="S41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1" spans="1:19">
      <c r="A411" t="s">
        <v>8505</v>
      </c>
      <c r="B411" t="str">
        <f>IFERROR(_xlfn.XLOOKUP(tabExam[[#This Row],[Unique ID]], tblMaster[Unique ID], tblMaster[First Name], ""), "")</f>
        <v>Dmitri</v>
      </c>
      <c r="C411" t="str">
        <f>IFERROR(_xlfn.XLOOKUP(tabExam[[#This Row],[Unique ID]], tblMaster[Unique ID], tblMaster[Last Name], ""), "")</f>
        <v>Erickson</v>
      </c>
      <c r="D411" t="str">
        <f>IFERROR(_xlfn.XLOOKUP(tabExam[[#This Row],[Unique ID]], tblMaster[Unique ID], tblMaster[Email_Clean], ""), "")</f>
        <v>ericksondimitri@yahoo.com</v>
      </c>
      <c r="E411" t="str">
        <f>IFERROR(_xlfn.XLOOKUP(tabExam[[#This Row],[Unique ID]], tblMaster[Unique ID], tblMaster[Phone], ""), "")</f>
        <v>978-420-7612</v>
      </c>
      <c r="F411">
        <f>IFERROR(_xlfn.XLOOKUP(tabExam[[#This Row],[Unique ID]], tblMaster[Unique ID], tblMaster[Recruiter], ""), "")</f>
        <v>0</v>
      </c>
      <c r="G411" t="str">
        <f>IFERROR(_xlfn.XLOOKUP(tabExam[[#This Row],[Unique ID]], tblMaster[Unique ID], tblMaster[Recruitment Cycle], ""), "")</f>
        <v xml:space="preserve">Re-Engagment/Post Civil Service Exam </v>
      </c>
      <c r="H411" t="s">
        <v>8164</v>
      </c>
      <c r="I411">
        <v>2025</v>
      </c>
      <c r="J411" t="s">
        <v>7446</v>
      </c>
      <c r="K411" t="s">
        <v>8151</v>
      </c>
      <c r="L411" t="s">
        <v>8165</v>
      </c>
      <c r="Q411" t="str">
        <f ca="1">IF(tabExam[[#This Row],[Log Date]]="","",TODAY()-tabExam[[#This Row],[Log Date]])</f>
        <v/>
      </c>
      <c r="R411" t="str">
        <f>IF(tabExam[[#This Row],[Log Date]]="","",IF(TRIM(tabExam[[#This Row],[Exam Cycle Stage]])="Asked to be removed from database","NO","YES"))</f>
        <v/>
      </c>
      <c r="S41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2" spans="1:19">
      <c r="A412" t="s">
        <v>8506</v>
      </c>
      <c r="B412" t="str">
        <f>IFERROR(_xlfn.XLOOKUP(tabExam[[#This Row],[Unique ID]], tblMaster[Unique ID], tblMaster[First Name], ""), "")</f>
        <v xml:space="preserve">Keandre </v>
      </c>
      <c r="C412" t="str">
        <f>IFERROR(_xlfn.XLOOKUP(tabExam[[#This Row],[Unique ID]], tblMaster[Unique ID], tblMaster[Last Name], ""), "")</f>
        <v xml:space="preserve"> Madison</v>
      </c>
      <c r="D412" t="str">
        <f>IFERROR(_xlfn.XLOOKUP(tabExam[[#This Row],[Unique ID]], tblMaster[Unique ID], tblMaster[Email_Clean], ""), "")</f>
        <v>riconmadison15@gmail.com</v>
      </c>
      <c r="E412" t="str">
        <f>IFERROR(_xlfn.XLOOKUP(tabExam[[#This Row],[Unique ID]], tblMaster[Unique ID], tblMaster[Phone], ""), "")</f>
        <v>774 253 0067</v>
      </c>
      <c r="F412" t="str">
        <f>IFERROR(_xlfn.XLOOKUP(tabExam[[#This Row],[Unique ID]], tblMaster[Unique ID], tblMaster[Recruiter], ""), "")</f>
        <v xml:space="preserve">Austin Campos </v>
      </c>
      <c r="G412" t="str">
        <f>IFERROR(_xlfn.XLOOKUP(tabExam[[#This Row],[Unique ID]], tblMaster[Unique ID], tblMaster[Recruitment Cycle], ""), "")</f>
        <v xml:space="preserve">New Submission/ Lead </v>
      </c>
      <c r="H412" t="s">
        <v>8360</v>
      </c>
      <c r="I412">
        <v>2025</v>
      </c>
      <c r="J412" t="s">
        <v>7446</v>
      </c>
      <c r="K412" t="s">
        <v>8151</v>
      </c>
      <c r="L412" t="s">
        <v>8165</v>
      </c>
      <c r="M412" t="s">
        <v>7434</v>
      </c>
      <c r="N412" t="s">
        <v>7435</v>
      </c>
      <c r="O412" s="2">
        <v>46072</v>
      </c>
      <c r="P412" t="s">
        <v>8195</v>
      </c>
      <c r="Q412">
        <f ca="1">IF(tabExam[[#This Row],[Log Date]]="","",TODAY()-tabExam[[#This Row],[Log Date]])</f>
        <v>7</v>
      </c>
      <c r="R412" t="str">
        <f>IF(tabExam[[#This Row],[Log Date]]="","",IF(TRIM(tabExam[[#This Row],[Exam Cycle Stage]])="Asked to be removed from database","NO","YES"))</f>
        <v>YES</v>
      </c>
      <c r="S412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3" spans="1:19">
      <c r="A413" t="s">
        <v>8507</v>
      </c>
      <c r="B413" t="str">
        <f>IFERROR(_xlfn.XLOOKUP(tabExam[[#This Row],[Unique ID]], tblMaster[Unique ID], tblMaster[First Name], ""), "")</f>
        <v xml:space="preserve">Andralis </v>
      </c>
      <c r="C413" t="str">
        <f>IFERROR(_xlfn.XLOOKUP(tabExam[[#This Row],[Unique ID]], tblMaster[Unique ID], tblMaster[Last Name], ""), "")</f>
        <v xml:space="preserve"> Madison</v>
      </c>
      <c r="D413" t="str">
        <f>IFERROR(_xlfn.XLOOKUP(tabExam[[#This Row],[Unique ID]], tblMaster[Unique ID], tblMaster[Email_Clean], ""), "")</f>
        <v>andralisss525@gmail.com</v>
      </c>
      <c r="E413" t="str">
        <f>IFERROR(_xlfn.XLOOKUP(tabExam[[#This Row],[Unique ID]], tblMaster[Unique ID], tblMaster[Phone], ""), "")</f>
        <v xml:space="preserve">207)-852-3135 </v>
      </c>
      <c r="F413" t="str">
        <f>IFERROR(_xlfn.XLOOKUP(tabExam[[#This Row],[Unique ID]], tblMaster[Unique ID], tblMaster[Recruiter], ""), "")</f>
        <v xml:space="preserve">Jevon Brown Simpson </v>
      </c>
      <c r="G413" t="str">
        <f>IFERROR(_xlfn.XLOOKUP(tabExam[[#This Row],[Unique ID]], tblMaster[Unique ID], tblMaster[Recruitment Cycle], ""), "")</f>
        <v xml:space="preserve">Re-Engagment/Post Civil Service Exam </v>
      </c>
      <c r="H413" t="s">
        <v>8358</v>
      </c>
      <c r="I413">
        <v>2025</v>
      </c>
      <c r="J413" t="s">
        <v>7446</v>
      </c>
      <c r="K413" t="s">
        <v>8151</v>
      </c>
      <c r="L413" t="s">
        <v>8165</v>
      </c>
      <c r="Q413" t="str">
        <f ca="1">IF(tabExam[[#This Row],[Log Date]]="","",TODAY()-tabExam[[#This Row],[Log Date]])</f>
        <v/>
      </c>
      <c r="R413" t="str">
        <f>IF(tabExam[[#This Row],[Log Date]]="","",IF(TRIM(tabExam[[#This Row],[Exam Cycle Stage]])="Asked to be removed from database","NO","YES"))</f>
        <v/>
      </c>
      <c r="S41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4" spans="1:19">
      <c r="A414" t="s">
        <v>8508</v>
      </c>
      <c r="B414" t="str">
        <f>IFERROR(_xlfn.XLOOKUP(tabExam[[#This Row],[Unique ID]], tblMaster[Unique ID], tblMaster[First Name], ""), "")</f>
        <v xml:space="preserve">Thomas </v>
      </c>
      <c r="C414" t="str">
        <f>IFERROR(_xlfn.XLOOKUP(tabExam[[#This Row],[Unique ID]], tblMaster[Unique ID], tblMaster[Last Name], ""), "")</f>
        <v xml:space="preserve">Ethier </v>
      </c>
      <c r="D414" t="str">
        <f>IFERROR(_xlfn.XLOOKUP(tabExam[[#This Row],[Unique ID]], tblMaster[Unique ID], tblMaster[Email_Clean], ""), "")</f>
        <v>racingtntmx@aol.com</v>
      </c>
      <c r="E414" t="str">
        <f>IFERROR(_xlfn.XLOOKUP(tabExam[[#This Row],[Unique ID]], tblMaster[Unique ID], tblMaster[Phone], ""), "")</f>
        <v>(603) 265-2324</v>
      </c>
      <c r="F414" t="str">
        <f>IFERROR(_xlfn.XLOOKUP(tabExam[[#This Row],[Unique ID]], tblMaster[Unique ID], tblMaster[Recruiter], ""), "")</f>
        <v>Zenon Moses</v>
      </c>
      <c r="G414" t="str">
        <f>IFERROR(_xlfn.XLOOKUP(tabExam[[#This Row],[Unique ID]], tblMaster[Unique ID], tblMaster[Recruitment Cycle], ""), "")</f>
        <v xml:space="preserve">Re-Engagment/Post Civil Service Exam </v>
      </c>
      <c r="H414" t="s">
        <v>8358</v>
      </c>
      <c r="I414">
        <v>2025</v>
      </c>
      <c r="J414" t="s">
        <v>7446</v>
      </c>
      <c r="K414" t="s">
        <v>8151</v>
      </c>
      <c r="L414" t="s">
        <v>8165</v>
      </c>
      <c r="Q414" t="str">
        <f ca="1">IF(tabExam[[#This Row],[Log Date]]="","",TODAY()-tabExam[[#This Row],[Log Date]])</f>
        <v/>
      </c>
      <c r="R414" t="str">
        <f>IF(tabExam[[#This Row],[Log Date]]="","",IF(TRIM(tabExam[[#This Row],[Exam Cycle Stage]])="Asked to be removed from database","NO","YES"))</f>
        <v/>
      </c>
      <c r="S41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5" spans="1:19">
      <c r="A415" t="s">
        <v>8509</v>
      </c>
      <c r="B415" t="str">
        <f>IFERROR(_xlfn.XLOOKUP(tabExam[[#This Row],[Unique ID]], tblMaster[Unique ID], tblMaster[First Name], ""), "")</f>
        <v>Ivyana</v>
      </c>
      <c r="C415" t="str">
        <f>IFERROR(_xlfn.XLOOKUP(tabExam[[#This Row],[Unique ID]], tblMaster[Unique ID], tblMaster[Last Name], ""), "")</f>
        <v>Scott</v>
      </c>
      <c r="D415" t="str">
        <f>IFERROR(_xlfn.XLOOKUP(tabExam[[#This Row],[Unique ID]], tblMaster[Unique ID], tblMaster[Email_Clean], ""), "")</f>
        <v>ivyanascott123456@icloud.com</v>
      </c>
      <c r="E415" t="str">
        <f>IFERROR(_xlfn.XLOOKUP(tabExam[[#This Row],[Unique ID]], tblMaster[Unique ID], tblMaster[Phone], ""), "")</f>
        <v>857-266-7427</v>
      </c>
      <c r="F415" t="str">
        <f>IFERROR(_xlfn.XLOOKUP(tabExam[[#This Row],[Unique ID]], tblMaster[Unique ID], tblMaster[Recruiter], ""), "")</f>
        <v xml:space="preserve">Jevon Brown Simpson </v>
      </c>
      <c r="G415" t="str">
        <f>IFERROR(_xlfn.XLOOKUP(tabExam[[#This Row],[Unique ID]], tblMaster[Unique ID], tblMaster[Recruitment Cycle], ""), "")</f>
        <v xml:space="preserve">Re-Engagment/Post Civil Service Exam </v>
      </c>
      <c r="H415" t="s">
        <v>8366</v>
      </c>
      <c r="I415">
        <v>2025</v>
      </c>
      <c r="J415" t="s">
        <v>7446</v>
      </c>
      <c r="K415" t="s">
        <v>8151</v>
      </c>
      <c r="L415" t="s">
        <v>8165</v>
      </c>
      <c r="Q415" t="str">
        <f ca="1">IF(tabExam[[#This Row],[Log Date]]="","",TODAY()-tabExam[[#This Row],[Log Date]])</f>
        <v/>
      </c>
      <c r="R415" t="str">
        <f>IF(tabExam[[#This Row],[Log Date]]="","",IF(TRIM(tabExam[[#This Row],[Exam Cycle Stage]])="Asked to be removed from database","NO","YES"))</f>
        <v/>
      </c>
      <c r="S41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6" spans="1:19">
      <c r="A416" t="s">
        <v>8510</v>
      </c>
      <c r="B416" t="str">
        <f>IFERROR(_xlfn.XLOOKUP(tabExam[[#This Row],[Unique ID]], tblMaster[Unique ID], tblMaster[First Name], ""), "")</f>
        <v>Joao</v>
      </c>
      <c r="C416" t="str">
        <f>IFERROR(_xlfn.XLOOKUP(tabExam[[#This Row],[Unique ID]], tblMaster[Unique ID], tblMaster[Last Name], ""), "")</f>
        <v>duarte</v>
      </c>
      <c r="D416" t="str">
        <f>IFERROR(_xlfn.XLOOKUP(tabExam[[#This Row],[Unique ID]], tblMaster[Unique ID], tblMaster[Email_Clean], ""), "")</f>
        <v>sacvjohn@gmail.com</v>
      </c>
      <c r="E416" t="str">
        <f>IFERROR(_xlfn.XLOOKUP(tabExam[[#This Row],[Unique ID]], tblMaster[Unique ID], tblMaster[Phone], ""), "")</f>
        <v>617-905-2449</v>
      </c>
      <c r="F416" t="str">
        <f>IFERROR(_xlfn.XLOOKUP(tabExam[[#This Row],[Unique ID]], tblMaster[Unique ID], tblMaster[Recruiter], ""), "")</f>
        <v xml:space="preserve">Jevon Brown Simpson </v>
      </c>
      <c r="G416" t="str">
        <f>IFERROR(_xlfn.XLOOKUP(tabExam[[#This Row],[Unique ID]], tblMaster[Unique ID], tblMaster[Recruitment Cycle], ""), "")</f>
        <v xml:space="preserve">Re-Engagment/Post Civil Service Exam </v>
      </c>
      <c r="H416" t="s">
        <v>8366</v>
      </c>
      <c r="I416">
        <v>2025</v>
      </c>
      <c r="J416" t="s">
        <v>7446</v>
      </c>
      <c r="K416" t="s">
        <v>8151</v>
      </c>
      <c r="L416" t="s">
        <v>8165</v>
      </c>
      <c r="Q416" t="str">
        <f ca="1">IF(tabExam[[#This Row],[Log Date]]="","",TODAY()-tabExam[[#This Row],[Log Date]])</f>
        <v/>
      </c>
      <c r="R416" t="str">
        <f>IF(tabExam[[#This Row],[Log Date]]="","",IF(TRIM(tabExam[[#This Row],[Exam Cycle Stage]])="Asked to be removed from database","NO","YES"))</f>
        <v/>
      </c>
      <c r="S41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7" spans="1:19">
      <c r="A417" t="s">
        <v>8053</v>
      </c>
      <c r="B417" t="str">
        <f>IFERROR(_xlfn.XLOOKUP(tabExam[[#This Row],[Unique ID]], tblMaster[Unique ID], tblMaster[First Name], ""), "")</f>
        <v>Ronnie</v>
      </c>
      <c r="C417" t="str">
        <f>IFERROR(_xlfn.XLOOKUP(tabExam[[#This Row],[Unique ID]], tblMaster[Unique ID], tblMaster[Last Name], ""), "")</f>
        <v xml:space="preserve"> Jacobs </v>
      </c>
      <c r="D417" t="str">
        <f>IFERROR(_xlfn.XLOOKUP(tabExam[[#This Row],[Unique ID]], tblMaster[Unique ID], tblMaster[Email_Clean], ""), "")</f>
        <v>ronniesacredbox@gmail.com</v>
      </c>
      <c r="E417" t="str">
        <f>IFERROR(_xlfn.XLOOKUP(tabExam[[#This Row],[Unique ID]], tblMaster[Unique ID], tblMaster[Phone], ""), "")</f>
        <v xml:space="preserve">(413) 693-6722 </v>
      </c>
      <c r="F417" t="str">
        <f>IFERROR(_xlfn.XLOOKUP(tabExam[[#This Row],[Unique ID]], tblMaster[Unique ID], tblMaster[Recruiter], ""), "")</f>
        <v xml:space="preserve">Jevon Brown Simpson </v>
      </c>
      <c r="G417" t="str">
        <f>IFERROR(_xlfn.XLOOKUP(tabExam[[#This Row],[Unique ID]], tblMaster[Unique ID], tblMaster[Recruitment Cycle], ""), "")</f>
        <v xml:space="preserve">Re-Engagment/Post Civil Service Exam </v>
      </c>
      <c r="H417" t="s">
        <v>8366</v>
      </c>
      <c r="I417">
        <v>2025</v>
      </c>
      <c r="J417" t="s">
        <v>7446</v>
      </c>
      <c r="K417" t="s">
        <v>8151</v>
      </c>
      <c r="L417" t="s">
        <v>8165</v>
      </c>
      <c r="Q417" t="str">
        <f ca="1">IF(tabExam[[#This Row],[Log Date]]="","",TODAY()-tabExam[[#This Row],[Log Date]])</f>
        <v/>
      </c>
      <c r="R417" t="str">
        <f>IF(tabExam[[#This Row],[Log Date]]="","",IF(TRIM(tabExam[[#This Row],[Exam Cycle Stage]])="Asked to be removed from database","NO","YES"))</f>
        <v/>
      </c>
      <c r="S41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8" spans="1:19">
      <c r="A418" t="s">
        <v>8511</v>
      </c>
      <c r="B418" t="str">
        <f>IFERROR(_xlfn.XLOOKUP(tabExam[[#This Row],[Unique ID]], tblMaster[Unique ID], tblMaster[First Name], ""), "")</f>
        <v>Margaret</v>
      </c>
      <c r="C418" t="str">
        <f>IFERROR(_xlfn.XLOOKUP(tabExam[[#This Row],[Unique ID]], tblMaster[Unique ID], tblMaster[Last Name], ""), "")</f>
        <v>Contreras</v>
      </c>
      <c r="D418" t="str">
        <f>IFERROR(_xlfn.XLOOKUP(tabExam[[#This Row],[Unique ID]], tblMaster[Unique ID], tblMaster[Email_Clean], ""), "")</f>
        <v>c.margaret17@gmail.com</v>
      </c>
      <c r="E418" t="str">
        <f>IFERROR(_xlfn.XLOOKUP(tabExam[[#This Row],[Unique ID]], tblMaster[Unique ID], tblMaster[Phone], ""), "")</f>
        <v>917-939-7848</v>
      </c>
      <c r="F418" t="str">
        <f>IFERROR(_xlfn.XLOOKUP(tabExam[[#This Row],[Unique ID]], tblMaster[Unique ID], tblMaster[Recruiter], ""), "")</f>
        <v xml:space="preserve">Jevon Brown Simpson </v>
      </c>
      <c r="G418" t="str">
        <f>IFERROR(_xlfn.XLOOKUP(tabExam[[#This Row],[Unique ID]], tblMaster[Unique ID], tblMaster[Recruitment Cycle], ""), "")</f>
        <v xml:space="preserve">Re-Engagment/Post Civil Service Exam </v>
      </c>
      <c r="H418" t="s">
        <v>8366</v>
      </c>
      <c r="I418">
        <v>2025</v>
      </c>
      <c r="J418" t="s">
        <v>7446</v>
      </c>
      <c r="K418" t="s">
        <v>8151</v>
      </c>
      <c r="L418" t="s">
        <v>8165</v>
      </c>
      <c r="Q418" t="str">
        <f ca="1">IF(tabExam[[#This Row],[Log Date]]="","",TODAY()-tabExam[[#This Row],[Log Date]])</f>
        <v/>
      </c>
      <c r="R418" t="str">
        <f>IF(tabExam[[#This Row],[Log Date]]="","",IF(TRIM(tabExam[[#This Row],[Exam Cycle Stage]])="Asked to be removed from database","NO","YES"))</f>
        <v/>
      </c>
      <c r="S41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19" spans="1:19">
      <c r="A419" t="s">
        <v>8512</v>
      </c>
      <c r="B419" t="str">
        <f>IFERROR(_xlfn.XLOOKUP(tabExam[[#This Row],[Unique ID]], tblMaster[Unique ID], tblMaster[First Name], ""), "")</f>
        <v xml:space="preserve">Alessa </v>
      </c>
      <c r="C419" t="str">
        <f>IFERROR(_xlfn.XLOOKUP(tabExam[[#This Row],[Unique ID]], tblMaster[Unique ID], tblMaster[Last Name], ""), "")</f>
        <v>Carbo</v>
      </c>
      <c r="D419" t="str">
        <f>IFERROR(_xlfn.XLOOKUP(tabExam[[#This Row],[Unique ID]], tblMaster[Unique ID], tblMaster[Email_Clean], ""), "")</f>
        <v>alessacarbo03@gmail.com</v>
      </c>
      <c r="E419" t="str">
        <f>IFERROR(_xlfn.XLOOKUP(tabExam[[#This Row],[Unique ID]], tblMaster[Unique ID], tblMaster[Phone], ""), "")</f>
        <v>978)-878-1769</v>
      </c>
      <c r="F419" t="str">
        <f>IFERROR(_xlfn.XLOOKUP(tabExam[[#This Row],[Unique ID]], tblMaster[Unique ID], tblMaster[Recruiter], ""), "")</f>
        <v xml:space="preserve">Jevon Brown Simpson </v>
      </c>
      <c r="G419" t="str">
        <f>IFERROR(_xlfn.XLOOKUP(tabExam[[#This Row],[Unique ID]], tblMaster[Unique ID], tblMaster[Recruitment Cycle], ""), "")</f>
        <v xml:space="preserve">Re-Engagment/Post Civil Service Exam </v>
      </c>
      <c r="H419" t="s">
        <v>8366</v>
      </c>
      <c r="I419">
        <v>2025</v>
      </c>
      <c r="J419" t="s">
        <v>7446</v>
      </c>
      <c r="K419" t="s">
        <v>8151</v>
      </c>
      <c r="L419" t="s">
        <v>8165</v>
      </c>
      <c r="Q419" t="str">
        <f ca="1">IF(tabExam[[#This Row],[Log Date]]="","",TODAY()-tabExam[[#This Row],[Log Date]])</f>
        <v/>
      </c>
      <c r="R419" t="str">
        <f>IF(tabExam[[#This Row],[Log Date]]="","",IF(TRIM(tabExam[[#This Row],[Exam Cycle Stage]])="Asked to be removed from database","NO","YES"))</f>
        <v/>
      </c>
      <c r="S41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0" spans="1:19">
      <c r="A420" t="s">
        <v>8513</v>
      </c>
      <c r="B420" t="str">
        <f>IFERROR(_xlfn.XLOOKUP(tabExam[[#This Row],[Unique ID]], tblMaster[Unique ID], tblMaster[First Name], ""), "")</f>
        <v xml:space="preserve">Jeff </v>
      </c>
      <c r="C420" t="str">
        <f>IFERROR(_xlfn.XLOOKUP(tabExam[[#This Row],[Unique ID]], tblMaster[Unique ID], tblMaster[Last Name], ""), "")</f>
        <v xml:space="preserve">Paul </v>
      </c>
      <c r="D420" t="str">
        <f>IFERROR(_xlfn.XLOOKUP(tabExam[[#This Row],[Unique ID]], tblMaster[Unique ID], tblMaster[Email_Clean], ""), "")</f>
        <v>jeff.paul1987@gmail.com</v>
      </c>
      <c r="E420" t="str">
        <f>IFERROR(_xlfn.XLOOKUP(tabExam[[#This Row],[Unique ID]], tblMaster[Unique ID], tblMaster[Phone], ""), "")</f>
        <v xml:space="preserve"> 347-249-8830</v>
      </c>
      <c r="F420">
        <f>IFERROR(_xlfn.XLOOKUP(tabExam[[#This Row],[Unique ID]], tblMaster[Unique ID], tblMaster[Recruiter], ""), "")</f>
        <v>0</v>
      </c>
      <c r="G420" t="str">
        <f>IFERROR(_xlfn.XLOOKUP(tabExam[[#This Row],[Unique ID]], tblMaster[Unique ID], tblMaster[Recruitment Cycle], ""), "")</f>
        <v xml:space="preserve">Re-Engagment/Post Civil Service Exam </v>
      </c>
      <c r="H420" t="s">
        <v>8366</v>
      </c>
      <c r="I420">
        <v>2025</v>
      </c>
      <c r="J420" t="s">
        <v>7446</v>
      </c>
      <c r="K420" t="s">
        <v>8151</v>
      </c>
      <c r="L420" t="s">
        <v>8165</v>
      </c>
      <c r="Q420" t="str">
        <f ca="1">IF(tabExam[[#This Row],[Log Date]]="","",TODAY()-tabExam[[#This Row],[Log Date]])</f>
        <v/>
      </c>
      <c r="R420" t="str">
        <f>IF(tabExam[[#This Row],[Log Date]]="","",IF(TRIM(tabExam[[#This Row],[Exam Cycle Stage]])="Asked to be removed from database","NO","YES"))</f>
        <v/>
      </c>
      <c r="S42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1" spans="1:19">
      <c r="A421" t="s">
        <v>8514</v>
      </c>
      <c r="B421" t="str">
        <f>IFERROR(_xlfn.XLOOKUP(tabExam[[#This Row],[Unique ID]], tblMaster[Unique ID], tblMaster[First Name], ""), "")</f>
        <v xml:space="preserve">Connor </v>
      </c>
      <c r="C421" t="str">
        <f>IFERROR(_xlfn.XLOOKUP(tabExam[[#This Row],[Unique ID]], tblMaster[Unique ID], tblMaster[Last Name], ""), "")</f>
        <v>Van Wie</v>
      </c>
      <c r="D421" t="str">
        <f>IFERROR(_xlfn.XLOOKUP(tabExam[[#This Row],[Unique ID]], tblMaster[Unique ID], tblMaster[Email_Clean], ""), "")</f>
        <v>connor.vanwie@snhu.edu</v>
      </c>
      <c r="E421" t="str">
        <f>IFERROR(_xlfn.XLOOKUP(tabExam[[#This Row],[Unique ID]], tblMaster[Unique ID], tblMaster[Phone], ""), "")</f>
        <v>570-249-0417</v>
      </c>
      <c r="F421">
        <f>IFERROR(_xlfn.XLOOKUP(tabExam[[#This Row],[Unique ID]], tblMaster[Unique ID], tblMaster[Recruiter], ""), "")</f>
        <v>0</v>
      </c>
      <c r="G421" t="str">
        <f>IFERROR(_xlfn.XLOOKUP(tabExam[[#This Row],[Unique ID]], tblMaster[Unique ID], tblMaster[Recruitment Cycle], ""), "")</f>
        <v xml:space="preserve">Re-Engagment/Post Civil Service Exam </v>
      </c>
      <c r="H421" t="s">
        <v>8366</v>
      </c>
      <c r="I421">
        <v>2025</v>
      </c>
      <c r="J421" t="s">
        <v>7446</v>
      </c>
      <c r="K421" t="s">
        <v>8151</v>
      </c>
      <c r="L421" t="s">
        <v>8165</v>
      </c>
      <c r="Q421" t="str">
        <f ca="1">IF(tabExam[[#This Row],[Log Date]]="","",TODAY()-tabExam[[#This Row],[Log Date]])</f>
        <v/>
      </c>
      <c r="R421" t="str">
        <f>IF(tabExam[[#This Row],[Log Date]]="","",IF(TRIM(tabExam[[#This Row],[Exam Cycle Stage]])="Asked to be removed from database","NO","YES"))</f>
        <v/>
      </c>
      <c r="S42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2" spans="1:19">
      <c r="A422" t="s">
        <v>8515</v>
      </c>
      <c r="B422" t="str">
        <f>IFERROR(_xlfn.XLOOKUP(tabExam[[#This Row],[Unique ID]], tblMaster[Unique ID], tblMaster[First Name], ""), "")</f>
        <v>Jesse</v>
      </c>
      <c r="C422" t="str">
        <f>IFERROR(_xlfn.XLOOKUP(tabExam[[#This Row],[Unique ID]], tblMaster[Unique ID], tblMaster[Last Name], ""), "")</f>
        <v>Tompkins</v>
      </c>
      <c r="D422" t="str">
        <f>IFERROR(_xlfn.XLOOKUP(tabExam[[#This Row],[Unique ID]], tblMaster[Unique ID], tblMaster[Email_Clean], ""), "")</f>
        <v>jessetompkins01@gmail.com</v>
      </c>
      <c r="E422" t="str">
        <f>IFERROR(_xlfn.XLOOKUP(tabExam[[#This Row],[Unique ID]], tblMaster[Unique ID], tblMaster[Phone], ""), "")</f>
        <v>508-948-7111</v>
      </c>
      <c r="F422">
        <f>IFERROR(_xlfn.XLOOKUP(tabExam[[#This Row],[Unique ID]], tblMaster[Unique ID], tblMaster[Recruiter], ""), "")</f>
        <v>0</v>
      </c>
      <c r="G422" t="str">
        <f>IFERROR(_xlfn.XLOOKUP(tabExam[[#This Row],[Unique ID]], tblMaster[Unique ID], tblMaster[Recruitment Cycle], ""), "")</f>
        <v xml:space="preserve">Re-Engagment/Post Civil Service Exam </v>
      </c>
      <c r="H422" t="s">
        <v>8366</v>
      </c>
      <c r="I422">
        <v>2025</v>
      </c>
      <c r="J422" t="s">
        <v>7446</v>
      </c>
      <c r="K422" t="s">
        <v>8151</v>
      </c>
      <c r="L422" t="s">
        <v>8165</v>
      </c>
      <c r="Q422" t="str">
        <f ca="1">IF(tabExam[[#This Row],[Log Date]]="","",TODAY()-tabExam[[#This Row],[Log Date]])</f>
        <v/>
      </c>
      <c r="R422" t="str">
        <f>IF(tabExam[[#This Row],[Log Date]]="","",IF(TRIM(tabExam[[#This Row],[Exam Cycle Stage]])="Asked to be removed from database","NO","YES"))</f>
        <v/>
      </c>
      <c r="S42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3" spans="1:19">
      <c r="A423" t="s">
        <v>8516</v>
      </c>
      <c r="B423" t="str">
        <f>IFERROR(_xlfn.XLOOKUP(tabExam[[#This Row],[Unique ID]], tblMaster[Unique ID], tblMaster[First Name], ""), "")</f>
        <v xml:space="preserve">MAURICIO </v>
      </c>
      <c r="C423" t="str">
        <f>IFERROR(_xlfn.XLOOKUP(tabExam[[#This Row],[Unique ID]], tblMaster[Unique ID], tblMaster[Last Name], ""), "")</f>
        <v>PERALTA</v>
      </c>
      <c r="D423" t="str">
        <f>IFERROR(_xlfn.XLOOKUP(tabExam[[#This Row],[Unique ID]], tblMaster[Unique ID], tblMaster[Email_Clean], ""), "")</f>
        <v>mauricio_peralta32@hotmail.com</v>
      </c>
      <c r="E423" t="str">
        <f>IFERROR(_xlfn.XLOOKUP(tabExam[[#This Row],[Unique ID]], tblMaster[Unique ID], tblMaster[Phone], ""), "")</f>
        <v>978) 907-0370</v>
      </c>
      <c r="F423">
        <f>IFERROR(_xlfn.XLOOKUP(tabExam[[#This Row],[Unique ID]], tblMaster[Unique ID], tblMaster[Recruiter], ""), "")</f>
        <v>0</v>
      </c>
      <c r="G423" t="str">
        <f>IFERROR(_xlfn.XLOOKUP(tabExam[[#This Row],[Unique ID]], tblMaster[Unique ID], tblMaster[Recruitment Cycle], ""), "")</f>
        <v xml:space="preserve">Re-Engagment </v>
      </c>
      <c r="H423" t="s">
        <v>8366</v>
      </c>
      <c r="I423">
        <v>2025</v>
      </c>
      <c r="J423" t="s">
        <v>7446</v>
      </c>
      <c r="K423" t="s">
        <v>8151</v>
      </c>
      <c r="L423" t="s">
        <v>8165</v>
      </c>
      <c r="Q423" t="str">
        <f ca="1">IF(tabExam[[#This Row],[Log Date]]="","",TODAY()-tabExam[[#This Row],[Log Date]])</f>
        <v/>
      </c>
      <c r="R423" t="str">
        <f>IF(tabExam[[#This Row],[Log Date]]="","",IF(TRIM(tabExam[[#This Row],[Exam Cycle Stage]])="Asked to be removed from database","NO","YES"))</f>
        <v/>
      </c>
      <c r="S42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4" spans="1:19">
      <c r="A424" t="s">
        <v>8517</v>
      </c>
      <c r="B424" t="str">
        <f>IFERROR(_xlfn.XLOOKUP(tabExam[[#This Row],[Unique ID]], tblMaster[Unique ID], tblMaster[First Name], ""), "")</f>
        <v>Miquel</v>
      </c>
      <c r="C424" t="str">
        <f>IFERROR(_xlfn.XLOOKUP(tabExam[[#This Row],[Unique ID]], tblMaster[Unique ID], tblMaster[Last Name], ""), "")</f>
        <v>Cordova</v>
      </c>
      <c r="D424" t="str">
        <f>IFERROR(_xlfn.XLOOKUP(tabExam[[#This Row],[Unique ID]], tblMaster[Unique ID], tblMaster[Email_Clean], ""), "")</f>
        <v>amazingmac90@gmail.com</v>
      </c>
      <c r="E424" t="str">
        <f>IFERROR(_xlfn.XLOOKUP(tabExam[[#This Row],[Unique ID]], tblMaster[Unique ID], tblMaster[Phone], ""), "")</f>
        <v>774 435 1124</v>
      </c>
      <c r="F424">
        <f>IFERROR(_xlfn.XLOOKUP(tabExam[[#This Row],[Unique ID]], tblMaster[Unique ID], tblMaster[Recruiter], ""), "")</f>
        <v>0</v>
      </c>
      <c r="G424" t="str">
        <f>IFERROR(_xlfn.XLOOKUP(tabExam[[#This Row],[Unique ID]], tblMaster[Unique ID], tblMaster[Recruitment Cycle], ""), "")</f>
        <v xml:space="preserve">Re-Engagment/Post Civil Service Exam </v>
      </c>
      <c r="H424" t="s">
        <v>8366</v>
      </c>
      <c r="I424">
        <v>2025</v>
      </c>
      <c r="J424" t="s">
        <v>7446</v>
      </c>
      <c r="K424" t="s">
        <v>8151</v>
      </c>
      <c r="L424" t="s">
        <v>8165</v>
      </c>
      <c r="Q424" t="str">
        <f ca="1">IF(tabExam[[#This Row],[Log Date]]="","",TODAY()-tabExam[[#This Row],[Log Date]])</f>
        <v/>
      </c>
      <c r="R424" t="str">
        <f>IF(tabExam[[#This Row],[Log Date]]="","",IF(TRIM(tabExam[[#This Row],[Exam Cycle Stage]])="Asked to be removed from database","NO","YES"))</f>
        <v/>
      </c>
      <c r="S42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5" spans="1:19">
      <c r="A425" t="s">
        <v>8518</v>
      </c>
      <c r="B425" t="str">
        <f>IFERROR(_xlfn.XLOOKUP(tabExam[[#This Row],[Unique ID]], tblMaster[Unique ID], tblMaster[First Name], ""), "")</f>
        <v xml:space="preserve">Luis </v>
      </c>
      <c r="C425" t="str">
        <f>IFERROR(_xlfn.XLOOKUP(tabExam[[#This Row],[Unique ID]], tblMaster[Unique ID], tblMaster[Last Name], ""), "")</f>
        <v xml:space="preserve">Serrano </v>
      </c>
      <c r="D425" t="str">
        <f>IFERROR(_xlfn.XLOOKUP(tabExam[[#This Row],[Unique ID]], tblMaster[Unique ID], tblMaster[Email_Clean], ""), "")</f>
        <v>luisserrano72387@gmail.com</v>
      </c>
      <c r="E425" t="str">
        <f>IFERROR(_xlfn.XLOOKUP(tabExam[[#This Row],[Unique ID]], tblMaster[Unique ID], tblMaster[Phone], ""), "")</f>
        <v xml:space="preserve">(978) 696-1686 </v>
      </c>
      <c r="F425">
        <f>IFERROR(_xlfn.XLOOKUP(tabExam[[#This Row],[Unique ID]], tblMaster[Unique ID], tblMaster[Recruiter], ""), "")</f>
        <v>0</v>
      </c>
      <c r="G425" t="str">
        <f>IFERROR(_xlfn.XLOOKUP(tabExam[[#This Row],[Unique ID]], tblMaster[Unique ID], tblMaster[Recruitment Cycle], ""), "")</f>
        <v xml:space="preserve">Re-Engagment/Post Civil Service Exam </v>
      </c>
      <c r="H425" t="s">
        <v>8366</v>
      </c>
      <c r="I425">
        <v>2025</v>
      </c>
      <c r="J425" t="s">
        <v>7446</v>
      </c>
      <c r="K425" t="s">
        <v>8151</v>
      </c>
      <c r="L425" t="s">
        <v>8165</v>
      </c>
      <c r="Q425" t="str">
        <f ca="1">IF(tabExam[[#This Row],[Log Date]]="","",TODAY()-tabExam[[#This Row],[Log Date]])</f>
        <v/>
      </c>
      <c r="R425" t="str">
        <f>IF(tabExam[[#This Row],[Log Date]]="","",IF(TRIM(tabExam[[#This Row],[Exam Cycle Stage]])="Asked to be removed from database","NO","YES"))</f>
        <v/>
      </c>
      <c r="S42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6" spans="1:19">
      <c r="A426" t="s">
        <v>8519</v>
      </c>
      <c r="B426" t="str">
        <f>IFERROR(_xlfn.XLOOKUP(tabExam[[#This Row],[Unique ID]], tblMaster[Unique ID], tblMaster[First Name], ""), "")</f>
        <v>Thaynara</v>
      </c>
      <c r="C426" t="str">
        <f>IFERROR(_xlfn.XLOOKUP(tabExam[[#This Row],[Unique ID]], tblMaster[Unique ID], tblMaster[Last Name], ""), "")</f>
        <v>DeCristofano</v>
      </c>
      <c r="D426" t="str">
        <f>IFERROR(_xlfn.XLOOKUP(tabExam[[#This Row],[Unique ID]], tblMaster[Unique ID], tblMaster[Email_Clean], ""), "")</f>
        <v>oliveira.thay1992@gmail.com</v>
      </c>
      <c r="E426" t="str">
        <f>IFERROR(_xlfn.XLOOKUP(tabExam[[#This Row],[Unique ID]], tblMaster[Unique ID], tblMaster[Phone], ""), "")</f>
        <v>774-999-9255</v>
      </c>
      <c r="F426">
        <f>IFERROR(_xlfn.XLOOKUP(tabExam[[#This Row],[Unique ID]], tblMaster[Unique ID], tblMaster[Recruiter], ""), "")</f>
        <v>0</v>
      </c>
      <c r="G426" t="str">
        <f>IFERROR(_xlfn.XLOOKUP(tabExam[[#This Row],[Unique ID]], tblMaster[Unique ID], tblMaster[Recruitment Cycle], ""), "")</f>
        <v xml:space="preserve">Re-Engagment/Post Civil Service Exam </v>
      </c>
      <c r="H426" t="s">
        <v>8366</v>
      </c>
      <c r="I426">
        <v>2025</v>
      </c>
      <c r="J426" t="s">
        <v>7446</v>
      </c>
      <c r="K426" t="s">
        <v>8151</v>
      </c>
      <c r="L426" t="s">
        <v>8165</v>
      </c>
      <c r="Q426" t="str">
        <f ca="1">IF(tabExam[[#This Row],[Log Date]]="","",TODAY()-tabExam[[#This Row],[Log Date]])</f>
        <v/>
      </c>
      <c r="R426" t="str">
        <f>IF(tabExam[[#This Row],[Log Date]]="","",IF(TRIM(tabExam[[#This Row],[Exam Cycle Stage]])="Asked to be removed from database","NO","YES"))</f>
        <v/>
      </c>
      <c r="S42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7" spans="1:19">
      <c r="A427" t="s">
        <v>8520</v>
      </c>
      <c r="B427" t="str">
        <f>IFERROR(_xlfn.XLOOKUP(tabExam[[#This Row],[Unique ID]], tblMaster[Unique ID], tblMaster[First Name], ""), "")</f>
        <v>Joseph</v>
      </c>
      <c r="C427" t="str">
        <f>IFERROR(_xlfn.XLOOKUP(tabExam[[#This Row],[Unique ID]], tblMaster[Unique ID], tblMaster[Last Name], ""), "")</f>
        <v>eough</v>
      </c>
      <c r="D427" t="str">
        <f>IFERROR(_xlfn.XLOOKUP(tabExam[[#This Row],[Unique ID]], tblMaster[Unique ID], tblMaster[Email_Clean], ""), "")</f>
        <v>desalvojoseph6@gmail.com</v>
      </c>
      <c r="E427" t="str">
        <f>IFERROR(_xlfn.XLOOKUP(tabExam[[#This Row],[Unique ID]], tblMaster[Unique ID], tblMaster[Phone], ""), "")</f>
        <v>978-866-4254</v>
      </c>
      <c r="F427">
        <f>IFERROR(_xlfn.XLOOKUP(tabExam[[#This Row],[Unique ID]], tblMaster[Unique ID], tblMaster[Recruiter], ""), "")</f>
        <v>0</v>
      </c>
      <c r="G427" t="str">
        <f>IFERROR(_xlfn.XLOOKUP(tabExam[[#This Row],[Unique ID]], tblMaster[Unique ID], tblMaster[Recruitment Cycle], ""), "")</f>
        <v xml:space="preserve">Re-Engagment/Post Civil Service Exam </v>
      </c>
      <c r="H427" t="s">
        <v>8366</v>
      </c>
      <c r="I427">
        <v>2025</v>
      </c>
      <c r="J427" t="s">
        <v>7446</v>
      </c>
      <c r="K427" t="s">
        <v>8151</v>
      </c>
      <c r="L427" t="s">
        <v>8165</v>
      </c>
      <c r="Q427" t="str">
        <f ca="1">IF(tabExam[[#This Row],[Log Date]]="","",TODAY()-tabExam[[#This Row],[Log Date]])</f>
        <v/>
      </c>
      <c r="R427" t="str">
        <f>IF(tabExam[[#This Row],[Log Date]]="","",IF(TRIM(tabExam[[#This Row],[Exam Cycle Stage]])="Asked to be removed from database","NO","YES"))</f>
        <v/>
      </c>
      <c r="S42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8" spans="1:19">
      <c r="A428" t="s">
        <v>8521</v>
      </c>
      <c r="B428" t="str">
        <f>IFERROR(_xlfn.XLOOKUP(tabExam[[#This Row],[Unique ID]], tblMaster[Unique ID], tblMaster[First Name], ""), "")</f>
        <v>Ryan</v>
      </c>
      <c r="C428" t="str">
        <f>IFERROR(_xlfn.XLOOKUP(tabExam[[#This Row],[Unique ID]], tblMaster[Unique ID], tblMaster[Last Name], ""), "")</f>
        <v>Keough</v>
      </c>
      <c r="D428" t="str">
        <f>IFERROR(_xlfn.XLOOKUP(tabExam[[#This Row],[Unique ID]], tblMaster[Unique ID], tblMaster[Email_Clean], ""), "")</f>
        <v>rkeogy@gmail.com</v>
      </c>
      <c r="E428" t="str">
        <f>IFERROR(_xlfn.XLOOKUP(tabExam[[#This Row],[Unique ID]], tblMaster[Unique ID], tblMaster[Phone], ""), "")</f>
        <v>781-413-7207</v>
      </c>
      <c r="F428">
        <f>IFERROR(_xlfn.XLOOKUP(tabExam[[#This Row],[Unique ID]], tblMaster[Unique ID], tblMaster[Recruiter], ""), "")</f>
        <v>0</v>
      </c>
      <c r="G428" t="str">
        <f>IFERROR(_xlfn.XLOOKUP(tabExam[[#This Row],[Unique ID]], tblMaster[Unique ID], tblMaster[Recruitment Cycle], ""), "")</f>
        <v xml:space="preserve">Re-Engagment/Post Civil Service Exam </v>
      </c>
      <c r="H428" t="s">
        <v>8366</v>
      </c>
      <c r="I428">
        <v>2025</v>
      </c>
      <c r="J428" t="s">
        <v>7446</v>
      </c>
      <c r="K428" t="s">
        <v>8151</v>
      </c>
      <c r="L428" t="s">
        <v>8165</v>
      </c>
      <c r="Q428" t="str">
        <f ca="1">IF(tabExam[[#This Row],[Log Date]]="","",TODAY()-tabExam[[#This Row],[Log Date]])</f>
        <v/>
      </c>
      <c r="R428" t="str">
        <f>IF(tabExam[[#This Row],[Log Date]]="","",IF(TRIM(tabExam[[#This Row],[Exam Cycle Stage]])="Asked to be removed from database","NO","YES"))</f>
        <v/>
      </c>
      <c r="S42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29" spans="1:19">
      <c r="A429" t="s">
        <v>8522</v>
      </c>
      <c r="B429" t="str">
        <f>IFERROR(_xlfn.XLOOKUP(tabExam[[#This Row],[Unique ID]], tblMaster[Unique ID], tblMaster[First Name], ""), "")</f>
        <v xml:space="preserve">JERRY </v>
      </c>
      <c r="C429" t="str">
        <f>IFERROR(_xlfn.XLOOKUP(tabExam[[#This Row],[Unique ID]], tblMaster[Unique ID], tblMaster[Last Name], ""), "")</f>
        <v>SANDIMAN</v>
      </c>
      <c r="D429" t="str">
        <f>IFERROR(_xlfn.XLOOKUP(tabExam[[#This Row],[Unique ID]], tblMaster[Unique ID], tblMaster[Email_Clean], ""), "")</f>
        <v>jerrysandiman@yahoo.com</v>
      </c>
      <c r="E429" t="str">
        <f>IFERROR(_xlfn.XLOOKUP(tabExam[[#This Row],[Unique ID]], tblMaster[Unique ID], tblMaster[Phone], ""), "")</f>
        <v>508-333-5340</v>
      </c>
      <c r="F429">
        <f>IFERROR(_xlfn.XLOOKUP(tabExam[[#This Row],[Unique ID]], tblMaster[Unique ID], tblMaster[Recruiter], ""), "")</f>
        <v>0</v>
      </c>
      <c r="G429" t="str">
        <f>IFERROR(_xlfn.XLOOKUP(tabExam[[#This Row],[Unique ID]], tblMaster[Unique ID], tblMaster[Recruitment Cycle], ""), "")</f>
        <v xml:space="preserve">Re-Engagment/Post Civil Service Exam </v>
      </c>
      <c r="H429" t="s">
        <v>8366</v>
      </c>
      <c r="I429">
        <v>2025</v>
      </c>
      <c r="J429" t="s">
        <v>7446</v>
      </c>
      <c r="K429" t="s">
        <v>8151</v>
      </c>
      <c r="L429" t="s">
        <v>8165</v>
      </c>
      <c r="Q429" t="str">
        <f ca="1">IF(tabExam[[#This Row],[Log Date]]="","",TODAY()-tabExam[[#This Row],[Log Date]])</f>
        <v/>
      </c>
      <c r="R429" t="str">
        <f>IF(tabExam[[#This Row],[Log Date]]="","",IF(TRIM(tabExam[[#This Row],[Exam Cycle Stage]])="Asked to be removed from database","NO","YES"))</f>
        <v/>
      </c>
      <c r="S42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0" spans="1:19">
      <c r="A430" t="s">
        <v>8005</v>
      </c>
      <c r="B430" t="str">
        <f>IFERROR(_xlfn.XLOOKUP(tabExam[[#This Row],[Unique ID]], tblMaster[Unique ID], tblMaster[First Name], ""), "")</f>
        <v xml:space="preserve">Francisco </v>
      </c>
      <c r="C430" t="str">
        <f>IFERROR(_xlfn.XLOOKUP(tabExam[[#This Row],[Unique ID]], tblMaster[Unique ID], tblMaster[Last Name], ""), "")</f>
        <v xml:space="preserve"> Taveras </v>
      </c>
      <c r="D430" t="str">
        <f>IFERROR(_xlfn.XLOOKUP(tabExam[[#This Row],[Unique ID]], tblMaster[Unique ID], tblMaster[Email_Clean], ""), "")</f>
        <v>miguelitotaveras2930@gmail.com</v>
      </c>
      <c r="E430" t="str">
        <f>IFERROR(_xlfn.XLOOKUP(tabExam[[#This Row],[Unique ID]], tblMaster[Unique ID], tblMaster[Phone], ""), "")</f>
        <v>781-600-5602</v>
      </c>
      <c r="F430" t="str">
        <f>IFERROR(_xlfn.XLOOKUP(tabExam[[#This Row],[Unique ID]], tblMaster[Unique ID], tblMaster[Recruiter], ""), "")</f>
        <v xml:space="preserve">Jevon Brown Simpson </v>
      </c>
      <c r="G430" t="str">
        <f>IFERROR(_xlfn.XLOOKUP(tabExam[[#This Row],[Unique ID]], tblMaster[Unique ID], tblMaster[Recruitment Cycle], ""), "")</f>
        <v xml:space="preserve">Re-Engagment/Post Civil Service Exam </v>
      </c>
      <c r="H430" t="s">
        <v>8366</v>
      </c>
      <c r="I430">
        <v>2025</v>
      </c>
      <c r="J430" t="s">
        <v>7446</v>
      </c>
      <c r="K430" t="s">
        <v>8151</v>
      </c>
      <c r="L430" t="s">
        <v>8165</v>
      </c>
      <c r="Q430" t="str">
        <f ca="1">IF(tabExam[[#This Row],[Log Date]]="","",TODAY()-tabExam[[#This Row],[Log Date]])</f>
        <v/>
      </c>
      <c r="R430" t="str">
        <f>IF(tabExam[[#This Row],[Log Date]]="","",IF(TRIM(tabExam[[#This Row],[Exam Cycle Stage]])="Asked to be removed from database","NO","YES"))</f>
        <v/>
      </c>
      <c r="S43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1" spans="1:19">
      <c r="A431" t="s">
        <v>8523</v>
      </c>
      <c r="B431" t="str">
        <f>IFERROR(_xlfn.XLOOKUP(tabExam[[#This Row],[Unique ID]], tblMaster[Unique ID], tblMaster[First Name], ""), "")</f>
        <v xml:space="preserve">Shantel </v>
      </c>
      <c r="C431" t="str">
        <f>IFERROR(_xlfn.XLOOKUP(tabExam[[#This Row],[Unique ID]], tblMaster[Unique ID], tblMaster[Last Name], ""), "")</f>
        <v xml:space="preserve"> Davis </v>
      </c>
      <c r="D431" t="str">
        <f>IFERROR(_xlfn.XLOOKUP(tabExam[[#This Row],[Unique ID]], tblMaster[Unique ID], tblMaster[Email_Clean], ""), "")</f>
        <v>shanteldavis2020@gmail.com</v>
      </c>
      <c r="E431" t="str">
        <f>IFERROR(_xlfn.XLOOKUP(tabExam[[#This Row],[Unique ID]], tblMaster[Unique ID], tblMaster[Phone], ""), "")</f>
        <v xml:space="preserve">857) 701-3509 </v>
      </c>
      <c r="F431" t="str">
        <f>IFERROR(_xlfn.XLOOKUP(tabExam[[#This Row],[Unique ID]], tblMaster[Unique ID], tblMaster[Recruiter], ""), "")</f>
        <v xml:space="preserve">Tom Clark </v>
      </c>
      <c r="G431" t="str">
        <f>IFERROR(_xlfn.XLOOKUP(tabExam[[#This Row],[Unique ID]], tblMaster[Unique ID], tblMaster[Recruitment Cycle], ""), "")</f>
        <v xml:space="preserve">Re-Engagment/Post Civil Service Exam </v>
      </c>
      <c r="H431" t="s">
        <v>8366</v>
      </c>
      <c r="I431">
        <v>2025</v>
      </c>
      <c r="J431" t="s">
        <v>7446</v>
      </c>
      <c r="K431" t="s">
        <v>8151</v>
      </c>
      <c r="L431" t="s">
        <v>8165</v>
      </c>
      <c r="Q431" t="str">
        <f ca="1">IF(tabExam[[#This Row],[Log Date]]="","",TODAY()-tabExam[[#This Row],[Log Date]])</f>
        <v/>
      </c>
      <c r="R431" t="str">
        <f>IF(tabExam[[#This Row],[Log Date]]="","",IF(TRIM(tabExam[[#This Row],[Exam Cycle Stage]])="Asked to be removed from database","NO","YES"))</f>
        <v/>
      </c>
      <c r="S43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2" spans="1:19">
      <c r="A432" t="s">
        <v>8524</v>
      </c>
      <c r="B432" t="str">
        <f>IFERROR(_xlfn.XLOOKUP(tabExam[[#This Row],[Unique ID]], tblMaster[Unique ID], tblMaster[First Name], ""), "")</f>
        <v xml:space="preserve">Frimantz </v>
      </c>
      <c r="C432" t="str">
        <f>IFERROR(_xlfn.XLOOKUP(tabExam[[#This Row],[Unique ID]], tblMaster[Unique ID], tblMaster[Last Name], ""), "")</f>
        <v xml:space="preserve">Etienne </v>
      </c>
      <c r="D432" t="str">
        <f>IFERROR(_xlfn.XLOOKUP(tabExam[[#This Row],[Unique ID]], tblMaster[Unique ID], tblMaster[Email_Clean], ""), "")</f>
        <v>garlensetienne@icloud.com</v>
      </c>
      <c r="E432" t="str">
        <f>IFERROR(_xlfn.XLOOKUP(tabExam[[#This Row],[Unique ID]], tblMaster[Unique ID], tblMaster[Phone], ""), "")</f>
        <v>774-946-8767</v>
      </c>
      <c r="F432" t="str">
        <f>IFERROR(_xlfn.XLOOKUP(tabExam[[#This Row],[Unique ID]], tblMaster[Unique ID], tblMaster[Recruiter], ""), "")</f>
        <v xml:space="preserve">Tom Clark </v>
      </c>
      <c r="G432" t="str">
        <f>IFERROR(_xlfn.XLOOKUP(tabExam[[#This Row],[Unique ID]], tblMaster[Unique ID], tblMaster[Recruitment Cycle], ""), "")</f>
        <v xml:space="preserve">Re-Engagment/Post Civil Service Exam </v>
      </c>
      <c r="H432" t="s">
        <v>8366</v>
      </c>
      <c r="I432">
        <v>2025</v>
      </c>
      <c r="J432" t="s">
        <v>7446</v>
      </c>
      <c r="K432" t="s">
        <v>8151</v>
      </c>
      <c r="L432" t="s">
        <v>8165</v>
      </c>
      <c r="Q432" t="str">
        <f ca="1">IF(tabExam[[#This Row],[Log Date]]="","",TODAY()-tabExam[[#This Row],[Log Date]])</f>
        <v/>
      </c>
      <c r="R432" t="str">
        <f>IF(tabExam[[#This Row],[Log Date]]="","",IF(TRIM(tabExam[[#This Row],[Exam Cycle Stage]])="Asked to be removed from database","NO","YES"))</f>
        <v/>
      </c>
      <c r="S43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3" spans="1:19">
      <c r="A433" t="s">
        <v>8086</v>
      </c>
      <c r="B433" t="str">
        <f>IFERROR(_xlfn.XLOOKUP(tabExam[[#This Row],[Unique ID]], tblMaster[Unique ID], tblMaster[First Name], ""), "")</f>
        <v xml:space="preserve">Alexander </v>
      </c>
      <c r="C433" t="str">
        <f>IFERROR(_xlfn.XLOOKUP(tabExam[[#This Row],[Unique ID]], tblMaster[Unique ID], tblMaster[Last Name], ""), "")</f>
        <v xml:space="preserve">ervello Santiago </v>
      </c>
      <c r="D433" t="str">
        <f>IFERROR(_xlfn.XLOOKUP(tabExam[[#This Row],[Unique ID]], tblMaster[Unique ID], tblMaster[Email_Clean], ""), "")</f>
        <v>alexsantiago64@gmail.com</v>
      </c>
      <c r="E433" t="str">
        <f>IFERROR(_xlfn.XLOOKUP(tabExam[[#This Row],[Unique ID]], tblMaster[Unique ID], tblMaster[Phone], ""), "")</f>
        <v>978-728-1261</v>
      </c>
      <c r="F433" t="str">
        <f>IFERROR(_xlfn.XLOOKUP(tabExam[[#This Row],[Unique ID]], tblMaster[Unique ID], tblMaster[Recruiter], ""), "")</f>
        <v xml:space="preserve">Jevon Brown Simpson </v>
      </c>
      <c r="G433" t="str">
        <f>IFERROR(_xlfn.XLOOKUP(tabExam[[#This Row],[Unique ID]], tblMaster[Unique ID], tblMaster[Recruitment Cycle], ""), "")</f>
        <v xml:space="preserve">Re-Engagment/Post Civil Service Exam </v>
      </c>
      <c r="H433" t="s">
        <v>8360</v>
      </c>
      <c r="I433">
        <v>2025</v>
      </c>
      <c r="J433" t="s">
        <v>7446</v>
      </c>
      <c r="K433" t="s">
        <v>8151</v>
      </c>
      <c r="L433" t="s">
        <v>8165</v>
      </c>
      <c r="Q433" t="str">
        <f ca="1">IF(tabExam[[#This Row],[Log Date]]="","",TODAY()-tabExam[[#This Row],[Log Date]])</f>
        <v/>
      </c>
      <c r="R433" t="str">
        <f>IF(tabExam[[#This Row],[Log Date]]="","",IF(TRIM(tabExam[[#This Row],[Exam Cycle Stage]])="Asked to be removed from database","NO","YES"))</f>
        <v/>
      </c>
      <c r="S43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4" spans="1:19">
      <c r="A434" t="s">
        <v>8525</v>
      </c>
      <c r="B434" t="str">
        <f>IFERROR(_xlfn.XLOOKUP(tabExam[[#This Row],[Unique ID]], tblMaster[Unique ID], tblMaster[First Name], ""), "")</f>
        <v xml:space="preserve">Joe </v>
      </c>
      <c r="C434" t="str">
        <f>IFERROR(_xlfn.XLOOKUP(tabExam[[#This Row],[Unique ID]], tblMaster[Unique ID], tblMaster[Last Name], ""), "")</f>
        <v xml:space="preserve"> Servello </v>
      </c>
      <c r="D434" t="str">
        <f>IFERROR(_xlfn.XLOOKUP(tabExam[[#This Row],[Unique ID]], tblMaster[Unique ID], tblMaster[Email_Clean], ""), "")</f>
        <v>joeservello00@gmail.com</v>
      </c>
      <c r="E434" t="str">
        <f>IFERROR(_xlfn.XLOOKUP(tabExam[[#This Row],[Unique ID]], tblMaster[Unique ID], tblMaster[Phone], ""), "")</f>
        <v xml:space="preserve">(508) 801-3078 </v>
      </c>
      <c r="F434">
        <f>IFERROR(_xlfn.XLOOKUP(tabExam[[#This Row],[Unique ID]], tblMaster[Unique ID], tblMaster[Recruiter], ""), "")</f>
        <v>0</v>
      </c>
      <c r="G434" t="str">
        <f>IFERROR(_xlfn.XLOOKUP(tabExam[[#This Row],[Unique ID]], tblMaster[Unique ID], tblMaster[Recruitment Cycle], ""), "")</f>
        <v xml:space="preserve">Re-Engagment/Post Civil Service Exam </v>
      </c>
      <c r="H434" t="s">
        <v>8360</v>
      </c>
      <c r="I434">
        <v>2025</v>
      </c>
      <c r="J434" t="s">
        <v>7446</v>
      </c>
      <c r="K434" t="s">
        <v>8151</v>
      </c>
      <c r="L434" t="s">
        <v>8165</v>
      </c>
      <c r="Q434" t="str">
        <f ca="1">IF(tabExam[[#This Row],[Log Date]]="","",TODAY()-tabExam[[#This Row],[Log Date]])</f>
        <v/>
      </c>
      <c r="R434" t="str">
        <f>IF(tabExam[[#This Row],[Log Date]]="","",IF(TRIM(tabExam[[#This Row],[Exam Cycle Stage]])="Asked to be removed from database","NO","YES"))</f>
        <v/>
      </c>
      <c r="S43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5" spans="1:19">
      <c r="A435" t="s">
        <v>8526</v>
      </c>
      <c r="B435" t="str">
        <f>IFERROR(_xlfn.XLOOKUP(tabExam[[#This Row],[Unique ID]], tblMaster[Unique ID], tblMaster[First Name], ""), "")</f>
        <v>Jianyu</v>
      </c>
      <c r="C435" t="str">
        <f>IFERROR(_xlfn.XLOOKUP(tabExam[[#This Row],[Unique ID]], tblMaster[Unique ID], tblMaster[Last Name], ""), "")</f>
        <v>Huang</v>
      </c>
      <c r="D435" t="str">
        <f>IFERROR(_xlfn.XLOOKUP(tabExam[[#This Row],[Unique ID]], tblMaster[Unique ID], tblMaster[Email_Clean], ""), "")</f>
        <v>wangjyu2016@gmail.com</v>
      </c>
      <c r="E435" t="str">
        <f>IFERROR(_xlfn.XLOOKUP(tabExam[[#This Row],[Unique ID]], tblMaster[Unique ID], tblMaster[Phone], ""), "")</f>
        <v>857-269-8978</v>
      </c>
      <c r="F435" t="str">
        <f>IFERROR(_xlfn.XLOOKUP(tabExam[[#This Row],[Unique ID]], tblMaster[Unique ID], tblMaster[Recruiter], ""), "")</f>
        <v xml:space="preserve">Jevon Brown Simpson </v>
      </c>
      <c r="G435" t="str">
        <f>IFERROR(_xlfn.XLOOKUP(tabExam[[#This Row],[Unique ID]], tblMaster[Unique ID], tblMaster[Recruitment Cycle], ""), "")</f>
        <v xml:space="preserve">Re-Engagment/Post Civil Service Exam </v>
      </c>
      <c r="H435" t="s">
        <v>8360</v>
      </c>
      <c r="I435">
        <v>2025</v>
      </c>
      <c r="J435" t="s">
        <v>7446</v>
      </c>
      <c r="K435" t="s">
        <v>8151</v>
      </c>
      <c r="L435" t="s">
        <v>8165</v>
      </c>
      <c r="Q435" t="str">
        <f ca="1">IF(tabExam[[#This Row],[Log Date]]="","",TODAY()-tabExam[[#This Row],[Log Date]])</f>
        <v/>
      </c>
      <c r="R435" t="str">
        <f>IF(tabExam[[#This Row],[Log Date]]="","",IF(TRIM(tabExam[[#This Row],[Exam Cycle Stage]])="Asked to be removed from database","NO","YES"))</f>
        <v/>
      </c>
      <c r="S43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6" spans="1:19">
      <c r="A436" t="s">
        <v>8527</v>
      </c>
      <c r="B436" t="str">
        <f>IFERROR(_xlfn.XLOOKUP(tabExam[[#This Row],[Unique ID]], tblMaster[Unique ID], tblMaster[First Name], ""), "")</f>
        <v>William</v>
      </c>
      <c r="C436" t="str">
        <f>IFERROR(_xlfn.XLOOKUP(tabExam[[#This Row],[Unique ID]], tblMaster[Unique ID], tblMaster[Last Name], ""), "")</f>
        <v>Lopes</v>
      </c>
      <c r="D436" t="str">
        <f>IFERROR(_xlfn.XLOOKUP(tabExam[[#This Row],[Unique ID]], tblMaster[Unique ID], tblMaster[Email_Clean], ""), "")</f>
        <v>beng</v>
      </c>
      <c r="E436" t="str">
        <f>IFERROR(_xlfn.XLOOKUP(tabExam[[#This Row],[Unique ID]], tblMaster[Unique ID], tblMaster[Phone], ""), "")</f>
        <v>508-677-5758</v>
      </c>
      <c r="F436" t="str">
        <f>IFERROR(_xlfn.XLOOKUP(tabExam[[#This Row],[Unique ID]], tblMaster[Unique ID], tblMaster[Recruiter], ""), "")</f>
        <v>Zenon Moses</v>
      </c>
      <c r="G436" t="str">
        <f>IFERROR(_xlfn.XLOOKUP(tabExam[[#This Row],[Unique ID]], tblMaster[Unique ID], tblMaster[Recruitment Cycle], ""), "")</f>
        <v xml:space="preserve">Re-Engagment/Post Civil Service Exam </v>
      </c>
      <c r="H436" t="s">
        <v>8360</v>
      </c>
      <c r="I436">
        <v>2025</v>
      </c>
      <c r="J436" t="s">
        <v>7446</v>
      </c>
      <c r="K436" t="s">
        <v>8151</v>
      </c>
      <c r="L436" t="s">
        <v>8165</v>
      </c>
      <c r="Q436" t="str">
        <f ca="1">IF(tabExam[[#This Row],[Log Date]]="","",TODAY()-tabExam[[#This Row],[Log Date]])</f>
        <v/>
      </c>
      <c r="R436" t="str">
        <f>IF(tabExam[[#This Row],[Log Date]]="","",IF(TRIM(tabExam[[#This Row],[Exam Cycle Stage]])="Asked to be removed from database","NO","YES"))</f>
        <v/>
      </c>
      <c r="S43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7" spans="1:19">
      <c r="A437" t="s">
        <v>7725</v>
      </c>
      <c r="B437" t="str">
        <f>IFERROR(_xlfn.XLOOKUP(tabExam[[#This Row],[Unique ID]], tblMaster[Unique ID], tblMaster[First Name], ""), "")</f>
        <v>Edgardo</v>
      </c>
      <c r="C437" t="str">
        <f>IFERROR(_xlfn.XLOOKUP(tabExam[[#This Row],[Unique ID]], tblMaster[Unique ID], tblMaster[Last Name], ""), "")</f>
        <v>Santiago</v>
      </c>
      <c r="D437" t="str">
        <f>IFERROR(_xlfn.XLOOKUP(tabExam[[#This Row],[Unique ID]], tblMaster[Unique ID], tblMaster[Email_Clean], ""), "")</f>
        <v>santiagoeliel2006@gmail.com</v>
      </c>
      <c r="E437" t="str">
        <f>IFERROR(_xlfn.XLOOKUP(tabExam[[#This Row],[Unique ID]], tblMaster[Unique ID], tblMaster[Phone], ""), "")</f>
        <v xml:space="preserve">
(978) 320-9028</v>
      </c>
      <c r="F437" t="str">
        <f>IFERROR(_xlfn.XLOOKUP(tabExam[[#This Row],[Unique ID]], tblMaster[Unique ID], tblMaster[Recruiter], ""), "")</f>
        <v xml:space="preserve">Tom Clark </v>
      </c>
      <c r="G437" t="str">
        <f>IFERROR(_xlfn.XLOOKUP(tabExam[[#This Row],[Unique ID]], tblMaster[Unique ID], tblMaster[Recruitment Cycle], ""), "")</f>
        <v xml:space="preserve">New Submission/ Lead </v>
      </c>
      <c r="H437" t="s">
        <v>8360</v>
      </c>
      <c r="I437">
        <v>2025</v>
      </c>
      <c r="J437" t="s">
        <v>7446</v>
      </c>
      <c r="K437" t="s">
        <v>8151</v>
      </c>
      <c r="L437" t="s">
        <v>8165</v>
      </c>
      <c r="Q437" t="str">
        <f ca="1">IF(tabExam[[#This Row],[Log Date]]="","",TODAY()-tabExam[[#This Row],[Log Date]])</f>
        <v/>
      </c>
      <c r="R437" t="str">
        <f>IF(tabExam[[#This Row],[Log Date]]="","",IF(TRIM(tabExam[[#This Row],[Exam Cycle Stage]])="Asked to be removed from database","NO","YES"))</f>
        <v/>
      </c>
      <c r="S43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8" spans="1:19">
      <c r="A438" t="s">
        <v>8528</v>
      </c>
      <c r="B438" t="str">
        <f>IFERROR(_xlfn.XLOOKUP(tabExam[[#This Row],[Unique ID]], tblMaster[Unique ID], tblMaster[First Name], ""), "")</f>
        <v xml:space="preserve">Dawn </v>
      </c>
      <c r="C438" t="str">
        <f>IFERROR(_xlfn.XLOOKUP(tabExam[[#This Row],[Unique ID]], tblMaster[Unique ID], tblMaster[Last Name], ""), "")</f>
        <v xml:space="preserve">Dawn Bryson </v>
      </c>
      <c r="D438" t="str">
        <f>IFERROR(_xlfn.XLOOKUP(tabExam[[#This Row],[Unique ID]], tblMaster[Unique ID], tblMaster[Email_Clean], ""), "")</f>
        <v>brysondawn097@gmail.com</v>
      </c>
      <c r="E438" t="str">
        <f>IFERROR(_xlfn.XLOOKUP(tabExam[[#This Row],[Unique ID]], tblMaster[Unique ID], tblMaster[Phone], ""), "")</f>
        <v xml:space="preserve">508) 733-0638 </v>
      </c>
      <c r="F438">
        <f>IFERROR(_xlfn.XLOOKUP(tabExam[[#This Row],[Unique ID]], tblMaster[Unique ID], tblMaster[Recruiter], ""), "")</f>
        <v>0</v>
      </c>
      <c r="G438" t="str">
        <f>IFERROR(_xlfn.XLOOKUP(tabExam[[#This Row],[Unique ID]], tblMaster[Unique ID], tblMaster[Recruitment Cycle], ""), "")</f>
        <v xml:space="preserve">New Submission/ Lead </v>
      </c>
      <c r="H438" t="s">
        <v>8360</v>
      </c>
      <c r="I438">
        <v>2025</v>
      </c>
      <c r="J438" t="s">
        <v>7446</v>
      </c>
      <c r="K438" t="s">
        <v>8151</v>
      </c>
      <c r="L438" t="s">
        <v>8165</v>
      </c>
      <c r="Q438" t="str">
        <f ca="1">IF(tabExam[[#This Row],[Log Date]]="","",TODAY()-tabExam[[#This Row],[Log Date]])</f>
        <v/>
      </c>
      <c r="R438" t="str">
        <f>IF(tabExam[[#This Row],[Log Date]]="","",IF(TRIM(tabExam[[#This Row],[Exam Cycle Stage]])="Asked to be removed from database","NO","YES"))</f>
        <v/>
      </c>
      <c r="S43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39" spans="1:19">
      <c r="A439" t="s">
        <v>8529</v>
      </c>
      <c r="B439" t="str">
        <f>IFERROR(_xlfn.XLOOKUP(tabExam[[#This Row],[Unique ID]], tblMaster[Unique ID], tblMaster[First Name], ""), "")</f>
        <v>Dylan</v>
      </c>
      <c r="C439" t="str">
        <f>IFERROR(_xlfn.XLOOKUP(tabExam[[#This Row],[Unique ID]], tblMaster[Unique ID], tblMaster[Last Name], ""), "")</f>
        <v>Monette</v>
      </c>
      <c r="D439" t="str">
        <f>IFERROR(_xlfn.XLOOKUP(tabExam[[#This Row],[Unique ID]], tblMaster[Unique ID], tblMaster[Email_Clean], ""), "")</f>
        <v>dylanmonette7@gmail.com</v>
      </c>
      <c r="E439" t="str">
        <f>IFERROR(_xlfn.XLOOKUP(tabExam[[#This Row],[Unique ID]], tblMaster[Unique ID], tblMaster[Phone], ""), "")</f>
        <v>978 320 1726</v>
      </c>
      <c r="F439" t="str">
        <f>IFERROR(_xlfn.XLOOKUP(tabExam[[#This Row],[Unique ID]], tblMaster[Unique ID], tblMaster[Recruiter], ""), "")</f>
        <v xml:space="preserve">Jevon Brown Simpson </v>
      </c>
      <c r="G439" t="str">
        <f>IFERROR(_xlfn.XLOOKUP(tabExam[[#This Row],[Unique ID]], tblMaster[Unique ID], tblMaster[Recruitment Cycle], ""), "")</f>
        <v xml:space="preserve">Re-Engagment/Post Civil Service Exam </v>
      </c>
      <c r="H439" t="s">
        <v>8360</v>
      </c>
      <c r="I439">
        <v>2025</v>
      </c>
      <c r="J439" t="s">
        <v>7446</v>
      </c>
      <c r="K439" t="s">
        <v>8151</v>
      </c>
      <c r="L439" t="s">
        <v>8165</v>
      </c>
      <c r="Q439" t="str">
        <f ca="1">IF(tabExam[[#This Row],[Log Date]]="","",TODAY()-tabExam[[#This Row],[Log Date]])</f>
        <v/>
      </c>
      <c r="R439" t="str">
        <f>IF(tabExam[[#This Row],[Log Date]]="","",IF(TRIM(tabExam[[#This Row],[Exam Cycle Stage]])="Asked to be removed from database","NO","YES"))</f>
        <v/>
      </c>
      <c r="S43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0" spans="1:19">
      <c r="A440" t="s">
        <v>8530</v>
      </c>
      <c r="B440" t="str">
        <f>IFERROR(_xlfn.XLOOKUP(tabExam[[#This Row],[Unique ID]], tblMaster[Unique ID], tblMaster[First Name], ""), "")</f>
        <v>Stanley</v>
      </c>
      <c r="C440" t="str">
        <f>IFERROR(_xlfn.XLOOKUP(tabExam[[#This Row],[Unique ID]], tblMaster[Unique ID], tblMaster[Last Name], ""), "")</f>
        <v>Gustave</v>
      </c>
      <c r="D440" t="str">
        <f>IFERROR(_xlfn.XLOOKUP(tabExam[[#This Row],[Unique ID]], tblMaster[Unique ID], tblMaster[Email_Clean], ""), "")</f>
        <v>stnlgustave@gmail.com</v>
      </c>
      <c r="E440" t="str">
        <f>IFERROR(_xlfn.XLOOKUP(tabExam[[#This Row],[Unique ID]], tblMaster[Unique ID], tblMaster[Phone], ""), "")</f>
        <v>857-218-0347</v>
      </c>
      <c r="F440" t="str">
        <f>IFERROR(_xlfn.XLOOKUP(tabExam[[#This Row],[Unique ID]], tblMaster[Unique ID], tblMaster[Recruiter], ""), "")</f>
        <v xml:space="preserve">Tom Clark </v>
      </c>
      <c r="G440" t="str">
        <f>IFERROR(_xlfn.XLOOKUP(tabExam[[#This Row],[Unique ID]], tblMaster[Unique ID], tblMaster[Recruitment Cycle], ""), "")</f>
        <v xml:space="preserve">Re-Engagment/Post Civil Service Exam </v>
      </c>
      <c r="H440" t="s">
        <v>8360</v>
      </c>
      <c r="I440">
        <v>2025</v>
      </c>
      <c r="J440" t="s">
        <v>7446</v>
      </c>
      <c r="K440" t="s">
        <v>8151</v>
      </c>
      <c r="L440" t="s">
        <v>8165</v>
      </c>
      <c r="Q440" t="str">
        <f ca="1">IF(tabExam[[#This Row],[Log Date]]="","",TODAY()-tabExam[[#This Row],[Log Date]])</f>
        <v/>
      </c>
      <c r="R440" t="str">
        <f>IF(tabExam[[#This Row],[Log Date]]="","",IF(TRIM(tabExam[[#This Row],[Exam Cycle Stage]])="Asked to be removed from database","NO","YES"))</f>
        <v/>
      </c>
      <c r="S44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1" spans="1:19">
      <c r="A441" t="s">
        <v>8531</v>
      </c>
      <c r="B441" t="str">
        <f>IFERROR(_xlfn.XLOOKUP(tabExam[[#This Row],[Unique ID]], tblMaster[Unique ID], tblMaster[First Name], ""), "")</f>
        <v xml:space="preserve">Rositta </v>
      </c>
      <c r="C441" t="str">
        <f>IFERROR(_xlfn.XLOOKUP(tabExam[[#This Row],[Unique ID]], tblMaster[Unique ID], tblMaster[Last Name], ""), "")</f>
        <v xml:space="preserve"> Williams</v>
      </c>
      <c r="D441" t="str">
        <f>IFERROR(_xlfn.XLOOKUP(tabExam[[#This Row],[Unique ID]], tblMaster[Unique ID], tblMaster[Email_Clean], ""), "")</f>
        <v>rositta85@gmail.com</v>
      </c>
      <c r="E441" t="str">
        <f>IFERROR(_xlfn.XLOOKUP(tabExam[[#This Row],[Unique ID]], tblMaster[Unique ID], tblMaster[Phone], ""), "")</f>
        <v>774) 826-9216</v>
      </c>
      <c r="F441" t="str">
        <f>IFERROR(_xlfn.XLOOKUP(tabExam[[#This Row],[Unique ID]], tblMaster[Unique ID], tblMaster[Recruiter], ""), "")</f>
        <v>Zenon Moses</v>
      </c>
      <c r="G441" t="str">
        <f>IFERROR(_xlfn.XLOOKUP(tabExam[[#This Row],[Unique ID]], tblMaster[Unique ID], tblMaster[Recruitment Cycle], ""), "")</f>
        <v xml:space="preserve">Re-Engagment/Post Civil Service Exam </v>
      </c>
      <c r="H441" t="s">
        <v>8360</v>
      </c>
      <c r="I441">
        <v>2025</v>
      </c>
      <c r="J441" t="s">
        <v>7446</v>
      </c>
      <c r="K441" t="s">
        <v>8151</v>
      </c>
      <c r="L441" t="s">
        <v>8165</v>
      </c>
      <c r="Q441" t="str">
        <f ca="1">IF(tabExam[[#This Row],[Log Date]]="","",TODAY()-tabExam[[#This Row],[Log Date]])</f>
        <v/>
      </c>
      <c r="R441" t="str">
        <f>IF(tabExam[[#This Row],[Log Date]]="","",IF(TRIM(tabExam[[#This Row],[Exam Cycle Stage]])="Asked to be removed from database","NO","YES"))</f>
        <v/>
      </c>
      <c r="S44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2" spans="1:19">
      <c r="A442" t="s">
        <v>8532</v>
      </c>
      <c r="B442" t="str">
        <f>IFERROR(_xlfn.XLOOKUP(tabExam[[#This Row],[Unique ID]], tblMaster[Unique ID], tblMaster[First Name], ""), "")</f>
        <v>Yuliana</v>
      </c>
      <c r="C442" t="str">
        <f>IFERROR(_xlfn.XLOOKUP(tabExam[[#This Row],[Unique ID]], tblMaster[Unique ID], tblMaster[Last Name], ""), "")</f>
        <v xml:space="preserve"> Barrera </v>
      </c>
      <c r="D442" t="str">
        <f>IFERROR(_xlfn.XLOOKUP(tabExam[[#This Row],[Unique ID]], tblMaster[Unique ID], tblMaster[Email_Clean], ""), "")</f>
        <v>yuls52012@icloud.com</v>
      </c>
      <c r="E442" t="str">
        <f>IFERROR(_xlfn.XLOOKUP(tabExam[[#This Row],[Unique ID]], tblMaster[Unique ID], tblMaster[Phone], ""), "")</f>
        <v xml:space="preserve">(781) 392-4748 </v>
      </c>
      <c r="F442">
        <f>IFERROR(_xlfn.XLOOKUP(tabExam[[#This Row],[Unique ID]], tblMaster[Unique ID], tblMaster[Recruiter], ""), "")</f>
        <v>0</v>
      </c>
      <c r="G442" t="str">
        <f>IFERROR(_xlfn.XLOOKUP(tabExam[[#This Row],[Unique ID]], tblMaster[Unique ID], tblMaster[Recruitment Cycle], ""), "")</f>
        <v xml:space="preserve">Re-Engagment </v>
      </c>
      <c r="H442" t="s">
        <v>8360</v>
      </c>
      <c r="I442">
        <v>2025</v>
      </c>
      <c r="J442" t="s">
        <v>7446</v>
      </c>
      <c r="K442" t="s">
        <v>8151</v>
      </c>
      <c r="L442" t="s">
        <v>8165</v>
      </c>
      <c r="Q442" t="str">
        <f ca="1">IF(tabExam[[#This Row],[Log Date]]="","",TODAY()-tabExam[[#This Row],[Log Date]])</f>
        <v/>
      </c>
      <c r="R442" t="str">
        <f>IF(tabExam[[#This Row],[Log Date]]="","",IF(TRIM(tabExam[[#This Row],[Exam Cycle Stage]])="Asked to be removed from database","NO","YES"))</f>
        <v/>
      </c>
      <c r="S44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3" spans="1:19">
      <c r="A443" t="s">
        <v>8533</v>
      </c>
      <c r="B443" t="str">
        <f>IFERROR(_xlfn.XLOOKUP(tabExam[[#This Row],[Unique ID]], tblMaster[Unique ID], tblMaster[First Name], ""), "")</f>
        <v xml:space="preserve">Jayden </v>
      </c>
      <c r="C443" t="str">
        <f>IFERROR(_xlfn.XLOOKUP(tabExam[[#This Row],[Unique ID]], tblMaster[Unique ID], tblMaster[Last Name], ""), "")</f>
        <v xml:space="preserve">Perkins </v>
      </c>
      <c r="D443" t="str">
        <f>IFERROR(_xlfn.XLOOKUP(tabExam[[#This Row],[Unique ID]], tblMaster[Unique ID], tblMaster[Email_Clean], ""), "")</f>
        <v>jaydenlee41304@icloud.com</v>
      </c>
      <c r="E443" t="str">
        <f>IFERROR(_xlfn.XLOOKUP(tabExam[[#This Row],[Unique ID]], tblMaster[Unique ID], tblMaster[Phone], ""), "")</f>
        <v xml:space="preserve">(774) 436-0033 </v>
      </c>
      <c r="F443" t="str">
        <f>IFERROR(_xlfn.XLOOKUP(tabExam[[#This Row],[Unique ID]], tblMaster[Unique ID], tblMaster[Recruiter], ""), "")</f>
        <v>Zenon Moses</v>
      </c>
      <c r="G443" t="str">
        <f>IFERROR(_xlfn.XLOOKUP(tabExam[[#This Row],[Unique ID]], tblMaster[Unique ID], tblMaster[Recruitment Cycle], ""), "")</f>
        <v xml:space="preserve">Re-Engagment/Post Civil Service Exam </v>
      </c>
      <c r="H443" t="s">
        <v>8360</v>
      </c>
      <c r="I443">
        <v>2025</v>
      </c>
      <c r="J443" t="s">
        <v>7446</v>
      </c>
      <c r="K443" t="s">
        <v>8151</v>
      </c>
      <c r="L443" t="s">
        <v>8165</v>
      </c>
      <c r="Q443" t="str">
        <f ca="1">IF(tabExam[[#This Row],[Log Date]]="","",TODAY()-tabExam[[#This Row],[Log Date]])</f>
        <v/>
      </c>
      <c r="R443" t="str">
        <f>IF(tabExam[[#This Row],[Log Date]]="","",IF(TRIM(tabExam[[#This Row],[Exam Cycle Stage]])="Asked to be removed from database","NO","YES"))</f>
        <v/>
      </c>
      <c r="S44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4" spans="1:19">
      <c r="A444" t="s">
        <v>8534</v>
      </c>
      <c r="B444" t="str">
        <f>IFERROR(_xlfn.XLOOKUP(tabExam[[#This Row],[Unique ID]], tblMaster[Unique ID], tblMaster[First Name], ""), "")</f>
        <v xml:space="preserve">Kervens </v>
      </c>
      <c r="C444" t="str">
        <f>IFERROR(_xlfn.XLOOKUP(tabExam[[#This Row],[Unique ID]], tblMaster[Unique ID], tblMaster[Last Name], ""), "")</f>
        <v xml:space="preserve">jean Jacques </v>
      </c>
      <c r="D444" t="str">
        <f>IFERROR(_xlfn.XLOOKUP(tabExam[[#This Row],[Unique ID]], tblMaster[Unique ID], tblMaster[Email_Clean], ""), "")</f>
        <v>vensky8105@gmail.com</v>
      </c>
      <c r="E444" t="str">
        <f>IFERROR(_xlfn.XLOOKUP(tabExam[[#This Row],[Unique ID]], tblMaster[Unique ID], tblMaster[Phone], ""), "")</f>
        <v>857-719-6502</v>
      </c>
      <c r="F444">
        <f>IFERROR(_xlfn.XLOOKUP(tabExam[[#This Row],[Unique ID]], tblMaster[Unique ID], tblMaster[Recruiter], ""), "")</f>
        <v>0</v>
      </c>
      <c r="G444" t="str">
        <f>IFERROR(_xlfn.XLOOKUP(tabExam[[#This Row],[Unique ID]], tblMaster[Unique ID], tblMaster[Recruitment Cycle], ""), "")</f>
        <v xml:space="preserve">Re-Engagment </v>
      </c>
      <c r="H444" t="s">
        <v>8360</v>
      </c>
      <c r="I444">
        <v>2025</v>
      </c>
      <c r="J444" t="s">
        <v>7446</v>
      </c>
      <c r="K444" t="s">
        <v>8151</v>
      </c>
      <c r="L444" t="s">
        <v>8165</v>
      </c>
      <c r="Q444" t="str">
        <f ca="1">IF(tabExam[[#This Row],[Log Date]]="","",TODAY()-tabExam[[#This Row],[Log Date]])</f>
        <v/>
      </c>
      <c r="R444" t="str">
        <f>IF(tabExam[[#This Row],[Log Date]]="","",IF(TRIM(tabExam[[#This Row],[Exam Cycle Stage]])="Asked to be removed from database","NO","YES"))</f>
        <v/>
      </c>
      <c r="S44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5" spans="1:19">
      <c r="A445" t="s">
        <v>8535</v>
      </c>
      <c r="B445" t="str">
        <f>IFERROR(_xlfn.XLOOKUP(tabExam[[#This Row],[Unique ID]], tblMaster[Unique ID], tblMaster[First Name], ""), "")</f>
        <v>Melissa</v>
      </c>
      <c r="C445" t="str">
        <f>IFERROR(_xlfn.XLOOKUP(tabExam[[#This Row],[Unique ID]], tblMaster[Unique ID], tblMaster[Last Name], ""), "")</f>
        <v xml:space="preserve">Samayoa </v>
      </c>
      <c r="D445" t="str">
        <f>IFERROR(_xlfn.XLOOKUP(tabExam[[#This Row],[Unique ID]], tblMaster[Unique ID], tblMaster[Email_Clean], ""), "")</f>
        <v>melissagaellejean@gmail.com</v>
      </c>
      <c r="E445" t="str">
        <f>IFERROR(_xlfn.XLOOKUP(tabExam[[#This Row],[Unique ID]], tblMaster[Unique ID], tblMaster[Phone], ""), "")</f>
        <v xml:space="preserve">(617)980-8543 </v>
      </c>
      <c r="F445">
        <f>IFERROR(_xlfn.XLOOKUP(tabExam[[#This Row],[Unique ID]], tblMaster[Unique ID], tblMaster[Recruiter], ""), "")</f>
        <v>0</v>
      </c>
      <c r="G445" t="str">
        <f>IFERROR(_xlfn.XLOOKUP(tabExam[[#This Row],[Unique ID]], tblMaster[Unique ID], tblMaster[Recruitment Cycle], ""), "")</f>
        <v xml:space="preserve">Re-Engagment/Post Civil Service Exam </v>
      </c>
      <c r="H445" t="s">
        <v>8164</v>
      </c>
      <c r="I445">
        <v>2025</v>
      </c>
      <c r="J445" t="s">
        <v>7446</v>
      </c>
      <c r="K445" t="s">
        <v>8151</v>
      </c>
      <c r="L445" t="s">
        <v>8165</v>
      </c>
      <c r="Q445" t="str">
        <f ca="1">IF(tabExam[[#This Row],[Log Date]]="","",TODAY()-tabExam[[#This Row],[Log Date]])</f>
        <v/>
      </c>
      <c r="R445" t="str">
        <f>IF(tabExam[[#This Row],[Log Date]]="","",IF(TRIM(tabExam[[#This Row],[Exam Cycle Stage]])="Asked to be removed from database","NO","YES"))</f>
        <v/>
      </c>
      <c r="S44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6" spans="1:19">
      <c r="A446" t="s">
        <v>8536</v>
      </c>
      <c r="B446" t="str">
        <f>IFERROR(_xlfn.XLOOKUP(tabExam[[#This Row],[Unique ID]], tblMaster[Unique ID], tblMaster[First Name], ""), "")</f>
        <v xml:space="preserve">Brooke </v>
      </c>
      <c r="C446" t="str">
        <f>IFERROR(_xlfn.XLOOKUP(tabExam[[#This Row],[Unique ID]], tblMaster[Unique ID], tblMaster[Last Name], ""), "")</f>
        <v>Young</v>
      </c>
      <c r="D446" t="str">
        <f>IFERROR(_xlfn.XLOOKUP(tabExam[[#This Row],[Unique ID]], tblMaster[Unique ID], tblMaster[Email_Clean], ""), "")</f>
        <v>brookebay03@gmail.com</v>
      </c>
      <c r="E446" t="str">
        <f>IFERROR(_xlfn.XLOOKUP(tabExam[[#This Row],[Unique ID]], tblMaster[Unique ID], tblMaster[Phone], ""), "")</f>
        <v>781 336 8208</v>
      </c>
      <c r="F446">
        <f>IFERROR(_xlfn.XLOOKUP(tabExam[[#This Row],[Unique ID]], tblMaster[Unique ID], tblMaster[Recruiter], ""), "")</f>
        <v>0</v>
      </c>
      <c r="G446" t="str">
        <f>IFERROR(_xlfn.XLOOKUP(tabExam[[#This Row],[Unique ID]], tblMaster[Unique ID], tblMaster[Recruitment Cycle], ""), "")</f>
        <v xml:space="preserve">Re-Engagment/Post Civil Service Exam </v>
      </c>
      <c r="H446" t="s">
        <v>8164</v>
      </c>
      <c r="I446">
        <v>2025</v>
      </c>
      <c r="J446" t="s">
        <v>7446</v>
      </c>
      <c r="K446" t="s">
        <v>8151</v>
      </c>
      <c r="L446" t="s">
        <v>8165</v>
      </c>
      <c r="Q446" t="str">
        <f ca="1">IF(tabExam[[#This Row],[Log Date]]="","",TODAY()-tabExam[[#This Row],[Log Date]])</f>
        <v/>
      </c>
      <c r="R446" t="str">
        <f>IF(tabExam[[#This Row],[Log Date]]="","",IF(TRIM(tabExam[[#This Row],[Exam Cycle Stage]])="Asked to be removed from database","NO","YES"))</f>
        <v/>
      </c>
      <c r="S44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7" spans="1:19">
      <c r="A447" t="s">
        <v>8537</v>
      </c>
      <c r="B447" t="str">
        <f>IFERROR(_xlfn.XLOOKUP(tabExam[[#This Row],[Unique ID]], tblMaster[Unique ID], tblMaster[First Name], ""), "")</f>
        <v xml:space="preserve">Kristiana </v>
      </c>
      <c r="C447" t="str">
        <f>IFERROR(_xlfn.XLOOKUP(tabExam[[#This Row],[Unique ID]], tblMaster[Unique ID], tblMaster[Last Name], ""), "")</f>
        <v xml:space="preserve"> Gousby </v>
      </c>
      <c r="D447" t="str">
        <f>IFERROR(_xlfn.XLOOKUP(tabExam[[#This Row],[Unique ID]], tblMaster[Unique ID], tblMaster[Email_Clean], ""), "")</f>
        <v>k.gousby12@gmail.com</v>
      </c>
      <c r="E447" t="str">
        <f>IFERROR(_xlfn.XLOOKUP(tabExam[[#This Row],[Unique ID]], tblMaster[Unique ID], tblMaster[Phone], ""), "")</f>
        <v xml:space="preserve">(857) 237-8104 </v>
      </c>
      <c r="F447">
        <f>IFERROR(_xlfn.XLOOKUP(tabExam[[#This Row],[Unique ID]], tblMaster[Unique ID], tblMaster[Recruiter], ""), "")</f>
        <v>0</v>
      </c>
      <c r="G447" t="str">
        <f>IFERROR(_xlfn.XLOOKUP(tabExam[[#This Row],[Unique ID]], tblMaster[Unique ID], tblMaster[Recruitment Cycle], ""), "")</f>
        <v xml:space="preserve">Re-Engagment/Post Civil Service Exam </v>
      </c>
      <c r="H447" t="s">
        <v>8164</v>
      </c>
      <c r="I447">
        <v>2025</v>
      </c>
      <c r="J447" t="s">
        <v>7446</v>
      </c>
      <c r="K447" t="s">
        <v>8151</v>
      </c>
      <c r="L447" t="s">
        <v>8165</v>
      </c>
      <c r="Q447" t="str">
        <f ca="1">IF(tabExam[[#This Row],[Log Date]]="","",TODAY()-tabExam[[#This Row],[Log Date]])</f>
        <v/>
      </c>
      <c r="R447" t="str">
        <f>IF(tabExam[[#This Row],[Log Date]]="","",IF(TRIM(tabExam[[#This Row],[Exam Cycle Stage]])="Asked to be removed from database","NO","YES"))</f>
        <v/>
      </c>
      <c r="S44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8" spans="1:19">
      <c r="A448" t="s">
        <v>8538</v>
      </c>
      <c r="B448" t="str">
        <f>IFERROR(_xlfn.XLOOKUP(tabExam[[#This Row],[Unique ID]], tblMaster[Unique ID], tblMaster[First Name], ""), "")</f>
        <v>Aaliyah</v>
      </c>
      <c r="C448" t="str">
        <f>IFERROR(_xlfn.XLOOKUP(tabExam[[#This Row],[Unique ID]], tblMaster[Unique ID], tblMaster[Last Name], ""), "")</f>
        <v>Thomas</v>
      </c>
      <c r="D448" t="str">
        <f>IFERROR(_xlfn.XLOOKUP(tabExam[[#This Row],[Unique ID]], tblMaster[Unique ID], tblMaster[Email_Clean], ""), "")</f>
        <v>aaliyahthomas844@gmail.com</v>
      </c>
      <c r="E448" t="str">
        <f>IFERROR(_xlfn.XLOOKUP(tabExam[[#This Row],[Unique ID]], tblMaster[Unique ID], tblMaster[Phone], ""), "")</f>
        <v>(857) 719-8379</v>
      </c>
      <c r="F448">
        <f>IFERROR(_xlfn.XLOOKUP(tabExam[[#This Row],[Unique ID]], tblMaster[Unique ID], tblMaster[Recruiter], ""), "")</f>
        <v>0</v>
      </c>
      <c r="G448" t="str">
        <f>IFERROR(_xlfn.XLOOKUP(tabExam[[#This Row],[Unique ID]], tblMaster[Unique ID], tblMaster[Recruitment Cycle], ""), "")</f>
        <v xml:space="preserve">New Submission/ Lead </v>
      </c>
      <c r="H448" t="s">
        <v>8164</v>
      </c>
      <c r="I448">
        <v>2025</v>
      </c>
      <c r="J448" t="s">
        <v>7446</v>
      </c>
      <c r="K448" t="s">
        <v>8151</v>
      </c>
      <c r="L448" t="s">
        <v>8165</v>
      </c>
      <c r="Q448" t="str">
        <f ca="1">IF(tabExam[[#This Row],[Log Date]]="","",TODAY()-tabExam[[#This Row],[Log Date]])</f>
        <v/>
      </c>
      <c r="R448" t="str">
        <f>IF(tabExam[[#This Row],[Log Date]]="","",IF(TRIM(tabExam[[#This Row],[Exam Cycle Stage]])="Asked to be removed from database","NO","YES"))</f>
        <v/>
      </c>
      <c r="S44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49" spans="1:19">
      <c r="A449" t="s">
        <v>8539</v>
      </c>
      <c r="B449" t="str">
        <f>IFERROR(_xlfn.XLOOKUP(tabExam[[#This Row],[Unique ID]], tblMaster[Unique ID], tblMaster[First Name], ""), "")</f>
        <v xml:space="preserve">Ronell </v>
      </c>
      <c r="C449" t="str">
        <f>IFERROR(_xlfn.XLOOKUP(tabExam[[#This Row],[Unique ID]], tblMaster[Unique ID], tblMaster[Last Name], ""), "")</f>
        <v xml:space="preserve"> Watson</v>
      </c>
      <c r="D449" t="str">
        <f>IFERROR(_xlfn.XLOOKUP(tabExam[[#This Row],[Unique ID]], tblMaster[Unique ID], tblMaster[Email_Clean], ""), "")</f>
        <v>ronellwatson1993@icloud.com</v>
      </c>
      <c r="E449" t="str">
        <f>IFERROR(_xlfn.XLOOKUP(tabExam[[#This Row],[Unique ID]], tblMaster[Unique ID], tblMaster[Phone], ""), "")</f>
        <v>267 853 8559</v>
      </c>
      <c r="F449">
        <f>IFERROR(_xlfn.XLOOKUP(tabExam[[#This Row],[Unique ID]], tblMaster[Unique ID], tblMaster[Recruiter], ""), "")</f>
        <v>0</v>
      </c>
      <c r="G449" t="str">
        <f>IFERROR(_xlfn.XLOOKUP(tabExam[[#This Row],[Unique ID]], tblMaster[Unique ID], tblMaster[Recruitment Cycle], ""), "")</f>
        <v xml:space="preserve">Re-Engagment/Post Civil Service Exam </v>
      </c>
      <c r="H449" t="s">
        <v>8164</v>
      </c>
      <c r="I449">
        <v>2025</v>
      </c>
      <c r="J449" t="s">
        <v>7446</v>
      </c>
      <c r="K449" t="s">
        <v>8151</v>
      </c>
      <c r="L449" t="s">
        <v>8165</v>
      </c>
      <c r="Q449" t="str">
        <f ca="1">IF(tabExam[[#This Row],[Log Date]]="","",TODAY()-tabExam[[#This Row],[Log Date]])</f>
        <v/>
      </c>
      <c r="R449" t="str">
        <f>IF(tabExam[[#This Row],[Log Date]]="","",IF(TRIM(tabExam[[#This Row],[Exam Cycle Stage]])="Asked to be removed from database","NO","YES"))</f>
        <v/>
      </c>
      <c r="S44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0" spans="1:19">
      <c r="A450" t="s">
        <v>8540</v>
      </c>
      <c r="B450" t="str">
        <f>IFERROR(_xlfn.XLOOKUP(tabExam[[#This Row],[Unique ID]], tblMaster[Unique ID], tblMaster[First Name], ""), "")</f>
        <v xml:space="preserve">Andrew </v>
      </c>
      <c r="C450" t="str">
        <f>IFERROR(_xlfn.XLOOKUP(tabExam[[#This Row],[Unique ID]], tblMaster[Unique ID], tblMaster[Last Name], ""), "")</f>
        <v xml:space="preserve"> Balestracci </v>
      </c>
      <c r="D450" t="str">
        <f>IFERROR(_xlfn.XLOOKUP(tabExam[[#This Row],[Unique ID]], tblMaster[Unique ID], tblMaster[Email_Clean], ""), "")</f>
        <v>andrewbalestracci@gmail.com</v>
      </c>
      <c r="E450" t="str">
        <f>IFERROR(_xlfn.XLOOKUP(tabExam[[#This Row],[Unique ID]], tblMaster[Unique ID], tblMaster[Phone], ""), "")</f>
        <v xml:space="preserve">(508) 207-5563 </v>
      </c>
      <c r="F450">
        <f>IFERROR(_xlfn.XLOOKUP(tabExam[[#This Row],[Unique ID]], tblMaster[Unique ID], tblMaster[Recruiter], ""), "")</f>
        <v>0</v>
      </c>
      <c r="G450" t="str">
        <f>IFERROR(_xlfn.XLOOKUP(tabExam[[#This Row],[Unique ID]], tblMaster[Unique ID], tblMaster[Recruitment Cycle], ""), "")</f>
        <v xml:space="preserve">Re-Engagment/Post Civil Service Exam </v>
      </c>
      <c r="H450" t="s">
        <v>8164</v>
      </c>
      <c r="I450">
        <v>2025</v>
      </c>
      <c r="J450" t="s">
        <v>7446</v>
      </c>
      <c r="K450" t="s">
        <v>8151</v>
      </c>
      <c r="L450" t="s">
        <v>8165</v>
      </c>
      <c r="Q450" t="str">
        <f ca="1">IF(tabExam[[#This Row],[Log Date]]="","",TODAY()-tabExam[[#This Row],[Log Date]])</f>
        <v/>
      </c>
      <c r="R450" t="str">
        <f>IF(tabExam[[#This Row],[Log Date]]="","",IF(TRIM(tabExam[[#This Row],[Exam Cycle Stage]])="Asked to be removed from database","NO","YES"))</f>
        <v/>
      </c>
      <c r="S45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1" spans="1:19">
      <c r="A451" t="s">
        <v>8541</v>
      </c>
      <c r="B451" t="str">
        <f>IFERROR(_xlfn.XLOOKUP(tabExam[[#This Row],[Unique ID]], tblMaster[Unique ID], tblMaster[First Name], ""), "")</f>
        <v xml:space="preserve">Paul </v>
      </c>
      <c r="C451" t="str">
        <f>IFERROR(_xlfn.XLOOKUP(tabExam[[#This Row],[Unique ID]], tblMaster[Unique ID], tblMaster[Last Name], ""), "")</f>
        <v xml:space="preserve">lison </v>
      </c>
      <c r="D451" t="str">
        <f>IFERROR(_xlfn.XLOOKUP(tabExam[[#This Row],[Unique ID]], tblMaster[Unique ID], tblMaster[Email_Clean], ""), "")</f>
        <v>paul.lison83@gmail.com</v>
      </c>
      <c r="E451" t="str">
        <f>IFERROR(_xlfn.XLOOKUP(tabExam[[#This Row],[Unique ID]], tblMaster[Unique ID], tblMaster[Phone], ""), "")</f>
        <v>978 483 7330</v>
      </c>
      <c r="F451">
        <f>IFERROR(_xlfn.XLOOKUP(tabExam[[#This Row],[Unique ID]], tblMaster[Unique ID], tblMaster[Recruiter], ""), "")</f>
        <v>0</v>
      </c>
      <c r="G451" t="str">
        <f>IFERROR(_xlfn.XLOOKUP(tabExam[[#This Row],[Unique ID]], tblMaster[Unique ID], tblMaster[Recruitment Cycle], ""), "")</f>
        <v xml:space="preserve">Re-Engagment/Post Civil Service Exam </v>
      </c>
      <c r="H451" t="s">
        <v>8164</v>
      </c>
      <c r="I451">
        <v>2025</v>
      </c>
      <c r="J451" t="s">
        <v>7446</v>
      </c>
      <c r="K451" t="s">
        <v>8151</v>
      </c>
      <c r="L451" t="s">
        <v>8165</v>
      </c>
      <c r="Q451" t="str">
        <f ca="1">IF(tabExam[[#This Row],[Log Date]]="","",TODAY()-tabExam[[#This Row],[Log Date]])</f>
        <v/>
      </c>
      <c r="R451" t="str">
        <f>IF(tabExam[[#This Row],[Log Date]]="","",IF(TRIM(tabExam[[#This Row],[Exam Cycle Stage]])="Asked to be removed from database","NO","YES"))</f>
        <v/>
      </c>
      <c r="S45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2" spans="1:19">
      <c r="A452" t="s">
        <v>8542</v>
      </c>
      <c r="B452" t="str">
        <f>IFERROR(_xlfn.XLOOKUP(tabExam[[#This Row],[Unique ID]], tblMaster[Unique ID], tblMaster[First Name], ""), "")</f>
        <v xml:space="preserve">Chitsner </v>
      </c>
      <c r="C452" t="str">
        <f>IFERROR(_xlfn.XLOOKUP(tabExam[[#This Row],[Unique ID]], tblMaster[Unique ID], tblMaster[Last Name], ""), "")</f>
        <v xml:space="preserve"> Gauthier </v>
      </c>
      <c r="D452" t="str">
        <f>IFERROR(_xlfn.XLOOKUP(tabExam[[#This Row],[Unique ID]], tblMaster[Unique ID], tblMaster[Email_Clean], ""), "")</f>
        <v>cbgauthier12@gmail.com</v>
      </c>
      <c r="E452" t="str">
        <f>IFERROR(_xlfn.XLOOKUP(tabExam[[#This Row],[Unique ID]], tblMaster[Unique ID], tblMaster[Phone], ""), "")</f>
        <v xml:space="preserve">(781) 975-3422 </v>
      </c>
      <c r="F452" t="str">
        <f>IFERROR(_xlfn.XLOOKUP(tabExam[[#This Row],[Unique ID]], tblMaster[Unique ID], tblMaster[Recruiter], ""), "")</f>
        <v>Zenon Moses</v>
      </c>
      <c r="G452" t="str">
        <f>IFERROR(_xlfn.XLOOKUP(tabExam[[#This Row],[Unique ID]], tblMaster[Unique ID], tblMaster[Recruitment Cycle], ""), "")</f>
        <v xml:space="preserve">Re-Engagment/Post Civil Service Exam </v>
      </c>
      <c r="H452" t="s">
        <v>8164</v>
      </c>
      <c r="I452">
        <v>2025</v>
      </c>
      <c r="J452" t="s">
        <v>7446</v>
      </c>
      <c r="K452" t="s">
        <v>8151</v>
      </c>
      <c r="L452" t="s">
        <v>8165</v>
      </c>
      <c r="Q452" t="str">
        <f ca="1">IF(tabExam[[#This Row],[Log Date]]="","",TODAY()-tabExam[[#This Row],[Log Date]])</f>
        <v/>
      </c>
      <c r="R452" t="str">
        <f>IF(tabExam[[#This Row],[Log Date]]="","",IF(TRIM(tabExam[[#This Row],[Exam Cycle Stage]])="Asked to be removed from database","NO","YES"))</f>
        <v/>
      </c>
      <c r="S45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3" spans="1:19">
      <c r="A453" t="s">
        <v>7819</v>
      </c>
      <c r="B453" t="str">
        <f>IFERROR(_xlfn.XLOOKUP(tabExam[[#This Row],[Unique ID]], tblMaster[Unique ID], tblMaster[First Name], ""), "")</f>
        <v xml:space="preserve">Brendan </v>
      </c>
      <c r="C453" t="str">
        <f>IFERROR(_xlfn.XLOOKUP(tabExam[[#This Row],[Unique ID]], tblMaster[Unique ID], tblMaster[Last Name], ""), "")</f>
        <v>Penttila</v>
      </c>
      <c r="D453" t="str">
        <f>IFERROR(_xlfn.XLOOKUP(tabExam[[#This Row],[Unique ID]], tblMaster[Unique ID], tblMaster[Email_Clean], ""), "")</f>
        <v>penttilab@gmail.com</v>
      </c>
      <c r="E453" t="str">
        <f>IFERROR(_xlfn.XLOOKUP(tabExam[[#This Row],[Unique ID]], tblMaster[Unique ID], tblMaster[Phone], ""), "")</f>
        <v>508-216-3175</v>
      </c>
      <c r="F453">
        <f>IFERROR(_xlfn.XLOOKUP(tabExam[[#This Row],[Unique ID]], tblMaster[Unique ID], tblMaster[Recruiter], ""), "")</f>
        <v>0</v>
      </c>
      <c r="G453" t="str">
        <f>IFERROR(_xlfn.XLOOKUP(tabExam[[#This Row],[Unique ID]], tblMaster[Unique ID], tblMaster[Recruitment Cycle], ""), "")</f>
        <v xml:space="preserve">Re-Engagment/Post Civil Service Exam </v>
      </c>
      <c r="H453" t="s">
        <v>8164</v>
      </c>
      <c r="I453">
        <v>2025</v>
      </c>
      <c r="J453" t="s">
        <v>7446</v>
      </c>
      <c r="K453" t="s">
        <v>8151</v>
      </c>
      <c r="L453" t="s">
        <v>8165</v>
      </c>
      <c r="Q453" t="str">
        <f ca="1">IF(tabExam[[#This Row],[Log Date]]="","",TODAY()-tabExam[[#This Row],[Log Date]])</f>
        <v/>
      </c>
      <c r="R453" t="str">
        <f>IF(tabExam[[#This Row],[Log Date]]="","",IF(TRIM(tabExam[[#This Row],[Exam Cycle Stage]])="Asked to be removed from database","NO","YES"))</f>
        <v/>
      </c>
      <c r="S45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4" spans="1:19">
      <c r="A454" t="s">
        <v>8543</v>
      </c>
      <c r="B454" t="str">
        <f>IFERROR(_xlfn.XLOOKUP(tabExam[[#This Row],[Unique ID]], tblMaster[Unique ID], tblMaster[First Name], ""), "")</f>
        <v xml:space="preserve">ANTHONY </v>
      </c>
      <c r="C454" t="str">
        <f>IFERROR(_xlfn.XLOOKUP(tabExam[[#This Row],[Unique ID]], tblMaster[Unique ID], tblMaster[Last Name], ""), "")</f>
        <v xml:space="preserve">TATALIAS </v>
      </c>
      <c r="D454" t="str">
        <f>IFERROR(_xlfn.XLOOKUP(tabExam[[#This Row],[Unique ID]], tblMaster[Unique ID], tblMaster[Email_Clean], ""), "")</f>
        <v>atatalias31@gmail.com</v>
      </c>
      <c r="E454" t="str">
        <f>IFERROR(_xlfn.XLOOKUP(tabExam[[#This Row],[Unique ID]], tblMaster[Unique ID], tblMaster[Phone], ""), "")</f>
        <v xml:space="preserve">(321) 330-7169 </v>
      </c>
      <c r="F454">
        <f>IFERROR(_xlfn.XLOOKUP(tabExam[[#This Row],[Unique ID]], tblMaster[Unique ID], tblMaster[Recruiter], ""), "")</f>
        <v>0</v>
      </c>
      <c r="G454" t="str">
        <f>IFERROR(_xlfn.XLOOKUP(tabExam[[#This Row],[Unique ID]], tblMaster[Unique ID], tblMaster[Recruitment Cycle], ""), "")</f>
        <v xml:space="preserve">Re-Engagment/Post Civil Service Exam </v>
      </c>
      <c r="H454" t="s">
        <v>8164</v>
      </c>
      <c r="I454">
        <v>2025</v>
      </c>
      <c r="J454" t="s">
        <v>7446</v>
      </c>
      <c r="K454" t="s">
        <v>8151</v>
      </c>
      <c r="L454" t="s">
        <v>8165</v>
      </c>
      <c r="Q454" t="str">
        <f ca="1">IF(tabExam[[#This Row],[Log Date]]="","",TODAY()-tabExam[[#This Row],[Log Date]])</f>
        <v/>
      </c>
      <c r="R454" t="str">
        <f>IF(tabExam[[#This Row],[Log Date]]="","",IF(TRIM(tabExam[[#This Row],[Exam Cycle Stage]])="Asked to be removed from database","NO","YES"))</f>
        <v/>
      </c>
      <c r="S45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5" spans="1:19">
      <c r="A455" t="s">
        <v>8007</v>
      </c>
      <c r="B455" t="str">
        <f>IFERROR(_xlfn.XLOOKUP(tabExam[[#This Row],[Unique ID]], tblMaster[Unique ID], tblMaster[First Name], ""), "")</f>
        <v xml:space="preserve">Antony </v>
      </c>
      <c r="C455" t="str">
        <f>IFERROR(_xlfn.XLOOKUP(tabExam[[#This Row],[Unique ID]], tblMaster[Unique ID], tblMaster[Last Name], ""), "")</f>
        <v xml:space="preserve"> Perez </v>
      </c>
      <c r="D455" t="str">
        <f>IFERROR(_xlfn.XLOOKUP(tabExam[[#This Row],[Unique ID]], tblMaster[Unique ID], tblMaster[Email_Clean], ""), "")</f>
        <v>perez.antonyj@gmail.com</v>
      </c>
      <c r="E455" t="str">
        <f>IFERROR(_xlfn.XLOOKUP(tabExam[[#This Row],[Unique ID]], tblMaster[Unique ID], tblMaster[Phone], ""), "")</f>
        <v xml:space="preserve">774-578-1558 </v>
      </c>
      <c r="F455" t="str">
        <f>IFERROR(_xlfn.XLOOKUP(tabExam[[#This Row],[Unique ID]], tblMaster[Unique ID], tblMaster[Recruiter], ""), "")</f>
        <v xml:space="preserve">Jevon Brown Simpson </v>
      </c>
      <c r="G455" t="str">
        <f>IFERROR(_xlfn.XLOOKUP(tabExam[[#This Row],[Unique ID]], tblMaster[Unique ID], tblMaster[Recruitment Cycle], ""), "")</f>
        <v xml:space="preserve">Re-Engagment/Post Civil Service Exam </v>
      </c>
      <c r="H455" t="s">
        <v>8366</v>
      </c>
      <c r="I455">
        <v>2025</v>
      </c>
      <c r="J455" t="s">
        <v>7446</v>
      </c>
      <c r="K455" t="s">
        <v>8151</v>
      </c>
      <c r="L455" t="s">
        <v>8165</v>
      </c>
      <c r="M455" t="s">
        <v>7434</v>
      </c>
      <c r="N455" t="s">
        <v>7435</v>
      </c>
      <c r="O455" s="2">
        <v>46072</v>
      </c>
      <c r="P455" t="s">
        <v>8158</v>
      </c>
      <c r="Q455">
        <f ca="1">IF(tabExam[[#This Row],[Log Date]]="","",TODAY()-tabExam[[#This Row],[Log Date]])</f>
        <v>7</v>
      </c>
      <c r="R455" t="str">
        <f>IF(tabExam[[#This Row],[Log Date]]="","",IF(TRIM(tabExam[[#This Row],[Exam Cycle Stage]])="Asked to be removed from database","NO","YES"))</f>
        <v>YES</v>
      </c>
      <c r="S455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6" spans="1:19">
      <c r="A456" t="s">
        <v>8544</v>
      </c>
      <c r="B456" t="str">
        <f>IFERROR(_xlfn.XLOOKUP(tabExam[[#This Row],[Unique ID]], tblMaster[Unique ID], tblMaster[First Name], ""), "")</f>
        <v>Reda</v>
      </c>
      <c r="C456" t="str">
        <f>IFERROR(_xlfn.XLOOKUP(tabExam[[#This Row],[Unique ID]], tblMaster[Unique ID], tblMaster[Last Name], ""), "")</f>
        <v>Bazarto</v>
      </c>
      <c r="D456" t="str">
        <f>IFERROR(_xlfn.XLOOKUP(tabExam[[#This Row],[Unique ID]], tblMaster[Unique ID], tblMaster[Email_Clean], ""), "")</f>
        <v>redabazarto@gmail.com</v>
      </c>
      <c r="E456" t="str">
        <f>IFERROR(_xlfn.XLOOKUP(tabExam[[#This Row],[Unique ID]], tblMaster[Unique ID], tblMaster[Phone], ""), "")</f>
        <v>978-314-6230</v>
      </c>
      <c r="F456" t="str">
        <f>IFERROR(_xlfn.XLOOKUP(tabExam[[#This Row],[Unique ID]], tblMaster[Unique ID], tblMaster[Recruiter], ""), "")</f>
        <v xml:space="preserve">Tom Clark </v>
      </c>
      <c r="G456" t="str">
        <f>IFERROR(_xlfn.XLOOKUP(tabExam[[#This Row],[Unique ID]], tblMaster[Unique ID], tblMaster[Recruitment Cycle], ""), "")</f>
        <v xml:space="preserve">Re-Engagment/Post Civil Service Exam </v>
      </c>
      <c r="H456" t="s">
        <v>8164</v>
      </c>
      <c r="I456">
        <v>2025</v>
      </c>
      <c r="J456" t="s">
        <v>7446</v>
      </c>
      <c r="K456" t="s">
        <v>8151</v>
      </c>
      <c r="L456" t="s">
        <v>8165</v>
      </c>
      <c r="Q456" t="str">
        <f ca="1">IF(tabExam[[#This Row],[Log Date]]="","",TODAY()-tabExam[[#This Row],[Log Date]])</f>
        <v/>
      </c>
      <c r="R456" t="str">
        <f>IF(tabExam[[#This Row],[Log Date]]="","",IF(TRIM(tabExam[[#This Row],[Exam Cycle Stage]])="Asked to be removed from database","NO","YES"))</f>
        <v/>
      </c>
      <c r="S45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7" spans="1:19">
      <c r="A457" t="s">
        <v>8545</v>
      </c>
      <c r="B457" t="str">
        <f>IFERROR(_xlfn.XLOOKUP(tabExam[[#This Row],[Unique ID]], tblMaster[Unique ID], tblMaster[First Name], ""), "")</f>
        <v>Shamikhah</v>
      </c>
      <c r="C457" t="str">
        <f>IFERROR(_xlfn.XLOOKUP(tabExam[[#This Row],[Unique ID]], tblMaster[Unique ID], tblMaster[Last Name], ""), "")</f>
        <v xml:space="preserve"> Curry</v>
      </c>
      <c r="D457" t="str">
        <f>IFERROR(_xlfn.XLOOKUP(tabExam[[#This Row],[Unique ID]], tblMaster[Unique ID], tblMaster[Email_Clean], ""), "")</f>
        <v>shamikhah73@gmail.com</v>
      </c>
      <c r="E457" t="str">
        <f>IFERROR(_xlfn.XLOOKUP(tabExam[[#This Row],[Unique ID]], tblMaster[Unique ID], tblMaster[Phone], ""), "")</f>
        <v>617) 669-4139</v>
      </c>
      <c r="F457">
        <f>IFERROR(_xlfn.XLOOKUP(tabExam[[#This Row],[Unique ID]], tblMaster[Unique ID], tblMaster[Recruiter], ""), "")</f>
        <v>0</v>
      </c>
      <c r="G457" t="str">
        <f>IFERROR(_xlfn.XLOOKUP(tabExam[[#This Row],[Unique ID]], tblMaster[Unique ID], tblMaster[Recruitment Cycle], ""), "")</f>
        <v xml:space="preserve">Re-Engagment/Post Civil Service Exam </v>
      </c>
      <c r="H457" t="s">
        <v>8164</v>
      </c>
      <c r="I457">
        <v>2025</v>
      </c>
      <c r="J457" t="s">
        <v>7446</v>
      </c>
      <c r="K457" t="s">
        <v>8151</v>
      </c>
      <c r="L457" t="s">
        <v>8165</v>
      </c>
      <c r="Q457" t="str">
        <f ca="1">IF(tabExam[[#This Row],[Log Date]]="","",TODAY()-tabExam[[#This Row],[Log Date]])</f>
        <v/>
      </c>
      <c r="R457" t="str">
        <f>IF(tabExam[[#This Row],[Log Date]]="","",IF(TRIM(tabExam[[#This Row],[Exam Cycle Stage]])="Asked to be removed from database","NO","YES"))</f>
        <v/>
      </c>
      <c r="S45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8" spans="1:19">
      <c r="A458" t="s">
        <v>8546</v>
      </c>
      <c r="B458" t="str">
        <f>IFERROR(_xlfn.XLOOKUP(tabExam[[#This Row],[Unique ID]], tblMaster[Unique ID], tblMaster[First Name], ""), "")</f>
        <v xml:space="preserve">Khari </v>
      </c>
      <c r="C458" t="str">
        <f>IFERROR(_xlfn.XLOOKUP(tabExam[[#This Row],[Unique ID]], tblMaster[Unique ID], tblMaster[Last Name], ""), "")</f>
        <v xml:space="preserve">Kindell </v>
      </c>
      <c r="D458" t="str">
        <f>IFERROR(_xlfn.XLOOKUP(tabExam[[#This Row],[Unique ID]], tblMaster[Unique ID], tblMaster[Email_Clean], ""), "")</f>
        <v>kharikindell40@gmail.com</v>
      </c>
      <c r="E458">
        <f>IFERROR(_xlfn.XLOOKUP(tabExam[[#This Row],[Unique ID]], tblMaster[Unique ID], tblMaster[Phone], ""), "")</f>
        <v>0</v>
      </c>
      <c r="F458" t="str">
        <f>IFERROR(_xlfn.XLOOKUP(tabExam[[#This Row],[Unique ID]], tblMaster[Unique ID], tblMaster[Recruiter], ""), "")</f>
        <v>Zenon Moses</v>
      </c>
      <c r="G458" t="str">
        <f>IFERROR(_xlfn.XLOOKUP(tabExam[[#This Row],[Unique ID]], tblMaster[Unique ID], tblMaster[Recruitment Cycle], ""), "")</f>
        <v xml:space="preserve">Re-Engagment/Post Civil Service Exam </v>
      </c>
      <c r="H458" t="s">
        <v>8164</v>
      </c>
      <c r="I458">
        <v>2025</v>
      </c>
      <c r="J458" t="s">
        <v>7446</v>
      </c>
      <c r="K458" t="s">
        <v>8151</v>
      </c>
      <c r="L458" t="s">
        <v>8165</v>
      </c>
      <c r="Q458" t="str">
        <f ca="1">IF(tabExam[[#This Row],[Log Date]]="","",TODAY()-tabExam[[#This Row],[Log Date]])</f>
        <v/>
      </c>
      <c r="R458" t="str">
        <f>IF(tabExam[[#This Row],[Log Date]]="","",IF(TRIM(tabExam[[#This Row],[Exam Cycle Stage]])="Asked to be removed from database","NO","YES"))</f>
        <v/>
      </c>
      <c r="S45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59" spans="1:19">
      <c r="A459" t="s">
        <v>8547</v>
      </c>
      <c r="B459" t="str">
        <f>IFERROR(_xlfn.XLOOKUP(tabExam[[#This Row],[Unique ID]], tblMaster[Unique ID], tblMaster[First Name], ""), "")</f>
        <v xml:space="preserve">Katelyn ( kaitie) </v>
      </c>
      <c r="C459" t="str">
        <f>IFERROR(_xlfn.XLOOKUP(tabExam[[#This Row],[Unique ID]], tblMaster[Unique ID], tblMaster[Last Name], ""), "")</f>
        <v xml:space="preserve"> Piasecki </v>
      </c>
      <c r="D459" t="str">
        <f>IFERROR(_xlfn.XLOOKUP(tabExam[[#This Row],[Unique ID]], tblMaster[Unique ID], tblMaster[Email_Clean], ""), "")</f>
        <v>katiepiasecki152@gmail.com</v>
      </c>
      <c r="E459" t="str">
        <f>IFERROR(_xlfn.XLOOKUP(tabExam[[#This Row],[Unique ID]], tblMaster[Unique ID], tblMaster[Phone], ""), "")</f>
        <v xml:space="preserve">(508) 317-9498 </v>
      </c>
      <c r="F459">
        <f>IFERROR(_xlfn.XLOOKUP(tabExam[[#This Row],[Unique ID]], tblMaster[Unique ID], tblMaster[Recruiter], ""), "")</f>
        <v>0</v>
      </c>
      <c r="G459" t="str">
        <f>IFERROR(_xlfn.XLOOKUP(tabExam[[#This Row],[Unique ID]], tblMaster[Unique ID], tblMaster[Recruitment Cycle], ""), "")</f>
        <v xml:space="preserve">Re-Engagment/Post Civil Service Exam </v>
      </c>
      <c r="H459" t="s">
        <v>8164</v>
      </c>
      <c r="I459">
        <v>2025</v>
      </c>
      <c r="J459" t="s">
        <v>7446</v>
      </c>
      <c r="K459" t="s">
        <v>8151</v>
      </c>
      <c r="L459" t="s">
        <v>8165</v>
      </c>
      <c r="Q459" t="str">
        <f ca="1">IF(tabExam[[#This Row],[Log Date]]="","",TODAY()-tabExam[[#This Row],[Log Date]])</f>
        <v/>
      </c>
      <c r="R459" t="str">
        <f>IF(tabExam[[#This Row],[Log Date]]="","",IF(TRIM(tabExam[[#This Row],[Exam Cycle Stage]])="Asked to be removed from database","NO","YES"))</f>
        <v/>
      </c>
      <c r="S45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0" spans="1:19">
      <c r="A460" t="s">
        <v>8548</v>
      </c>
      <c r="B460" t="str">
        <f>IFERROR(_xlfn.XLOOKUP(tabExam[[#This Row],[Unique ID]], tblMaster[Unique ID], tblMaster[First Name], ""), "")</f>
        <v xml:space="preserve">Steve </v>
      </c>
      <c r="C460" t="str">
        <f>IFERROR(_xlfn.XLOOKUP(tabExam[[#This Row],[Unique ID]], tblMaster[Unique ID], tblMaster[Last Name], ""), "")</f>
        <v xml:space="preserve"> Sanz </v>
      </c>
      <c r="D460" t="str">
        <f>IFERROR(_xlfn.XLOOKUP(tabExam[[#This Row],[Unique ID]], tblMaster[Unique ID], tblMaster[Email_Clean], ""), "")</f>
        <v>ssanz09@icloud.com</v>
      </c>
      <c r="E460" t="str">
        <f>IFERROR(_xlfn.XLOOKUP(tabExam[[#This Row],[Unique ID]], tblMaster[Unique ID], tblMaster[Phone], ""), "")</f>
        <v xml:space="preserve">781) 930-9897 </v>
      </c>
      <c r="F460">
        <f>IFERROR(_xlfn.XLOOKUP(tabExam[[#This Row],[Unique ID]], tblMaster[Unique ID], tblMaster[Recruiter], ""), "")</f>
        <v>0</v>
      </c>
      <c r="G460" t="str">
        <f>IFERROR(_xlfn.XLOOKUP(tabExam[[#This Row],[Unique ID]], tblMaster[Unique ID], tblMaster[Recruitment Cycle], ""), "")</f>
        <v xml:space="preserve">Re-Engagment/Post Civil Service Exam </v>
      </c>
      <c r="H460" t="s">
        <v>8164</v>
      </c>
      <c r="I460">
        <v>2025</v>
      </c>
      <c r="J460" t="s">
        <v>7446</v>
      </c>
      <c r="K460" t="s">
        <v>8151</v>
      </c>
      <c r="L460" t="s">
        <v>8165</v>
      </c>
      <c r="Q460" t="str">
        <f ca="1">IF(tabExam[[#This Row],[Log Date]]="","",TODAY()-tabExam[[#This Row],[Log Date]])</f>
        <v/>
      </c>
      <c r="R460" t="str">
        <f>IF(tabExam[[#This Row],[Log Date]]="","",IF(TRIM(tabExam[[#This Row],[Exam Cycle Stage]])="Asked to be removed from database","NO","YES"))</f>
        <v/>
      </c>
      <c r="S46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1" spans="1:19">
      <c r="A461" t="s">
        <v>8549</v>
      </c>
      <c r="B461" t="str">
        <f>IFERROR(_xlfn.XLOOKUP(tabExam[[#This Row],[Unique ID]], tblMaster[Unique ID], tblMaster[First Name], ""), "")</f>
        <v xml:space="preserve">David </v>
      </c>
      <c r="C461" t="str">
        <f>IFERROR(_xlfn.XLOOKUP(tabExam[[#This Row],[Unique ID]], tblMaster[Unique ID], tblMaster[Last Name], ""), "")</f>
        <v xml:space="preserve">Tengbeh </v>
      </c>
      <c r="D461" t="str">
        <f>IFERROR(_xlfn.XLOOKUP(tabExam[[#This Row],[Unique ID]], tblMaster[Unique ID], tblMaster[Email_Clean], ""), "")</f>
        <v>davidtengbeh@gmail.com</v>
      </c>
      <c r="E461" t="str">
        <f>IFERROR(_xlfn.XLOOKUP(tabExam[[#This Row],[Unique ID]], tblMaster[Unique ID], tblMaster[Phone], ""), "")</f>
        <v xml:space="preserve">(401) 548-2750 </v>
      </c>
      <c r="F461" t="str">
        <f>IFERROR(_xlfn.XLOOKUP(tabExam[[#This Row],[Unique ID]], tblMaster[Unique ID], tblMaster[Recruiter], ""), "")</f>
        <v>Zenon Moses</v>
      </c>
      <c r="G461" t="str">
        <f>IFERROR(_xlfn.XLOOKUP(tabExam[[#This Row],[Unique ID]], tblMaster[Unique ID], tblMaster[Recruitment Cycle], ""), "")</f>
        <v xml:space="preserve">New Submission/ Lead </v>
      </c>
      <c r="H461" t="s">
        <v>8164</v>
      </c>
      <c r="I461">
        <v>2025</v>
      </c>
      <c r="J461" t="s">
        <v>7446</v>
      </c>
      <c r="K461" t="s">
        <v>8151</v>
      </c>
      <c r="L461" t="s">
        <v>8165</v>
      </c>
      <c r="Q461" t="str">
        <f ca="1">IF(tabExam[[#This Row],[Log Date]]="","",TODAY()-tabExam[[#This Row],[Log Date]])</f>
        <v/>
      </c>
      <c r="R461" t="str">
        <f>IF(tabExam[[#This Row],[Log Date]]="","",IF(TRIM(tabExam[[#This Row],[Exam Cycle Stage]])="Asked to be removed from database","NO","YES"))</f>
        <v/>
      </c>
      <c r="S46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2" spans="1:19">
      <c r="A462" t="s">
        <v>7904</v>
      </c>
      <c r="B462" t="str">
        <f>IFERROR(_xlfn.XLOOKUP(tabExam[[#This Row],[Unique ID]], tblMaster[Unique ID], tblMaster[First Name], ""), "")</f>
        <v xml:space="preserve">Vincent </v>
      </c>
      <c r="C462" t="str">
        <f>IFERROR(_xlfn.XLOOKUP(tabExam[[#This Row],[Unique ID]], tblMaster[Unique ID], tblMaster[Last Name], ""), "")</f>
        <v xml:space="preserve"> Amegbor </v>
      </c>
      <c r="D462" t="str">
        <f>IFERROR(_xlfn.XLOOKUP(tabExam[[#This Row],[Unique ID]], tblMaster[Unique ID], tblMaster[Email_Clean], ""), "")</f>
        <v>vincentferrer15@yahoo.com</v>
      </c>
      <c r="E462" t="str">
        <f>IFERROR(_xlfn.XLOOKUP(tabExam[[#This Row],[Unique ID]], tblMaster[Unique ID], tblMaster[Phone], ""), "")</f>
        <v xml:space="preserve">(774) 502-9590 </v>
      </c>
      <c r="F462" t="str">
        <f>IFERROR(_xlfn.XLOOKUP(tabExam[[#This Row],[Unique ID]], tblMaster[Unique ID], tblMaster[Recruiter], ""), "")</f>
        <v xml:space="preserve">Enrique Ortiz </v>
      </c>
      <c r="G462" t="str">
        <f>IFERROR(_xlfn.XLOOKUP(tabExam[[#This Row],[Unique ID]], tblMaster[Unique ID], tblMaster[Recruitment Cycle], ""), "")</f>
        <v xml:space="preserve">Re-Engagment/Post Civil Service Exam </v>
      </c>
      <c r="H462" t="s">
        <v>8164</v>
      </c>
      <c r="I462">
        <v>2025</v>
      </c>
      <c r="J462" t="s">
        <v>7446</v>
      </c>
      <c r="K462" t="s">
        <v>8151</v>
      </c>
      <c r="L462" t="s">
        <v>8165</v>
      </c>
      <c r="Q462" t="str">
        <f ca="1">IF(tabExam[[#This Row],[Log Date]]="","",TODAY()-tabExam[[#This Row],[Log Date]])</f>
        <v/>
      </c>
      <c r="R462" t="str">
        <f>IF(tabExam[[#This Row],[Log Date]]="","",IF(TRIM(tabExam[[#This Row],[Exam Cycle Stage]])="Asked to be removed from database","NO","YES"))</f>
        <v/>
      </c>
      <c r="S46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3" spans="1:19">
      <c r="A463" t="s">
        <v>7771</v>
      </c>
      <c r="B463" t="str">
        <f>IFERROR(_xlfn.XLOOKUP(tabExam[[#This Row],[Unique ID]], tblMaster[Unique ID], tblMaster[First Name], ""), "")</f>
        <v xml:space="preserve">Enoch </v>
      </c>
      <c r="C463" t="str">
        <f>IFERROR(_xlfn.XLOOKUP(tabExam[[#This Row],[Unique ID]], tblMaster[Unique ID], tblMaster[Last Name], ""), "")</f>
        <v>Amankwah</v>
      </c>
      <c r="D463" t="str">
        <f>IFERROR(_xlfn.XLOOKUP(tabExam[[#This Row],[Unique ID]], tblMaster[Unique ID], tblMaster[Email_Clean], ""), "")</f>
        <v>oheneamankwah95@gmail.com</v>
      </c>
      <c r="E463" t="str">
        <f>IFERROR(_xlfn.XLOOKUP(tabExam[[#This Row],[Unique ID]], tblMaster[Unique ID], tblMaster[Phone], ""), "")</f>
        <v>508 454 3037</v>
      </c>
      <c r="F463" t="str">
        <f>IFERROR(_xlfn.XLOOKUP(tabExam[[#This Row],[Unique ID]], tblMaster[Unique ID], tblMaster[Recruiter], ""), "")</f>
        <v xml:space="preserve">Austin Campos </v>
      </c>
      <c r="G463" t="str">
        <f>IFERROR(_xlfn.XLOOKUP(tabExam[[#This Row],[Unique ID]], tblMaster[Unique ID], tblMaster[Recruitment Cycle], ""), "")</f>
        <v xml:space="preserve">Re-Engagment/Post Civil Service Exam </v>
      </c>
      <c r="H463" t="s">
        <v>8164</v>
      </c>
      <c r="I463">
        <v>2025</v>
      </c>
      <c r="J463" t="s">
        <v>7446</v>
      </c>
      <c r="K463" t="s">
        <v>8151</v>
      </c>
      <c r="L463" t="s">
        <v>8165</v>
      </c>
      <c r="Q463" t="str">
        <f ca="1">IF(tabExam[[#This Row],[Log Date]]="","",TODAY()-tabExam[[#This Row],[Log Date]])</f>
        <v/>
      </c>
      <c r="R463" t="str">
        <f>IF(tabExam[[#This Row],[Log Date]]="","",IF(TRIM(tabExam[[#This Row],[Exam Cycle Stage]])="Asked to be removed from database","NO","YES"))</f>
        <v/>
      </c>
      <c r="S46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4" spans="1:19">
      <c r="A464" t="s">
        <v>8550</v>
      </c>
      <c r="B464" t="str">
        <f>IFERROR(_xlfn.XLOOKUP(tabExam[[#This Row],[Unique ID]], tblMaster[Unique ID], tblMaster[First Name], ""), "")</f>
        <v xml:space="preserve">Jodiann </v>
      </c>
      <c r="C464" t="str">
        <f>IFERROR(_xlfn.XLOOKUP(tabExam[[#This Row],[Unique ID]], tblMaster[Unique ID], tblMaster[Last Name], ""), "")</f>
        <v xml:space="preserve"> Burnett </v>
      </c>
      <c r="D464" t="str">
        <f>IFERROR(_xlfn.XLOOKUP(tabExam[[#This Row],[Unique ID]], tblMaster[Unique ID], tblMaster[Email_Clean], ""), "")</f>
        <v>jodiannburnett@gmail.com</v>
      </c>
      <c r="E464" t="str">
        <f>IFERROR(_xlfn.XLOOKUP(tabExam[[#This Row],[Unique ID]], tblMaster[Unique ID], tblMaster[Phone], ""), "")</f>
        <v xml:space="preserve">(857) 421-8659 </v>
      </c>
      <c r="F464">
        <f>IFERROR(_xlfn.XLOOKUP(tabExam[[#This Row],[Unique ID]], tblMaster[Unique ID], tblMaster[Recruiter], ""), "")</f>
        <v>0</v>
      </c>
      <c r="G464" t="str">
        <f>IFERROR(_xlfn.XLOOKUP(tabExam[[#This Row],[Unique ID]], tblMaster[Unique ID], tblMaster[Recruitment Cycle], ""), "")</f>
        <v xml:space="preserve">Re-Engagment/Post Civil Service Exam </v>
      </c>
      <c r="H464" t="s">
        <v>8164</v>
      </c>
      <c r="I464">
        <v>2025</v>
      </c>
      <c r="J464" t="s">
        <v>7446</v>
      </c>
      <c r="K464" t="s">
        <v>8151</v>
      </c>
      <c r="L464" t="s">
        <v>8165</v>
      </c>
      <c r="Q464" t="str">
        <f ca="1">IF(tabExam[[#This Row],[Log Date]]="","",TODAY()-tabExam[[#This Row],[Log Date]])</f>
        <v/>
      </c>
      <c r="R464" t="str">
        <f>IF(tabExam[[#This Row],[Log Date]]="","",IF(TRIM(tabExam[[#This Row],[Exam Cycle Stage]])="Asked to be removed from database","NO","YES"))</f>
        <v/>
      </c>
      <c r="S46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5" spans="1:19">
      <c r="A465" t="s">
        <v>8551</v>
      </c>
      <c r="B465" t="str">
        <f>IFERROR(_xlfn.XLOOKUP(tabExam[[#This Row],[Unique ID]], tblMaster[Unique ID], tblMaster[First Name], ""), "")</f>
        <v xml:space="preserve">Adewale </v>
      </c>
      <c r="C465" t="str">
        <f>IFERROR(_xlfn.XLOOKUP(tabExam[[#This Row],[Unique ID]], tblMaster[Unique ID], tblMaster[Last Name], ""), "")</f>
        <v xml:space="preserve">Ajibade </v>
      </c>
      <c r="D465" t="str">
        <f>IFERROR(_xlfn.XLOOKUP(tabExam[[#This Row],[Unique ID]], tblMaster[Unique ID], tblMaster[Email_Clean], ""), "")</f>
        <v>dewaleajib1071@gmail.com</v>
      </c>
      <c r="E465" t="str">
        <f>IFERROR(_xlfn.XLOOKUP(tabExam[[#This Row],[Unique ID]], tblMaster[Unique ID], tblMaster[Phone], ""), "")</f>
        <v xml:space="preserve">240)860-3399 </v>
      </c>
      <c r="F465">
        <f>IFERROR(_xlfn.XLOOKUP(tabExam[[#This Row],[Unique ID]], tblMaster[Unique ID], tblMaster[Recruiter], ""), "")</f>
        <v>0</v>
      </c>
      <c r="G465" t="str">
        <f>IFERROR(_xlfn.XLOOKUP(tabExam[[#This Row],[Unique ID]], tblMaster[Unique ID], tblMaster[Recruitment Cycle], ""), "")</f>
        <v xml:space="preserve">Re-Engagment/Post Civil Service Exam </v>
      </c>
      <c r="H465" t="s">
        <v>8164</v>
      </c>
      <c r="I465">
        <v>2025</v>
      </c>
      <c r="J465" t="s">
        <v>7446</v>
      </c>
      <c r="K465" t="s">
        <v>8151</v>
      </c>
      <c r="L465" t="s">
        <v>8165</v>
      </c>
      <c r="Q465" t="str">
        <f ca="1">IF(tabExam[[#This Row],[Log Date]]="","",TODAY()-tabExam[[#This Row],[Log Date]])</f>
        <v/>
      </c>
      <c r="R465" t="str">
        <f>IF(tabExam[[#This Row],[Log Date]]="","",IF(TRIM(tabExam[[#This Row],[Exam Cycle Stage]])="Asked to be removed from database","NO","YES"))</f>
        <v/>
      </c>
      <c r="S46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6" spans="1:19">
      <c r="A466" t="s">
        <v>8552</v>
      </c>
      <c r="B466" t="str">
        <f>IFERROR(_xlfn.XLOOKUP(tabExam[[#This Row],[Unique ID]], tblMaster[Unique ID], tblMaster[First Name], ""), "")</f>
        <v>Belly</v>
      </c>
      <c r="C466" t="str">
        <f>IFERROR(_xlfn.XLOOKUP(tabExam[[#This Row],[Unique ID]], tblMaster[Unique ID], tblMaster[Last Name], ""), "")</f>
        <v>Junior Cesar</v>
      </c>
      <c r="D466" t="str">
        <f>IFERROR(_xlfn.XLOOKUP(tabExam[[#This Row],[Unique ID]], tblMaster[Unique ID], tblMaster[Email_Clean], ""), "")</f>
        <v>bellycesar135@gmail.com</v>
      </c>
      <c r="E466" t="str">
        <f>IFERROR(_xlfn.XLOOKUP(tabExam[[#This Row],[Unique ID]], tblMaster[Unique ID], tblMaster[Phone], ""), "")</f>
        <v>508) 371-8810</v>
      </c>
      <c r="F466">
        <f>IFERROR(_xlfn.XLOOKUP(tabExam[[#This Row],[Unique ID]], tblMaster[Unique ID], tblMaster[Recruiter], ""), "")</f>
        <v>0</v>
      </c>
      <c r="G466" t="str">
        <f>IFERROR(_xlfn.XLOOKUP(tabExam[[#This Row],[Unique ID]], tblMaster[Unique ID], tblMaster[Recruitment Cycle], ""), "")</f>
        <v xml:space="preserve">Re-Engagment/Post Civil Service Exam </v>
      </c>
      <c r="H466" t="s">
        <v>8164</v>
      </c>
      <c r="I466">
        <v>2025</v>
      </c>
      <c r="J466" t="s">
        <v>7446</v>
      </c>
      <c r="K466" t="s">
        <v>8151</v>
      </c>
      <c r="L466" t="s">
        <v>8165</v>
      </c>
      <c r="Q466" t="str">
        <f ca="1">IF(tabExam[[#This Row],[Log Date]]="","",TODAY()-tabExam[[#This Row],[Log Date]])</f>
        <v/>
      </c>
      <c r="R466" t="str">
        <f>IF(tabExam[[#This Row],[Log Date]]="","",IF(TRIM(tabExam[[#This Row],[Exam Cycle Stage]])="Asked to be removed from database","NO","YES"))</f>
        <v/>
      </c>
      <c r="S46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7" spans="1:19">
      <c r="A467" t="s">
        <v>8553</v>
      </c>
      <c r="B467" t="str">
        <f>IFERROR(_xlfn.XLOOKUP(tabExam[[#This Row],[Unique ID]], tblMaster[Unique ID], tblMaster[First Name], ""), "")</f>
        <v xml:space="preserve">Ryan </v>
      </c>
      <c r="C467" t="str">
        <f>IFERROR(_xlfn.XLOOKUP(tabExam[[#This Row],[Unique ID]], tblMaster[Unique ID], tblMaster[Last Name], ""), "")</f>
        <v xml:space="preserve">Major </v>
      </c>
      <c r="D467" t="str">
        <f>IFERROR(_xlfn.XLOOKUP(tabExam[[#This Row],[Unique ID]], tblMaster[Unique ID], tblMaster[Email_Clean], ""), "")</f>
        <v>ryanmajor193@gmail.com</v>
      </c>
      <c r="E467" t="str">
        <f>IFERROR(_xlfn.XLOOKUP(tabExam[[#This Row],[Unique ID]], tblMaster[Unique ID], tblMaster[Phone], ""), "")</f>
        <v>813-523-2966</v>
      </c>
      <c r="F467" t="str">
        <f>IFERROR(_xlfn.XLOOKUP(tabExam[[#This Row],[Unique ID]], tblMaster[Unique ID], tblMaster[Recruiter], ""), "")</f>
        <v xml:space="preserve">Jevon Brown Simpson </v>
      </c>
      <c r="G467" t="str">
        <f>IFERROR(_xlfn.XLOOKUP(tabExam[[#This Row],[Unique ID]], tblMaster[Unique ID], tblMaster[Recruitment Cycle], ""), "")</f>
        <v xml:space="preserve">Re-Engagment/Post Civil Service Exam </v>
      </c>
      <c r="H467" t="s">
        <v>8164</v>
      </c>
      <c r="I467">
        <v>2025</v>
      </c>
      <c r="J467" t="s">
        <v>7446</v>
      </c>
      <c r="K467" t="s">
        <v>8151</v>
      </c>
      <c r="L467" t="s">
        <v>8165</v>
      </c>
      <c r="Q467" t="str">
        <f ca="1">IF(tabExam[[#This Row],[Log Date]]="","",TODAY()-tabExam[[#This Row],[Log Date]])</f>
        <v/>
      </c>
      <c r="R467" t="str">
        <f>IF(tabExam[[#This Row],[Log Date]]="","",IF(TRIM(tabExam[[#This Row],[Exam Cycle Stage]])="Asked to be removed from database","NO","YES"))</f>
        <v/>
      </c>
      <c r="S46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8" spans="1:19">
      <c r="A468" t="s">
        <v>8554</v>
      </c>
      <c r="B468" t="str">
        <f>IFERROR(_xlfn.XLOOKUP(tabExam[[#This Row],[Unique ID]], tblMaster[Unique ID], tblMaster[First Name], ""), "")</f>
        <v>Robel</v>
      </c>
      <c r="C468" t="str">
        <f>IFERROR(_xlfn.XLOOKUP(tabExam[[#This Row],[Unique ID]], tblMaster[Unique ID], tblMaster[Last Name], ""), "")</f>
        <v xml:space="preserve"> Rivera </v>
      </c>
      <c r="D468" t="str">
        <f>IFERROR(_xlfn.XLOOKUP(tabExam[[#This Row],[Unique ID]], tblMaster[Unique ID], tblMaster[Email_Clean], ""), "")</f>
        <v>erionaj@gmail.com</v>
      </c>
      <c r="E468" t="str">
        <f>IFERROR(_xlfn.XLOOKUP(tabExam[[#This Row],[Unique ID]], tblMaster[Unique ID], tblMaster[Phone], ""), "")</f>
        <v>857-707-1072</v>
      </c>
      <c r="F468">
        <f>IFERROR(_xlfn.XLOOKUP(tabExam[[#This Row],[Unique ID]], tblMaster[Unique ID], tblMaster[Recruiter], ""), "")</f>
        <v>0</v>
      </c>
      <c r="G468" t="str">
        <f>IFERROR(_xlfn.XLOOKUP(tabExam[[#This Row],[Unique ID]], tblMaster[Unique ID], tblMaster[Recruitment Cycle], ""), "")</f>
        <v xml:space="preserve">Re-Engagment/Post Civil Service Exam </v>
      </c>
      <c r="H468" t="s">
        <v>8164</v>
      </c>
      <c r="I468">
        <v>2025</v>
      </c>
      <c r="J468" t="s">
        <v>7446</v>
      </c>
      <c r="K468" t="s">
        <v>8151</v>
      </c>
      <c r="L468" t="s">
        <v>8165</v>
      </c>
      <c r="Q468" t="str">
        <f ca="1">IF(tabExam[[#This Row],[Log Date]]="","",TODAY()-tabExam[[#This Row],[Log Date]])</f>
        <v/>
      </c>
      <c r="R468" t="str">
        <f>IF(tabExam[[#This Row],[Log Date]]="","",IF(TRIM(tabExam[[#This Row],[Exam Cycle Stage]])="Asked to be removed from database","NO","YES"))</f>
        <v/>
      </c>
      <c r="S46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69" spans="1:19">
      <c r="A469" t="s">
        <v>8555</v>
      </c>
      <c r="B469" t="str">
        <f>IFERROR(_xlfn.XLOOKUP(tabExam[[#This Row],[Unique ID]], tblMaster[Unique ID], tblMaster[First Name], ""), "")</f>
        <v xml:space="preserve">YAR </v>
      </c>
      <c r="C469" t="str">
        <f>IFERROR(_xlfn.XLOOKUP(tabExam[[#This Row],[Unique ID]], tblMaster[Unique ID], tblMaster[Last Name], ""), "")</f>
        <v>YAR YUEL</v>
      </c>
      <c r="D469" t="str">
        <f>IFERROR(_xlfn.XLOOKUP(tabExam[[#This Row],[Unique ID]], tblMaster[Unique ID], tblMaster[Email_Clean], ""), "")</f>
        <v>yar.ayuel@gmail.com</v>
      </c>
      <c r="E469" t="str">
        <f>IFERROR(_xlfn.XLOOKUP(tabExam[[#This Row],[Unique ID]], tblMaster[Unique ID], tblMaster[Phone], ""), "")</f>
        <v>857-523-5186</v>
      </c>
      <c r="F469">
        <f>IFERROR(_xlfn.XLOOKUP(tabExam[[#This Row],[Unique ID]], tblMaster[Unique ID], tblMaster[Recruiter], ""), "")</f>
        <v>0</v>
      </c>
      <c r="G469" t="str">
        <f>IFERROR(_xlfn.XLOOKUP(tabExam[[#This Row],[Unique ID]], tblMaster[Unique ID], tblMaster[Recruitment Cycle], ""), "")</f>
        <v xml:space="preserve">Re-Engagment/Post Civil Service Exam </v>
      </c>
      <c r="H469" t="s">
        <v>8164</v>
      </c>
      <c r="I469">
        <v>2025</v>
      </c>
      <c r="J469" t="s">
        <v>7446</v>
      </c>
      <c r="K469" t="s">
        <v>8151</v>
      </c>
      <c r="L469" t="s">
        <v>8165</v>
      </c>
      <c r="Q469" t="str">
        <f ca="1">IF(tabExam[[#This Row],[Log Date]]="","",TODAY()-tabExam[[#This Row],[Log Date]])</f>
        <v/>
      </c>
      <c r="R469" t="str">
        <f>IF(tabExam[[#This Row],[Log Date]]="","",IF(TRIM(tabExam[[#This Row],[Exam Cycle Stage]])="Asked to be removed from database","NO","YES"))</f>
        <v/>
      </c>
      <c r="S46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0" spans="1:19">
      <c r="A470" t="s">
        <v>8556</v>
      </c>
      <c r="B470" t="str">
        <f>IFERROR(_xlfn.XLOOKUP(tabExam[[#This Row],[Unique ID]], tblMaster[Unique ID], tblMaster[First Name], ""), "")</f>
        <v xml:space="preserve">Kyara </v>
      </c>
      <c r="C470" t="str">
        <f>IFERROR(_xlfn.XLOOKUP(tabExam[[#This Row],[Unique ID]], tblMaster[Unique ID], tblMaster[Last Name], ""), "")</f>
        <v xml:space="preserve"> Beardsley </v>
      </c>
      <c r="D470" t="str">
        <f>IFERROR(_xlfn.XLOOKUP(tabExam[[#This Row],[Unique ID]], tblMaster[Unique ID], tblMaster[Email_Clean], ""), "")</f>
        <v>kyaralavallee9@gmail.com</v>
      </c>
      <c r="E470" t="str">
        <f>IFERROR(_xlfn.XLOOKUP(tabExam[[#This Row],[Unique ID]], tblMaster[Unique ID], tblMaster[Phone], ""), "")</f>
        <v>413-557-8205</v>
      </c>
      <c r="F470">
        <f>IFERROR(_xlfn.XLOOKUP(tabExam[[#This Row],[Unique ID]], tblMaster[Unique ID], tblMaster[Recruiter], ""), "")</f>
        <v>0</v>
      </c>
      <c r="G470" t="str">
        <f>IFERROR(_xlfn.XLOOKUP(tabExam[[#This Row],[Unique ID]], tblMaster[Unique ID], tblMaster[Recruitment Cycle], ""), "")</f>
        <v xml:space="preserve">Re-Engagment/Post Civil Service Exam </v>
      </c>
      <c r="H470" t="s">
        <v>8164</v>
      </c>
      <c r="I470">
        <v>2025</v>
      </c>
      <c r="J470" t="s">
        <v>7446</v>
      </c>
      <c r="K470" t="s">
        <v>8151</v>
      </c>
      <c r="L470" t="s">
        <v>8165</v>
      </c>
      <c r="Q470" t="str">
        <f ca="1">IF(tabExam[[#This Row],[Log Date]]="","",TODAY()-tabExam[[#This Row],[Log Date]])</f>
        <v/>
      </c>
      <c r="R470" t="str">
        <f>IF(tabExam[[#This Row],[Log Date]]="","",IF(TRIM(tabExam[[#This Row],[Exam Cycle Stage]])="Asked to be removed from database","NO","YES"))</f>
        <v/>
      </c>
      <c r="S47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1" spans="1:19">
      <c r="A471" t="s">
        <v>8046</v>
      </c>
      <c r="B471" t="str">
        <f>IFERROR(_xlfn.XLOOKUP(tabExam[[#This Row],[Unique ID]], tblMaster[Unique ID], tblMaster[First Name], ""), "")</f>
        <v>Tatiana</v>
      </c>
      <c r="C471" t="str">
        <f>IFERROR(_xlfn.XLOOKUP(tabExam[[#This Row],[Unique ID]], tblMaster[Unique ID], tblMaster[Last Name], ""), "")</f>
        <v xml:space="preserve">Rentas </v>
      </c>
      <c r="D471" t="str">
        <f>IFERROR(_xlfn.XLOOKUP(tabExam[[#This Row],[Unique ID]], tblMaster[Unique ID], tblMaster[Email_Clean], ""), "")</f>
        <v>tmrentas08@gmail.com</v>
      </c>
      <c r="E471" t="str">
        <f>IFERROR(_xlfn.XLOOKUP(tabExam[[#This Row],[Unique ID]], tblMaster[Unique ID], tblMaster[Phone], ""), "")</f>
        <v xml:space="preserve">978) 387-3213 </v>
      </c>
      <c r="F471" t="str">
        <f>IFERROR(_xlfn.XLOOKUP(tabExam[[#This Row],[Unique ID]], tblMaster[Unique ID], tblMaster[Recruiter], ""), "")</f>
        <v xml:space="preserve">Jevon Brown Simpson </v>
      </c>
      <c r="G471" t="str">
        <f>IFERROR(_xlfn.XLOOKUP(tabExam[[#This Row],[Unique ID]], tblMaster[Unique ID], tblMaster[Recruitment Cycle], ""), "")</f>
        <v xml:space="preserve">Re-Engagment/Post Civil Service Exam </v>
      </c>
      <c r="H471" t="s">
        <v>8164</v>
      </c>
      <c r="I471">
        <v>2025</v>
      </c>
      <c r="J471" t="s">
        <v>7446</v>
      </c>
      <c r="K471" t="s">
        <v>8151</v>
      </c>
      <c r="L471" t="s">
        <v>8165</v>
      </c>
      <c r="Q471" t="str">
        <f ca="1">IF(tabExam[[#This Row],[Log Date]]="","",TODAY()-tabExam[[#This Row],[Log Date]])</f>
        <v/>
      </c>
      <c r="R471" t="str">
        <f>IF(tabExam[[#This Row],[Log Date]]="","",IF(TRIM(tabExam[[#This Row],[Exam Cycle Stage]])="Asked to be removed from database","NO","YES"))</f>
        <v/>
      </c>
      <c r="S47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2" spans="1:19">
      <c r="A472" t="s">
        <v>8557</v>
      </c>
      <c r="B472" t="str">
        <f>IFERROR(_xlfn.XLOOKUP(tabExam[[#This Row],[Unique ID]], tblMaster[Unique ID], tblMaster[First Name], ""), "")</f>
        <v xml:space="preserve">Kelly </v>
      </c>
      <c r="C472" t="str">
        <f>IFERROR(_xlfn.XLOOKUP(tabExam[[#This Row],[Unique ID]], tblMaster[Unique ID], tblMaster[Last Name], ""), "")</f>
        <v>Batista</v>
      </c>
      <c r="D472" t="str">
        <f>IFERROR(_xlfn.XLOOKUP(tabExam[[#This Row],[Unique ID]], tblMaster[Unique ID], tblMaster[Email_Clean], ""), "")</f>
        <v>kelly.salesbatista@gmail.com</v>
      </c>
      <c r="E472" t="str">
        <f>IFERROR(_xlfn.XLOOKUP(tabExam[[#This Row],[Unique ID]], tblMaster[Unique ID], tblMaster[Phone], ""), "")</f>
        <v>857)236-0687</v>
      </c>
      <c r="F472">
        <f>IFERROR(_xlfn.XLOOKUP(tabExam[[#This Row],[Unique ID]], tblMaster[Unique ID], tblMaster[Recruiter], ""), "")</f>
        <v>0</v>
      </c>
      <c r="G472" t="str">
        <f>IFERROR(_xlfn.XLOOKUP(tabExam[[#This Row],[Unique ID]], tblMaster[Unique ID], tblMaster[Recruitment Cycle], ""), "")</f>
        <v xml:space="preserve">Re-Engagment/Post Civil Service Exam </v>
      </c>
      <c r="H472" t="s">
        <v>8164</v>
      </c>
      <c r="I472">
        <v>2025</v>
      </c>
      <c r="J472" t="s">
        <v>7446</v>
      </c>
      <c r="K472" t="s">
        <v>8151</v>
      </c>
      <c r="L472" t="s">
        <v>8165</v>
      </c>
      <c r="Q472" t="str">
        <f ca="1">IF(tabExam[[#This Row],[Log Date]]="","",TODAY()-tabExam[[#This Row],[Log Date]])</f>
        <v/>
      </c>
      <c r="R472" t="str">
        <f>IF(tabExam[[#This Row],[Log Date]]="","",IF(TRIM(tabExam[[#This Row],[Exam Cycle Stage]])="Asked to be removed from database","NO","YES"))</f>
        <v/>
      </c>
      <c r="S47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3" spans="1:19">
      <c r="A473" t="s">
        <v>8558</v>
      </c>
      <c r="B473" t="str">
        <f>IFERROR(_xlfn.XLOOKUP(tabExam[[#This Row],[Unique ID]], tblMaster[Unique ID], tblMaster[First Name], ""), "")</f>
        <v>Eric</v>
      </c>
      <c r="C473" t="str">
        <f>IFERROR(_xlfn.XLOOKUP(tabExam[[#This Row],[Unique ID]], tblMaster[Unique ID], tblMaster[Last Name], ""), "")</f>
        <v xml:space="preserve">Boateng </v>
      </c>
      <c r="D473" t="str">
        <f>IFERROR(_xlfn.XLOOKUP(tabExam[[#This Row],[Unique ID]], tblMaster[Unique ID], tblMaster[Email_Clean], ""), "")</f>
        <v>boatengfilms@gmail.com</v>
      </c>
      <c r="E473" t="str">
        <f>IFERROR(_xlfn.XLOOKUP(tabExam[[#This Row],[Unique ID]], tblMaster[Unique ID], tblMaster[Phone], ""), "")</f>
        <v xml:space="preserve">(978) 996-4196 </v>
      </c>
      <c r="F473">
        <f>IFERROR(_xlfn.XLOOKUP(tabExam[[#This Row],[Unique ID]], tblMaster[Unique ID], tblMaster[Recruiter], ""), "")</f>
        <v>0</v>
      </c>
      <c r="G473" t="str">
        <f>IFERROR(_xlfn.XLOOKUP(tabExam[[#This Row],[Unique ID]], tblMaster[Unique ID], tblMaster[Recruitment Cycle], ""), "")</f>
        <v xml:space="preserve">Re-Engagment/Post Civil Service Exam </v>
      </c>
      <c r="H473" t="s">
        <v>8164</v>
      </c>
      <c r="I473">
        <v>2025</v>
      </c>
      <c r="J473" t="s">
        <v>7446</v>
      </c>
      <c r="K473" t="s">
        <v>8151</v>
      </c>
      <c r="L473" t="s">
        <v>8165</v>
      </c>
      <c r="Q473" t="str">
        <f ca="1">IF(tabExam[[#This Row],[Log Date]]="","",TODAY()-tabExam[[#This Row],[Log Date]])</f>
        <v/>
      </c>
      <c r="R473" t="str">
        <f>IF(tabExam[[#This Row],[Log Date]]="","",IF(TRIM(tabExam[[#This Row],[Exam Cycle Stage]])="Asked to be removed from database","NO","YES"))</f>
        <v/>
      </c>
      <c r="S47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4" spans="1:19">
      <c r="A474" t="s">
        <v>7376</v>
      </c>
      <c r="B474" t="str">
        <f>IFERROR(_xlfn.XLOOKUP(tabExam[[#This Row],[Unique ID]], tblMaster[Unique ID], tblMaster[First Name], ""), "")</f>
        <v>Ciana</v>
      </c>
      <c r="C474" t="str">
        <f>IFERROR(_xlfn.XLOOKUP(tabExam[[#This Row],[Unique ID]], tblMaster[Unique ID], tblMaster[Last Name], ""), "")</f>
        <v>Rentas</v>
      </c>
      <c r="D474" t="str">
        <f>IFERROR(_xlfn.XLOOKUP(tabExam[[#This Row],[Unique ID]], tblMaster[Unique ID], tblMaster[Email_Clean], ""), "")</f>
        <v>rentasciana@gmail.com</v>
      </c>
      <c r="E474" t="str">
        <f>IFERROR(_xlfn.XLOOKUP(tabExam[[#This Row],[Unique ID]], tblMaster[Unique ID], tblMaster[Phone], ""), "")</f>
        <v>508-904-5057</v>
      </c>
      <c r="F474" t="str">
        <f>IFERROR(_xlfn.XLOOKUP(tabExam[[#This Row],[Unique ID]], tblMaster[Unique ID], tblMaster[Recruiter], ""), "")</f>
        <v xml:space="preserve">Tom Clark </v>
      </c>
      <c r="G474" t="str">
        <f>IFERROR(_xlfn.XLOOKUP(tabExam[[#This Row],[Unique ID]], tblMaster[Unique ID], tblMaster[Recruitment Cycle], ""), "")</f>
        <v xml:space="preserve">Re-Engagment/Post Civil Service Exam </v>
      </c>
      <c r="H474" t="s">
        <v>8164</v>
      </c>
      <c r="I474">
        <v>2025</v>
      </c>
      <c r="J474" t="s">
        <v>7446</v>
      </c>
      <c r="K474" t="s">
        <v>8151</v>
      </c>
      <c r="L474" t="s">
        <v>8165</v>
      </c>
      <c r="Q474" t="str">
        <f ca="1">IF(tabExam[[#This Row],[Log Date]]="","",TODAY()-tabExam[[#This Row],[Log Date]])</f>
        <v/>
      </c>
      <c r="R474" t="str">
        <f>IF(tabExam[[#This Row],[Log Date]]="","",IF(TRIM(tabExam[[#This Row],[Exam Cycle Stage]])="Asked to be removed from database","NO","YES"))</f>
        <v/>
      </c>
      <c r="S47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5" spans="1:19">
      <c r="A475" t="s">
        <v>8559</v>
      </c>
      <c r="B475" t="str">
        <f>IFERROR(_xlfn.XLOOKUP(tabExam[[#This Row],[Unique ID]], tblMaster[Unique ID], tblMaster[First Name], ""), "")</f>
        <v xml:space="preserve">Emily </v>
      </c>
      <c r="C475" t="str">
        <f>IFERROR(_xlfn.XLOOKUP(tabExam[[#This Row],[Unique ID]], tblMaster[Unique ID], tblMaster[Last Name], ""), "")</f>
        <v xml:space="preserve">Torres </v>
      </c>
      <c r="D475" t="str">
        <f>IFERROR(_xlfn.XLOOKUP(tabExam[[#This Row],[Unique ID]], tblMaster[Unique ID], tblMaster[Email_Clean], ""), "")</f>
        <v>emilymelissa8@gmail.com</v>
      </c>
      <c r="E475">
        <f>IFERROR(_xlfn.XLOOKUP(tabExam[[#This Row],[Unique ID]], tblMaster[Unique ID], tblMaster[Phone], ""), "")</f>
        <v>0</v>
      </c>
      <c r="F475">
        <f>IFERROR(_xlfn.XLOOKUP(tabExam[[#This Row],[Unique ID]], tblMaster[Unique ID], tblMaster[Recruiter], ""), "")</f>
        <v>0</v>
      </c>
      <c r="G475" t="str">
        <f>IFERROR(_xlfn.XLOOKUP(tabExam[[#This Row],[Unique ID]], tblMaster[Unique ID], tblMaster[Recruitment Cycle], ""), "")</f>
        <v xml:space="preserve">Re-Engagment/Post Civil Service Exam </v>
      </c>
      <c r="H475" t="s">
        <v>8164</v>
      </c>
      <c r="I475">
        <v>2025</v>
      </c>
      <c r="J475" t="s">
        <v>7446</v>
      </c>
      <c r="K475" t="s">
        <v>8151</v>
      </c>
      <c r="L475" t="s">
        <v>8165</v>
      </c>
      <c r="Q475" t="str">
        <f ca="1">IF(tabExam[[#This Row],[Log Date]]="","",TODAY()-tabExam[[#This Row],[Log Date]])</f>
        <v/>
      </c>
      <c r="R475" t="str">
        <f>IF(tabExam[[#This Row],[Log Date]]="","",IF(TRIM(tabExam[[#This Row],[Exam Cycle Stage]])="Asked to be removed from database","NO","YES"))</f>
        <v/>
      </c>
      <c r="S47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6" spans="1:19">
      <c r="A476" t="s">
        <v>8560</v>
      </c>
      <c r="B476" t="str">
        <f>IFERROR(_xlfn.XLOOKUP(tabExam[[#This Row],[Unique ID]], tblMaster[Unique ID], tblMaster[First Name], ""), "")</f>
        <v>Paul</v>
      </c>
      <c r="C476" t="str">
        <f>IFERROR(_xlfn.XLOOKUP(tabExam[[#This Row],[Unique ID]], tblMaster[Unique ID], tblMaster[Last Name], ""), "")</f>
        <v xml:space="preserve">Wacuka </v>
      </c>
      <c r="D476" t="str">
        <f>IFERROR(_xlfn.XLOOKUP(tabExam[[#This Row],[Unique ID]], tblMaster[Unique ID], tblMaster[Email_Clean], ""), "")</f>
        <v>paulkimani26@gmail.com</v>
      </c>
      <c r="E476" t="str">
        <f>IFERROR(_xlfn.XLOOKUP(tabExam[[#This Row],[Unique ID]], tblMaster[Unique ID], tblMaster[Phone], ""), "")</f>
        <v xml:space="preserve">(978) 327-2924 </v>
      </c>
      <c r="F476">
        <f>IFERROR(_xlfn.XLOOKUP(tabExam[[#This Row],[Unique ID]], tblMaster[Unique ID], tblMaster[Recruiter], ""), "")</f>
        <v>0</v>
      </c>
      <c r="G476" t="str">
        <f>IFERROR(_xlfn.XLOOKUP(tabExam[[#This Row],[Unique ID]], tblMaster[Unique ID], tblMaster[Recruitment Cycle], ""), "")</f>
        <v xml:space="preserve">Re-Engagment/Post Civil Service Exam </v>
      </c>
      <c r="H476" t="s">
        <v>8164</v>
      </c>
      <c r="I476">
        <v>2025</v>
      </c>
      <c r="J476" t="s">
        <v>7446</v>
      </c>
      <c r="K476" t="s">
        <v>8151</v>
      </c>
      <c r="L476" t="s">
        <v>8165</v>
      </c>
      <c r="Q476" t="str">
        <f ca="1">IF(tabExam[[#This Row],[Log Date]]="","",TODAY()-tabExam[[#This Row],[Log Date]])</f>
        <v/>
      </c>
      <c r="R476" t="str">
        <f>IF(tabExam[[#This Row],[Log Date]]="","",IF(TRIM(tabExam[[#This Row],[Exam Cycle Stage]])="Asked to be removed from database","NO","YES"))</f>
        <v/>
      </c>
      <c r="S47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7" spans="1:19">
      <c r="A477" t="s">
        <v>8561</v>
      </c>
      <c r="B477" t="str">
        <f>IFERROR(_xlfn.XLOOKUP(tabExam[[#This Row],[Unique ID]], tblMaster[Unique ID], tblMaster[First Name], ""), "")</f>
        <v>Afeez</v>
      </c>
      <c r="C477" t="str">
        <f>IFERROR(_xlfn.XLOOKUP(tabExam[[#This Row],[Unique ID]], tblMaster[Unique ID], tblMaster[Last Name], ""), "")</f>
        <v>Awojobi</v>
      </c>
      <c r="D477" t="str">
        <f>IFERROR(_xlfn.XLOOKUP(tabExam[[#This Row],[Unique ID]], tblMaster[Unique ID], tblMaster[Email_Clean], ""), "")</f>
        <v>awojobiafeez@yahoo.com</v>
      </c>
      <c r="E477" t="str">
        <f>IFERROR(_xlfn.XLOOKUP(tabExam[[#This Row],[Unique ID]], tblMaster[Unique ID], tblMaster[Phone], ""), "")</f>
        <v>(973) 332-2552</v>
      </c>
      <c r="F477" t="str">
        <f>IFERROR(_xlfn.XLOOKUP(tabExam[[#This Row],[Unique ID]], tblMaster[Unique ID], tblMaster[Recruiter], ""), "")</f>
        <v xml:space="preserve">Jevon Brown Simpson </v>
      </c>
      <c r="G477" t="str">
        <f>IFERROR(_xlfn.XLOOKUP(tabExam[[#This Row],[Unique ID]], tblMaster[Unique ID], tblMaster[Recruitment Cycle], ""), "")</f>
        <v xml:space="preserve">Re-Engagment/Post Civil Service Exam </v>
      </c>
      <c r="H477" t="s">
        <v>8164</v>
      </c>
      <c r="I477">
        <v>2025</v>
      </c>
      <c r="J477" t="s">
        <v>7446</v>
      </c>
      <c r="K477" t="s">
        <v>8151</v>
      </c>
      <c r="L477" t="s">
        <v>8165</v>
      </c>
      <c r="Q477" t="str">
        <f ca="1">IF(tabExam[[#This Row],[Log Date]]="","",TODAY()-tabExam[[#This Row],[Log Date]])</f>
        <v/>
      </c>
      <c r="R477" t="str">
        <f>IF(tabExam[[#This Row],[Log Date]]="","",IF(TRIM(tabExam[[#This Row],[Exam Cycle Stage]])="Asked to be removed from database","NO","YES"))</f>
        <v/>
      </c>
      <c r="S47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8" spans="1:19">
      <c r="A478" t="s">
        <v>8562</v>
      </c>
      <c r="B478" t="str">
        <f>IFERROR(_xlfn.XLOOKUP(tabExam[[#This Row],[Unique ID]], tblMaster[Unique ID], tblMaster[First Name], ""), "")</f>
        <v xml:space="preserve">Woodline </v>
      </c>
      <c r="C478" t="str">
        <f>IFERROR(_xlfn.XLOOKUP(tabExam[[#This Row],[Unique ID]], tblMaster[Unique ID], tblMaster[Last Name], ""), "")</f>
        <v xml:space="preserve"> Maignan</v>
      </c>
      <c r="D478" t="str">
        <f>IFERROR(_xlfn.XLOOKUP(tabExam[[#This Row],[Unique ID]], tblMaster[Unique ID], tblMaster[Email_Clean], ""), "")</f>
        <v>woodlinemaignan@gmail.com</v>
      </c>
      <c r="E478" t="str">
        <f>IFERROR(_xlfn.XLOOKUP(tabExam[[#This Row],[Unique ID]], tblMaster[Unique ID], tblMaster[Phone], ""), "")</f>
        <v>(781) 888-6407</v>
      </c>
      <c r="F478">
        <f>IFERROR(_xlfn.XLOOKUP(tabExam[[#This Row],[Unique ID]], tblMaster[Unique ID], tblMaster[Recruiter], ""), "")</f>
        <v>0</v>
      </c>
      <c r="G478" t="str">
        <f>IFERROR(_xlfn.XLOOKUP(tabExam[[#This Row],[Unique ID]], tblMaster[Unique ID], tblMaster[Recruitment Cycle], ""), "")</f>
        <v xml:space="preserve">Re-Engagment/Post Civil Service Exam </v>
      </c>
      <c r="H478" t="s">
        <v>8357</v>
      </c>
      <c r="I478">
        <v>2025</v>
      </c>
      <c r="J478" t="s">
        <v>7446</v>
      </c>
      <c r="K478" t="s">
        <v>8151</v>
      </c>
      <c r="L478" t="s">
        <v>8165</v>
      </c>
      <c r="Q478" t="str">
        <f ca="1">IF(tabExam[[#This Row],[Log Date]]="","",TODAY()-tabExam[[#This Row],[Log Date]])</f>
        <v/>
      </c>
      <c r="R478" t="str">
        <f>IF(tabExam[[#This Row],[Log Date]]="","",IF(TRIM(tabExam[[#This Row],[Exam Cycle Stage]])="Asked to be removed from database","NO","YES"))</f>
        <v/>
      </c>
      <c r="S478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79" spans="1:19">
      <c r="A479" t="s">
        <v>8563</v>
      </c>
      <c r="B479" t="str">
        <f>IFERROR(_xlfn.XLOOKUP(tabExam[[#This Row],[Unique ID]], tblMaster[Unique ID], tblMaster[First Name], ""), "")</f>
        <v>Jayonia</v>
      </c>
      <c r="C479" t="str">
        <f>IFERROR(_xlfn.XLOOKUP(tabExam[[#This Row],[Unique ID]], tblMaster[Unique ID], tblMaster[Last Name], ""), "")</f>
        <v xml:space="preserve">Cannon </v>
      </c>
      <c r="D479" t="str">
        <f>IFERROR(_xlfn.XLOOKUP(tabExam[[#This Row],[Unique ID]], tblMaster[Unique ID], tblMaster[Email_Clean], ""), "")</f>
        <v>jcannon@csimail.org</v>
      </c>
      <c r="E479" t="str">
        <f>IFERROR(_xlfn.XLOOKUP(tabExam[[#This Row],[Unique ID]], tblMaster[Unique ID], tblMaster[Phone], ""), "")</f>
        <v xml:space="preserve">(203) 690-2438 </v>
      </c>
      <c r="F479" t="str">
        <f>IFERROR(_xlfn.XLOOKUP(tabExam[[#This Row],[Unique ID]], tblMaster[Unique ID], tblMaster[Recruiter], ""), "")</f>
        <v>Zenon Moses</v>
      </c>
      <c r="G479" t="str">
        <f>IFERROR(_xlfn.XLOOKUP(tabExam[[#This Row],[Unique ID]], tblMaster[Unique ID], tblMaster[Recruitment Cycle], ""), "")</f>
        <v xml:space="preserve">Re-Engagment/Post Civil Service Exam </v>
      </c>
      <c r="H479" t="s">
        <v>8357</v>
      </c>
      <c r="I479">
        <v>2025</v>
      </c>
      <c r="J479" t="s">
        <v>7446</v>
      </c>
      <c r="K479" t="s">
        <v>8151</v>
      </c>
      <c r="L479" t="s">
        <v>8165</v>
      </c>
      <c r="Q479" t="str">
        <f ca="1">IF(tabExam[[#This Row],[Log Date]]="","",TODAY()-tabExam[[#This Row],[Log Date]])</f>
        <v/>
      </c>
      <c r="R479" t="str">
        <f>IF(tabExam[[#This Row],[Log Date]]="","",IF(TRIM(tabExam[[#This Row],[Exam Cycle Stage]])="Asked to be removed from database","NO","YES"))</f>
        <v/>
      </c>
      <c r="S479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0" spans="1:19">
      <c r="A480" t="s">
        <v>8564</v>
      </c>
      <c r="B480" t="str">
        <f>IFERROR(_xlfn.XLOOKUP(tabExam[[#This Row],[Unique ID]], tblMaster[Unique ID], tblMaster[First Name], ""), "")</f>
        <v>Ludwige</v>
      </c>
      <c r="C480" t="str">
        <f>IFERROR(_xlfn.XLOOKUP(tabExam[[#This Row],[Unique ID]], tblMaster[Unique ID], tblMaster[Last Name], ""), "")</f>
        <v>Elvariste Yoyo</v>
      </c>
      <c r="D480" t="str">
        <f>IFERROR(_xlfn.XLOOKUP(tabExam[[#This Row],[Unique ID]], tblMaster[Unique ID], tblMaster[Email_Clean], ""), "")</f>
        <v>ludwigelvariste@gmail.com</v>
      </c>
      <c r="E480" t="str">
        <f>IFERROR(_xlfn.XLOOKUP(tabExam[[#This Row],[Unique ID]], tblMaster[Unique ID], tblMaster[Phone], ""), "")</f>
        <v>857-397-3357</v>
      </c>
      <c r="F480">
        <f>IFERROR(_xlfn.XLOOKUP(tabExam[[#This Row],[Unique ID]], tblMaster[Unique ID], tblMaster[Recruiter], ""), "")</f>
        <v>0</v>
      </c>
      <c r="G480" t="str">
        <f>IFERROR(_xlfn.XLOOKUP(tabExam[[#This Row],[Unique ID]], tblMaster[Unique ID], tblMaster[Recruitment Cycle], ""), "")</f>
        <v xml:space="preserve">Re-Engagment/Post Civil Service Exam </v>
      </c>
      <c r="H480" t="s">
        <v>8366</v>
      </c>
      <c r="I480">
        <v>2025</v>
      </c>
      <c r="J480" t="s">
        <v>7446</v>
      </c>
      <c r="K480" t="s">
        <v>8151</v>
      </c>
      <c r="L480" t="s">
        <v>8165</v>
      </c>
      <c r="Q480" t="str">
        <f ca="1">IF(tabExam[[#This Row],[Log Date]]="","",TODAY()-tabExam[[#This Row],[Log Date]])</f>
        <v/>
      </c>
      <c r="R480" t="str">
        <f>IF(tabExam[[#This Row],[Log Date]]="","",IF(TRIM(tabExam[[#This Row],[Exam Cycle Stage]])="Asked to be removed from database","NO","YES"))</f>
        <v/>
      </c>
      <c r="S48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1" spans="1:19">
      <c r="A481" t="s">
        <v>8565</v>
      </c>
      <c r="B481" t="str">
        <f>IFERROR(_xlfn.XLOOKUP(tabExam[[#This Row],[Unique ID]], tblMaster[Unique ID], tblMaster[First Name], ""), "")</f>
        <v>Alydia</v>
      </c>
      <c r="C481" t="str">
        <f>IFERROR(_xlfn.XLOOKUP(tabExam[[#This Row],[Unique ID]], tblMaster[Unique ID], tblMaster[Last Name], ""), "")</f>
        <v>Le</v>
      </c>
      <c r="D481" t="str">
        <f>IFERROR(_xlfn.XLOOKUP(tabExam[[#This Row],[Unique ID]], tblMaster[Unique ID], tblMaster[Email_Clean], ""), "")</f>
        <v>alydia.le19@gmail.com</v>
      </c>
      <c r="E481" t="str">
        <f>IFERROR(_xlfn.XLOOKUP(tabExam[[#This Row],[Unique ID]], tblMaster[Unique ID], tblMaster[Phone], ""), "")</f>
        <v>(978) 906-4451</v>
      </c>
      <c r="F481" t="str">
        <f>IFERROR(_xlfn.XLOOKUP(tabExam[[#This Row],[Unique ID]], tblMaster[Unique ID], tblMaster[Recruiter], ""), "")</f>
        <v xml:space="preserve">Jevon Brown Simpson </v>
      </c>
      <c r="G481" t="str">
        <f>IFERROR(_xlfn.XLOOKUP(tabExam[[#This Row],[Unique ID]], tblMaster[Unique ID], tblMaster[Recruitment Cycle], ""), "")</f>
        <v xml:space="preserve">Re-Engagment/Post Civil Service Exam </v>
      </c>
      <c r="H481" t="s">
        <v>8366</v>
      </c>
      <c r="I481">
        <v>2025</v>
      </c>
      <c r="J481" t="s">
        <v>7446</v>
      </c>
      <c r="K481" t="s">
        <v>8151</v>
      </c>
      <c r="L481" t="s">
        <v>8165</v>
      </c>
      <c r="Q481" t="str">
        <f ca="1">IF(tabExam[[#This Row],[Log Date]]="","",TODAY()-tabExam[[#This Row],[Log Date]])</f>
        <v/>
      </c>
      <c r="R481" t="str">
        <f>IF(tabExam[[#This Row],[Log Date]]="","",IF(TRIM(tabExam[[#This Row],[Exam Cycle Stage]])="Asked to be removed from database","NO","YES"))</f>
        <v/>
      </c>
      <c r="S48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2" spans="1:19">
      <c r="A482" t="s">
        <v>7930</v>
      </c>
      <c r="B482" t="str">
        <f>IFERROR(_xlfn.XLOOKUP(tabExam[[#This Row],[Unique ID]], tblMaster[Unique ID], tblMaster[First Name], ""), "")</f>
        <v>Eh shanti</v>
      </c>
      <c r="C482" t="str">
        <f>IFERROR(_xlfn.XLOOKUP(tabExam[[#This Row],[Unique ID]], tblMaster[Unique ID], tblMaster[Last Name], ""), "")</f>
        <v>Bey</v>
      </c>
      <c r="D482" t="str">
        <f>IFERROR(_xlfn.XLOOKUP(tabExam[[#This Row],[Unique ID]], tblMaster[Unique ID], tblMaster[Email_Clean], ""), "")</f>
        <v>ehshanti99@yahoo.com</v>
      </c>
      <c r="E482" t="str">
        <f>IFERROR(_xlfn.XLOOKUP(tabExam[[#This Row],[Unique ID]], tblMaster[Unique ID], tblMaster[Phone], ""), "")</f>
        <v>781-805-0208</v>
      </c>
      <c r="F482" t="str">
        <f>IFERROR(_xlfn.XLOOKUP(tabExam[[#This Row],[Unique ID]], tblMaster[Unique ID], tblMaster[Recruiter], ""), "")</f>
        <v xml:space="preserve">Jevon Brown Simpson </v>
      </c>
      <c r="G482" t="str">
        <f>IFERROR(_xlfn.XLOOKUP(tabExam[[#This Row],[Unique ID]], tblMaster[Unique ID], tblMaster[Recruitment Cycle], ""), "")</f>
        <v xml:space="preserve">Re-Engagment/Post Civil Service Exam </v>
      </c>
      <c r="H482" t="s">
        <v>8366</v>
      </c>
      <c r="I482">
        <v>2025</v>
      </c>
      <c r="J482" t="s">
        <v>7446</v>
      </c>
      <c r="K482" t="s">
        <v>8151</v>
      </c>
      <c r="L482" t="s">
        <v>8165</v>
      </c>
      <c r="Q482" t="str">
        <f ca="1">IF(tabExam[[#This Row],[Log Date]]="","",TODAY()-tabExam[[#This Row],[Log Date]])</f>
        <v/>
      </c>
      <c r="R482" t="str">
        <f>IF(tabExam[[#This Row],[Log Date]]="","",IF(TRIM(tabExam[[#This Row],[Exam Cycle Stage]])="Asked to be removed from database","NO","YES"))</f>
        <v/>
      </c>
      <c r="S482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3" spans="1:19">
      <c r="A483" t="s">
        <v>8566</v>
      </c>
      <c r="B483" t="str">
        <f>IFERROR(_xlfn.XLOOKUP(tabExam[[#This Row],[Unique ID]], tblMaster[Unique ID], tblMaster[First Name], ""), "")</f>
        <v xml:space="preserve">Polinaria </v>
      </c>
      <c r="C483" t="str">
        <f>IFERROR(_xlfn.XLOOKUP(tabExam[[#This Row],[Unique ID]], tblMaster[Unique ID], tblMaster[Last Name], ""), "")</f>
        <v xml:space="preserve">Giannino </v>
      </c>
      <c r="D483" t="str">
        <f>IFERROR(_xlfn.XLOOKUP(tabExam[[#This Row],[Unique ID]], tblMaster[Unique ID], tblMaster[Email_Clean], ""), "")</f>
        <v>p_paulausa@hotmail.com</v>
      </c>
      <c r="E483" t="str">
        <f>IFERROR(_xlfn.XLOOKUP(tabExam[[#This Row],[Unique ID]], tblMaster[Unique ID], tblMaster[Phone], ""), "")</f>
        <v xml:space="preserve">(617) 767-1636 </v>
      </c>
      <c r="F483" t="str">
        <f>IFERROR(_xlfn.XLOOKUP(tabExam[[#This Row],[Unique ID]], tblMaster[Unique ID], tblMaster[Recruiter], ""), "")</f>
        <v>Zenon Moses</v>
      </c>
      <c r="G483" t="str">
        <f>IFERROR(_xlfn.XLOOKUP(tabExam[[#This Row],[Unique ID]], tblMaster[Unique ID], tblMaster[Recruitment Cycle], ""), "")</f>
        <v xml:space="preserve">Re-Engagment/Post Civil Service Exam </v>
      </c>
      <c r="H483" t="s">
        <v>8366</v>
      </c>
      <c r="I483">
        <v>2025</v>
      </c>
      <c r="J483" t="s">
        <v>7446</v>
      </c>
      <c r="K483" t="s">
        <v>8151</v>
      </c>
      <c r="L483" t="s">
        <v>8165</v>
      </c>
      <c r="Q483" t="str">
        <f ca="1">IF(tabExam[[#This Row],[Log Date]]="","",TODAY()-tabExam[[#This Row],[Log Date]])</f>
        <v/>
      </c>
      <c r="R483" t="str">
        <f>IF(tabExam[[#This Row],[Log Date]]="","",IF(TRIM(tabExam[[#This Row],[Exam Cycle Stage]])="Asked to be removed from database","NO","YES"))</f>
        <v/>
      </c>
      <c r="S483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4" spans="1:19">
      <c r="A484" t="s">
        <v>8567</v>
      </c>
      <c r="B484" t="str">
        <f>IFERROR(_xlfn.XLOOKUP(tabExam[[#This Row],[Unique ID]], tblMaster[Unique ID], tblMaster[First Name], ""), "")</f>
        <v>Perla</v>
      </c>
      <c r="C484" t="str">
        <f>IFERROR(_xlfn.XLOOKUP(tabExam[[#This Row],[Unique ID]], tblMaster[Unique ID], tblMaster[Last Name], ""), "")</f>
        <v>Franco Pafume</v>
      </c>
      <c r="D484" t="str">
        <f>IFERROR(_xlfn.XLOOKUP(tabExam[[#This Row],[Unique ID]], tblMaster[Unique ID], tblMaster[Email_Clean], ""), "")</f>
        <v>perlafranco.law@gmail.com</v>
      </c>
      <c r="E484" t="str">
        <f>IFERROR(_xlfn.XLOOKUP(tabExam[[#This Row],[Unique ID]], tblMaster[Unique ID], tblMaster[Phone], ""), "")</f>
        <v>857-504-4449</v>
      </c>
      <c r="F484" t="str">
        <f>IFERROR(_xlfn.XLOOKUP(tabExam[[#This Row],[Unique ID]], tblMaster[Unique ID], tblMaster[Recruiter], ""), "")</f>
        <v xml:space="preserve">Jevon Brown Simpson </v>
      </c>
      <c r="G484" t="str">
        <f>IFERROR(_xlfn.XLOOKUP(tabExam[[#This Row],[Unique ID]], tblMaster[Unique ID], tblMaster[Recruitment Cycle], ""), "")</f>
        <v xml:space="preserve">Re-Engagment/Post Civil Service Exam </v>
      </c>
      <c r="H484" t="s">
        <v>8366</v>
      </c>
      <c r="I484">
        <v>2025</v>
      </c>
      <c r="J484" t="s">
        <v>7446</v>
      </c>
      <c r="K484" t="s">
        <v>8151</v>
      </c>
      <c r="L484" t="s">
        <v>8165</v>
      </c>
      <c r="Q484" t="str">
        <f ca="1">IF(tabExam[[#This Row],[Log Date]]="","",TODAY()-tabExam[[#This Row],[Log Date]])</f>
        <v/>
      </c>
      <c r="R484" t="str">
        <f>IF(tabExam[[#This Row],[Log Date]]="","",IF(TRIM(tabExam[[#This Row],[Exam Cycle Stage]])="Asked to be removed from database","NO","YES"))</f>
        <v/>
      </c>
      <c r="S484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5" spans="1:19">
      <c r="A485" t="s">
        <v>8568</v>
      </c>
      <c r="B485" t="str">
        <f>IFERROR(_xlfn.XLOOKUP(tabExam[[#This Row],[Unique ID]], tblMaster[Unique ID], tblMaster[First Name], ""), "")</f>
        <v>Haley</v>
      </c>
      <c r="C485" t="str">
        <f>IFERROR(_xlfn.XLOOKUP(tabExam[[#This Row],[Unique ID]], tblMaster[Unique ID], tblMaster[Last Name], ""), "")</f>
        <v>Duevaughn</v>
      </c>
      <c r="D485" t="str">
        <f>IFERROR(_xlfn.XLOOKUP(tabExam[[#This Row],[Unique ID]], tblMaster[Unique ID], tblMaster[Email_Clean], ""), "")</f>
        <v>duevaughnh@gmail.com</v>
      </c>
      <c r="E485" t="str">
        <f>IFERROR(_xlfn.XLOOKUP(tabExam[[#This Row],[Unique ID]], tblMaster[Unique ID], tblMaster[Phone], ""), "")</f>
        <v>857-204-6644</v>
      </c>
      <c r="F485" t="str">
        <f>IFERROR(_xlfn.XLOOKUP(tabExam[[#This Row],[Unique ID]], tblMaster[Unique ID], tblMaster[Recruiter], ""), "")</f>
        <v>Zenon Moses</v>
      </c>
      <c r="G485" t="str">
        <f>IFERROR(_xlfn.XLOOKUP(tabExam[[#This Row],[Unique ID]], tblMaster[Unique ID], tblMaster[Recruitment Cycle], ""), "")</f>
        <v xml:space="preserve">Re-Engagment/Post Civil Service Exam </v>
      </c>
      <c r="H485" t="s">
        <v>8366</v>
      </c>
      <c r="I485">
        <v>2025</v>
      </c>
      <c r="J485" t="s">
        <v>7446</v>
      </c>
      <c r="K485" t="s">
        <v>8151</v>
      </c>
      <c r="L485" t="s">
        <v>8165</v>
      </c>
      <c r="Q485" t="str">
        <f ca="1">IF(tabExam[[#This Row],[Log Date]]="","",TODAY()-tabExam[[#This Row],[Log Date]])</f>
        <v/>
      </c>
      <c r="R485" t="str">
        <f>IF(tabExam[[#This Row],[Log Date]]="","",IF(TRIM(tabExam[[#This Row],[Exam Cycle Stage]])="Asked to be removed from database","NO","YES"))</f>
        <v/>
      </c>
      <c r="S485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6" spans="1:19">
      <c r="A486" t="s">
        <v>8135</v>
      </c>
      <c r="B486" t="str">
        <f>IFERROR(_xlfn.XLOOKUP(tabExam[[#This Row],[Unique ID]], tblMaster[Unique ID], tblMaster[First Name], ""), "")</f>
        <v xml:space="preserve">Peter </v>
      </c>
      <c r="C486" t="str">
        <f>IFERROR(_xlfn.XLOOKUP(tabExam[[#This Row],[Unique ID]], tblMaster[Unique ID], tblMaster[Last Name], ""), "")</f>
        <v xml:space="preserve">James </v>
      </c>
      <c r="D486" t="str">
        <f>IFERROR(_xlfn.XLOOKUP(tabExam[[#This Row],[Unique ID]], tblMaster[Unique ID], tblMaster[Email_Clean], ""), "")</f>
        <v>peter.james205@yahoo.com</v>
      </c>
      <c r="E486" t="str">
        <f>IFERROR(_xlfn.XLOOKUP(tabExam[[#This Row],[Unique ID]], tblMaster[Unique ID], tblMaster[Phone], ""), "")</f>
        <v>678-608-7486</v>
      </c>
      <c r="F486" t="str">
        <f>IFERROR(_xlfn.XLOOKUP(tabExam[[#This Row],[Unique ID]], tblMaster[Unique ID], tblMaster[Recruiter], ""), "")</f>
        <v xml:space="preserve">Tom Clark </v>
      </c>
      <c r="G486" t="str">
        <f>IFERROR(_xlfn.XLOOKUP(tabExam[[#This Row],[Unique ID]], tblMaster[Unique ID], tblMaster[Recruitment Cycle], ""), "")</f>
        <v xml:space="preserve">Re-Engagment </v>
      </c>
      <c r="H486" t="s">
        <v>8150</v>
      </c>
      <c r="I486">
        <v>2026</v>
      </c>
      <c r="J486" t="s">
        <v>7446</v>
      </c>
      <c r="K486" t="s">
        <v>8153</v>
      </c>
      <c r="L486" t="s">
        <v>8154</v>
      </c>
      <c r="Q486" t="str">
        <f ca="1">IF(tabExam[[#This Row],[Log Date]]="","",TODAY()-tabExam[[#This Row],[Log Date]])</f>
        <v/>
      </c>
      <c r="R486" t="str">
        <f>IF(tabExam[[#This Row],[Log Date]]="","",IF(TRIM(tabExam[[#This Row],[Exam Cycle Stage]])="Asked to be removed from database","NO","YES"))</f>
        <v/>
      </c>
      <c r="S486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7" spans="1:19">
      <c r="A487" t="s">
        <v>7737</v>
      </c>
      <c r="B487" t="str">
        <f>IFERROR(_xlfn.XLOOKUP(tabExam[[#This Row],[Unique ID]], tblMaster[Unique ID], tblMaster[First Name], ""), "")</f>
        <v>Melissa</v>
      </c>
      <c r="C487" t="str">
        <f>IFERROR(_xlfn.XLOOKUP(tabExam[[#This Row],[Unique ID]], tblMaster[Unique ID], tblMaster[Last Name], ""), "")</f>
        <v>Andreade</v>
      </c>
      <c r="D487" t="str">
        <f>IFERROR(_xlfn.XLOOKUP(tabExam[[#This Row],[Unique ID]], tblMaster[Unique ID], tblMaster[Email_Clean], ""), "")</f>
        <v>kelyssama2@gmail.com</v>
      </c>
      <c r="E487" t="str">
        <f>IFERROR(_xlfn.XLOOKUP(tabExam[[#This Row],[Unique ID]], tblMaster[Unique ID], tblMaster[Phone], ""), "")</f>
        <v xml:space="preserve">	(401) 548-1558</v>
      </c>
      <c r="F487" t="str">
        <f>IFERROR(_xlfn.XLOOKUP(tabExam[[#This Row],[Unique ID]], tblMaster[Unique ID], tblMaster[Recruiter], ""), "")</f>
        <v xml:space="preserve">Austin Campos </v>
      </c>
      <c r="G487" t="str">
        <f>IFERROR(_xlfn.XLOOKUP(tabExam[[#This Row],[Unique ID]], tblMaster[Unique ID], tblMaster[Recruitment Cycle], ""), "")</f>
        <v xml:space="preserve">New Submission/ Lead </v>
      </c>
      <c r="H487" t="s">
        <v>8150</v>
      </c>
      <c r="I487">
        <v>2026</v>
      </c>
      <c r="J487" t="s">
        <v>7446</v>
      </c>
      <c r="K487" t="s">
        <v>8153</v>
      </c>
      <c r="L487" t="s">
        <v>8154</v>
      </c>
      <c r="Q487" t="str">
        <f ca="1">IF(tabExam[[#This Row],[Log Date]]="","",TODAY()-tabExam[[#This Row],[Log Date]])</f>
        <v/>
      </c>
      <c r="R487" t="str">
        <f>IF(tabExam[[#This Row],[Log Date]]="","",IF(TRIM(tabExam[[#This Row],[Exam Cycle Stage]])="Asked to be removed from database","NO","YES"))</f>
        <v/>
      </c>
      <c r="S487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8" spans="1:19">
      <c r="A488" t="s">
        <v>7715</v>
      </c>
      <c r="B488" t="str">
        <f>IFERROR(_xlfn.XLOOKUP(tabExam[[#This Row],[Unique ID]], tblMaster[Unique ID], tblMaster[First Name], ""), "")</f>
        <v xml:space="preserve">Israel </v>
      </c>
      <c r="C488" t="str">
        <f>IFERROR(_xlfn.XLOOKUP(tabExam[[#This Row],[Unique ID]], tblMaster[Unique ID], tblMaster[Last Name], ""), "")</f>
        <v>Armand</v>
      </c>
      <c r="D488" t="str">
        <f>IFERROR(_xlfn.XLOOKUP(tabExam[[#This Row],[Unique ID]], tblMaster[Unique ID], tblMaster[Email_Clean], ""), "")</f>
        <v>i.armand@aol.com</v>
      </c>
      <c r="E488" t="str">
        <f>IFERROR(_xlfn.XLOOKUP(tabExam[[#This Row],[Unique ID]], tblMaster[Unique ID], tblMaster[Phone], ""), "")</f>
        <v>617-935-5592</v>
      </c>
      <c r="F488" t="str">
        <f>IFERROR(_xlfn.XLOOKUP(tabExam[[#This Row],[Unique ID]], tblMaster[Unique ID], tblMaster[Recruiter], ""), "")</f>
        <v>Zenon Moses</v>
      </c>
      <c r="G488" t="str">
        <f>IFERROR(_xlfn.XLOOKUP(tabExam[[#This Row],[Unique ID]], tblMaster[Unique ID], tblMaster[Recruitment Cycle], ""), "")</f>
        <v xml:space="preserve">New Submission/ Lead </v>
      </c>
      <c r="H488" t="s">
        <v>8150</v>
      </c>
      <c r="I488">
        <v>2026</v>
      </c>
      <c r="J488" t="s">
        <v>7446</v>
      </c>
      <c r="K488" t="s">
        <v>8153</v>
      </c>
      <c r="L488" t="s">
        <v>8154</v>
      </c>
      <c r="M488" t="s">
        <v>7434</v>
      </c>
      <c r="N488" t="s">
        <v>7435</v>
      </c>
      <c r="O488" s="2">
        <v>46073</v>
      </c>
      <c r="P488" t="s">
        <v>8158</v>
      </c>
      <c r="Q488">
        <f ca="1">IF(tabExam[[#This Row],[Log Date]]="","",TODAY()-tabExam[[#This Row],[Log Date]])</f>
        <v>6</v>
      </c>
      <c r="R488" t="str">
        <f>IF(tabExam[[#This Row],[Log Date]]="","",IF(TRIM(tabExam[[#This Row],[Exam Cycle Stage]])="Asked to be removed from database","NO","YES"))</f>
        <v>YES</v>
      </c>
      <c r="S488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89" spans="1:19">
      <c r="A489" t="s">
        <v>8139</v>
      </c>
      <c r="B489" t="str">
        <f>IFERROR(_xlfn.XLOOKUP(tabExam[[#This Row],[Unique ID]], tblMaster[Unique ID], tblMaster[First Name], ""), "")</f>
        <v>Alexa</v>
      </c>
      <c r="C489" t="str">
        <f>IFERROR(_xlfn.XLOOKUP(tabExam[[#This Row],[Unique ID]], tblMaster[Unique ID], tblMaster[Last Name], ""), "")</f>
        <v>Perrotti</v>
      </c>
      <c r="D489" t="str">
        <f>IFERROR(_xlfn.XLOOKUP(tabExam[[#This Row],[Unique ID]], tblMaster[Unique ID], tblMaster[Email_Clean], ""), "")</f>
        <v>alexacperrotti@gmail.com</v>
      </c>
      <c r="E489" t="str">
        <f>IFERROR(_xlfn.XLOOKUP(tabExam[[#This Row],[Unique ID]], tblMaster[Unique ID], tblMaster[Phone], ""), "")</f>
        <v>(908) 421-9341</v>
      </c>
      <c r="F489" t="str">
        <f>IFERROR(_xlfn.XLOOKUP(tabExam[[#This Row],[Unique ID]], tblMaster[Unique ID], tblMaster[Recruiter], ""), "")</f>
        <v xml:space="preserve">Jevon Brown Simpson </v>
      </c>
      <c r="G489" t="str">
        <f>IFERROR(_xlfn.XLOOKUP(tabExam[[#This Row],[Unique ID]], tblMaster[Unique ID], tblMaster[Recruitment Cycle], ""), "")</f>
        <v xml:space="preserve">New Submission/ Lead </v>
      </c>
      <c r="H489" t="s">
        <v>8150</v>
      </c>
      <c r="I489">
        <v>2026</v>
      </c>
      <c r="J489" t="s">
        <v>7446</v>
      </c>
      <c r="K489" t="s">
        <v>7439</v>
      </c>
      <c r="L489" t="s">
        <v>7491</v>
      </c>
      <c r="M489" t="s">
        <v>8328</v>
      </c>
      <c r="N489" t="s">
        <v>7435</v>
      </c>
      <c r="O489" s="2">
        <v>46073</v>
      </c>
      <c r="P489" t="s">
        <v>8158</v>
      </c>
      <c r="Q489">
        <f ca="1">IF(tabExam[[#This Row],[Log Date]]="","",TODAY()-tabExam[[#This Row],[Log Date]])</f>
        <v>6</v>
      </c>
      <c r="R489" t="str">
        <f>IF(tabExam[[#This Row],[Log Date]]="","",IF(TRIM(tabExam[[#This Row],[Exam Cycle Stage]])="Asked to be removed from database","NO","YES"))</f>
        <v>YES</v>
      </c>
      <c r="S489" t="str">
        <f ca="1"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0" spans="1:19">
      <c r="A490" t="s">
        <v>8140</v>
      </c>
      <c r="B490" t="str">
        <f>IFERROR(_xlfn.XLOOKUP(tabExam[[#This Row],[Unique ID]], tblMaster[Unique ID], tblMaster[First Name], ""), "")</f>
        <v xml:space="preserve">Samantha </v>
      </c>
      <c r="C490" t="str">
        <f>IFERROR(_xlfn.XLOOKUP(tabExam[[#This Row],[Unique ID]], tblMaster[Unique ID], tblMaster[Last Name], ""), "")</f>
        <v xml:space="preserve"> Zaragoza Gonzalez</v>
      </c>
      <c r="D490" t="str">
        <f>IFERROR(_xlfn.XLOOKUP(tabExam[[#This Row],[Unique ID]], tblMaster[Unique ID], tblMaster[Email_Clean], ""), "")</f>
        <v>5039022sam@gmail.com</v>
      </c>
      <c r="E490" t="str">
        <f>IFERROR(_xlfn.XLOOKUP(tabExam[[#This Row],[Unique ID]], tblMaster[Unique ID], tblMaster[Phone], ""), "")</f>
        <v>508-206-0417</v>
      </c>
      <c r="F490" t="str">
        <f>IFERROR(_xlfn.XLOOKUP(tabExam[[#This Row],[Unique ID]], tblMaster[Unique ID], tblMaster[Recruiter], ""), "")</f>
        <v xml:space="preserve">Jevon Brown Simpson </v>
      </c>
      <c r="G490" t="str">
        <f>IFERROR(_xlfn.XLOOKUP(tabExam[[#This Row],[Unique ID]], tblMaster[Unique ID], tblMaster[Recruitment Cycle], ""), "")</f>
        <v xml:space="preserve">Re-Engagment/Post Civil Service Exam </v>
      </c>
      <c r="Q490" t="str">
        <f ca="1">IF(tabExam[[#This Row],[Log Date]]="","",TODAY()-tabExam[[#This Row],[Log Date]])</f>
        <v/>
      </c>
      <c r="R490" t="str">
        <f>IF(tabExam[[#This Row],[Log Date]]="","",IF(TRIM(tabExam[[#This Row],[Exam Cycle Stage]])="Asked to be removed from database","NO","YES"))</f>
        <v/>
      </c>
      <c r="S490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  <row r="491" spans="1:19">
      <c r="A491" t="s">
        <v>8141</v>
      </c>
      <c r="B491" t="str">
        <f>IFERROR(_xlfn.XLOOKUP(tabExam[[#This Row],[Unique ID]], tblMaster[Unique ID], tblMaster[First Name], ""), "")</f>
        <v xml:space="preserve">William </v>
      </c>
      <c r="C491" t="str">
        <f>IFERROR(_xlfn.XLOOKUP(tabExam[[#This Row],[Unique ID]], tblMaster[Unique ID], tblMaster[Last Name], ""), "")</f>
        <v>Kelley</v>
      </c>
      <c r="D491" t="str">
        <f>IFERROR(_xlfn.XLOOKUP(tabExam[[#This Row],[Unique ID]], tblMaster[Unique ID], tblMaster[Email_Clean], ""), "")</f>
        <v>william.luciano.kelley@gmail.com</v>
      </c>
      <c r="E491" t="str">
        <f>IFERROR(_xlfn.XLOOKUP(tabExam[[#This Row],[Unique ID]], tblMaster[Unique ID], tblMaster[Phone], ""), "")</f>
        <v>617 984 9321</v>
      </c>
      <c r="F491" t="str">
        <f>IFERROR(_xlfn.XLOOKUP(tabExam[[#This Row],[Unique ID]], tblMaster[Unique ID], tblMaster[Recruiter], ""), "")</f>
        <v xml:space="preserve">Jevon Brown Simpson </v>
      </c>
      <c r="G491" t="str">
        <f>IFERROR(_xlfn.XLOOKUP(tabExam[[#This Row],[Unique ID]], tblMaster[Unique ID], tblMaster[Recruitment Cycle], ""), "")</f>
        <v xml:space="preserve">Re-Engagment/Post Civil Service Exam </v>
      </c>
      <c r="H491" t="s">
        <v>8164</v>
      </c>
      <c r="I491">
        <v>2025</v>
      </c>
      <c r="Q491" t="str">
        <f ca="1">IF(tabExam[[#This Row],[Log Date]]="","",TODAY()-tabExam[[#This Row],[Log Date]])</f>
        <v/>
      </c>
      <c r="R491" t="str">
        <f>IF(tabExam[[#This Row],[Log Date]]="","",IF(TRIM(tabExam[[#This Row],[Exam Cycle Stage]])="Asked to be removed from database","NO","YES"))</f>
        <v/>
      </c>
      <c r="S491" t="str">
        <f>IF(tabExam[[#This Row],[Eligible_For_Followup]]&lt;&gt;"YES","",
 IF(tabExam[[#This Row],[Days_Since_Log]]&gt;=90,"90+",
 IF(tabExam[[#This Row],[Days_Since_Log]]&gt;=60,"60-89",
 IF(tabExam[[#This Row],[Days_Since_Log]]&gt;=30,"30-59",""))))</f>
        <v/>
      </c>
    </row>
  </sheetData>
  <dataValidations count="2">
    <dataValidation type="date" allowBlank="1" showInputMessage="1" showErrorMessage="1" promptTitle="Ctrl + ;  " prompt="To auto-fill today’s date_x000a_(Format: MM/DD/YYYY)" sqref="O2:O491" xr:uid="{F078B4E0-A6D8-4296-B199-7EC8FDD09FA9}">
      <formula1>45679</formula1>
      <formula2>72707</formula2>
    </dataValidation>
    <dataValidation type="list" allowBlank="1" showInputMessage="1" showErrorMessage="1" sqref="L2:L491" xr:uid="{EAB15E70-FC47-4215-BEFF-AB2B523EAC37}">
      <formula1>OFFSET(ExamOutcomeList, MATCH(K2, ExamCycleStageList, 0)-1, 0, COUNTIF(ExamCycleStageList, K2), 1)</formula1>
    </dataValidation>
  </dataValidations>
  <hyperlinks>
    <hyperlink ref="D371" r:id="rId1" xr:uid="{7CFAD771-5699-4B70-955E-1DFBD71D65E9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0C89C99-3AE9-4D16-9D6E-381FAC4E8435}">
          <x14:formula1>
            <xm:f>Lists!$N$2:$N$13</xm:f>
          </x14:formula1>
          <xm:sqref>H2:H491</xm:sqref>
        </x14:dataValidation>
        <x14:dataValidation type="list" allowBlank="1" showInputMessage="1" showErrorMessage="1" xr:uid="{8374609F-8559-4F4D-9F30-DBF501CF31C7}">
          <x14:formula1>
            <xm:f>Lists!$O$2:$O$27</xm:f>
          </x14:formula1>
          <xm:sqref>I2:I491</xm:sqref>
        </x14:dataValidation>
        <x14:dataValidation type="list" allowBlank="1" showInputMessage="1" showErrorMessage="1" xr:uid="{D95D8B41-7607-4E5C-9F1B-FC37D00770E4}">
          <x14:formula1>
            <xm:f>Lists!$Q$2:$Q$7</xm:f>
          </x14:formula1>
          <xm:sqref>K2:K491</xm:sqref>
        </x14:dataValidation>
        <x14:dataValidation type="list" allowBlank="1" showInputMessage="1" showErrorMessage="1" xr:uid="{D0F6BA74-D491-4C69-A817-01443386AADA}">
          <x14:formula1>
            <xm:f>Lists!$U$2:$U$4</xm:f>
          </x14:formula1>
          <xm:sqref>M2:M491</xm:sqref>
        </x14:dataValidation>
        <x14:dataValidation type="list" allowBlank="1" showInputMessage="1" showErrorMessage="1" xr:uid="{6465D291-8A32-4802-81EF-0B10EB9DBAF0}">
          <x14:formula1>
            <xm:f>Lists!$W$2:$W$9</xm:f>
          </x14:formula1>
          <xm:sqref>P2:P491</xm:sqref>
        </x14:dataValidation>
        <x14:dataValidation type="list" allowBlank="1" showInputMessage="1" showErrorMessage="1" xr:uid="{13BBFA14-806C-49BD-9699-96FDC932E0AF}">
          <x14:formula1>
            <xm:f>Lists!$P$2:$P$5</xm:f>
          </x14:formula1>
          <xm:sqref>J2:J491</xm:sqref>
        </x14:dataValidation>
        <x14:dataValidation type="list" allowBlank="1" showInputMessage="1" showErrorMessage="1" xr:uid="{E7C69B86-4802-4616-BDE2-C81D038D3654}">
          <x14:formula1>
            <xm:f>Lists!$V$2:$V$5</xm:f>
          </x14:formula1>
          <xm:sqref>N2:N491</xm:sqref>
        </x14:dataValidation>
        <x14:dataValidation type="list" allowBlank="1" showInputMessage="1" showErrorMessage="1" xr:uid="{D7F3E4CC-0D38-4BE0-A90A-37D0CEE2EBF2}">
          <x14:formula1>
            <xm:f>Master!$A$2:$A$1048576</xm:f>
          </x14:formula1>
          <xm:sqref>A2:A1048576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46ED-FDF1-4B0D-8888-033081B40CF9}">
  <dimension ref="A1:K206"/>
  <sheetViews>
    <sheetView topLeftCell="A202" zoomScale="130" zoomScaleNormal="130" workbookViewId="0">
      <selection activeCell="C214" sqref="C214"/>
    </sheetView>
  </sheetViews>
  <sheetFormatPr defaultRowHeight="15"/>
  <cols>
    <col min="1" max="1" width="14.42578125" bestFit="1" customWidth="1"/>
    <col min="2" max="2" width="15.28515625" bestFit="1" customWidth="1"/>
    <col min="3" max="3" width="21.140625" customWidth="1"/>
    <col min="4" max="4" width="35.85546875" customWidth="1"/>
    <col min="5" max="5" width="15.7109375" customWidth="1"/>
    <col min="6" max="6" width="29.42578125" customWidth="1"/>
    <col min="7" max="7" width="33.7109375" customWidth="1"/>
    <col min="8" max="8" width="12.28515625" customWidth="1"/>
    <col min="9" max="9" width="10" bestFit="1" customWidth="1"/>
    <col min="10" max="10" width="18.42578125" bestFit="1" customWidth="1"/>
  </cols>
  <sheetData>
    <row r="1" spans="1:11">
      <c r="A1" s="8" t="s">
        <v>0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9</v>
      </c>
      <c r="G1" s="9" t="s">
        <v>10</v>
      </c>
      <c r="H1" s="9" t="s">
        <v>8569</v>
      </c>
      <c r="I1" s="9" t="s">
        <v>8570</v>
      </c>
      <c r="J1" s="9" t="s">
        <v>8571</v>
      </c>
      <c r="K1" s="9" t="s">
        <v>8572</v>
      </c>
    </row>
    <row r="2" spans="1:11">
      <c r="A2" t="s">
        <v>8496</v>
      </c>
      <c r="B2" t="str">
        <f>IFERROR(_xlfn.XLOOKUP(lstEligible[[#This Row],[Unique ID]], tblMaster[Unique ID], tblMaster[First Name], ""), "")</f>
        <v>Nicholas</v>
      </c>
      <c r="C2" t="str">
        <f>IFERROR(_xlfn.XLOOKUP(lstEligible[[#This Row],[Unique ID]], tblMaster[Unique ID], tblMaster[Last Name], ""), "")</f>
        <v>Pirelli</v>
      </c>
      <c r="D2" t="str">
        <f>IFERROR(_xlfn.XLOOKUP(lstEligible[[#This Row],[Unique ID]], tblMaster[Unique ID], tblMaster[Email_Clean], ""), "")</f>
        <v>cole.pirelli@outlook.com</v>
      </c>
      <c r="E2" t="str">
        <f>IFERROR(_xlfn.XLOOKUP(lstEligible[[#This Row],[Unique ID]], tblMaster[Unique ID], tblMaster[Phone], ""), "")</f>
        <v>781-856-9185</v>
      </c>
      <c r="F2">
        <f>IFERROR(_xlfn.XLOOKUP(lstEligible[[#This Row],[Unique ID]], tblMaster[Unique ID], tblMaster[Recruiter], ""), "")</f>
        <v>0</v>
      </c>
      <c r="G2" t="str">
        <f>IFERROR(_xlfn.XLOOKUP(lstEligible[[#This Row],[Unique ID]], tblMaster[Unique ID], tblMaster[Recruitment Cycle], ""), "")</f>
        <v xml:space="preserve">Re-Engagment/Post Civil Service Exam </v>
      </c>
      <c r="H2" s="3"/>
      <c r="I2" s="3"/>
    </row>
    <row r="3" spans="1:11">
      <c r="A3" t="s">
        <v>8093</v>
      </c>
      <c r="B3" t="str">
        <f>IFERROR(_xlfn.XLOOKUP(lstEligible[[#This Row],[Unique ID]], tblMaster[Unique ID], tblMaster[First Name], ""), "")</f>
        <v xml:space="preserve">Josue </v>
      </c>
      <c r="C3" t="str">
        <f>IFERROR(_xlfn.XLOOKUP(lstEligible[[#This Row],[Unique ID]], tblMaster[Unique ID], tblMaster[Last Name], ""), "")</f>
        <v>Rodriguez Osoria</v>
      </c>
      <c r="D3" t="str">
        <f>IFERROR(_xlfn.XLOOKUP(lstEligible[[#This Row],[Unique ID]], tblMaster[Unique ID], tblMaster[Email_Clean], ""), "")</f>
        <v>josuerodriguezosoria@gmail.com</v>
      </c>
      <c r="E3" t="str">
        <f>IFERROR(_xlfn.XLOOKUP(lstEligible[[#This Row],[Unique ID]], tblMaster[Unique ID], tblMaster[Phone], ""), "")</f>
        <v>(978) 228-9861</v>
      </c>
      <c r="F3">
        <f>IFERROR(_xlfn.XLOOKUP(lstEligible[[#This Row],[Unique ID]], tblMaster[Unique ID], tblMaster[Recruiter], ""), "")</f>
        <v>0</v>
      </c>
      <c r="G3" t="str">
        <f>IFERROR(_xlfn.XLOOKUP(lstEligible[[#This Row],[Unique ID]], tblMaster[Unique ID], tblMaster[Recruitment Cycle], ""), "")</f>
        <v xml:space="preserve">Re-Engagment </v>
      </c>
      <c r="H3" s="3"/>
      <c r="I3" s="3"/>
    </row>
    <row r="4" spans="1:11">
      <c r="A4" t="s">
        <v>8020</v>
      </c>
      <c r="B4" t="str">
        <f>IFERROR(_xlfn.XLOOKUP(lstEligible[[#This Row],[Unique ID]], tblMaster[Unique ID], tblMaster[First Name], ""), "")</f>
        <v>Emmanuel</v>
      </c>
      <c r="C4" t="str">
        <f>IFERROR(_xlfn.XLOOKUP(lstEligible[[#This Row],[Unique ID]], tblMaster[Unique ID], tblMaster[Last Name], ""), "")</f>
        <v>Boakye</v>
      </c>
      <c r="D4" t="str">
        <f>IFERROR(_xlfn.XLOOKUP(lstEligible[[#This Row],[Unique ID]], tblMaster[Unique ID], tblMaster[Email_Clean], ""), "")</f>
        <v>lifeisgoodasap@gmail.com</v>
      </c>
      <c r="E4" t="str">
        <f>IFERROR(_xlfn.XLOOKUP(lstEligible[[#This Row],[Unique ID]], tblMaster[Unique ID], tblMaster[Phone], ""), "")</f>
        <v>781-475-0924</v>
      </c>
      <c r="F4" t="str">
        <f>IFERROR(_xlfn.XLOOKUP(lstEligible[[#This Row],[Unique ID]], tblMaster[Unique ID], tblMaster[Recruiter], ""), "")</f>
        <v xml:space="preserve">Jevon Brown Simpson </v>
      </c>
      <c r="G4" t="str">
        <f>IFERROR(_xlfn.XLOOKUP(lstEligible[[#This Row],[Unique ID]], tblMaster[Unique ID], tblMaster[Recruitment Cycle], ""), "")</f>
        <v xml:space="preserve">Re-Engagment/Post Civil Service Exam </v>
      </c>
      <c r="H4" s="3"/>
      <c r="I4" s="3"/>
    </row>
    <row r="5" spans="1:11">
      <c r="A5" t="s">
        <v>8359</v>
      </c>
      <c r="B5" t="str">
        <f>IFERROR(_xlfn.XLOOKUP(lstEligible[[#This Row],[Unique ID]], tblMaster[Unique ID], tblMaster[First Name], ""), "")</f>
        <v xml:space="preserve">Jesus </v>
      </c>
      <c r="C5" t="str">
        <f>IFERROR(_xlfn.XLOOKUP(lstEligible[[#This Row],[Unique ID]], tblMaster[Unique ID], tblMaster[Last Name], ""), "")</f>
        <v>Moreta</v>
      </c>
      <c r="D5" t="str">
        <f>IFERROR(_xlfn.XLOOKUP(lstEligible[[#This Row],[Unique ID]], tblMaster[Unique ID], tblMaster[Email_Clean], ""), "")</f>
        <v>jesus.r.moreta@gmail.com</v>
      </c>
      <c r="E5" t="str">
        <f>IFERROR(_xlfn.XLOOKUP(lstEligible[[#This Row],[Unique ID]], tblMaster[Unique ID], tblMaster[Phone], ""), "")</f>
        <v>931-278-3318</v>
      </c>
      <c r="F5" t="str">
        <f>IFERROR(_xlfn.XLOOKUP(lstEligible[[#This Row],[Unique ID]], tblMaster[Unique ID], tblMaster[Recruiter], ""), "")</f>
        <v xml:space="preserve">Christopher Servello </v>
      </c>
      <c r="G5" t="str">
        <f>IFERROR(_xlfn.XLOOKUP(lstEligible[[#This Row],[Unique ID]], tblMaster[Unique ID], tblMaster[Recruitment Cycle], ""), "")</f>
        <v xml:space="preserve">Re-Engagment/Post Civil Service Exam </v>
      </c>
      <c r="H5" s="3"/>
      <c r="I5" s="3"/>
    </row>
    <row r="6" spans="1:11">
      <c r="A6" t="s">
        <v>8361</v>
      </c>
      <c r="B6" t="str">
        <f>IFERROR(_xlfn.XLOOKUP(lstEligible[[#This Row],[Unique ID]], tblMaster[Unique ID], tblMaster[First Name], ""), "")</f>
        <v xml:space="preserve">Genesis </v>
      </c>
      <c r="C6" t="str">
        <f>IFERROR(_xlfn.XLOOKUP(lstEligible[[#This Row],[Unique ID]], tblMaster[Unique ID], tblMaster[Last Name], ""), "")</f>
        <v xml:space="preserve"> Malave </v>
      </c>
      <c r="D6" t="str">
        <f>IFERROR(_xlfn.XLOOKUP(lstEligible[[#This Row],[Unique ID]], tblMaster[Unique ID], tblMaster[Email_Clean], ""), "")</f>
        <v>genesis.g.12@hotmail.com</v>
      </c>
      <c r="E6" t="str">
        <f>IFERROR(_xlfn.XLOOKUP(lstEligible[[#This Row],[Unique ID]], tblMaster[Unique ID], tblMaster[Phone], ""), "")</f>
        <v xml:space="preserve">(774) 764-9406 </v>
      </c>
      <c r="F6">
        <f>IFERROR(_xlfn.XLOOKUP(lstEligible[[#This Row],[Unique ID]], tblMaster[Unique ID], tblMaster[Recruiter], ""), "")</f>
        <v>0</v>
      </c>
      <c r="G6" t="str">
        <f>IFERROR(_xlfn.XLOOKUP(lstEligible[[#This Row],[Unique ID]], tblMaster[Unique ID], tblMaster[Recruitment Cycle], ""), "")</f>
        <v xml:space="preserve">Re-Engagment/Post Civil Service Exam </v>
      </c>
      <c r="H6" s="3"/>
      <c r="I6" s="3"/>
    </row>
    <row r="7" spans="1:11">
      <c r="A7" t="s">
        <v>8149</v>
      </c>
      <c r="B7" t="str">
        <f>IFERROR(_xlfn.XLOOKUP(lstEligible[[#This Row],[Unique ID]], tblMaster[Unique ID], tblMaster[First Name], ""), "")</f>
        <v xml:space="preserve">Desmond </v>
      </c>
      <c r="C7" t="str">
        <f>IFERROR(_xlfn.XLOOKUP(lstEligible[[#This Row],[Unique ID]], tblMaster[Unique ID], tblMaster[Last Name], ""), "")</f>
        <v>McPherson</v>
      </c>
      <c r="D7" t="str">
        <f>IFERROR(_xlfn.XLOOKUP(lstEligible[[#This Row],[Unique ID]], tblMaster[Unique ID], tblMaster[Email_Clean], ""), "")</f>
        <v>desmondmcpherson88@gmail.com</v>
      </c>
      <c r="E7" t="str">
        <f>IFERROR(_xlfn.XLOOKUP(lstEligible[[#This Row],[Unique ID]], tblMaster[Unique ID], tblMaster[Phone], ""), "")</f>
        <v xml:space="preserve">(857) 246-5373    </v>
      </c>
      <c r="F7" t="str">
        <f>IFERROR(_xlfn.XLOOKUP(lstEligible[[#This Row],[Unique ID]], tblMaster[Unique ID], tblMaster[Recruiter], ""), "")</f>
        <v>Zenon Moses</v>
      </c>
      <c r="G7" t="str">
        <f>IFERROR(_xlfn.XLOOKUP(lstEligible[[#This Row],[Unique ID]], tblMaster[Unique ID], tblMaster[Recruitment Cycle], ""), "")</f>
        <v xml:space="preserve">New Submission/ Lead </v>
      </c>
      <c r="H7" s="3"/>
      <c r="I7" s="3"/>
    </row>
    <row r="8" spans="1:11">
      <c r="A8" t="s">
        <v>7867</v>
      </c>
      <c r="B8" t="str">
        <f>IFERROR(_xlfn.XLOOKUP(lstEligible[[#This Row],[Unique ID]], tblMaster[Unique ID], tblMaster[First Name], ""), "")</f>
        <v xml:space="preserve">Samantha </v>
      </c>
      <c r="C8" t="str">
        <f>IFERROR(_xlfn.XLOOKUP(lstEligible[[#This Row],[Unique ID]], tblMaster[Unique ID], tblMaster[Last Name], ""), "")</f>
        <v xml:space="preserve">Dumais </v>
      </c>
      <c r="D8" t="str">
        <f>IFERROR(_xlfn.XLOOKUP(lstEligible[[#This Row],[Unique ID]], tblMaster[Unique ID], tblMaster[Email_Clean], ""), "")</f>
        <v>samantha.dumais1225@gmail.com</v>
      </c>
      <c r="E8" t="str">
        <f>IFERROR(_xlfn.XLOOKUP(lstEligible[[#This Row],[Unique ID]], tblMaster[Unique ID], tblMaster[Phone], ""), "")</f>
        <v xml:space="preserve">(774) 275-9376 </v>
      </c>
      <c r="F8" t="str">
        <f>IFERROR(_xlfn.XLOOKUP(lstEligible[[#This Row],[Unique ID]], tblMaster[Unique ID], tblMaster[Recruiter], ""), "")</f>
        <v xml:space="preserve">Enrique Ortiz </v>
      </c>
      <c r="G8" t="str">
        <f>IFERROR(_xlfn.XLOOKUP(lstEligible[[#This Row],[Unique ID]], tblMaster[Unique ID], tblMaster[Recruitment Cycle], ""), "")</f>
        <v xml:space="preserve">Re-Engagment/Post Civil Service Exam </v>
      </c>
      <c r="H8" s="3"/>
      <c r="I8" s="3"/>
    </row>
    <row r="9" spans="1:11">
      <c r="A9" t="s">
        <v>8362</v>
      </c>
      <c r="B9" t="str">
        <f>IFERROR(_xlfn.XLOOKUP(lstEligible[[#This Row],[Unique ID]], tblMaster[Unique ID], tblMaster[First Name], ""), "")</f>
        <v>Tammy</v>
      </c>
      <c r="C9" t="str">
        <f>IFERROR(_xlfn.XLOOKUP(lstEligible[[#This Row],[Unique ID]], tblMaster[Unique ID], tblMaster[Last Name], ""), "")</f>
        <v xml:space="preserve"> Lawrence </v>
      </c>
      <c r="D9" t="str">
        <f>IFERROR(_xlfn.XLOOKUP(lstEligible[[#This Row],[Unique ID]], tblMaster[Unique ID], tblMaster[Email_Clean], ""), "")</f>
        <v>tammy.lawrence9@icloud.com</v>
      </c>
      <c r="E9" t="str">
        <f>IFERROR(_xlfn.XLOOKUP(lstEligible[[#This Row],[Unique ID]], tblMaster[Unique ID], tblMaster[Phone], ""), "")</f>
        <v xml:space="preserve">(617) 905-5720 </v>
      </c>
      <c r="F9">
        <f>IFERROR(_xlfn.XLOOKUP(lstEligible[[#This Row],[Unique ID]], tblMaster[Unique ID], tblMaster[Recruiter], ""), "")</f>
        <v>0</v>
      </c>
      <c r="G9" t="str">
        <f>IFERROR(_xlfn.XLOOKUP(lstEligible[[#This Row],[Unique ID]], tblMaster[Unique ID], tblMaster[Recruitment Cycle], ""), "")</f>
        <v xml:space="preserve">Re-Engagment/Post Civil Service Exam </v>
      </c>
      <c r="H9" s="3"/>
      <c r="I9" s="3"/>
    </row>
    <row r="10" spans="1:11">
      <c r="A10" t="s">
        <v>8363</v>
      </c>
      <c r="B10" t="str">
        <f>IFERROR(_xlfn.XLOOKUP(lstEligible[[#This Row],[Unique ID]], tblMaster[Unique ID], tblMaster[First Name], ""), "")</f>
        <v xml:space="preserve">Kaylee </v>
      </c>
      <c r="C10" t="str">
        <f>IFERROR(_xlfn.XLOOKUP(lstEligible[[#This Row],[Unique ID]], tblMaster[Unique ID], tblMaster[Last Name], ""), "")</f>
        <v xml:space="preserve">Lebron </v>
      </c>
      <c r="D10" t="str">
        <f>IFERROR(_xlfn.XLOOKUP(lstEligible[[#This Row],[Unique ID]], tblMaster[Unique ID], tblMaster[Email_Clean], ""), "")</f>
        <v>kayleelebron000@gmail.com</v>
      </c>
      <c r="E10" t="str">
        <f>IFERROR(_xlfn.XLOOKUP(lstEligible[[#This Row],[Unique ID]], tblMaster[Unique ID], tblMaster[Phone], ""), "")</f>
        <v>774) 502-8020</v>
      </c>
      <c r="F10" t="str">
        <f>IFERROR(_xlfn.XLOOKUP(lstEligible[[#This Row],[Unique ID]], tblMaster[Unique ID], tblMaster[Recruiter], ""), "")</f>
        <v xml:space="preserve">Enrique Ortiz </v>
      </c>
      <c r="G10" t="str">
        <f>IFERROR(_xlfn.XLOOKUP(lstEligible[[#This Row],[Unique ID]], tblMaster[Unique ID], tblMaster[Recruitment Cycle], ""), "")</f>
        <v xml:space="preserve">Re-Engagment/Post Civil Service Exam </v>
      </c>
      <c r="H10" s="3"/>
      <c r="I10" s="3"/>
    </row>
    <row r="11" spans="1:11">
      <c r="A11" t="s">
        <v>8364</v>
      </c>
      <c r="B11" t="str">
        <f>IFERROR(_xlfn.XLOOKUP(lstEligible[[#This Row],[Unique ID]], tblMaster[Unique ID], tblMaster[First Name], ""), "")</f>
        <v xml:space="preserve">Javier </v>
      </c>
      <c r="C11" t="str">
        <f>IFERROR(_xlfn.XLOOKUP(lstEligible[[#This Row],[Unique ID]], tblMaster[Unique ID], tblMaster[Last Name], ""), "")</f>
        <v xml:space="preserve"> Cintron</v>
      </c>
      <c r="D11" t="str">
        <f>IFERROR(_xlfn.XLOOKUP(lstEligible[[#This Row],[Unique ID]], tblMaster[Unique ID], tblMaster[Email_Clean], ""), "")</f>
        <v>javierc.rtt@gmail.com</v>
      </c>
      <c r="E11" t="str">
        <f>IFERROR(_xlfn.XLOOKUP(lstEligible[[#This Row],[Unique ID]], tblMaster[Unique ID], tblMaster[Phone], ""), "")</f>
        <v>413-388-4384</v>
      </c>
      <c r="F11">
        <f>IFERROR(_xlfn.XLOOKUP(lstEligible[[#This Row],[Unique ID]], tblMaster[Unique ID], tblMaster[Recruiter], ""), "")</f>
        <v>0</v>
      </c>
      <c r="G11" t="str">
        <f>IFERROR(_xlfn.XLOOKUP(lstEligible[[#This Row],[Unique ID]], tblMaster[Unique ID], tblMaster[Recruitment Cycle], ""), "")</f>
        <v xml:space="preserve">Re-Engagment/Post Civil Service Exam </v>
      </c>
      <c r="H11" s="3"/>
      <c r="I11" s="3"/>
    </row>
    <row r="12" spans="1:11">
      <c r="A12" t="s">
        <v>8365</v>
      </c>
      <c r="B12" t="str">
        <f>IFERROR(_xlfn.XLOOKUP(lstEligible[[#This Row],[Unique ID]], tblMaster[Unique ID], tblMaster[First Name], ""), "")</f>
        <v xml:space="preserve">Stephanie </v>
      </c>
      <c r="C12" t="str">
        <f>IFERROR(_xlfn.XLOOKUP(lstEligible[[#This Row],[Unique ID]], tblMaster[Unique ID], tblMaster[Last Name], ""), "")</f>
        <v xml:space="preserve"> perez-ives </v>
      </c>
      <c r="D12" t="str">
        <f>IFERROR(_xlfn.XLOOKUP(lstEligible[[#This Row],[Unique ID]], tblMaster[Unique ID], tblMaster[Email_Clean], ""), "")</f>
        <v>stephanieperez0613@gmail.com</v>
      </c>
      <c r="E12" t="str">
        <f>IFERROR(_xlfn.XLOOKUP(lstEligible[[#This Row],[Unique ID]], tblMaster[Unique ID], tblMaster[Phone], ""), "")</f>
        <v>857-398-9902</v>
      </c>
      <c r="F12">
        <f>IFERROR(_xlfn.XLOOKUP(lstEligible[[#This Row],[Unique ID]], tblMaster[Unique ID], tblMaster[Recruiter], ""), "")</f>
        <v>0</v>
      </c>
      <c r="G12" t="str">
        <f>IFERROR(_xlfn.XLOOKUP(lstEligible[[#This Row],[Unique ID]], tblMaster[Unique ID], tblMaster[Recruitment Cycle], ""), "")</f>
        <v xml:space="preserve">Re-Engagment/Post Civil Service Exam </v>
      </c>
      <c r="H12" s="3"/>
      <c r="I12" s="3"/>
    </row>
    <row r="13" spans="1:11">
      <c r="A13" t="s">
        <v>8367</v>
      </c>
      <c r="B13" t="str">
        <f>IFERROR(_xlfn.XLOOKUP(lstEligible[[#This Row],[Unique ID]], tblMaster[Unique ID], tblMaster[First Name], ""), "")</f>
        <v>Seth</v>
      </c>
      <c r="C13" t="str">
        <f>IFERROR(_xlfn.XLOOKUP(lstEligible[[#This Row],[Unique ID]], tblMaster[Unique ID], tblMaster[Last Name], ""), "")</f>
        <v>Finnessey</v>
      </c>
      <c r="D13" t="str">
        <f>IFERROR(_xlfn.XLOOKUP(lstEligible[[#This Row],[Unique ID]], tblMaster[Unique ID], tblMaster[Email_Clean], ""), "")</f>
        <v>sethfinnessey@gmail.com</v>
      </c>
      <c r="E13" t="str">
        <f>IFERROR(_xlfn.XLOOKUP(lstEligible[[#This Row],[Unique ID]], tblMaster[Unique ID], tblMaster[Phone], ""), "")</f>
        <v>(413) 362-2560</v>
      </c>
      <c r="F13" t="str">
        <f>IFERROR(_xlfn.XLOOKUP(lstEligible[[#This Row],[Unique ID]], tblMaster[Unique ID], tblMaster[Recruiter], ""), "")</f>
        <v>Zenon Moses</v>
      </c>
      <c r="G13" t="str">
        <f>IFERROR(_xlfn.XLOOKUP(lstEligible[[#This Row],[Unique ID]], tblMaster[Unique ID], tblMaster[Recruitment Cycle], ""), "")</f>
        <v xml:space="preserve">Re-Engagment/Post Civil Service Exam </v>
      </c>
      <c r="H13" s="3"/>
      <c r="I13" s="3"/>
    </row>
    <row r="14" spans="1:11">
      <c r="A14" t="s">
        <v>8368</v>
      </c>
      <c r="B14" t="str">
        <f>IFERROR(_xlfn.XLOOKUP(lstEligible[[#This Row],[Unique ID]], tblMaster[Unique ID], tblMaster[First Name], ""), "")</f>
        <v xml:space="preserve">Benjamin </v>
      </c>
      <c r="C14" t="str">
        <f>IFERROR(_xlfn.XLOOKUP(lstEligible[[#This Row],[Unique ID]], tblMaster[Unique ID], tblMaster[Last Name], ""), "")</f>
        <v xml:space="preserve">Joyce </v>
      </c>
      <c r="D14" t="str">
        <f>IFERROR(_xlfn.XLOOKUP(lstEligible[[#This Row],[Unique ID]], tblMaster[Unique ID], tblMaster[Email_Clean], ""), "")</f>
        <v>benjoyce34@gmail.com</v>
      </c>
      <c r="E14" t="str">
        <f>IFERROR(_xlfn.XLOOKUP(lstEligible[[#This Row],[Unique ID]], tblMaster[Unique ID], tblMaster[Phone], ""), "")</f>
        <v xml:space="preserve">774-265-4184 </v>
      </c>
      <c r="F14" t="str">
        <f>IFERROR(_xlfn.XLOOKUP(lstEligible[[#This Row],[Unique ID]], tblMaster[Unique ID], tblMaster[Recruiter], ""), "")</f>
        <v>Zenon Moses</v>
      </c>
      <c r="G14" t="str">
        <f>IFERROR(_xlfn.XLOOKUP(lstEligible[[#This Row],[Unique ID]], tblMaster[Unique ID], tblMaster[Recruitment Cycle], ""), "")</f>
        <v xml:space="preserve">Re-Engagment/Post Civil Service Exam </v>
      </c>
      <c r="H14" s="3"/>
      <c r="I14" s="3"/>
    </row>
    <row r="15" spans="1:11">
      <c r="A15" t="s">
        <v>8369</v>
      </c>
      <c r="B15" t="str">
        <f>IFERROR(_xlfn.XLOOKUP(lstEligible[[#This Row],[Unique ID]], tblMaster[Unique ID], tblMaster[First Name], ""), "")</f>
        <v xml:space="preserve">Dahlas </v>
      </c>
      <c r="C15" t="str">
        <f>IFERROR(_xlfn.XLOOKUP(lstEligible[[#This Row],[Unique ID]], tblMaster[Unique ID], tblMaster[Last Name], ""), "")</f>
        <v xml:space="preserve"> Forgie </v>
      </c>
      <c r="D15" t="str">
        <f>IFERROR(_xlfn.XLOOKUP(lstEligible[[#This Row],[Unique ID]], tblMaster[Unique ID], tblMaster[Email_Clean], ""), "")</f>
        <v>dcforgie@outlook.com</v>
      </c>
      <c r="E15" t="str">
        <f>IFERROR(_xlfn.XLOOKUP(lstEligible[[#This Row],[Unique ID]], tblMaster[Unique ID], tblMaster[Phone], ""), "")</f>
        <v xml:space="preserve">(413) 372-2311 </v>
      </c>
      <c r="F15">
        <f>IFERROR(_xlfn.XLOOKUP(lstEligible[[#This Row],[Unique ID]], tblMaster[Unique ID], tblMaster[Recruiter], ""), "")</f>
        <v>0</v>
      </c>
      <c r="G15" t="str">
        <f>IFERROR(_xlfn.XLOOKUP(lstEligible[[#This Row],[Unique ID]], tblMaster[Unique ID], tblMaster[Recruitment Cycle], ""), "")</f>
        <v xml:space="preserve">Re-Engagment/Post Civil Service Exam </v>
      </c>
      <c r="H15" s="3"/>
      <c r="I15" s="3"/>
    </row>
    <row r="16" spans="1:11">
      <c r="A16" t="s">
        <v>8370</v>
      </c>
      <c r="B16" t="str">
        <f>IFERROR(_xlfn.XLOOKUP(lstEligible[[#This Row],[Unique ID]], tblMaster[Unique ID], tblMaster[First Name], ""), "")</f>
        <v xml:space="preserve">Vanessa </v>
      </c>
      <c r="C16" t="str">
        <f>IFERROR(_xlfn.XLOOKUP(lstEligible[[#This Row],[Unique ID]], tblMaster[Unique ID], tblMaster[Last Name], ""), "")</f>
        <v xml:space="preserve">Maldonado </v>
      </c>
      <c r="D16" t="str">
        <f>IFERROR(_xlfn.XLOOKUP(lstEligible[[#This Row],[Unique ID]], tblMaster[Unique ID], tblMaster[Email_Clean], ""), "")</f>
        <v>maldonado.v1895@gmail.com</v>
      </c>
      <c r="E16" t="str">
        <f>IFERROR(_xlfn.XLOOKUP(lstEligible[[#This Row],[Unique ID]], tblMaster[Unique ID], tblMaster[Phone], ""), "")</f>
        <v xml:space="preserve">(781) 632-8604 </v>
      </c>
      <c r="F16" t="str">
        <f>IFERROR(_xlfn.XLOOKUP(lstEligible[[#This Row],[Unique ID]], tblMaster[Unique ID], tblMaster[Recruiter], ""), "")</f>
        <v>Zenon Moses</v>
      </c>
      <c r="G16" t="str">
        <f>IFERROR(_xlfn.XLOOKUP(lstEligible[[#This Row],[Unique ID]], tblMaster[Unique ID], tblMaster[Recruitment Cycle], ""), "")</f>
        <v xml:space="preserve">Re-Engagment/Post Civil Service Exam </v>
      </c>
      <c r="H16" s="3"/>
      <c r="I16" s="3"/>
    </row>
    <row r="17" spans="1:9">
      <c r="A17" t="s">
        <v>8371</v>
      </c>
      <c r="B17" t="str">
        <f>IFERROR(_xlfn.XLOOKUP(lstEligible[[#This Row],[Unique ID]], tblMaster[Unique ID], tblMaster[First Name], ""), "")</f>
        <v xml:space="preserve">Landon </v>
      </c>
      <c r="C17" t="str">
        <f>IFERROR(_xlfn.XLOOKUP(lstEligible[[#This Row],[Unique ID]], tblMaster[Unique ID], tblMaster[Last Name], ""), "")</f>
        <v xml:space="preserve">Rousseau </v>
      </c>
      <c r="D17" t="str">
        <f>IFERROR(_xlfn.XLOOKUP(lstEligible[[#This Row],[Unique ID]], tblMaster[Unique ID], tblMaster[Email_Clean], ""), "")</f>
        <v>landonm0821@gmail.com</v>
      </c>
      <c r="E17" t="str">
        <f>IFERROR(_xlfn.XLOOKUP(lstEligible[[#This Row],[Unique ID]], tblMaster[Unique ID], tblMaster[Phone], ""), "")</f>
        <v>774-287-6770</v>
      </c>
      <c r="F17" t="str">
        <f>IFERROR(_xlfn.XLOOKUP(lstEligible[[#This Row],[Unique ID]], tblMaster[Unique ID], tblMaster[Recruiter], ""), "")</f>
        <v>Zenon Moses</v>
      </c>
      <c r="G17" t="str">
        <f>IFERROR(_xlfn.XLOOKUP(lstEligible[[#This Row],[Unique ID]], tblMaster[Unique ID], tblMaster[Recruitment Cycle], ""), "")</f>
        <v xml:space="preserve">Re-Engagment/Post Civil Service Exam </v>
      </c>
      <c r="H17" s="3"/>
      <c r="I17" s="3"/>
    </row>
    <row r="18" spans="1:9">
      <c r="A18" t="s">
        <v>8372</v>
      </c>
      <c r="B18" t="str">
        <f>IFERROR(_xlfn.XLOOKUP(lstEligible[[#This Row],[Unique ID]], tblMaster[Unique ID], tblMaster[First Name], ""), "")</f>
        <v>Oluwasey</v>
      </c>
      <c r="C18" t="str">
        <f>IFERROR(_xlfn.XLOOKUP(lstEligible[[#This Row],[Unique ID]], tblMaster[Unique ID], tblMaster[Last Name], ""), "")</f>
        <v>Ojoko</v>
      </c>
      <c r="D18" t="str">
        <f>IFERROR(_xlfn.XLOOKUP(lstEligible[[#This Row],[Unique ID]], tblMaster[Unique ID], tblMaster[Email_Clean], ""), "")</f>
        <v>oluwaseyiojoko@gmail.com</v>
      </c>
      <c r="E18" t="str">
        <f>IFERROR(_xlfn.XLOOKUP(lstEligible[[#This Row],[Unique ID]], tblMaster[Unique ID], tblMaster[Phone], ""), "")</f>
        <v>401-359-2526</v>
      </c>
      <c r="F18" t="str">
        <f>IFERROR(_xlfn.XLOOKUP(lstEligible[[#This Row],[Unique ID]], tblMaster[Unique ID], tblMaster[Recruiter], ""), "")</f>
        <v xml:space="preserve">Tom Clark </v>
      </c>
      <c r="G18" t="str">
        <f>IFERROR(_xlfn.XLOOKUP(lstEligible[[#This Row],[Unique ID]], tblMaster[Unique ID], tblMaster[Recruitment Cycle], ""), "")</f>
        <v xml:space="preserve">Re-Engagment/Post Civil Service Exam </v>
      </c>
      <c r="H18" s="3"/>
      <c r="I18" s="3"/>
    </row>
    <row r="19" spans="1:9">
      <c r="A19" t="s">
        <v>8373</v>
      </c>
      <c r="B19" t="str">
        <f>IFERROR(_xlfn.XLOOKUP(lstEligible[[#This Row],[Unique ID]], tblMaster[Unique ID], tblMaster[First Name], ""), "")</f>
        <v xml:space="preserve">Anilton </v>
      </c>
      <c r="C19" t="str">
        <f>IFERROR(_xlfn.XLOOKUP(lstEligible[[#This Row],[Unique ID]], tblMaster[Unique ID], tblMaster[Last Name], ""), "")</f>
        <v xml:space="preserve">Fernandes </v>
      </c>
      <c r="D19" t="str">
        <f>IFERROR(_xlfn.XLOOKUP(lstEligible[[#This Row],[Unique ID]], tblMaster[Unique ID], tblMaster[Email_Clean], ""), "")</f>
        <v>aniltonjorge1993@hotmail.com</v>
      </c>
      <c r="E19" t="str">
        <f>IFERROR(_xlfn.XLOOKUP(lstEligible[[#This Row],[Unique ID]], tblMaster[Unique ID], tblMaster[Phone], ""), "")</f>
        <v xml:space="preserve">774-360-7791 </v>
      </c>
      <c r="F19" t="str">
        <f>IFERROR(_xlfn.XLOOKUP(lstEligible[[#This Row],[Unique ID]], tblMaster[Unique ID], tblMaster[Recruiter], ""), "")</f>
        <v>Zenon Moses</v>
      </c>
      <c r="G19" t="str">
        <f>IFERROR(_xlfn.XLOOKUP(lstEligible[[#This Row],[Unique ID]], tblMaster[Unique ID], tblMaster[Recruitment Cycle], ""), "")</f>
        <v xml:space="preserve">Re-Engagment/Post Civil Service Exam </v>
      </c>
      <c r="H19" s="3"/>
      <c r="I19" s="3"/>
    </row>
    <row r="20" spans="1:9">
      <c r="A20" t="s">
        <v>8374</v>
      </c>
      <c r="B20" t="str">
        <f>IFERROR(_xlfn.XLOOKUP(lstEligible[[#This Row],[Unique ID]], tblMaster[Unique ID], tblMaster[First Name], ""), "")</f>
        <v xml:space="preserve">Justice </v>
      </c>
      <c r="C20" t="str">
        <f>IFERROR(_xlfn.XLOOKUP(lstEligible[[#This Row],[Unique ID]], tblMaster[Unique ID], tblMaster[Last Name], ""), "")</f>
        <v xml:space="preserve">Osemwegie </v>
      </c>
      <c r="D20" t="str">
        <f>IFERROR(_xlfn.XLOOKUP(lstEligible[[#This Row],[Unique ID]], tblMaster[Unique ID], tblMaster[Email_Clean], ""), "")</f>
        <v>justice4ad@yahoo.com</v>
      </c>
      <c r="E20" t="str">
        <f>IFERROR(_xlfn.XLOOKUP(lstEligible[[#This Row],[Unique ID]], tblMaster[Unique ID], tblMaster[Phone], ""), "")</f>
        <v xml:space="preserve">(508) 665-9387 </v>
      </c>
      <c r="F20" t="str">
        <f>IFERROR(_xlfn.XLOOKUP(lstEligible[[#This Row],[Unique ID]], tblMaster[Unique ID], tblMaster[Recruiter], ""), "")</f>
        <v>Zenon Moses</v>
      </c>
      <c r="G20" t="str">
        <f>IFERROR(_xlfn.XLOOKUP(lstEligible[[#This Row],[Unique ID]], tblMaster[Unique ID], tblMaster[Recruitment Cycle], ""), "")</f>
        <v xml:space="preserve">Re-Engagment/Post Civil Service Exam </v>
      </c>
      <c r="H20" s="3"/>
      <c r="I20" s="3"/>
    </row>
    <row r="21" spans="1:9">
      <c r="A21" t="s">
        <v>8375</v>
      </c>
      <c r="B21" t="str">
        <f>IFERROR(_xlfn.XLOOKUP(lstEligible[[#This Row],[Unique ID]], tblMaster[Unique ID], tblMaster[First Name], ""), "")</f>
        <v xml:space="preserve">Renne </v>
      </c>
      <c r="C21" t="str">
        <f>IFERROR(_xlfn.XLOOKUP(lstEligible[[#This Row],[Unique ID]], tblMaster[Unique ID], tblMaster[Last Name], ""), "")</f>
        <v xml:space="preserve">Hariston </v>
      </c>
      <c r="D21" t="str">
        <f>IFERROR(_xlfn.XLOOKUP(lstEligible[[#This Row],[Unique ID]], tblMaster[Unique ID], tblMaster[Email_Clean], ""), "")</f>
        <v>rhairston1130@gmail.com</v>
      </c>
      <c r="E21" t="str">
        <f>IFERROR(_xlfn.XLOOKUP(lstEligible[[#This Row],[Unique ID]], tblMaster[Unique ID], tblMaster[Phone], ""), "")</f>
        <v>617-571-4162</v>
      </c>
      <c r="F21" t="str">
        <f>IFERROR(_xlfn.XLOOKUP(lstEligible[[#This Row],[Unique ID]], tblMaster[Unique ID], tblMaster[Recruiter], ""), "")</f>
        <v xml:space="preserve">Tom Clark </v>
      </c>
      <c r="G21" t="str">
        <f>IFERROR(_xlfn.XLOOKUP(lstEligible[[#This Row],[Unique ID]], tblMaster[Unique ID], tblMaster[Recruitment Cycle], ""), "")</f>
        <v xml:space="preserve">Re-Engagment/Post Civil Service Exam </v>
      </c>
      <c r="H21" s="3"/>
      <c r="I21" s="3"/>
    </row>
    <row r="22" spans="1:9">
      <c r="A22" t="s">
        <v>8376</v>
      </c>
      <c r="B22" t="str">
        <f>IFERROR(_xlfn.XLOOKUP(lstEligible[[#This Row],[Unique ID]], tblMaster[Unique ID], tblMaster[First Name], ""), "")</f>
        <v>Michael</v>
      </c>
      <c r="C22" t="str">
        <f>IFERROR(_xlfn.XLOOKUP(lstEligible[[#This Row],[Unique ID]], tblMaster[Unique ID], tblMaster[Last Name], ""), "")</f>
        <v>Cabrera Luna</v>
      </c>
      <c r="D22" t="str">
        <f>IFERROR(_xlfn.XLOOKUP(lstEligible[[#This Row],[Unique ID]], tblMaster[Unique ID], tblMaster[Email_Clean], ""), "")</f>
        <v>mike032004@gmail.com</v>
      </c>
      <c r="E22" t="str">
        <f>IFERROR(_xlfn.XLOOKUP(lstEligible[[#This Row],[Unique ID]], tblMaster[Unique ID], tblMaster[Phone], ""), "")</f>
        <v>617-834-5525</v>
      </c>
      <c r="F22" t="str">
        <f>IFERROR(_xlfn.XLOOKUP(lstEligible[[#This Row],[Unique ID]], tblMaster[Unique ID], tblMaster[Recruiter], ""), "")</f>
        <v xml:space="preserve">Tom Clark </v>
      </c>
      <c r="G22" t="str">
        <f>IFERROR(_xlfn.XLOOKUP(lstEligible[[#This Row],[Unique ID]], tblMaster[Unique ID], tblMaster[Recruitment Cycle], ""), "")</f>
        <v xml:space="preserve">Re-Engagment/Post Civil Service Exam </v>
      </c>
      <c r="H22" s="3"/>
      <c r="I22" s="3"/>
    </row>
    <row r="23" spans="1:9">
      <c r="A23" t="s">
        <v>8377</v>
      </c>
      <c r="B23" t="str">
        <f>IFERROR(_xlfn.XLOOKUP(lstEligible[[#This Row],[Unique ID]], tblMaster[Unique ID], tblMaster[First Name], ""), "")</f>
        <v>Oheneba</v>
      </c>
      <c r="C23" t="str">
        <f>IFERROR(_xlfn.XLOOKUP(lstEligible[[#This Row],[Unique ID]], tblMaster[Unique ID], tblMaster[Last Name], ""), "")</f>
        <v xml:space="preserve">Duah </v>
      </c>
      <c r="D23" t="str">
        <f>IFERROR(_xlfn.XLOOKUP(lstEligible[[#This Row],[Unique ID]], tblMaster[Unique ID], tblMaster[Email_Clean], ""), "")</f>
        <v>ohenebakduah2@gmail.com</v>
      </c>
      <c r="E23" t="str">
        <f>IFERROR(_xlfn.XLOOKUP(lstEligible[[#This Row],[Unique ID]], tblMaster[Unique ID], tblMaster[Phone], ""), "")</f>
        <v>774) 433-4775</v>
      </c>
      <c r="F23" t="str">
        <f>IFERROR(_xlfn.XLOOKUP(lstEligible[[#This Row],[Unique ID]], tblMaster[Unique ID], tblMaster[Recruiter], ""), "")</f>
        <v>Zenon Moses</v>
      </c>
      <c r="G23" t="str">
        <f>IFERROR(_xlfn.XLOOKUP(lstEligible[[#This Row],[Unique ID]], tblMaster[Unique ID], tblMaster[Recruitment Cycle], ""), "")</f>
        <v xml:space="preserve">Re-Engagment/Post Civil Service Exam </v>
      </c>
      <c r="H23" s="3"/>
      <c r="I23" s="3"/>
    </row>
    <row r="24" spans="1:9">
      <c r="A24" t="s">
        <v>8378</v>
      </c>
      <c r="B24" t="str">
        <f>IFERROR(_xlfn.XLOOKUP(lstEligible[[#This Row],[Unique ID]], tblMaster[Unique ID], tblMaster[First Name], ""), "")</f>
        <v xml:space="preserve">Asim </v>
      </c>
      <c r="C24" t="str">
        <f>IFERROR(_xlfn.XLOOKUP(lstEligible[[#This Row],[Unique ID]], tblMaster[Unique ID], tblMaster[Last Name], ""), "")</f>
        <v xml:space="preserve"> Hussain</v>
      </c>
      <c r="D24" t="str">
        <f>IFERROR(_xlfn.XLOOKUP(lstEligible[[#This Row],[Unique ID]], tblMaster[Unique ID], tblMaster[Email_Clean], ""), "")</f>
        <v>a0865303@gmail.com</v>
      </c>
      <c r="E24" t="str">
        <f>IFERROR(_xlfn.XLOOKUP(lstEligible[[#This Row],[Unique ID]], tblMaster[Unique ID], tblMaster[Phone], ""), "")</f>
        <v>518 729 0204</v>
      </c>
      <c r="F24">
        <f>IFERROR(_xlfn.XLOOKUP(lstEligible[[#This Row],[Unique ID]], tblMaster[Unique ID], tblMaster[Recruiter], ""), "")</f>
        <v>0</v>
      </c>
      <c r="G24" t="str">
        <f>IFERROR(_xlfn.XLOOKUP(lstEligible[[#This Row],[Unique ID]], tblMaster[Unique ID], tblMaster[Recruitment Cycle], ""), "")</f>
        <v xml:space="preserve">Re-Engagment/Post Civil Service Exam </v>
      </c>
      <c r="H24" s="3"/>
      <c r="I24" s="3"/>
    </row>
    <row r="25" spans="1:9">
      <c r="A25" t="s">
        <v>8379</v>
      </c>
      <c r="B25" t="str">
        <f>IFERROR(_xlfn.XLOOKUP(lstEligible[[#This Row],[Unique ID]], tblMaster[Unique ID], tblMaster[First Name], ""), "")</f>
        <v xml:space="preserve">Gethro </v>
      </c>
      <c r="C25" t="str">
        <f>IFERROR(_xlfn.XLOOKUP(lstEligible[[#This Row],[Unique ID]], tblMaster[Unique ID], tblMaster[Last Name], ""), "")</f>
        <v xml:space="preserve">Nerosil </v>
      </c>
      <c r="D25" t="str">
        <f>IFERROR(_xlfn.XLOOKUP(lstEligible[[#This Row],[Unique ID]], tblMaster[Unique ID], tblMaster[Email_Clean], ""), "")</f>
        <v>gnerosil86@gmail.com</v>
      </c>
      <c r="E25" t="str">
        <f>IFERROR(_xlfn.XLOOKUP(lstEligible[[#This Row],[Unique ID]], tblMaster[Unique ID], tblMaster[Phone], ""), "")</f>
        <v xml:space="preserve">774-849-8493 </v>
      </c>
      <c r="F25">
        <f>IFERROR(_xlfn.XLOOKUP(lstEligible[[#This Row],[Unique ID]], tblMaster[Unique ID], tblMaster[Recruiter], ""), "")</f>
        <v>0</v>
      </c>
      <c r="G25" t="str">
        <f>IFERROR(_xlfn.XLOOKUP(lstEligible[[#This Row],[Unique ID]], tblMaster[Unique ID], tblMaster[Recruitment Cycle], ""), "")</f>
        <v xml:space="preserve">Re-Engagment/Post Civil Service Exam </v>
      </c>
      <c r="H25" s="3"/>
      <c r="I25" s="3"/>
    </row>
    <row r="26" spans="1:9">
      <c r="A26" t="s">
        <v>8380</v>
      </c>
      <c r="B26" t="str">
        <f>IFERROR(_xlfn.XLOOKUP(lstEligible[[#This Row],[Unique ID]], tblMaster[Unique ID], tblMaster[First Name], ""), "")</f>
        <v xml:space="preserve">Gregory </v>
      </c>
      <c r="C26" t="str">
        <f>IFERROR(_xlfn.XLOOKUP(lstEligible[[#This Row],[Unique ID]], tblMaster[Unique ID], tblMaster[Last Name], ""), "")</f>
        <v xml:space="preserve"> Falkornia </v>
      </c>
      <c r="D26" t="str">
        <f>IFERROR(_xlfn.XLOOKUP(lstEligible[[#This Row],[Unique ID]], tblMaster[Unique ID], tblMaster[Email_Clean], ""), "")</f>
        <v>gfalkorn01@northshore.edu</v>
      </c>
      <c r="E26" t="str">
        <f>IFERROR(_xlfn.XLOOKUP(lstEligible[[#This Row],[Unique ID]], tblMaster[Unique ID], tblMaster[Phone], ""), "")</f>
        <v xml:space="preserve">(978) 394-4453 </v>
      </c>
      <c r="F26" t="str">
        <f>IFERROR(_xlfn.XLOOKUP(lstEligible[[#This Row],[Unique ID]], tblMaster[Unique ID], tblMaster[Recruiter], ""), "")</f>
        <v xml:space="preserve">Jevon Brown Simpson </v>
      </c>
      <c r="G26" t="str">
        <f>IFERROR(_xlfn.XLOOKUP(lstEligible[[#This Row],[Unique ID]], tblMaster[Unique ID], tblMaster[Recruitment Cycle], ""), "")</f>
        <v xml:space="preserve">Re-Engagment/Post Civil Service Exam </v>
      </c>
      <c r="H26" s="3"/>
      <c r="I26" s="3"/>
    </row>
    <row r="27" spans="1:9">
      <c r="A27" t="s">
        <v>8381</v>
      </c>
      <c r="B27" t="str">
        <f>IFERROR(_xlfn.XLOOKUP(lstEligible[[#This Row],[Unique ID]], tblMaster[Unique ID], tblMaster[First Name], ""), "")</f>
        <v xml:space="preserve">Kayla </v>
      </c>
      <c r="C27" t="str">
        <f>IFERROR(_xlfn.XLOOKUP(lstEligible[[#This Row],[Unique ID]], tblMaster[Unique ID], tblMaster[Last Name], ""), "")</f>
        <v xml:space="preserve"> Dias </v>
      </c>
      <c r="D27" t="str">
        <f>IFERROR(_xlfn.XLOOKUP(lstEligible[[#This Row],[Unique ID]], tblMaster[Unique ID], tblMaster[Email_Clean], ""), "")</f>
        <v>kayladias@icloud.com</v>
      </c>
      <c r="E27" t="str">
        <f>IFERROR(_xlfn.XLOOKUP(lstEligible[[#This Row],[Unique ID]], tblMaster[Unique ID], tblMaster[Phone], ""), "")</f>
        <v xml:space="preserve">(508) 496-6808 </v>
      </c>
      <c r="F27" t="str">
        <f>IFERROR(_xlfn.XLOOKUP(lstEligible[[#This Row],[Unique ID]], tblMaster[Unique ID], tblMaster[Recruiter], ""), "")</f>
        <v>Zenon Moses</v>
      </c>
      <c r="G27" t="str">
        <f>IFERROR(_xlfn.XLOOKUP(lstEligible[[#This Row],[Unique ID]], tblMaster[Unique ID], tblMaster[Recruitment Cycle], ""), "")</f>
        <v xml:space="preserve">Re-Engagment/Post Civil Service Exam </v>
      </c>
      <c r="H27" s="3"/>
      <c r="I27" s="3"/>
    </row>
    <row r="28" spans="1:9">
      <c r="A28" t="s">
        <v>8382</v>
      </c>
      <c r="B28" t="str">
        <f>IFERROR(_xlfn.XLOOKUP(lstEligible[[#This Row],[Unique ID]], tblMaster[Unique ID], tblMaster[First Name], ""), "")</f>
        <v>Mothusi</v>
      </c>
      <c r="C28" t="str">
        <f>IFERROR(_xlfn.XLOOKUP(lstEligible[[#This Row],[Unique ID]], tblMaster[Unique ID], tblMaster[Last Name], ""), "")</f>
        <v>Diseko</v>
      </c>
      <c r="D28" t="str">
        <f>IFERROR(_xlfn.XLOOKUP(lstEligible[[#This Row],[Unique ID]], tblMaster[Unique ID], tblMaster[Email_Clean], ""), "")</f>
        <v>mmdiseko@gmail.com</v>
      </c>
      <c r="E28" t="str">
        <f>IFERROR(_xlfn.XLOOKUP(lstEligible[[#This Row],[Unique ID]], tblMaster[Unique ID], tblMaster[Phone], ""), "")</f>
        <v>774 422 8257</v>
      </c>
      <c r="F28" t="str">
        <f>IFERROR(_xlfn.XLOOKUP(lstEligible[[#This Row],[Unique ID]], tblMaster[Unique ID], tblMaster[Recruiter], ""), "")</f>
        <v xml:space="preserve">Jevon Brown Simpson </v>
      </c>
      <c r="G28" t="str">
        <f>IFERROR(_xlfn.XLOOKUP(lstEligible[[#This Row],[Unique ID]], tblMaster[Unique ID], tblMaster[Recruitment Cycle], ""), "")</f>
        <v xml:space="preserve">Re-Engagment/Post Civil Service Exam </v>
      </c>
      <c r="H28" s="3"/>
      <c r="I28" s="3"/>
    </row>
    <row r="29" spans="1:9">
      <c r="A29" t="s">
        <v>8383</v>
      </c>
      <c r="B29" t="str">
        <f>IFERROR(_xlfn.XLOOKUP(lstEligible[[#This Row],[Unique ID]], tblMaster[Unique ID], tblMaster[First Name], ""), "")</f>
        <v xml:space="preserve">Brianna </v>
      </c>
      <c r="C29" t="str">
        <f>IFERROR(_xlfn.XLOOKUP(lstEligible[[#This Row],[Unique ID]], tblMaster[Unique ID], tblMaster[Last Name], ""), "")</f>
        <v xml:space="preserve">Metcalf </v>
      </c>
      <c r="D29" t="str">
        <f>IFERROR(_xlfn.XLOOKUP(lstEligible[[#This Row],[Unique ID]], tblMaster[Unique ID], tblMaster[Email_Clean], ""), "")</f>
        <v>briannajoycex0@gmail.com</v>
      </c>
      <c r="E29" t="str">
        <f>IFERROR(_xlfn.XLOOKUP(lstEligible[[#This Row],[Unique ID]], tblMaster[Unique ID], tblMaster[Phone], ""), "")</f>
        <v xml:space="preserve">(716) 446-7093 </v>
      </c>
      <c r="F29" t="str">
        <f>IFERROR(_xlfn.XLOOKUP(lstEligible[[#This Row],[Unique ID]], tblMaster[Unique ID], tblMaster[Recruiter], ""), "")</f>
        <v xml:space="preserve">Jevon Brown Simpson </v>
      </c>
      <c r="G29" t="str">
        <f>IFERROR(_xlfn.XLOOKUP(lstEligible[[#This Row],[Unique ID]], tblMaster[Unique ID], tblMaster[Recruitment Cycle], ""), "")</f>
        <v xml:space="preserve">Re-Engagment/Post Civil Service Exam </v>
      </c>
      <c r="H29" s="3"/>
      <c r="I29" s="3"/>
    </row>
    <row r="30" spans="1:9">
      <c r="A30" t="s">
        <v>8384</v>
      </c>
      <c r="B30" t="str">
        <f>IFERROR(_xlfn.XLOOKUP(lstEligible[[#This Row],[Unique ID]], tblMaster[Unique ID], tblMaster[First Name], ""), "")</f>
        <v xml:space="preserve">Seth </v>
      </c>
      <c r="C30" t="str">
        <f>IFERROR(_xlfn.XLOOKUP(lstEligible[[#This Row],[Unique ID]], tblMaster[Unique ID], tblMaster[Last Name], ""), "")</f>
        <v xml:space="preserve">Perry </v>
      </c>
      <c r="D30" t="str">
        <f>IFERROR(_xlfn.XLOOKUP(lstEligible[[#This Row],[Unique ID]], tblMaster[Unique ID], tblMaster[Email_Clean], ""), "")</f>
        <v>sethianjames02@gmail.com</v>
      </c>
      <c r="E30" t="str">
        <f>IFERROR(_xlfn.XLOOKUP(lstEligible[[#This Row],[Unique ID]], tblMaster[Unique ID], tblMaster[Phone], ""), "")</f>
        <v xml:space="preserve">(978) 930-4753 </v>
      </c>
      <c r="F30" t="str">
        <f>IFERROR(_xlfn.XLOOKUP(lstEligible[[#This Row],[Unique ID]], tblMaster[Unique ID], tblMaster[Recruiter], ""), "")</f>
        <v>Zenon Moses</v>
      </c>
      <c r="G30" t="str">
        <f>IFERROR(_xlfn.XLOOKUP(lstEligible[[#This Row],[Unique ID]], tblMaster[Unique ID], tblMaster[Recruitment Cycle], ""), "")</f>
        <v xml:space="preserve">Re-Engagment/Post Civil Service Exam </v>
      </c>
      <c r="H30" s="3"/>
      <c r="I30" s="3"/>
    </row>
    <row r="31" spans="1:9">
      <c r="A31" t="s">
        <v>8385</v>
      </c>
      <c r="B31" t="str">
        <f>IFERROR(_xlfn.XLOOKUP(lstEligible[[#This Row],[Unique ID]], tblMaster[Unique ID], tblMaster[First Name], ""), "")</f>
        <v>Ebenzer</v>
      </c>
      <c r="C31" t="str">
        <f>IFERROR(_xlfn.XLOOKUP(lstEligible[[#This Row],[Unique ID]], tblMaster[Unique ID], tblMaster[Last Name], ""), "")</f>
        <v>Ihejirika</v>
      </c>
      <c r="D31" t="str">
        <f>IFERROR(_xlfn.XLOOKUP(lstEligible[[#This Row],[Unique ID]], tblMaster[Unique ID], tblMaster[Email_Clean], ""), "")</f>
        <v>nezer.ihejirika@yahoo.com</v>
      </c>
      <c r="E31" t="str">
        <f>IFERROR(_xlfn.XLOOKUP(lstEligible[[#This Row],[Unique ID]], tblMaster[Unique ID], tblMaster[Phone], ""), "")</f>
        <v>425-399-4453</v>
      </c>
      <c r="F31" t="str">
        <f>IFERROR(_xlfn.XLOOKUP(lstEligible[[#This Row],[Unique ID]], tblMaster[Unique ID], tblMaster[Recruiter], ""), "")</f>
        <v>Zenon Moses</v>
      </c>
      <c r="G31" t="str">
        <f>IFERROR(_xlfn.XLOOKUP(lstEligible[[#This Row],[Unique ID]], tblMaster[Unique ID], tblMaster[Recruitment Cycle], ""), "")</f>
        <v xml:space="preserve">Re-Engagment/Post Civil Service Exam </v>
      </c>
      <c r="H31" s="3"/>
      <c r="I31" s="3"/>
    </row>
    <row r="32" spans="1:9">
      <c r="A32" t="s">
        <v>8140</v>
      </c>
      <c r="B32" t="str">
        <f>IFERROR(_xlfn.XLOOKUP(lstEligible[[#This Row],[Unique ID]], tblMaster[Unique ID], tblMaster[First Name], ""), "")</f>
        <v xml:space="preserve">Samantha </v>
      </c>
      <c r="C32" t="str">
        <f>IFERROR(_xlfn.XLOOKUP(lstEligible[[#This Row],[Unique ID]], tblMaster[Unique ID], tblMaster[Last Name], ""), "")</f>
        <v xml:space="preserve"> Zaragoza Gonzalez</v>
      </c>
      <c r="D32" t="str">
        <f>IFERROR(_xlfn.XLOOKUP(lstEligible[[#This Row],[Unique ID]], tblMaster[Unique ID], tblMaster[Email_Clean], ""), "")</f>
        <v>5039022sam@gmail.com</v>
      </c>
      <c r="E32" t="str">
        <f>IFERROR(_xlfn.XLOOKUP(lstEligible[[#This Row],[Unique ID]], tblMaster[Unique ID], tblMaster[Phone], ""), "")</f>
        <v>508-206-0417</v>
      </c>
      <c r="F32" t="str">
        <f>IFERROR(_xlfn.XLOOKUP(lstEligible[[#This Row],[Unique ID]], tblMaster[Unique ID], tblMaster[Recruiter], ""), "")</f>
        <v xml:space="preserve">Jevon Brown Simpson </v>
      </c>
      <c r="G32" t="str">
        <f>IFERROR(_xlfn.XLOOKUP(lstEligible[[#This Row],[Unique ID]], tblMaster[Unique ID], tblMaster[Recruitment Cycle], ""), "")</f>
        <v xml:space="preserve">Re-Engagment/Post Civil Service Exam </v>
      </c>
      <c r="H32" s="3"/>
      <c r="I32" s="3"/>
    </row>
    <row r="33" spans="1:9">
      <c r="A33" t="s">
        <v>8478</v>
      </c>
      <c r="B33" t="str">
        <f>IFERROR(_xlfn.XLOOKUP(lstEligible[[#This Row],[Unique ID]], tblMaster[Unique ID], tblMaster[First Name], ""), "")</f>
        <v>Xavier</v>
      </c>
      <c r="C33" t="str">
        <f>IFERROR(_xlfn.XLOOKUP(lstEligible[[#This Row],[Unique ID]], tblMaster[Unique ID], tblMaster[Last Name], ""), "")</f>
        <v>Medina</v>
      </c>
      <c r="D33" t="str">
        <f>IFERROR(_xlfn.XLOOKUP(lstEligible[[#This Row],[Unique ID]], tblMaster[Unique ID], tblMaster[Email_Clean], ""), "")</f>
        <v>xjr12193842@gmail.com</v>
      </c>
      <c r="E33" t="str">
        <f>IFERROR(_xlfn.XLOOKUP(lstEligible[[#This Row],[Unique ID]], tblMaster[Unique ID], tblMaster[Phone], ""), "")</f>
        <v>401-497-6254</v>
      </c>
      <c r="F33">
        <f>IFERROR(_xlfn.XLOOKUP(lstEligible[[#This Row],[Unique ID]], tblMaster[Unique ID], tblMaster[Recruiter], ""), "")</f>
        <v>0</v>
      </c>
      <c r="G33" t="str">
        <f>IFERROR(_xlfn.XLOOKUP(lstEligible[[#This Row],[Unique ID]], tblMaster[Unique ID], tblMaster[Recruitment Cycle], ""), "")</f>
        <v xml:space="preserve">Re-Engagment/Post Civil Service Exam </v>
      </c>
      <c r="H33" s="3"/>
      <c r="I33" s="3"/>
    </row>
    <row r="34" spans="1:9">
      <c r="A34" t="s">
        <v>8386</v>
      </c>
      <c r="B34" t="str">
        <f>IFERROR(_xlfn.XLOOKUP(lstEligible[[#This Row],[Unique ID]], tblMaster[Unique ID], tblMaster[First Name], ""), "")</f>
        <v xml:space="preserve">Adam </v>
      </c>
      <c r="C34" t="str">
        <f>IFERROR(_xlfn.XLOOKUP(lstEligible[[#This Row],[Unique ID]], tblMaster[Unique ID], tblMaster[Last Name], ""), "")</f>
        <v xml:space="preserve">Woodland </v>
      </c>
      <c r="D34" t="str">
        <f>IFERROR(_xlfn.XLOOKUP(lstEligible[[#This Row],[Unique ID]], tblMaster[Unique ID], tblMaster[Email_Clean], ""), "")</f>
        <v>adamwoodland16@icloud.com</v>
      </c>
      <c r="E34" t="str">
        <f>IFERROR(_xlfn.XLOOKUP(lstEligible[[#This Row],[Unique ID]], tblMaster[Unique ID], tblMaster[Phone], ""), "")</f>
        <v xml:space="preserve">(774) 331-1989 </v>
      </c>
      <c r="F34" t="str">
        <f>IFERROR(_xlfn.XLOOKUP(lstEligible[[#This Row],[Unique ID]], tblMaster[Unique ID], tblMaster[Recruiter], ""), "")</f>
        <v>Zenon Moses</v>
      </c>
      <c r="G34" t="str">
        <f>IFERROR(_xlfn.XLOOKUP(lstEligible[[#This Row],[Unique ID]], tblMaster[Unique ID], tblMaster[Recruitment Cycle], ""), "")</f>
        <v xml:space="preserve">Re-Engagment/Post Civil Service Exam </v>
      </c>
      <c r="H34" s="3"/>
      <c r="I34" s="3"/>
    </row>
    <row r="35" spans="1:9">
      <c r="A35" t="s">
        <v>8387</v>
      </c>
      <c r="B35" t="str">
        <f>IFERROR(_xlfn.XLOOKUP(lstEligible[[#This Row],[Unique ID]], tblMaster[Unique ID], tblMaster[First Name], ""), "")</f>
        <v>Jimmy</v>
      </c>
      <c r="C35" t="str">
        <f>IFERROR(_xlfn.XLOOKUP(lstEligible[[#This Row],[Unique ID]], tblMaster[Unique ID], tblMaster[Last Name], ""), "")</f>
        <v>Ventura</v>
      </c>
      <c r="D35" t="str">
        <f>IFERROR(_xlfn.XLOOKUP(lstEligible[[#This Row],[Unique ID]], tblMaster[Unique ID], tblMaster[Email_Clean], ""), "")</f>
        <v>jimmyventura8787@yahoo.com</v>
      </c>
      <c r="E35" t="str">
        <f>IFERROR(_xlfn.XLOOKUP(lstEligible[[#This Row],[Unique ID]], tblMaster[Unique ID], tblMaster[Phone], ""), "")</f>
        <v>(907)947-2918</v>
      </c>
      <c r="F35" t="str">
        <f>IFERROR(_xlfn.XLOOKUP(lstEligible[[#This Row],[Unique ID]], tblMaster[Unique ID], tblMaster[Recruiter], ""), "")</f>
        <v xml:space="preserve">Jevon Brown Simpson </v>
      </c>
      <c r="G35" t="str">
        <f>IFERROR(_xlfn.XLOOKUP(lstEligible[[#This Row],[Unique ID]], tblMaster[Unique ID], tblMaster[Recruitment Cycle], ""), "")</f>
        <v xml:space="preserve">Re-Engagment/Post Civil Service Exam </v>
      </c>
      <c r="H35" s="3"/>
      <c r="I35" s="3"/>
    </row>
    <row r="36" spans="1:9">
      <c r="A36" t="s">
        <v>8388</v>
      </c>
      <c r="B36" t="str">
        <f>IFERROR(_xlfn.XLOOKUP(lstEligible[[#This Row],[Unique ID]], tblMaster[Unique ID], tblMaster[First Name], ""), "")</f>
        <v>Ryan</v>
      </c>
      <c r="C36" t="str">
        <f>IFERROR(_xlfn.XLOOKUP(lstEligible[[#This Row],[Unique ID]], tblMaster[Unique ID], tblMaster[Last Name], ""), "")</f>
        <v>Walcott</v>
      </c>
      <c r="D36" t="str">
        <f>IFERROR(_xlfn.XLOOKUP(lstEligible[[#This Row],[Unique ID]], tblMaster[Unique ID], tblMaster[Email_Clean], ""), "")</f>
        <v>rwalcott@live.com</v>
      </c>
      <c r="E36" t="str">
        <f>IFERROR(_xlfn.XLOOKUP(lstEligible[[#This Row],[Unique ID]], tblMaster[Unique ID], tblMaster[Phone], ""), "")</f>
        <v>(617)990-7683 </v>
      </c>
      <c r="F36" t="str">
        <f>IFERROR(_xlfn.XLOOKUP(lstEligible[[#This Row],[Unique ID]], tblMaster[Unique ID], tblMaster[Recruiter], ""), "")</f>
        <v xml:space="preserve">Jevon Brown Simpson </v>
      </c>
      <c r="G36" t="str">
        <f>IFERROR(_xlfn.XLOOKUP(lstEligible[[#This Row],[Unique ID]], tblMaster[Unique ID], tblMaster[Recruitment Cycle], ""), "")</f>
        <v xml:space="preserve">Re-Engagment/Post Civil Service Exam </v>
      </c>
      <c r="H36" s="3"/>
      <c r="I36" s="3"/>
    </row>
    <row r="37" spans="1:9">
      <c r="A37" t="s">
        <v>8389</v>
      </c>
      <c r="B37" t="str">
        <f>IFERROR(_xlfn.XLOOKUP(lstEligible[[#This Row],[Unique ID]], tblMaster[Unique ID], tblMaster[First Name], ""), "")</f>
        <v xml:space="preserve">Frashley </v>
      </c>
      <c r="C37" t="str">
        <f>IFERROR(_xlfn.XLOOKUP(lstEligible[[#This Row],[Unique ID]], tblMaster[Unique ID], tblMaster[Last Name], ""), "")</f>
        <v>Paula</v>
      </c>
      <c r="D37" t="str">
        <f>IFERROR(_xlfn.XLOOKUP(lstEligible[[#This Row],[Unique ID]], tblMaster[Unique ID], tblMaster[Email_Clean], ""), "")</f>
        <v>paulafrashley@gmail.com</v>
      </c>
      <c r="E37" t="str">
        <f>IFERROR(_xlfn.XLOOKUP(lstEligible[[#This Row],[Unique ID]], tblMaster[Unique ID], tblMaster[Phone], ""), "")</f>
        <v>617-963-4266</v>
      </c>
      <c r="F37" t="str">
        <f>IFERROR(_xlfn.XLOOKUP(lstEligible[[#This Row],[Unique ID]], tblMaster[Unique ID], tblMaster[Recruiter], ""), "")</f>
        <v>Zenon Moses</v>
      </c>
      <c r="G37" t="str">
        <f>IFERROR(_xlfn.XLOOKUP(lstEligible[[#This Row],[Unique ID]], tblMaster[Unique ID], tblMaster[Recruitment Cycle], ""), "")</f>
        <v xml:space="preserve">Re-Engagment/Post Civil Service Exam </v>
      </c>
      <c r="H37" s="3"/>
      <c r="I37" s="3"/>
    </row>
    <row r="38" spans="1:9">
      <c r="A38" t="s">
        <v>8390</v>
      </c>
      <c r="B38" t="str">
        <f>IFERROR(_xlfn.XLOOKUP(lstEligible[[#This Row],[Unique ID]], tblMaster[Unique ID], tblMaster[First Name], ""), "")</f>
        <v>Jacqueline</v>
      </c>
      <c r="C38" t="str">
        <f>IFERROR(_xlfn.XLOOKUP(lstEligible[[#This Row],[Unique ID]], tblMaster[Unique ID], tblMaster[Last Name], ""), "")</f>
        <v>Benjamin</v>
      </c>
      <c r="D38" t="str">
        <f>IFERROR(_xlfn.XLOOKUP(lstEligible[[#This Row],[Unique ID]], tblMaster[Unique ID], tblMaster[Email_Clean], ""), "")</f>
        <v>bjacquie45@yahoo.com</v>
      </c>
      <c r="E38" t="str">
        <f>IFERROR(_xlfn.XLOOKUP(lstEligible[[#This Row],[Unique ID]], tblMaster[Unique ID], tblMaster[Phone], ""), "")</f>
        <v>781-510-1760</v>
      </c>
      <c r="F38" t="str">
        <f>IFERROR(_xlfn.XLOOKUP(lstEligible[[#This Row],[Unique ID]], tblMaster[Unique ID], tblMaster[Recruiter], ""), "")</f>
        <v xml:space="preserve">Jevon Brown Simpson </v>
      </c>
      <c r="G38" t="str">
        <f>IFERROR(_xlfn.XLOOKUP(lstEligible[[#This Row],[Unique ID]], tblMaster[Unique ID], tblMaster[Recruitment Cycle], ""), "")</f>
        <v xml:space="preserve">Re-Engagment/Post Civil Service Exam </v>
      </c>
      <c r="H38" s="3"/>
      <c r="I38" s="3"/>
    </row>
    <row r="39" spans="1:9">
      <c r="A39" t="s">
        <v>7514</v>
      </c>
      <c r="B39" t="str">
        <f>IFERROR(_xlfn.XLOOKUP(lstEligible[[#This Row],[Unique ID]], tblMaster[Unique ID], tblMaster[First Name], ""), "")</f>
        <v>Joshua</v>
      </c>
      <c r="C39" t="str">
        <f>IFERROR(_xlfn.XLOOKUP(lstEligible[[#This Row],[Unique ID]], tblMaster[Unique ID], tblMaster[Last Name], ""), "")</f>
        <v xml:space="preserve">Clancy </v>
      </c>
      <c r="D39" t="str">
        <f>IFERROR(_xlfn.XLOOKUP(lstEligible[[#This Row],[Unique ID]], tblMaster[Unique ID], tblMaster[Email_Clean], ""), "")</f>
        <v>joshua.clancy@gmail.com</v>
      </c>
      <c r="E39" t="str">
        <f>IFERROR(_xlfn.XLOOKUP(lstEligible[[#This Row],[Unique ID]], tblMaster[Unique ID], tblMaster[Phone], ""), "")</f>
        <v>508-507-0140</v>
      </c>
      <c r="F39" t="str">
        <f>IFERROR(_xlfn.XLOOKUP(lstEligible[[#This Row],[Unique ID]], tblMaster[Unique ID], tblMaster[Recruiter], ""), "")</f>
        <v>Zenon Moses</v>
      </c>
      <c r="G39" t="str">
        <f>IFERROR(_xlfn.XLOOKUP(lstEligible[[#This Row],[Unique ID]], tblMaster[Unique ID], tblMaster[Recruitment Cycle], ""), "")</f>
        <v xml:space="preserve">Re-Engagment/Post Civil Service Exam </v>
      </c>
      <c r="H39" s="3"/>
      <c r="I39" s="3"/>
    </row>
    <row r="40" spans="1:9">
      <c r="A40" t="s">
        <v>8391</v>
      </c>
      <c r="B40" t="str">
        <f>IFERROR(_xlfn.XLOOKUP(lstEligible[[#This Row],[Unique ID]], tblMaster[Unique ID], tblMaster[First Name], ""), "")</f>
        <v xml:space="preserve">Kayla </v>
      </c>
      <c r="C40" t="str">
        <f>IFERROR(_xlfn.XLOOKUP(lstEligible[[#This Row],[Unique ID]], tblMaster[Unique ID], tblMaster[Last Name], ""), "")</f>
        <v>McDevitt</v>
      </c>
      <c r="D40" t="str">
        <f>IFERROR(_xlfn.XLOOKUP(lstEligible[[#This Row],[Unique ID]], tblMaster[Unique ID], tblMaster[Email_Clean], ""), "")</f>
        <v>kayla.mcdevitt@yahoo.com</v>
      </c>
      <c r="E40" t="str">
        <f>IFERROR(_xlfn.XLOOKUP(lstEligible[[#This Row],[Unique ID]], tblMaster[Unique ID], tblMaster[Phone], ""), "")</f>
        <v>508-397-4082</v>
      </c>
      <c r="F40" t="str">
        <f>IFERROR(_xlfn.XLOOKUP(lstEligible[[#This Row],[Unique ID]], tblMaster[Unique ID], tblMaster[Recruiter], ""), "")</f>
        <v>Zenon Moses</v>
      </c>
      <c r="G40" t="str">
        <f>IFERROR(_xlfn.XLOOKUP(lstEligible[[#This Row],[Unique ID]], tblMaster[Unique ID], tblMaster[Recruitment Cycle], ""), "")</f>
        <v xml:space="preserve">Re-Engagment/Post Civil Service Exam </v>
      </c>
      <c r="H40" s="3"/>
      <c r="I40" s="3"/>
    </row>
    <row r="41" spans="1:9">
      <c r="A41" t="s">
        <v>8392</v>
      </c>
      <c r="B41" t="str">
        <f>IFERROR(_xlfn.XLOOKUP(lstEligible[[#This Row],[Unique ID]], tblMaster[Unique ID], tblMaster[First Name], ""), "")</f>
        <v xml:space="preserve">Liengu </v>
      </c>
      <c r="C41" t="str">
        <f>IFERROR(_xlfn.XLOOKUP(lstEligible[[#This Row],[Unique ID]], tblMaster[Unique ID], tblMaster[Last Name], ""), "")</f>
        <v>Etaka Liote</v>
      </c>
      <c r="D41" t="str">
        <f>IFERROR(_xlfn.XLOOKUP(lstEligible[[#This Row],[Unique ID]], tblMaster[Unique ID], tblMaster[Email_Clean], ""), "")</f>
        <v>lienguetakaliote@gmail.com</v>
      </c>
      <c r="E41" t="str">
        <f>IFERROR(_xlfn.XLOOKUP(lstEligible[[#This Row],[Unique ID]], tblMaster[Unique ID], tblMaster[Phone], ""), "")</f>
        <v>(346) 434-4515</v>
      </c>
      <c r="F41" t="str">
        <f>IFERROR(_xlfn.XLOOKUP(lstEligible[[#This Row],[Unique ID]], tblMaster[Unique ID], tblMaster[Recruiter], ""), "")</f>
        <v>Zenon Moses</v>
      </c>
      <c r="G41" t="str">
        <f>IFERROR(_xlfn.XLOOKUP(lstEligible[[#This Row],[Unique ID]], tblMaster[Unique ID], tblMaster[Recruitment Cycle], ""), "")</f>
        <v xml:space="preserve">Re-Engagment/Post Civil Service Exam </v>
      </c>
      <c r="H41" s="3"/>
      <c r="I41" s="3"/>
    </row>
    <row r="42" spans="1:9">
      <c r="A42" t="s">
        <v>8393</v>
      </c>
      <c r="B42" t="str">
        <f>IFERROR(_xlfn.XLOOKUP(lstEligible[[#This Row],[Unique ID]], tblMaster[Unique ID], tblMaster[First Name], ""), "")</f>
        <v xml:space="preserve">kelly  </v>
      </c>
      <c r="C42" t="str">
        <f>IFERROR(_xlfn.XLOOKUP(lstEligible[[#This Row],[Unique ID]], tblMaster[Unique ID], tblMaster[Last Name], ""), "")</f>
        <v xml:space="preserve">O’Connor </v>
      </c>
      <c r="D42" t="str">
        <f>IFERROR(_xlfn.XLOOKUP(lstEligible[[#This Row],[Unique ID]], tblMaster[Unique ID], tblMaster[Email_Clean], ""), "")</f>
        <v>kellyantonia.2411@gmail.com</v>
      </c>
      <c r="E42" t="str">
        <f>IFERROR(_xlfn.XLOOKUP(lstEligible[[#This Row],[Unique ID]], tblMaster[Unique ID], tblMaster[Phone], ""), "")</f>
        <v>774-279-8093</v>
      </c>
      <c r="F42" t="str">
        <f>IFERROR(_xlfn.XLOOKUP(lstEligible[[#This Row],[Unique ID]], tblMaster[Unique ID], tblMaster[Recruiter], ""), "")</f>
        <v xml:space="preserve">Tom Clark </v>
      </c>
      <c r="G42" t="str">
        <f>IFERROR(_xlfn.XLOOKUP(lstEligible[[#This Row],[Unique ID]], tblMaster[Unique ID], tblMaster[Recruitment Cycle], ""), "")</f>
        <v xml:space="preserve">Re-Engagment/Post Civil Service Exam </v>
      </c>
      <c r="H42" s="3"/>
      <c r="I42" s="3"/>
    </row>
    <row r="43" spans="1:9">
      <c r="A43" t="s">
        <v>8394</v>
      </c>
      <c r="B43" t="str">
        <f>IFERROR(_xlfn.XLOOKUP(lstEligible[[#This Row],[Unique ID]], tblMaster[Unique ID], tblMaster[First Name], ""), "")</f>
        <v>Mohamed</v>
      </c>
      <c r="C43" t="str">
        <f>IFERROR(_xlfn.XLOOKUP(lstEligible[[#This Row],[Unique ID]], tblMaster[Unique ID], tblMaster[Last Name], ""), "")</f>
        <v xml:space="preserve"> Bah</v>
      </c>
      <c r="D43" t="str">
        <f>IFERROR(_xlfn.XLOOKUP(lstEligible[[#This Row],[Unique ID]], tblMaster[Unique ID], tblMaster[Email_Clean], ""), "")</f>
        <v>bahmo278@gmail.com</v>
      </c>
      <c r="E43" t="str">
        <f>IFERROR(_xlfn.XLOOKUP(lstEligible[[#This Row],[Unique ID]], tblMaster[Unique ID], tblMaster[Phone], ""), "")</f>
        <v xml:space="preserve"> (617) 982-4011</v>
      </c>
      <c r="F43" t="str">
        <f>IFERROR(_xlfn.XLOOKUP(lstEligible[[#This Row],[Unique ID]], tblMaster[Unique ID], tblMaster[Recruiter], ""), "")</f>
        <v xml:space="preserve">Jevon Brown Simpson </v>
      </c>
      <c r="G43" t="str">
        <f>IFERROR(_xlfn.XLOOKUP(lstEligible[[#This Row],[Unique ID]], tblMaster[Unique ID], tblMaster[Recruitment Cycle], ""), "")</f>
        <v xml:space="preserve">Re-Engagment/Post Civil Service Exam </v>
      </c>
      <c r="H43" s="3"/>
      <c r="I43" s="3"/>
    </row>
    <row r="44" spans="1:9">
      <c r="A44" t="s">
        <v>8395</v>
      </c>
      <c r="B44" t="str">
        <f>IFERROR(_xlfn.XLOOKUP(lstEligible[[#This Row],[Unique ID]], tblMaster[Unique ID], tblMaster[First Name], ""), "")</f>
        <v>Catherine</v>
      </c>
      <c r="C44" t="str">
        <f>IFERROR(_xlfn.XLOOKUP(lstEligible[[#This Row],[Unique ID]], tblMaster[Unique ID], tblMaster[Last Name], ""), "")</f>
        <v>Lopes</v>
      </c>
      <c r="D44" t="str">
        <f>IFERROR(_xlfn.XLOOKUP(lstEligible[[#This Row],[Unique ID]], tblMaster[Unique ID], tblMaster[Email_Clean], ""), "")</f>
        <v>catherinelopes94@gmail.com</v>
      </c>
      <c r="E44" t="str">
        <f>IFERROR(_xlfn.XLOOKUP(lstEligible[[#This Row],[Unique ID]], tblMaster[Unique ID], tblMaster[Phone], ""), "")</f>
        <v>617-888-0144</v>
      </c>
      <c r="F44" t="str">
        <f>IFERROR(_xlfn.XLOOKUP(lstEligible[[#This Row],[Unique ID]], tblMaster[Unique ID], tblMaster[Recruiter], ""), "")</f>
        <v xml:space="preserve">Jevon Brown Simpson </v>
      </c>
      <c r="G44" t="str">
        <f>IFERROR(_xlfn.XLOOKUP(lstEligible[[#This Row],[Unique ID]], tblMaster[Unique ID], tblMaster[Recruitment Cycle], ""), "")</f>
        <v xml:space="preserve">Re-Engagment/Post Civil Service Exam </v>
      </c>
      <c r="H44" s="3"/>
      <c r="I44" s="3"/>
    </row>
    <row r="45" spans="1:9">
      <c r="A45" t="s">
        <v>8396</v>
      </c>
      <c r="B45" t="str">
        <f>IFERROR(_xlfn.XLOOKUP(lstEligible[[#This Row],[Unique ID]], tblMaster[Unique ID], tblMaster[First Name], ""), "")</f>
        <v>Anneris</v>
      </c>
      <c r="C45" t="str">
        <f>IFERROR(_xlfn.XLOOKUP(lstEligible[[#This Row],[Unique ID]], tblMaster[Unique ID], tblMaster[Last Name], ""), "")</f>
        <v>Camacho</v>
      </c>
      <c r="D45" t="str">
        <f>IFERROR(_xlfn.XLOOKUP(lstEligible[[#This Row],[Unique ID]], tblMaster[Unique ID], tblMaster[Email_Clean], ""), "")</f>
        <v>ajcr.610@gmail.com</v>
      </c>
      <c r="E45" t="str">
        <f>IFERROR(_xlfn.XLOOKUP(lstEligible[[#This Row],[Unique ID]], tblMaster[Unique ID], tblMaster[Phone], ""), "")</f>
        <v>978-942-0007</v>
      </c>
      <c r="F45" t="str">
        <f>IFERROR(_xlfn.XLOOKUP(lstEligible[[#This Row],[Unique ID]], tblMaster[Unique ID], tblMaster[Recruiter], ""), "")</f>
        <v xml:space="preserve">Tom Clark </v>
      </c>
      <c r="G45" t="str">
        <f>IFERROR(_xlfn.XLOOKUP(lstEligible[[#This Row],[Unique ID]], tblMaster[Unique ID], tblMaster[Recruitment Cycle], ""), "")</f>
        <v xml:space="preserve">Re-Engagment/Post Civil Service Exam </v>
      </c>
      <c r="H45" s="3"/>
      <c r="I45" s="3"/>
    </row>
    <row r="46" spans="1:9">
      <c r="A46" t="s">
        <v>8397</v>
      </c>
      <c r="B46" t="str">
        <f>IFERROR(_xlfn.XLOOKUP(lstEligible[[#This Row],[Unique ID]], tblMaster[Unique ID], tblMaster[First Name], ""), "")</f>
        <v xml:space="preserve">Johathan </v>
      </c>
      <c r="C46" t="str">
        <f>IFERROR(_xlfn.XLOOKUP(lstEligible[[#This Row],[Unique ID]], tblMaster[Unique ID], tblMaster[Last Name], ""), "")</f>
        <v>berthiaume</v>
      </c>
      <c r="D46" t="str">
        <f>IFERROR(_xlfn.XLOOKUP(lstEligible[[#This Row],[Unique ID]], tblMaster[Unique ID], tblMaster[Email_Clean], ""), "")</f>
        <v>johnjr1820@gmail.com</v>
      </c>
      <c r="E46" t="str">
        <f>IFERROR(_xlfn.XLOOKUP(lstEligible[[#This Row],[Unique ID]], tblMaster[Unique ID], tblMaster[Phone], ""), "")</f>
        <v>401-500-5948</v>
      </c>
      <c r="F46" t="str">
        <f>IFERROR(_xlfn.XLOOKUP(lstEligible[[#This Row],[Unique ID]], tblMaster[Unique ID], tblMaster[Recruiter], ""), "")</f>
        <v>Zenon Moses</v>
      </c>
      <c r="G46" t="str">
        <f>IFERROR(_xlfn.XLOOKUP(lstEligible[[#This Row],[Unique ID]], tblMaster[Unique ID], tblMaster[Recruitment Cycle], ""), "")</f>
        <v xml:space="preserve">Re-Engagment/Post Civil Service Exam </v>
      </c>
      <c r="H46" s="3"/>
      <c r="I46" s="3"/>
    </row>
    <row r="47" spans="1:9">
      <c r="A47" t="s">
        <v>8398</v>
      </c>
      <c r="B47" t="str">
        <f>IFERROR(_xlfn.XLOOKUP(lstEligible[[#This Row],[Unique ID]], tblMaster[Unique ID], tblMaster[First Name], ""), "")</f>
        <v xml:space="preserve">Moise </v>
      </c>
      <c r="C47" t="str">
        <f>IFERROR(_xlfn.XLOOKUP(lstEligible[[#This Row],[Unique ID]], tblMaster[Unique ID], tblMaster[Last Name], ""), "")</f>
        <v xml:space="preserve"> Carice-Cadet</v>
      </c>
      <c r="D47" t="str">
        <f>IFERROR(_xlfn.XLOOKUP(lstEligible[[#This Row],[Unique ID]], tblMaster[Unique ID], tblMaster[Email_Clean], ""), "")</f>
        <v>moisecadet8523@gmail.com</v>
      </c>
      <c r="E47" t="str">
        <f>IFERROR(_xlfn.XLOOKUP(lstEligible[[#This Row],[Unique ID]], tblMaster[Unique ID], tblMaster[Phone], ""), "")</f>
        <v>617-828-0471</v>
      </c>
      <c r="F47" t="str">
        <f>IFERROR(_xlfn.XLOOKUP(lstEligible[[#This Row],[Unique ID]], tblMaster[Unique ID], tblMaster[Recruiter], ""), "")</f>
        <v xml:space="preserve">Jevon Brown Simpson </v>
      </c>
      <c r="G47" t="str">
        <f>IFERROR(_xlfn.XLOOKUP(lstEligible[[#This Row],[Unique ID]], tblMaster[Unique ID], tblMaster[Recruitment Cycle], ""), "")</f>
        <v xml:space="preserve">Re-Engagment/Post Civil Service Exam </v>
      </c>
      <c r="H47" s="3"/>
      <c r="I47" s="3"/>
    </row>
    <row r="48" spans="1:9">
      <c r="A48" t="s">
        <v>8399</v>
      </c>
      <c r="B48" t="str">
        <f>IFERROR(_xlfn.XLOOKUP(lstEligible[[#This Row],[Unique ID]], tblMaster[Unique ID], tblMaster[First Name], ""), "")</f>
        <v xml:space="preserve">Micheal </v>
      </c>
      <c r="C48" t="str">
        <f>IFERROR(_xlfn.XLOOKUP(lstEligible[[#This Row],[Unique ID]], tblMaster[Unique ID], tblMaster[Last Name], ""), "")</f>
        <v xml:space="preserve">Linsky </v>
      </c>
      <c r="D48" t="str">
        <f>IFERROR(_xlfn.XLOOKUP(lstEligible[[#This Row],[Unique ID]], tblMaster[Unique ID], tblMaster[Email_Clean], ""), "")</f>
        <v>mikelinsky3@gmail.com</v>
      </c>
      <c r="E48" t="str">
        <f>IFERROR(_xlfn.XLOOKUP(lstEligible[[#This Row],[Unique ID]], tblMaster[Unique ID], tblMaster[Phone], ""), "")</f>
        <v xml:space="preserve">(508) 397-6984 </v>
      </c>
      <c r="F48" t="str">
        <f>IFERROR(_xlfn.XLOOKUP(lstEligible[[#This Row],[Unique ID]], tblMaster[Unique ID], tblMaster[Recruiter], ""), "")</f>
        <v>Zenon Moses</v>
      </c>
      <c r="G48" t="str">
        <f>IFERROR(_xlfn.XLOOKUP(lstEligible[[#This Row],[Unique ID]], tblMaster[Unique ID], tblMaster[Recruitment Cycle], ""), "")</f>
        <v xml:space="preserve">Re-Engagment/Post Civil Service Exam </v>
      </c>
      <c r="H48" s="3"/>
      <c r="I48" s="3"/>
    </row>
    <row r="49" spans="1:9">
      <c r="A49" t="s">
        <v>8400</v>
      </c>
      <c r="B49" t="str">
        <f>IFERROR(_xlfn.XLOOKUP(lstEligible[[#This Row],[Unique ID]], tblMaster[Unique ID], tblMaster[First Name], ""), "")</f>
        <v xml:space="preserve">Newton </v>
      </c>
      <c r="C49" t="str">
        <f>IFERROR(_xlfn.XLOOKUP(lstEligible[[#This Row],[Unique ID]], tblMaster[Unique ID], tblMaster[Last Name], ""), "")</f>
        <v>Previlon</v>
      </c>
      <c r="D49" t="str">
        <f>IFERROR(_xlfn.XLOOKUP(lstEligible[[#This Row],[Unique ID]], tblMaster[Unique ID], tblMaster[Email_Clean], ""), "")</f>
        <v>newtonprevilon@gmail.com</v>
      </c>
      <c r="E49" t="str">
        <f>IFERROR(_xlfn.XLOOKUP(lstEligible[[#This Row],[Unique ID]], tblMaster[Unique ID], tblMaster[Phone], ""), "")</f>
        <v>857-417-8643</v>
      </c>
      <c r="F49" t="str">
        <f>IFERROR(_xlfn.XLOOKUP(lstEligible[[#This Row],[Unique ID]], tblMaster[Unique ID], tblMaster[Recruiter], ""), "")</f>
        <v>Zenon Moses</v>
      </c>
      <c r="G49" t="str">
        <f>IFERROR(_xlfn.XLOOKUP(lstEligible[[#This Row],[Unique ID]], tblMaster[Unique ID], tblMaster[Recruitment Cycle], ""), "")</f>
        <v xml:space="preserve">Re-Engagment/Post Civil Service Exam </v>
      </c>
      <c r="H49" s="3"/>
      <c r="I49" s="3"/>
    </row>
    <row r="50" spans="1:9">
      <c r="A50" t="s">
        <v>8401</v>
      </c>
      <c r="B50" t="str">
        <f>IFERROR(_xlfn.XLOOKUP(lstEligible[[#This Row],[Unique ID]], tblMaster[Unique ID], tblMaster[First Name], ""), "")</f>
        <v xml:space="preserve">Peter </v>
      </c>
      <c r="C50" t="str">
        <f>IFERROR(_xlfn.XLOOKUP(lstEligible[[#This Row],[Unique ID]], tblMaster[Unique ID], tblMaster[Last Name], ""), "")</f>
        <v>montenegrino</v>
      </c>
      <c r="D50" t="str">
        <f>IFERROR(_xlfn.XLOOKUP(lstEligible[[#This Row],[Unique ID]], tblMaster[Unique ID], tblMaster[Email_Clean], ""), "")</f>
        <v>petermontenegrino@gmail.com</v>
      </c>
      <c r="E50" t="str">
        <f>IFERROR(_xlfn.XLOOKUP(lstEligible[[#This Row],[Unique ID]], tblMaster[Unique ID], tblMaster[Phone], ""), "")</f>
        <v xml:space="preserve">(508) 250-8234 </v>
      </c>
      <c r="F50" t="str">
        <f>IFERROR(_xlfn.XLOOKUP(lstEligible[[#This Row],[Unique ID]], tblMaster[Unique ID], tblMaster[Recruiter], ""), "")</f>
        <v>Zenon Moses</v>
      </c>
      <c r="G50" t="str">
        <f>IFERROR(_xlfn.XLOOKUP(lstEligible[[#This Row],[Unique ID]], tblMaster[Unique ID], tblMaster[Recruitment Cycle], ""), "")</f>
        <v xml:space="preserve">Re-Engagment/Post Civil Service Exam </v>
      </c>
      <c r="H50" s="3"/>
      <c r="I50" s="3"/>
    </row>
    <row r="51" spans="1:9">
      <c r="A51" t="s">
        <v>8402</v>
      </c>
      <c r="B51" t="str">
        <f>IFERROR(_xlfn.XLOOKUP(lstEligible[[#This Row],[Unique ID]], tblMaster[Unique ID], tblMaster[First Name], ""), "")</f>
        <v xml:space="preserve">Mae </v>
      </c>
      <c r="C51" t="str">
        <f>IFERROR(_xlfn.XLOOKUP(lstEligible[[#This Row],[Unique ID]], tblMaster[Unique ID], tblMaster[Last Name], ""), "")</f>
        <v xml:space="preserve">Luchini </v>
      </c>
      <c r="D51" t="str">
        <f>IFERROR(_xlfn.XLOOKUP(lstEligible[[#This Row],[Unique ID]], tblMaster[Unique ID], tblMaster[Email_Clean], ""), "")</f>
        <v>maeml17@aol.com</v>
      </c>
      <c r="E51" t="str">
        <f>IFERROR(_xlfn.XLOOKUP(lstEligible[[#This Row],[Unique ID]], tblMaster[Unique ID], tblMaster[Phone], ""), "")</f>
        <v>781-901-2284</v>
      </c>
      <c r="F51" t="str">
        <f>IFERROR(_xlfn.XLOOKUP(lstEligible[[#This Row],[Unique ID]], tblMaster[Unique ID], tblMaster[Recruiter], ""), "")</f>
        <v>Zenon Moses</v>
      </c>
      <c r="G51" t="str">
        <f>IFERROR(_xlfn.XLOOKUP(lstEligible[[#This Row],[Unique ID]], tblMaster[Unique ID], tblMaster[Recruitment Cycle], ""), "")</f>
        <v xml:space="preserve">Re-Engagment/Post Civil Service Exam </v>
      </c>
      <c r="H51" s="3"/>
      <c r="I51" s="3"/>
    </row>
    <row r="52" spans="1:9">
      <c r="A52" t="s">
        <v>8403</v>
      </c>
      <c r="B52" t="str">
        <f>IFERROR(_xlfn.XLOOKUP(lstEligible[[#This Row],[Unique ID]], tblMaster[Unique ID], tblMaster[First Name], ""), "")</f>
        <v xml:space="preserve">Alex </v>
      </c>
      <c r="C52" t="str">
        <f>IFERROR(_xlfn.XLOOKUP(lstEligible[[#This Row],[Unique ID]], tblMaster[Unique ID], tblMaster[Last Name], ""), "")</f>
        <v xml:space="preserve">Mcfarlane </v>
      </c>
      <c r="D52" t="str">
        <f>IFERROR(_xlfn.XLOOKUP(lstEligible[[#This Row],[Unique ID]], tblMaster[Unique ID], tblMaster[Email_Clean], ""), "")</f>
        <v>alexmcfarlanebsc@gmail.com</v>
      </c>
      <c r="E52" t="str">
        <f>IFERROR(_xlfn.XLOOKUP(lstEligible[[#This Row],[Unique ID]], tblMaster[Unique ID], tblMaster[Phone], ""), "")</f>
        <v xml:space="preserve">508) 364-7522 </v>
      </c>
      <c r="F52" t="str">
        <f>IFERROR(_xlfn.XLOOKUP(lstEligible[[#This Row],[Unique ID]], tblMaster[Unique ID], tblMaster[Recruiter], ""), "")</f>
        <v>Zenon Moses</v>
      </c>
      <c r="G52" t="str">
        <f>IFERROR(_xlfn.XLOOKUP(lstEligible[[#This Row],[Unique ID]], tblMaster[Unique ID], tblMaster[Recruitment Cycle], ""), "")</f>
        <v xml:space="preserve">Re-Engagment/Post Civil Service Exam </v>
      </c>
      <c r="H52" s="3"/>
      <c r="I52" s="3"/>
    </row>
    <row r="53" spans="1:9">
      <c r="A53" t="s">
        <v>8404</v>
      </c>
      <c r="B53" t="str">
        <f>IFERROR(_xlfn.XLOOKUP(lstEligible[[#This Row],[Unique ID]], tblMaster[Unique ID], tblMaster[First Name], ""), "")</f>
        <v xml:space="preserve">Gabrielle </v>
      </c>
      <c r="C53" t="str">
        <f>IFERROR(_xlfn.XLOOKUP(lstEligible[[#This Row],[Unique ID]], tblMaster[Unique ID], tblMaster[Last Name], ""), "")</f>
        <v xml:space="preserve">Gonzalez </v>
      </c>
      <c r="D53" t="str">
        <f>IFERROR(_xlfn.XLOOKUP(lstEligible[[#This Row],[Unique ID]], tblMaster[Unique ID], tblMaster[Email_Clean], ""), "")</f>
        <v>gabriellegonzalez117@gmail.com</v>
      </c>
      <c r="E53" t="str">
        <f>IFERROR(_xlfn.XLOOKUP(lstEligible[[#This Row],[Unique ID]], tblMaster[Unique ID], tblMaster[Phone], ""), "")</f>
        <v xml:space="preserve">(413) 330-0338 </v>
      </c>
      <c r="F53" t="str">
        <f>IFERROR(_xlfn.XLOOKUP(lstEligible[[#This Row],[Unique ID]], tblMaster[Unique ID], tblMaster[Recruiter], ""), "")</f>
        <v xml:space="preserve">Jevon Brown Simpson </v>
      </c>
      <c r="G53" t="str">
        <f>IFERROR(_xlfn.XLOOKUP(lstEligible[[#This Row],[Unique ID]], tblMaster[Unique ID], tblMaster[Recruitment Cycle], ""), "")</f>
        <v xml:space="preserve">Re-Engagment/Post Civil Service Exam </v>
      </c>
      <c r="H53" s="3"/>
      <c r="I53" s="3"/>
    </row>
    <row r="54" spans="1:9">
      <c r="A54" t="s">
        <v>7864</v>
      </c>
      <c r="B54" t="str">
        <f>IFERROR(_xlfn.XLOOKUP(lstEligible[[#This Row],[Unique ID]], tblMaster[Unique ID], tblMaster[First Name], ""), "")</f>
        <v xml:space="preserve">Michael </v>
      </c>
      <c r="C54" t="str">
        <f>IFERROR(_xlfn.XLOOKUP(lstEligible[[#This Row],[Unique ID]], tblMaster[Unique ID], tblMaster[Last Name], ""), "")</f>
        <v xml:space="preserve">Ryan </v>
      </c>
      <c r="D54" t="str">
        <f>IFERROR(_xlfn.XLOOKUP(lstEligible[[#This Row],[Unique ID]], tblMaster[Unique ID], tblMaster[Email_Clean], ""), "")</f>
        <v>mryan881@yahoo.com</v>
      </c>
      <c r="E54" t="str">
        <f>IFERROR(_xlfn.XLOOKUP(lstEligible[[#This Row],[Unique ID]], tblMaster[Unique ID], tblMaster[Phone], ""), "")</f>
        <v>978-799-5176</v>
      </c>
      <c r="F54" t="str">
        <f>IFERROR(_xlfn.XLOOKUP(lstEligible[[#This Row],[Unique ID]], tblMaster[Unique ID], tblMaster[Recruiter], ""), "")</f>
        <v xml:space="preserve">Enrique Ortiz </v>
      </c>
      <c r="G54" t="str">
        <f>IFERROR(_xlfn.XLOOKUP(lstEligible[[#This Row],[Unique ID]], tblMaster[Unique ID], tblMaster[Recruitment Cycle], ""), "")</f>
        <v xml:space="preserve">Re-Engagment/Post Civil Service Exam </v>
      </c>
      <c r="H54" s="3"/>
      <c r="I54" s="3"/>
    </row>
    <row r="55" spans="1:9">
      <c r="A55" t="s">
        <v>8405</v>
      </c>
      <c r="B55" t="str">
        <f>IFERROR(_xlfn.XLOOKUP(lstEligible[[#This Row],[Unique ID]], tblMaster[Unique ID], tblMaster[First Name], ""), "")</f>
        <v>Darlene</v>
      </c>
      <c r="C55" t="str">
        <f>IFERROR(_xlfn.XLOOKUP(lstEligible[[#This Row],[Unique ID]], tblMaster[Unique ID], tblMaster[Last Name], ""), "")</f>
        <v>Hernandez</v>
      </c>
      <c r="D55" t="str">
        <f>IFERROR(_xlfn.XLOOKUP(lstEligible[[#This Row],[Unique ID]], tblMaster[Unique ID], tblMaster[Email_Clean], ""), "")</f>
        <v>darlenehsrnandez944@gmail.com</v>
      </c>
      <c r="E55" t="str">
        <f>IFERROR(_xlfn.XLOOKUP(lstEligible[[#This Row],[Unique ID]], tblMaster[Unique ID], tblMaster[Phone], ""), "")</f>
        <v>413-390-5058</v>
      </c>
      <c r="F55" t="str">
        <f>IFERROR(_xlfn.XLOOKUP(lstEligible[[#This Row],[Unique ID]], tblMaster[Unique ID], tblMaster[Recruiter], ""), "")</f>
        <v>Zenon Moses</v>
      </c>
      <c r="G55" t="str">
        <f>IFERROR(_xlfn.XLOOKUP(lstEligible[[#This Row],[Unique ID]], tblMaster[Unique ID], tblMaster[Recruitment Cycle], ""), "")</f>
        <v xml:space="preserve">Re-Engagment/Post Civil Service Exam </v>
      </c>
      <c r="H55" s="3"/>
      <c r="I55" s="3"/>
    </row>
    <row r="56" spans="1:9">
      <c r="A56" t="s">
        <v>8406</v>
      </c>
      <c r="B56" t="str">
        <f>IFERROR(_xlfn.XLOOKUP(lstEligible[[#This Row],[Unique ID]], tblMaster[Unique ID], tblMaster[First Name], ""), "")</f>
        <v xml:space="preserve">John </v>
      </c>
      <c r="C56" t="str">
        <f>IFERROR(_xlfn.XLOOKUP(lstEligible[[#This Row],[Unique ID]], tblMaster[Unique ID], tblMaster[Last Name], ""), "")</f>
        <v xml:space="preserve"> Scurry </v>
      </c>
      <c r="D56" t="str">
        <f>IFERROR(_xlfn.XLOOKUP(lstEligible[[#This Row],[Unique ID]], tblMaster[Unique ID], tblMaster[Email_Clean], ""), "")</f>
        <v>jacknmarley32@gmail.com</v>
      </c>
      <c r="E56" t="str">
        <f>IFERROR(_xlfn.XLOOKUP(lstEligible[[#This Row],[Unique ID]], tblMaster[Unique ID], tblMaster[Phone], ""), "")</f>
        <v xml:space="preserve">860-922-7123 </v>
      </c>
      <c r="F56">
        <f>IFERROR(_xlfn.XLOOKUP(lstEligible[[#This Row],[Unique ID]], tblMaster[Unique ID], tblMaster[Recruiter], ""), "")</f>
        <v>0</v>
      </c>
      <c r="G56" t="str">
        <f>IFERROR(_xlfn.XLOOKUP(lstEligible[[#This Row],[Unique ID]], tblMaster[Unique ID], tblMaster[Recruitment Cycle], ""), "")</f>
        <v xml:space="preserve">Re-Engagment/Post Civil Service Exam </v>
      </c>
      <c r="H56" s="3"/>
      <c r="I56" s="3"/>
    </row>
    <row r="57" spans="1:9">
      <c r="A57" t="s">
        <v>8407</v>
      </c>
      <c r="B57" t="str">
        <f>IFERROR(_xlfn.XLOOKUP(lstEligible[[#This Row],[Unique ID]], tblMaster[Unique ID], tblMaster[First Name], ""), "")</f>
        <v xml:space="preserve">Dante </v>
      </c>
      <c r="C57" t="str">
        <f>IFERROR(_xlfn.XLOOKUP(lstEligible[[#This Row],[Unique ID]], tblMaster[Unique ID], tblMaster[Last Name], ""), "")</f>
        <v xml:space="preserve"> Duqueestrada </v>
      </c>
      <c r="D57" t="str">
        <f>IFERROR(_xlfn.XLOOKUP(lstEligible[[#This Row],[Unique ID]], tblMaster[Unique ID], tblMaster[Email_Clean], ""), "")</f>
        <v>danteheyyy@icloud.com</v>
      </c>
      <c r="E57" t="str">
        <f>IFERROR(_xlfn.XLOOKUP(lstEligible[[#This Row],[Unique ID]], tblMaster[Unique ID], tblMaster[Phone], ""), "")</f>
        <v>774-364-3886</v>
      </c>
      <c r="F57" t="str">
        <f>IFERROR(_xlfn.XLOOKUP(lstEligible[[#This Row],[Unique ID]], tblMaster[Unique ID], tblMaster[Recruiter], ""), "")</f>
        <v xml:space="preserve">Jevon Brown Simpson </v>
      </c>
      <c r="G57" t="str">
        <f>IFERROR(_xlfn.XLOOKUP(lstEligible[[#This Row],[Unique ID]], tblMaster[Unique ID], tblMaster[Recruitment Cycle], ""), "")</f>
        <v xml:space="preserve">Re-Engagment/Post Civil Service Exam </v>
      </c>
      <c r="H57" s="3"/>
      <c r="I57" s="3"/>
    </row>
    <row r="58" spans="1:9">
      <c r="A58" t="s">
        <v>8007</v>
      </c>
      <c r="B58" t="str">
        <f>IFERROR(_xlfn.XLOOKUP(lstEligible[[#This Row],[Unique ID]], tblMaster[Unique ID], tblMaster[First Name], ""), "")</f>
        <v xml:space="preserve">Antony </v>
      </c>
      <c r="C58" t="str">
        <f>IFERROR(_xlfn.XLOOKUP(lstEligible[[#This Row],[Unique ID]], tblMaster[Unique ID], tblMaster[Last Name], ""), "")</f>
        <v xml:space="preserve"> Perez </v>
      </c>
      <c r="D58" t="str">
        <f>IFERROR(_xlfn.XLOOKUP(lstEligible[[#This Row],[Unique ID]], tblMaster[Unique ID], tblMaster[Email_Clean], ""), "")</f>
        <v>perez.antonyj@gmail.com</v>
      </c>
      <c r="E58" t="str">
        <f>IFERROR(_xlfn.XLOOKUP(lstEligible[[#This Row],[Unique ID]], tblMaster[Unique ID], tblMaster[Phone], ""), "")</f>
        <v xml:space="preserve">774-578-1558 </v>
      </c>
      <c r="F58" t="str">
        <f>IFERROR(_xlfn.XLOOKUP(lstEligible[[#This Row],[Unique ID]], tblMaster[Unique ID], tblMaster[Recruiter], ""), "")</f>
        <v xml:space="preserve">Jevon Brown Simpson </v>
      </c>
      <c r="G58" t="str">
        <f>IFERROR(_xlfn.XLOOKUP(lstEligible[[#This Row],[Unique ID]], tblMaster[Unique ID], tblMaster[Recruitment Cycle], ""), "")</f>
        <v xml:space="preserve">Re-Engagment/Post Civil Service Exam </v>
      </c>
      <c r="H58" s="3"/>
      <c r="I58" s="3"/>
    </row>
    <row r="59" spans="1:9">
      <c r="A59" t="s">
        <v>8408</v>
      </c>
      <c r="B59" t="str">
        <f>IFERROR(_xlfn.XLOOKUP(lstEligible[[#This Row],[Unique ID]], tblMaster[Unique ID], tblMaster[First Name], ""), "")</f>
        <v>Loujeames</v>
      </c>
      <c r="C59" t="str">
        <f>IFERROR(_xlfn.XLOOKUP(lstEligible[[#This Row],[Unique ID]], tblMaster[Unique ID], tblMaster[Last Name], ""), "")</f>
        <v>Jusmé</v>
      </c>
      <c r="D59" t="str">
        <f>IFERROR(_xlfn.XLOOKUP(lstEligible[[#This Row],[Unique ID]], tblMaster[Unique ID], tblMaster[Email_Clean], ""), "")</f>
        <v>jusmloujeames@yahoo.com</v>
      </c>
      <c r="E59" t="str">
        <f>IFERROR(_xlfn.XLOOKUP(lstEligible[[#This Row],[Unique ID]], tblMaster[Unique ID], tblMaster[Phone], ""), "")</f>
        <v>(781) 308-0638</v>
      </c>
      <c r="F59" t="str">
        <f>IFERROR(_xlfn.XLOOKUP(lstEligible[[#This Row],[Unique ID]], tblMaster[Unique ID], tblMaster[Recruiter], ""), "")</f>
        <v>Zenon Moses</v>
      </c>
      <c r="G59" t="str">
        <f>IFERROR(_xlfn.XLOOKUP(lstEligible[[#This Row],[Unique ID]], tblMaster[Unique ID], tblMaster[Recruitment Cycle], ""), "")</f>
        <v xml:space="preserve">Re-Engagment/Post Civil Service Exam </v>
      </c>
      <c r="H59" s="3"/>
      <c r="I59" s="3"/>
    </row>
    <row r="60" spans="1:9">
      <c r="A60" t="s">
        <v>8409</v>
      </c>
      <c r="B60" t="str">
        <f>IFERROR(_xlfn.XLOOKUP(lstEligible[[#This Row],[Unique ID]], tblMaster[Unique ID], tblMaster[First Name], ""), "")</f>
        <v xml:space="preserve">Jay' Len </v>
      </c>
      <c r="C60" t="str">
        <f>IFERROR(_xlfn.XLOOKUP(lstEligible[[#This Row],[Unique ID]], tblMaster[Unique ID], tblMaster[Last Name], ""), "")</f>
        <v xml:space="preserve"> Mahan </v>
      </c>
      <c r="D60" t="str">
        <f>IFERROR(_xlfn.XLOOKUP(lstEligible[[#This Row],[Unique ID]], tblMaster[Unique ID], tblMaster[Email_Clean], ""), "")</f>
        <v>jaylen.mahan11@yahoo.com</v>
      </c>
      <c r="E60" t="str">
        <f>IFERROR(_xlfn.XLOOKUP(lstEligible[[#This Row],[Unique ID]], tblMaster[Unique ID], tblMaster[Phone], ""), "")</f>
        <v xml:space="preserve">(203) 349-0017 </v>
      </c>
      <c r="F60" t="str">
        <f>IFERROR(_xlfn.XLOOKUP(lstEligible[[#This Row],[Unique ID]], tblMaster[Unique ID], tblMaster[Recruiter], ""), "")</f>
        <v>Zenon Moses</v>
      </c>
      <c r="G60" t="str">
        <f>IFERROR(_xlfn.XLOOKUP(lstEligible[[#This Row],[Unique ID]], tblMaster[Unique ID], tblMaster[Recruitment Cycle], ""), "")</f>
        <v xml:space="preserve">Re-Engagment/Post Civil Service Exam </v>
      </c>
      <c r="H60" s="3"/>
      <c r="I60" s="3"/>
    </row>
    <row r="61" spans="1:9">
      <c r="A61" t="s">
        <v>8410</v>
      </c>
      <c r="B61" t="str">
        <f>IFERROR(_xlfn.XLOOKUP(lstEligible[[#This Row],[Unique ID]], tblMaster[Unique ID], tblMaster[First Name], ""), "")</f>
        <v xml:space="preserve">Eugene </v>
      </c>
      <c r="C61" t="str">
        <f>IFERROR(_xlfn.XLOOKUP(lstEligible[[#This Row],[Unique ID]], tblMaster[Unique ID], tblMaster[Last Name], ""), "")</f>
        <v xml:space="preserve">Opong </v>
      </c>
      <c r="D61" t="str">
        <f>IFERROR(_xlfn.XLOOKUP(lstEligible[[#This Row],[Unique ID]], tblMaster[Unique ID], tblMaster[Email_Clean], ""), "")</f>
        <v>opongeugene@gmail.com</v>
      </c>
      <c r="E61" t="str">
        <f>IFERROR(_xlfn.XLOOKUP(lstEligible[[#This Row],[Unique ID]], tblMaster[Unique ID], tblMaster[Phone], ""), "")</f>
        <v>774-701-4827</v>
      </c>
      <c r="F61" t="str">
        <f>IFERROR(_xlfn.XLOOKUP(lstEligible[[#This Row],[Unique ID]], tblMaster[Unique ID], tblMaster[Recruiter], ""), "")</f>
        <v>Zenon Moses</v>
      </c>
      <c r="G61" t="str">
        <f>IFERROR(_xlfn.XLOOKUP(lstEligible[[#This Row],[Unique ID]], tblMaster[Unique ID], tblMaster[Recruitment Cycle], ""), "")</f>
        <v xml:space="preserve">Re-Engagment/Post Civil Service Exam </v>
      </c>
      <c r="H61" s="3"/>
      <c r="I61" s="3"/>
    </row>
    <row r="62" spans="1:9">
      <c r="A62" t="s">
        <v>8573</v>
      </c>
      <c r="B62" t="str">
        <f>IFERROR(_xlfn.XLOOKUP(lstEligible[[#This Row],[Unique ID]], tblMaster[Unique ID], tblMaster[First Name], ""), "")</f>
        <v/>
      </c>
      <c r="C62" t="str">
        <f>IFERROR(_xlfn.XLOOKUP(lstEligible[[#This Row],[Unique ID]], tblMaster[Unique ID], tblMaster[Last Name], ""), "")</f>
        <v/>
      </c>
      <c r="D62" t="str">
        <f>IFERROR(_xlfn.XLOOKUP(lstEligible[[#This Row],[Unique ID]], tblMaster[Unique ID], tblMaster[Email_Clean], ""), "")</f>
        <v/>
      </c>
      <c r="E62" t="str">
        <f>IFERROR(_xlfn.XLOOKUP(lstEligible[[#This Row],[Unique ID]], tblMaster[Unique ID], tblMaster[Phone], ""), "")</f>
        <v/>
      </c>
      <c r="F62" t="str">
        <f>IFERROR(_xlfn.XLOOKUP(lstEligible[[#This Row],[Unique ID]], tblMaster[Unique ID], tblMaster[Recruiter], ""), "")</f>
        <v/>
      </c>
      <c r="G62" t="str">
        <f>IFERROR(_xlfn.XLOOKUP(lstEligible[[#This Row],[Unique ID]], tblMaster[Unique ID], tblMaster[Recruitment Cycle], ""), "")</f>
        <v/>
      </c>
      <c r="H62" s="3"/>
      <c r="I62" s="3"/>
    </row>
    <row r="63" spans="1:9">
      <c r="A63" t="s">
        <v>8411</v>
      </c>
      <c r="B63" t="str">
        <f>IFERROR(_xlfn.XLOOKUP(lstEligible[[#This Row],[Unique ID]], tblMaster[Unique ID], tblMaster[First Name], ""), "")</f>
        <v xml:space="preserve">Alec </v>
      </c>
      <c r="C63" t="str">
        <f>IFERROR(_xlfn.XLOOKUP(lstEligible[[#This Row],[Unique ID]], tblMaster[Unique ID], tblMaster[Last Name], ""), "")</f>
        <v xml:space="preserve">Turner </v>
      </c>
      <c r="D63" t="str">
        <f>IFERROR(_xlfn.XLOOKUP(lstEligible[[#This Row],[Unique ID]], tblMaster[Unique ID], tblMaster[Email_Clean], ""), "")</f>
        <v>aturnerbuisness@aol.com</v>
      </c>
      <c r="E63" t="str">
        <f>IFERROR(_xlfn.XLOOKUP(lstEligible[[#This Row],[Unique ID]], tblMaster[Unique ID], tblMaster[Phone], ""), "")</f>
        <v>774-280-9071</v>
      </c>
      <c r="F63" t="str">
        <f>IFERROR(_xlfn.XLOOKUP(lstEligible[[#This Row],[Unique ID]], tblMaster[Unique ID], tblMaster[Recruiter], ""), "")</f>
        <v>Zenon Moses</v>
      </c>
      <c r="G63" t="str">
        <f>IFERROR(_xlfn.XLOOKUP(lstEligible[[#This Row],[Unique ID]], tblMaster[Unique ID], tblMaster[Recruitment Cycle], ""), "")</f>
        <v xml:space="preserve">Re-Engagment/Post Civil Service Exam </v>
      </c>
      <c r="H63" s="3"/>
      <c r="I63" s="3"/>
    </row>
    <row r="64" spans="1:9">
      <c r="A64" t="s">
        <v>8412</v>
      </c>
      <c r="B64" t="str">
        <f>IFERROR(_xlfn.XLOOKUP(lstEligible[[#This Row],[Unique ID]], tblMaster[Unique ID], tblMaster[First Name], ""), "")</f>
        <v>Pouchon</v>
      </c>
      <c r="C64" t="str">
        <f>IFERROR(_xlfn.XLOOKUP(lstEligible[[#This Row],[Unique ID]], tblMaster[Unique ID], tblMaster[Last Name], ""), "")</f>
        <v>Henry</v>
      </c>
      <c r="D64" t="str">
        <f>IFERROR(_xlfn.XLOOKUP(lstEligible[[#This Row],[Unique ID]], tblMaster[Unique ID], tblMaster[Email_Clean], ""), "")</f>
        <v>pouchonh1999@gmail.com</v>
      </c>
      <c r="E64" t="str">
        <f>IFERROR(_xlfn.XLOOKUP(lstEligible[[#This Row],[Unique ID]], tblMaster[Unique ID], tblMaster[Phone], ""), "")</f>
        <v>(857) 991-7598</v>
      </c>
      <c r="F64" t="str">
        <f>IFERROR(_xlfn.XLOOKUP(lstEligible[[#This Row],[Unique ID]], tblMaster[Unique ID], tblMaster[Recruiter], ""), "")</f>
        <v xml:space="preserve">Jevon Brown Simpson </v>
      </c>
      <c r="G64" t="str">
        <f>IFERROR(_xlfn.XLOOKUP(lstEligible[[#This Row],[Unique ID]], tblMaster[Unique ID], tblMaster[Recruitment Cycle], ""), "")</f>
        <v xml:space="preserve">Re-Engagment/Post Civil Service Exam </v>
      </c>
      <c r="H64" s="3"/>
      <c r="I64" s="3"/>
    </row>
    <row r="65" spans="1:9">
      <c r="A65" t="s">
        <v>8413</v>
      </c>
      <c r="B65" t="str">
        <f>IFERROR(_xlfn.XLOOKUP(lstEligible[[#This Row],[Unique ID]], tblMaster[Unique ID], tblMaster[First Name], ""), "")</f>
        <v>Ruth</v>
      </c>
      <c r="C65" t="str">
        <f>IFERROR(_xlfn.XLOOKUP(lstEligible[[#This Row],[Unique ID]], tblMaster[Unique ID], tblMaster[Last Name], ""), "")</f>
        <v>Luna</v>
      </c>
      <c r="D65" t="str">
        <f>IFERROR(_xlfn.XLOOKUP(lstEligible[[#This Row],[Unique ID]], tblMaster[Unique ID], tblMaster[Email_Clean], ""), "")</f>
        <v>ruthyluna1008@gmail.com</v>
      </c>
      <c r="E65">
        <f>IFERROR(_xlfn.XLOOKUP(lstEligible[[#This Row],[Unique ID]], tblMaster[Unique ID], tblMaster[Phone], ""), "")</f>
        <v>5080637899</v>
      </c>
      <c r="F65" t="str">
        <f>IFERROR(_xlfn.XLOOKUP(lstEligible[[#This Row],[Unique ID]], tblMaster[Unique ID], tblMaster[Recruiter], ""), "")</f>
        <v xml:space="preserve">Jevon Brown Simpson </v>
      </c>
      <c r="G65" t="str">
        <f>IFERROR(_xlfn.XLOOKUP(lstEligible[[#This Row],[Unique ID]], tblMaster[Unique ID], tblMaster[Recruitment Cycle], ""), "")</f>
        <v xml:space="preserve">Re-Engagment/Post Civil Service Exam </v>
      </c>
      <c r="H65" s="3"/>
      <c r="I65" s="3"/>
    </row>
    <row r="66" spans="1:9">
      <c r="A66" t="s">
        <v>8414</v>
      </c>
      <c r="B66" t="str">
        <f>IFERROR(_xlfn.XLOOKUP(lstEligible[[#This Row],[Unique ID]], tblMaster[Unique ID], tblMaster[First Name], ""), "")</f>
        <v xml:space="preserve">Diana </v>
      </c>
      <c r="C66" t="str">
        <f>IFERROR(_xlfn.XLOOKUP(lstEligible[[#This Row],[Unique ID]], tblMaster[Unique ID], tblMaster[Last Name], ""), "")</f>
        <v xml:space="preserve"> Palacio </v>
      </c>
      <c r="D66" t="str">
        <f>IFERROR(_xlfn.XLOOKUP(lstEligible[[#This Row],[Unique ID]], tblMaster[Unique ID], tblMaster[Email_Clean], ""), "")</f>
        <v>dianap_1981@hotmail.com</v>
      </c>
      <c r="E66" t="str">
        <f>IFERROR(_xlfn.XLOOKUP(lstEligible[[#This Row],[Unique ID]], tblMaster[Unique ID], tblMaster[Phone], ""), "")</f>
        <v xml:space="preserve">(401) 574-6430 </v>
      </c>
      <c r="F66" t="str">
        <f>IFERROR(_xlfn.XLOOKUP(lstEligible[[#This Row],[Unique ID]], tblMaster[Unique ID], tblMaster[Recruiter], ""), "")</f>
        <v xml:space="preserve">Jevon Brown Simpson </v>
      </c>
      <c r="G66" t="str">
        <f>IFERROR(_xlfn.XLOOKUP(lstEligible[[#This Row],[Unique ID]], tblMaster[Unique ID], tblMaster[Recruitment Cycle], ""), "")</f>
        <v xml:space="preserve">Re-Engagment/Post Civil Service Exam </v>
      </c>
      <c r="H66" s="3"/>
      <c r="I66" s="3"/>
    </row>
    <row r="67" spans="1:9">
      <c r="A67" t="s">
        <v>8415</v>
      </c>
      <c r="B67" t="str">
        <f>IFERROR(_xlfn.XLOOKUP(lstEligible[[#This Row],[Unique ID]], tblMaster[Unique ID], tblMaster[First Name], ""), "")</f>
        <v xml:space="preserve">Kyle </v>
      </c>
      <c r="C67" t="str">
        <f>IFERROR(_xlfn.XLOOKUP(lstEligible[[#This Row],[Unique ID]], tblMaster[Unique ID], tblMaster[Last Name], ""), "")</f>
        <v xml:space="preserve">Theriault </v>
      </c>
      <c r="D67" t="str">
        <f>IFERROR(_xlfn.XLOOKUP(lstEligible[[#This Row],[Unique ID]], tblMaster[Unique ID], tblMaster[Email_Clean], ""), "")</f>
        <v>kyletheriault50@gmail.com</v>
      </c>
      <c r="E67" t="str">
        <f>IFERROR(_xlfn.XLOOKUP(lstEligible[[#This Row],[Unique ID]], tblMaster[Unique ID], tblMaster[Phone], ""), "")</f>
        <v xml:space="preserve">774-461-5025 </v>
      </c>
      <c r="F67" t="str">
        <f>IFERROR(_xlfn.XLOOKUP(lstEligible[[#This Row],[Unique ID]], tblMaster[Unique ID], tblMaster[Recruiter], ""), "")</f>
        <v xml:space="preserve">Jevon Brown Simpson </v>
      </c>
      <c r="G67" t="str">
        <f>IFERROR(_xlfn.XLOOKUP(lstEligible[[#This Row],[Unique ID]], tblMaster[Unique ID], tblMaster[Recruitment Cycle], ""), "")</f>
        <v xml:space="preserve">Re-Engagment/Post Civil Service Exam </v>
      </c>
      <c r="H67" s="3"/>
      <c r="I67" s="3"/>
    </row>
    <row r="68" spans="1:9">
      <c r="A68" t="s">
        <v>8416</v>
      </c>
      <c r="B68" t="str">
        <f>IFERROR(_xlfn.XLOOKUP(lstEligible[[#This Row],[Unique ID]], tblMaster[Unique ID], tblMaster[First Name], ""), "")</f>
        <v>Nathaly</v>
      </c>
      <c r="C68" t="str">
        <f>IFERROR(_xlfn.XLOOKUP(lstEligible[[#This Row],[Unique ID]], tblMaster[Unique ID], tblMaster[Last Name], ""), "")</f>
        <v>Torres</v>
      </c>
      <c r="D68" t="str">
        <f>IFERROR(_xlfn.XLOOKUP(lstEligible[[#This Row],[Unique ID]], tblMaster[Unique ID], tblMaster[Email_Clean], ""), "")</f>
        <v>nathalytorresveras65@gmail.com</v>
      </c>
      <c r="E68" t="str">
        <f>IFERROR(_xlfn.XLOOKUP(lstEligible[[#This Row],[Unique ID]], tblMaster[Unique ID], tblMaster[Phone], ""), "")</f>
        <v>786-750-1902</v>
      </c>
      <c r="F68" t="str">
        <f>IFERROR(_xlfn.XLOOKUP(lstEligible[[#This Row],[Unique ID]], tblMaster[Unique ID], tblMaster[Recruiter], ""), "")</f>
        <v xml:space="preserve">Jevon Brown Simpson </v>
      </c>
      <c r="G68" t="str">
        <f>IFERROR(_xlfn.XLOOKUP(lstEligible[[#This Row],[Unique ID]], tblMaster[Unique ID], tblMaster[Recruitment Cycle], ""), "")</f>
        <v xml:space="preserve">Re-Engagment/Post Civil Service Exam </v>
      </c>
      <c r="H68" s="3"/>
      <c r="I68" s="3"/>
    </row>
    <row r="69" spans="1:9">
      <c r="A69" t="s">
        <v>8417</v>
      </c>
      <c r="B69" t="str">
        <f>IFERROR(_xlfn.XLOOKUP(lstEligible[[#This Row],[Unique ID]], tblMaster[Unique ID], tblMaster[First Name], ""), "")</f>
        <v>Taiana (Cassandra)</v>
      </c>
      <c r="C69" t="str">
        <f>IFERROR(_xlfn.XLOOKUP(lstEligible[[#This Row],[Unique ID]], tblMaster[Unique ID], tblMaster[Last Name], ""), "")</f>
        <v>Pierre-Louis</v>
      </c>
      <c r="D69" t="str">
        <f>IFERROR(_xlfn.XLOOKUP(lstEligible[[#This Row],[Unique ID]], tblMaster[Unique ID], tblMaster[Email_Clean], ""), "")</f>
        <v>taiouetrey11@gmail.com</v>
      </c>
      <c r="E69" t="str">
        <f>IFERROR(_xlfn.XLOOKUP(lstEligible[[#This Row],[Unique ID]], tblMaster[Unique ID], tblMaster[Phone], ""), "")</f>
        <v>617-750-3873</v>
      </c>
      <c r="F69" t="str">
        <f>IFERROR(_xlfn.XLOOKUP(lstEligible[[#This Row],[Unique ID]], tblMaster[Unique ID], tblMaster[Recruiter], ""), "")</f>
        <v>Zenon Moses</v>
      </c>
      <c r="G69" t="str">
        <f>IFERROR(_xlfn.XLOOKUP(lstEligible[[#This Row],[Unique ID]], tblMaster[Unique ID], tblMaster[Recruitment Cycle], ""), "")</f>
        <v xml:space="preserve">Re-Engagment/Post Civil Service Exam </v>
      </c>
      <c r="H69" s="3"/>
      <c r="I69" s="3"/>
    </row>
    <row r="70" spans="1:9">
      <c r="A70" t="s">
        <v>8418</v>
      </c>
      <c r="B70" t="str">
        <f>IFERROR(_xlfn.XLOOKUP(lstEligible[[#This Row],[Unique ID]], tblMaster[Unique ID], tblMaster[First Name], ""), "")</f>
        <v>Michael</v>
      </c>
      <c r="C70" t="str">
        <f>IFERROR(_xlfn.XLOOKUP(lstEligible[[#This Row],[Unique ID]], tblMaster[Unique ID], tblMaster[Last Name], ""), "")</f>
        <v>Mensah</v>
      </c>
      <c r="D70" t="str">
        <f>IFERROR(_xlfn.XLOOKUP(lstEligible[[#This Row],[Unique ID]], tblMaster[Unique ID], tblMaster[Email_Clean], ""), "")</f>
        <v>mensgends@yahoo.com</v>
      </c>
      <c r="E70" t="str">
        <f>IFERROR(_xlfn.XLOOKUP(lstEligible[[#This Row],[Unique ID]], tblMaster[Unique ID], tblMaster[Phone], ""), "")</f>
        <v>413-218-9289</v>
      </c>
      <c r="F70" t="str">
        <f>IFERROR(_xlfn.XLOOKUP(lstEligible[[#This Row],[Unique ID]], tblMaster[Unique ID], tblMaster[Recruiter], ""), "")</f>
        <v>Zenon Moses</v>
      </c>
      <c r="G70" t="str">
        <f>IFERROR(_xlfn.XLOOKUP(lstEligible[[#This Row],[Unique ID]], tblMaster[Unique ID], tblMaster[Recruitment Cycle], ""), "")</f>
        <v xml:space="preserve">Re-Engagment/Post Civil Service Exam </v>
      </c>
      <c r="H70" s="3"/>
      <c r="I70" s="3"/>
    </row>
    <row r="71" spans="1:9">
      <c r="A71" t="s">
        <v>8419</v>
      </c>
      <c r="B71" t="str">
        <f>IFERROR(_xlfn.XLOOKUP(lstEligible[[#This Row],[Unique ID]], tblMaster[Unique ID], tblMaster[First Name], ""), "")</f>
        <v>Mohammad</v>
      </c>
      <c r="C71" t="str">
        <f>IFERROR(_xlfn.XLOOKUP(lstEligible[[#This Row],[Unique ID]], tblMaster[Unique ID], tblMaster[Last Name], ""), "")</f>
        <v>Abdullh Al Mamun</v>
      </c>
      <c r="D71" t="str">
        <f>IFERROR(_xlfn.XLOOKUP(lstEligible[[#This Row],[Unique ID]], tblMaster[Unique ID], tblMaster[Email_Clean], ""), "")</f>
        <v>mamunbabu@hotmail.com</v>
      </c>
      <c r="E71" t="str">
        <f>IFERROR(_xlfn.XLOOKUP(lstEligible[[#This Row],[Unique ID]], tblMaster[Unique ID], tblMaster[Phone], ""), "")</f>
        <v>857)381-8871</v>
      </c>
      <c r="F71" t="str">
        <f>IFERROR(_xlfn.XLOOKUP(lstEligible[[#This Row],[Unique ID]], tblMaster[Unique ID], tblMaster[Recruiter], ""), "")</f>
        <v xml:space="preserve">Jevon Brown Simpson </v>
      </c>
      <c r="G71" t="str">
        <f>IFERROR(_xlfn.XLOOKUP(lstEligible[[#This Row],[Unique ID]], tblMaster[Unique ID], tblMaster[Recruitment Cycle], ""), "")</f>
        <v xml:space="preserve">Re-Engagment/Post Civil Service Exam </v>
      </c>
      <c r="H71" s="3"/>
      <c r="I71" s="3"/>
    </row>
    <row r="72" spans="1:9">
      <c r="A72" t="s">
        <v>8420</v>
      </c>
      <c r="B72" t="str">
        <f>IFERROR(_xlfn.XLOOKUP(lstEligible[[#This Row],[Unique ID]], tblMaster[Unique ID], tblMaster[First Name], ""), "")</f>
        <v>Emmanuel</v>
      </c>
      <c r="C72" t="str">
        <f>IFERROR(_xlfn.XLOOKUP(lstEligible[[#This Row],[Unique ID]], tblMaster[Unique ID], tblMaster[Last Name], ""), "")</f>
        <v xml:space="preserve"> Gelin </v>
      </c>
      <c r="D72" t="str">
        <f>IFERROR(_xlfn.XLOOKUP(lstEligible[[#This Row],[Unique ID]], tblMaster[Unique ID], tblMaster[Email_Clean], ""), "")</f>
        <v>emmge90@gmail.com</v>
      </c>
      <c r="E72" t="str">
        <f>IFERROR(_xlfn.XLOOKUP(lstEligible[[#This Row],[Unique ID]], tblMaster[Unique ID], tblMaster[Phone], ""), "")</f>
        <v>857-888-7328</v>
      </c>
      <c r="F72">
        <f>IFERROR(_xlfn.XLOOKUP(lstEligible[[#This Row],[Unique ID]], tblMaster[Unique ID], tblMaster[Recruiter], ""), "")</f>
        <v>0</v>
      </c>
      <c r="G72" t="str">
        <f>IFERROR(_xlfn.XLOOKUP(lstEligible[[#This Row],[Unique ID]], tblMaster[Unique ID], tblMaster[Recruitment Cycle], ""), "")</f>
        <v xml:space="preserve">Re-Engagment/Post Civil Service Exam </v>
      </c>
      <c r="H72" s="3"/>
      <c r="I72" s="3"/>
    </row>
    <row r="73" spans="1:9">
      <c r="A73" t="s">
        <v>8421</v>
      </c>
      <c r="B73" t="str">
        <f>IFERROR(_xlfn.XLOOKUP(lstEligible[[#This Row],[Unique ID]], tblMaster[Unique ID], tblMaster[First Name], ""), "")</f>
        <v>Saliim</v>
      </c>
      <c r="C73" t="str">
        <f>IFERROR(_xlfn.XLOOKUP(lstEligible[[#This Row],[Unique ID]], tblMaster[Unique ID], tblMaster[Last Name], ""), "")</f>
        <v>Lee</v>
      </c>
      <c r="D73" t="str">
        <f>IFERROR(_xlfn.XLOOKUP(lstEligible[[#This Row],[Unique ID]], tblMaster[Unique ID], tblMaster[Email_Clean], ""), "")</f>
        <v>saliimlee@outlook.com</v>
      </c>
      <c r="E73" t="str">
        <f>IFERROR(_xlfn.XLOOKUP(lstEligible[[#This Row],[Unique ID]], tblMaster[Unique ID], tblMaster[Phone], ""), "")</f>
        <v>(617) 206-0905</v>
      </c>
      <c r="F73" t="str">
        <f>IFERROR(_xlfn.XLOOKUP(lstEligible[[#This Row],[Unique ID]], tblMaster[Unique ID], tblMaster[Recruiter], ""), "")</f>
        <v xml:space="preserve">Jevon Brown Simpson </v>
      </c>
      <c r="G73" t="str">
        <f>IFERROR(_xlfn.XLOOKUP(lstEligible[[#This Row],[Unique ID]], tblMaster[Unique ID], tblMaster[Recruitment Cycle], ""), "")</f>
        <v xml:space="preserve">Re-Engagment/Post Civil Service Exam </v>
      </c>
      <c r="H73" s="3"/>
      <c r="I73" s="3"/>
    </row>
    <row r="74" spans="1:9">
      <c r="A74" t="s">
        <v>8422</v>
      </c>
      <c r="B74" t="str">
        <f>IFERROR(_xlfn.XLOOKUP(lstEligible[[#This Row],[Unique ID]], tblMaster[Unique ID], tblMaster[First Name], ""), "")</f>
        <v xml:space="preserve">Tanike </v>
      </c>
      <c r="C74" t="str">
        <f>IFERROR(_xlfn.XLOOKUP(lstEligible[[#This Row],[Unique ID]], tblMaster[Unique ID], tblMaster[Last Name], ""), "")</f>
        <v>Thrope</v>
      </c>
      <c r="D74" t="str">
        <f>IFERROR(_xlfn.XLOOKUP(lstEligible[[#This Row],[Unique ID]], tblMaster[Unique ID], tblMaster[Email_Clean], ""), "")</f>
        <v>tanikethorpe@gmail.com</v>
      </c>
      <c r="E74" t="str">
        <f>IFERROR(_xlfn.XLOOKUP(lstEligible[[#This Row],[Unique ID]], tblMaster[Unique ID], tblMaster[Phone], ""), "")</f>
        <v xml:space="preserve">754-284-8887 </v>
      </c>
      <c r="F74" t="str">
        <f>IFERROR(_xlfn.XLOOKUP(lstEligible[[#This Row],[Unique ID]], tblMaster[Unique ID], tblMaster[Recruiter], ""), "")</f>
        <v>Zenon Moses</v>
      </c>
      <c r="G74" t="str">
        <f>IFERROR(_xlfn.XLOOKUP(lstEligible[[#This Row],[Unique ID]], tblMaster[Unique ID], tblMaster[Recruitment Cycle], ""), "")</f>
        <v xml:space="preserve">Re-Engagment/Post Civil Service Exam </v>
      </c>
      <c r="H74" s="3"/>
      <c r="I74" s="3"/>
    </row>
    <row r="75" spans="1:9">
      <c r="A75" t="s">
        <v>8423</v>
      </c>
      <c r="B75" t="str">
        <f>IFERROR(_xlfn.XLOOKUP(lstEligible[[#This Row],[Unique ID]], tblMaster[Unique ID], tblMaster[First Name], ""), "")</f>
        <v xml:space="preserve">Erica </v>
      </c>
      <c r="C75" t="str">
        <f>IFERROR(_xlfn.XLOOKUP(lstEligible[[#This Row],[Unique ID]], tblMaster[Unique ID], tblMaster[Last Name], ""), "")</f>
        <v xml:space="preserve">Cruz </v>
      </c>
      <c r="D75" t="str">
        <f>IFERROR(_xlfn.XLOOKUP(lstEligible[[#This Row],[Unique ID]], tblMaster[Unique ID], tblMaster[Email_Clean], ""), "")</f>
        <v>tru3lov30983@icloud.com</v>
      </c>
      <c r="E75" t="str">
        <f>IFERROR(_xlfn.XLOOKUP(lstEligible[[#This Row],[Unique ID]], tblMaster[Unique ID], tblMaster[Phone], ""), "")</f>
        <v>860-997-0943</v>
      </c>
      <c r="F75" t="str">
        <f>IFERROR(_xlfn.XLOOKUP(lstEligible[[#This Row],[Unique ID]], tblMaster[Unique ID], tblMaster[Recruiter], ""), "")</f>
        <v>Zenon Moses</v>
      </c>
      <c r="G75" t="str">
        <f>IFERROR(_xlfn.XLOOKUP(lstEligible[[#This Row],[Unique ID]], tblMaster[Unique ID], tblMaster[Recruitment Cycle], ""), "")</f>
        <v xml:space="preserve">Re-Engagment/Post Civil Service Exam </v>
      </c>
      <c r="H75" s="3"/>
      <c r="I75" s="3"/>
    </row>
    <row r="76" spans="1:9">
      <c r="A76" t="s">
        <v>8424</v>
      </c>
      <c r="B76" t="str">
        <f>IFERROR(_xlfn.XLOOKUP(lstEligible[[#This Row],[Unique ID]], tblMaster[Unique ID], tblMaster[First Name], ""), "")</f>
        <v>Keith</v>
      </c>
      <c r="C76" t="str">
        <f>IFERROR(_xlfn.XLOOKUP(lstEligible[[#This Row],[Unique ID]], tblMaster[Unique ID], tblMaster[Last Name], ""), "")</f>
        <v>Pontes</v>
      </c>
      <c r="D76" t="str">
        <f>IFERROR(_xlfn.XLOOKUP(lstEligible[[#This Row],[Unique ID]], tblMaster[Unique ID], tblMaster[Email_Clean], ""), "")</f>
        <v>kgp553@gmail.com</v>
      </c>
      <c r="E76" t="str">
        <f>IFERROR(_xlfn.XLOOKUP(lstEligible[[#This Row],[Unique ID]], tblMaster[Unique ID], tblMaster[Phone], ""), "")</f>
        <v>401-398-9472</v>
      </c>
      <c r="F76" t="str">
        <f>IFERROR(_xlfn.XLOOKUP(lstEligible[[#This Row],[Unique ID]], tblMaster[Unique ID], tblMaster[Recruiter], ""), "")</f>
        <v xml:space="preserve">Tom Clark </v>
      </c>
      <c r="G76" t="str">
        <f>IFERROR(_xlfn.XLOOKUP(lstEligible[[#This Row],[Unique ID]], tblMaster[Unique ID], tblMaster[Recruitment Cycle], ""), "")</f>
        <v xml:space="preserve">Re-Engagment/Post Civil Service Exam </v>
      </c>
      <c r="H76" s="3"/>
      <c r="I76" s="3"/>
    </row>
    <row r="77" spans="1:9">
      <c r="A77" t="s">
        <v>8425</v>
      </c>
      <c r="B77" t="str">
        <f>IFERROR(_xlfn.XLOOKUP(lstEligible[[#This Row],[Unique ID]], tblMaster[Unique ID], tblMaster[First Name], ""), "")</f>
        <v>Luke</v>
      </c>
      <c r="C77" t="str">
        <f>IFERROR(_xlfn.XLOOKUP(lstEligible[[#This Row],[Unique ID]], tblMaster[Unique ID], tblMaster[Last Name], ""), "")</f>
        <v>Rowe</v>
      </c>
      <c r="D77" t="str">
        <f>IFERROR(_xlfn.XLOOKUP(lstEligible[[#This Row],[Unique ID]], tblMaster[Unique ID], tblMaster[Email_Clean], ""), "")</f>
        <v>roweluke57@gmail.com</v>
      </c>
      <c r="E77" t="str">
        <f>IFERROR(_xlfn.XLOOKUP(lstEligible[[#This Row],[Unique ID]], tblMaster[Unique ID], tblMaster[Phone], ""), "")</f>
        <v>508-558-6145</v>
      </c>
      <c r="F77" t="str">
        <f>IFERROR(_xlfn.XLOOKUP(lstEligible[[#This Row],[Unique ID]], tblMaster[Unique ID], tblMaster[Recruiter], ""), "")</f>
        <v xml:space="preserve">Jevon Brown Simpson </v>
      </c>
      <c r="G77" t="str">
        <f>IFERROR(_xlfn.XLOOKUP(lstEligible[[#This Row],[Unique ID]], tblMaster[Unique ID], tblMaster[Recruitment Cycle], ""), "")</f>
        <v xml:space="preserve">Re-Engagment/Post Civil Service Exam </v>
      </c>
      <c r="H77" s="3"/>
      <c r="I77" s="3"/>
    </row>
    <row r="78" spans="1:9">
      <c r="A78" t="s">
        <v>8426</v>
      </c>
      <c r="B78" t="str">
        <f>IFERROR(_xlfn.XLOOKUP(lstEligible[[#This Row],[Unique ID]], tblMaster[Unique ID], tblMaster[First Name], ""), "")</f>
        <v xml:space="preserve">Jessica </v>
      </c>
      <c r="C78" t="str">
        <f>IFERROR(_xlfn.XLOOKUP(lstEligible[[#This Row],[Unique ID]], tblMaster[Unique ID], tblMaster[Last Name], ""), "")</f>
        <v>lagoy</v>
      </c>
      <c r="D78" t="str">
        <f>IFERROR(_xlfn.XLOOKUP(lstEligible[[#This Row],[Unique ID]], tblMaster[Unique ID], tblMaster[Email_Clean], ""), "")</f>
        <v>jlagoy2014@gmail.com</v>
      </c>
      <c r="E78" t="str">
        <f>IFERROR(_xlfn.XLOOKUP(lstEligible[[#This Row],[Unique ID]], tblMaster[Unique ID], tblMaster[Phone], ""), "")</f>
        <v>978-413-6683</v>
      </c>
      <c r="F78" t="str">
        <f>IFERROR(_xlfn.XLOOKUP(lstEligible[[#This Row],[Unique ID]], tblMaster[Unique ID], tblMaster[Recruiter], ""), "")</f>
        <v>Zenon Moses</v>
      </c>
      <c r="G78" t="str">
        <f>IFERROR(_xlfn.XLOOKUP(lstEligible[[#This Row],[Unique ID]], tblMaster[Unique ID], tblMaster[Recruitment Cycle], ""), "")</f>
        <v xml:space="preserve">Re-Engagment/Post Civil Service Exam </v>
      </c>
      <c r="H78" s="3"/>
      <c r="I78" s="3"/>
    </row>
    <row r="79" spans="1:9">
      <c r="A79" t="s">
        <v>8427</v>
      </c>
      <c r="B79" t="str">
        <f>IFERROR(_xlfn.XLOOKUP(lstEligible[[#This Row],[Unique ID]], tblMaster[Unique ID], tblMaster[First Name], ""), "")</f>
        <v xml:space="preserve">Anthony </v>
      </c>
      <c r="C79" t="str">
        <f>IFERROR(_xlfn.XLOOKUP(lstEligible[[#This Row],[Unique ID]], tblMaster[Unique ID], tblMaster[Last Name], ""), "")</f>
        <v xml:space="preserve"> Quinones</v>
      </c>
      <c r="D79" t="str">
        <f>IFERROR(_xlfn.XLOOKUP(lstEligible[[#This Row],[Unique ID]], tblMaster[Unique ID], tblMaster[Email_Clean], ""), "")</f>
        <v>aqusmc@gmail.com</v>
      </c>
      <c r="E79" t="str">
        <f>IFERROR(_xlfn.XLOOKUP(lstEligible[[#This Row],[Unique ID]], tblMaster[Unique ID], tblMaster[Phone], ""), "")</f>
        <v>(401)601-9592</v>
      </c>
      <c r="F79" t="str">
        <f>IFERROR(_xlfn.XLOOKUP(lstEligible[[#This Row],[Unique ID]], tblMaster[Unique ID], tblMaster[Recruiter], ""), "")</f>
        <v xml:space="preserve">Jevon Brown Simpson </v>
      </c>
      <c r="G79" t="str">
        <f>IFERROR(_xlfn.XLOOKUP(lstEligible[[#This Row],[Unique ID]], tblMaster[Unique ID], tblMaster[Recruitment Cycle], ""), "")</f>
        <v xml:space="preserve">Re-Engagment/Post Civil Service Exam </v>
      </c>
      <c r="H79" s="3"/>
      <c r="I79" s="3"/>
    </row>
    <row r="80" spans="1:9">
      <c r="A80" t="s">
        <v>8428</v>
      </c>
      <c r="B80" t="str">
        <f>IFERROR(_xlfn.XLOOKUP(lstEligible[[#This Row],[Unique ID]], tblMaster[Unique ID], tblMaster[First Name], ""), "")</f>
        <v xml:space="preserve">Brianna </v>
      </c>
      <c r="C80" t="str">
        <f>IFERROR(_xlfn.XLOOKUP(lstEligible[[#This Row],[Unique ID]], tblMaster[Unique ID], tblMaster[Last Name], ""), "")</f>
        <v xml:space="preserve"> Libbey-Lajoie </v>
      </c>
      <c r="D80" t="str">
        <f>IFERROR(_xlfn.XLOOKUP(lstEligible[[#This Row],[Unique ID]], tblMaster[Unique ID], tblMaster[Email_Clean], ""), "")</f>
        <v>libbeyla@gmail.com</v>
      </c>
      <c r="E80" t="str">
        <f>IFERROR(_xlfn.XLOOKUP(lstEligible[[#This Row],[Unique ID]], tblMaster[Unique ID], tblMaster[Phone], ""), "")</f>
        <v xml:space="preserve">(774) 280-2286 </v>
      </c>
      <c r="F80" t="str">
        <f>IFERROR(_xlfn.XLOOKUP(lstEligible[[#This Row],[Unique ID]], tblMaster[Unique ID], tblMaster[Recruiter], ""), "")</f>
        <v>Zenon Moses</v>
      </c>
      <c r="G80" t="str">
        <f>IFERROR(_xlfn.XLOOKUP(lstEligible[[#This Row],[Unique ID]], tblMaster[Unique ID], tblMaster[Recruitment Cycle], ""), "")</f>
        <v xml:space="preserve">Re-Engagment/Post Civil Service Exam </v>
      </c>
      <c r="H80" s="3"/>
      <c r="I80" s="3"/>
    </row>
    <row r="81" spans="1:9">
      <c r="A81" t="s">
        <v>8429</v>
      </c>
      <c r="B81" t="str">
        <f>IFERROR(_xlfn.XLOOKUP(lstEligible[[#This Row],[Unique ID]], tblMaster[Unique ID], tblMaster[First Name], ""), "")</f>
        <v xml:space="preserve">Sharisse </v>
      </c>
      <c r="C81" t="str">
        <f>IFERROR(_xlfn.XLOOKUP(lstEligible[[#This Row],[Unique ID]], tblMaster[Unique ID], tblMaster[Last Name], ""), "")</f>
        <v xml:space="preserve"> Kelly-White</v>
      </c>
      <c r="D81" t="str">
        <f>IFERROR(_xlfn.XLOOKUP(lstEligible[[#This Row],[Unique ID]], tblMaster[Unique ID], tblMaster[Email_Clean], ""), "")</f>
        <v>sharissekw@gmail.com</v>
      </c>
      <c r="E81" t="str">
        <f>IFERROR(_xlfn.XLOOKUP(lstEligible[[#This Row],[Unique ID]], tblMaster[Unique ID], tblMaster[Phone], ""), "")</f>
        <v>857-504-5157</v>
      </c>
      <c r="F81" t="str">
        <f>IFERROR(_xlfn.XLOOKUP(lstEligible[[#This Row],[Unique ID]], tblMaster[Unique ID], tblMaster[Recruiter], ""), "")</f>
        <v>Zenon Moses</v>
      </c>
      <c r="G81" t="str">
        <f>IFERROR(_xlfn.XLOOKUP(lstEligible[[#This Row],[Unique ID]], tblMaster[Unique ID], tblMaster[Recruitment Cycle], ""), "")</f>
        <v xml:space="preserve">Re-Engagment/Post Civil Service Exam </v>
      </c>
      <c r="H81" s="3"/>
      <c r="I81" s="3"/>
    </row>
    <row r="82" spans="1:9">
      <c r="A82" t="s">
        <v>8430</v>
      </c>
      <c r="B82" t="str">
        <f>IFERROR(_xlfn.XLOOKUP(lstEligible[[#This Row],[Unique ID]], tblMaster[Unique ID], tblMaster[First Name], ""), "")</f>
        <v xml:space="preserve">Christain </v>
      </c>
      <c r="C82" t="str">
        <f>IFERROR(_xlfn.XLOOKUP(lstEligible[[#This Row],[Unique ID]], tblMaster[Unique ID], tblMaster[Last Name], ""), "")</f>
        <v xml:space="preserve">Vega </v>
      </c>
      <c r="D82" t="str">
        <f>IFERROR(_xlfn.XLOOKUP(lstEligible[[#This Row],[Unique ID]], tblMaster[Unique ID], tblMaster[Email_Clean], ""), "")</f>
        <v>christian.vega86@gmail.com</v>
      </c>
      <c r="E82" t="str">
        <f>IFERROR(_xlfn.XLOOKUP(lstEligible[[#This Row],[Unique ID]], tblMaster[Unique ID], tblMaster[Phone], ""), "")</f>
        <v>774-420-0191</v>
      </c>
      <c r="F82" t="str">
        <f>IFERROR(_xlfn.XLOOKUP(lstEligible[[#This Row],[Unique ID]], tblMaster[Unique ID], tblMaster[Recruiter], ""), "")</f>
        <v>Zenon Moses</v>
      </c>
      <c r="G82" t="str">
        <f>IFERROR(_xlfn.XLOOKUP(lstEligible[[#This Row],[Unique ID]], tblMaster[Unique ID], tblMaster[Recruitment Cycle], ""), "")</f>
        <v xml:space="preserve">Re-Engagment/Post Civil Service Exam </v>
      </c>
      <c r="H82" s="3"/>
      <c r="I82" s="3"/>
    </row>
    <row r="83" spans="1:9">
      <c r="A83" t="s">
        <v>8431</v>
      </c>
      <c r="B83" t="str">
        <f>IFERROR(_xlfn.XLOOKUP(lstEligible[[#This Row],[Unique ID]], tblMaster[Unique ID], tblMaster[First Name], ""), "")</f>
        <v>Karl</v>
      </c>
      <c r="C83" t="str">
        <f>IFERROR(_xlfn.XLOOKUP(lstEligible[[#This Row],[Unique ID]], tblMaster[Unique ID], tblMaster[Last Name], ""), "")</f>
        <v>Auguste </v>
      </c>
      <c r="D83" t="str">
        <f>IFERROR(_xlfn.XLOOKUP(lstEligible[[#This Row],[Unique ID]], tblMaster[Unique ID], tblMaster[Email_Clean], ""), "")</f>
        <v>rivelinokarl@gmail.com</v>
      </c>
      <c r="E83" t="str">
        <f>IFERROR(_xlfn.XLOOKUP(lstEligible[[#This Row],[Unique ID]], tblMaster[Unique ID], tblMaster[Phone], ""), "")</f>
        <v>774-386-7248</v>
      </c>
      <c r="F83" t="str">
        <f>IFERROR(_xlfn.XLOOKUP(lstEligible[[#This Row],[Unique ID]], tblMaster[Unique ID], tblMaster[Recruiter], ""), "")</f>
        <v xml:space="preserve">Jevon Brown Simpson </v>
      </c>
      <c r="G83" t="str">
        <f>IFERROR(_xlfn.XLOOKUP(lstEligible[[#This Row],[Unique ID]], tblMaster[Unique ID], tblMaster[Recruitment Cycle], ""), "")</f>
        <v xml:space="preserve">Re-Engagment/Post Civil Service Exam </v>
      </c>
      <c r="H83" s="3"/>
      <c r="I83" s="3"/>
    </row>
    <row r="84" spans="1:9">
      <c r="A84" t="s">
        <v>8432</v>
      </c>
      <c r="B84" t="str">
        <f>IFERROR(_xlfn.XLOOKUP(lstEligible[[#This Row],[Unique ID]], tblMaster[Unique ID], tblMaster[First Name], ""), "")</f>
        <v xml:space="preserve">Alex </v>
      </c>
      <c r="C84" t="str">
        <f>IFERROR(_xlfn.XLOOKUP(lstEligible[[#This Row],[Unique ID]], tblMaster[Unique ID], tblMaster[Last Name], ""), "")</f>
        <v xml:space="preserve">Srieng </v>
      </c>
      <c r="D84" t="str">
        <f>IFERROR(_xlfn.XLOOKUP(lstEligible[[#This Row],[Unique ID]], tblMaster[Unique ID], tblMaster[Email_Clean], ""), "")</f>
        <v>alexsrieng18@gmail.com</v>
      </c>
      <c r="E84" t="str">
        <f>IFERROR(_xlfn.XLOOKUP(lstEligible[[#This Row],[Unique ID]], tblMaster[Unique ID], tblMaster[Phone], ""), "")</f>
        <v xml:space="preserve">(978) 419-6812 </v>
      </c>
      <c r="F84" t="str">
        <f>IFERROR(_xlfn.XLOOKUP(lstEligible[[#This Row],[Unique ID]], tblMaster[Unique ID], tblMaster[Recruiter], ""), "")</f>
        <v>Zenon Moses</v>
      </c>
      <c r="G84" t="str">
        <f>IFERROR(_xlfn.XLOOKUP(lstEligible[[#This Row],[Unique ID]], tblMaster[Unique ID], tblMaster[Recruitment Cycle], ""), "")</f>
        <v xml:space="preserve">Re-Engagment/Post Civil Service Exam </v>
      </c>
      <c r="H84" s="3"/>
      <c r="I84" s="3"/>
    </row>
    <row r="85" spans="1:9">
      <c r="A85" t="s">
        <v>8433</v>
      </c>
      <c r="B85" t="str">
        <f>IFERROR(_xlfn.XLOOKUP(lstEligible[[#This Row],[Unique ID]], tblMaster[Unique ID], tblMaster[First Name], ""), "")</f>
        <v xml:space="preserve">Shykela </v>
      </c>
      <c r="C85" t="str">
        <f>IFERROR(_xlfn.XLOOKUP(lstEligible[[#This Row],[Unique ID]], tblMaster[Unique ID], tblMaster[Last Name], ""), "")</f>
        <v xml:space="preserve">McAndrews </v>
      </c>
      <c r="D85" t="str">
        <f>IFERROR(_xlfn.XLOOKUP(lstEligible[[#This Row],[Unique ID]], tblMaster[Unique ID], tblMaster[Email_Clean], ""), "")</f>
        <v>shykelamcandrew33@gmail.com</v>
      </c>
      <c r="E85" t="str">
        <f>IFERROR(_xlfn.XLOOKUP(lstEligible[[#This Row],[Unique ID]], tblMaster[Unique ID], tblMaster[Phone], ""), "")</f>
        <v>857-249-7902</v>
      </c>
      <c r="F85" t="str">
        <f>IFERROR(_xlfn.XLOOKUP(lstEligible[[#This Row],[Unique ID]], tblMaster[Unique ID], tblMaster[Recruiter], ""), "")</f>
        <v>Zenon Moses</v>
      </c>
      <c r="G85" t="str">
        <f>IFERROR(_xlfn.XLOOKUP(lstEligible[[#This Row],[Unique ID]], tblMaster[Unique ID], tblMaster[Recruitment Cycle], ""), "")</f>
        <v xml:space="preserve">Re-Engagment/Post Civil Service Exam </v>
      </c>
      <c r="H85" s="3"/>
      <c r="I85" s="3"/>
    </row>
    <row r="86" spans="1:9">
      <c r="A86" t="s">
        <v>8022</v>
      </c>
      <c r="B86" t="str">
        <f>IFERROR(_xlfn.XLOOKUP(lstEligible[[#This Row],[Unique ID]], tblMaster[Unique ID], tblMaster[First Name], ""), "")</f>
        <v>Bony</v>
      </c>
      <c r="C86" t="str">
        <f>IFERROR(_xlfn.XLOOKUP(lstEligible[[#This Row],[Unique ID]], tblMaster[Unique ID], tblMaster[Last Name], ""), "")</f>
        <v>Belois</v>
      </c>
      <c r="D86" t="str">
        <f>IFERROR(_xlfn.XLOOKUP(lstEligible[[#This Row],[Unique ID]], tblMaster[Unique ID], tblMaster[Email_Clean], ""), "")</f>
        <v>bonybls6@gmail.com</v>
      </c>
      <c r="E86" t="str">
        <f>IFERROR(_xlfn.XLOOKUP(lstEligible[[#This Row],[Unique ID]], tblMaster[Unique ID], tblMaster[Phone], ""), "")</f>
        <v>(857) 246-5263</v>
      </c>
      <c r="F86" t="str">
        <f>IFERROR(_xlfn.XLOOKUP(lstEligible[[#This Row],[Unique ID]], tblMaster[Unique ID], tblMaster[Recruiter], ""), "")</f>
        <v xml:space="preserve">Jevon Brown Simpson </v>
      </c>
      <c r="G86" t="str">
        <f>IFERROR(_xlfn.XLOOKUP(lstEligible[[#This Row],[Unique ID]], tblMaster[Unique ID], tblMaster[Recruitment Cycle], ""), "")</f>
        <v xml:space="preserve">Re-Engagment/Post Civil Service Exam </v>
      </c>
      <c r="H86" s="3"/>
      <c r="I86" s="3"/>
    </row>
    <row r="87" spans="1:9">
      <c r="A87" t="s">
        <v>8434</v>
      </c>
      <c r="B87" t="str">
        <f>IFERROR(_xlfn.XLOOKUP(lstEligible[[#This Row],[Unique ID]], tblMaster[Unique ID], tblMaster[First Name], ""), "")</f>
        <v>Exantus</v>
      </c>
      <c r="C87" t="str">
        <f>IFERROR(_xlfn.XLOOKUP(lstEligible[[#This Row],[Unique ID]], tblMaster[Unique ID], tblMaster[Last Name], ""), "")</f>
        <v>Alcimbert </v>
      </c>
      <c r="D87" t="str">
        <f>IFERROR(_xlfn.XLOOKUP(lstEligible[[#This Row],[Unique ID]], tblMaster[Unique ID], tblMaster[Email_Clean], ""), "")</f>
        <v>exantus.alcimbert@gmail.com</v>
      </c>
      <c r="E87" t="str">
        <f>IFERROR(_xlfn.XLOOKUP(lstEligible[[#This Row],[Unique ID]], tblMaster[Unique ID], tblMaster[Phone], ""), "")</f>
        <v>508-239-3529</v>
      </c>
      <c r="F87" t="str">
        <f>IFERROR(_xlfn.XLOOKUP(lstEligible[[#This Row],[Unique ID]], tblMaster[Unique ID], tblMaster[Recruiter], ""), "")</f>
        <v xml:space="preserve">Jevon Brown Simpson </v>
      </c>
      <c r="G87" t="str">
        <f>IFERROR(_xlfn.XLOOKUP(lstEligible[[#This Row],[Unique ID]], tblMaster[Unique ID], tblMaster[Recruitment Cycle], ""), "")</f>
        <v xml:space="preserve">Re-Engagment/Post Civil Service Exam </v>
      </c>
      <c r="H87" s="3"/>
      <c r="I87" s="3"/>
    </row>
    <row r="88" spans="1:9">
      <c r="A88" t="s">
        <v>8435</v>
      </c>
      <c r="B88" t="str">
        <f>IFERROR(_xlfn.XLOOKUP(lstEligible[[#This Row],[Unique ID]], tblMaster[Unique ID], tblMaster[First Name], ""), "")</f>
        <v xml:space="preserve">Tiann </v>
      </c>
      <c r="C88" t="str">
        <f>IFERROR(_xlfn.XLOOKUP(lstEligible[[#This Row],[Unique ID]], tblMaster[Unique ID], tblMaster[Last Name], ""), "")</f>
        <v xml:space="preserve">Dasilva </v>
      </c>
      <c r="D88" t="str">
        <f>IFERROR(_xlfn.XLOOKUP(lstEligible[[#This Row],[Unique ID]], tblMaster[Unique ID], tblMaster[Email_Clean], ""), "")</f>
        <v>tianndasilva@rocketmail.com</v>
      </c>
      <c r="E88" t="str">
        <f>IFERROR(_xlfn.XLOOKUP(lstEligible[[#This Row],[Unique ID]], tblMaster[Unique ID], tblMaster[Phone], ""), "")</f>
        <v>774-634-7628</v>
      </c>
      <c r="F88" t="str">
        <f>IFERROR(_xlfn.XLOOKUP(lstEligible[[#This Row],[Unique ID]], tblMaster[Unique ID], tblMaster[Recruiter], ""), "")</f>
        <v>Zenon Moses</v>
      </c>
      <c r="G88" t="str">
        <f>IFERROR(_xlfn.XLOOKUP(lstEligible[[#This Row],[Unique ID]], tblMaster[Unique ID], tblMaster[Recruitment Cycle], ""), "")</f>
        <v xml:space="preserve">Re-Engagment/Post Civil Service Exam </v>
      </c>
      <c r="H88" s="3"/>
      <c r="I88" s="3"/>
    </row>
    <row r="89" spans="1:9">
      <c r="A89" t="s">
        <v>8436</v>
      </c>
      <c r="B89" t="str">
        <f>IFERROR(_xlfn.XLOOKUP(lstEligible[[#This Row],[Unique ID]], tblMaster[Unique ID], tblMaster[First Name], ""), "")</f>
        <v xml:space="preserve">Anfer </v>
      </c>
      <c r="C89" t="str">
        <f>IFERROR(_xlfn.XLOOKUP(lstEligible[[#This Row],[Unique ID]], tblMaster[Unique ID], tblMaster[Last Name], ""), "")</f>
        <v xml:space="preserve">Adames </v>
      </c>
      <c r="D89" t="str">
        <f>IFERROR(_xlfn.XLOOKUP(lstEligible[[#This Row],[Unique ID]], tblMaster[Unique ID], tblMaster[Email_Clean], ""), "")</f>
        <v>anferadames1305@gmail.com</v>
      </c>
      <c r="E89" t="str">
        <f>IFERROR(_xlfn.XLOOKUP(lstEligible[[#This Row],[Unique ID]], tblMaster[Unique ID], tblMaster[Phone], ""), "")</f>
        <v>401-414-9804</v>
      </c>
      <c r="F89" t="str">
        <f>IFERROR(_xlfn.XLOOKUP(lstEligible[[#This Row],[Unique ID]], tblMaster[Unique ID], tblMaster[Recruiter], ""), "")</f>
        <v xml:space="preserve">Christopher Servello </v>
      </c>
      <c r="G89" t="str">
        <f>IFERROR(_xlfn.XLOOKUP(lstEligible[[#This Row],[Unique ID]], tblMaster[Unique ID], tblMaster[Recruitment Cycle], ""), "")</f>
        <v xml:space="preserve">Re-Engagment/Post Civil Service Exam </v>
      </c>
      <c r="H89" s="3"/>
      <c r="I89" s="3"/>
    </row>
    <row r="90" spans="1:9">
      <c r="A90" t="s">
        <v>8574</v>
      </c>
      <c r="B90" t="str">
        <f>IFERROR(_xlfn.XLOOKUP(lstEligible[[#This Row],[Unique ID]], tblMaster[Unique ID], tblMaster[First Name], ""), "")</f>
        <v xml:space="preserve">Brian </v>
      </c>
      <c r="C90" t="str">
        <f>IFERROR(_xlfn.XLOOKUP(lstEligible[[#This Row],[Unique ID]], tblMaster[Unique ID], tblMaster[Last Name], ""), "")</f>
        <v xml:space="preserve">Pendergast </v>
      </c>
      <c r="D90" t="str">
        <f>IFERROR(_xlfn.XLOOKUP(lstEligible[[#This Row],[Unique ID]], tblMaster[Unique ID], tblMaster[Email_Clean], ""), "")</f>
        <v>bjpendergast35@yahoo.com</v>
      </c>
      <c r="E90" t="str">
        <f>IFERROR(_xlfn.XLOOKUP(lstEligible[[#This Row],[Unique ID]], tblMaster[Unique ID], tblMaster[Phone], ""), "")</f>
        <v>781-771-9229</v>
      </c>
      <c r="F90">
        <f>IFERROR(_xlfn.XLOOKUP(lstEligible[[#This Row],[Unique ID]], tblMaster[Unique ID], tblMaster[Recruiter], ""), "")</f>
        <v>0</v>
      </c>
      <c r="G90" t="str">
        <f>IFERROR(_xlfn.XLOOKUP(lstEligible[[#This Row],[Unique ID]], tblMaster[Unique ID], tblMaster[Recruitment Cycle], ""), "")</f>
        <v xml:space="preserve">Re-Engagment/Post Civil Service Exam </v>
      </c>
      <c r="H90" s="3"/>
      <c r="I90" s="3"/>
    </row>
    <row r="91" spans="1:9">
      <c r="A91" t="s">
        <v>8438</v>
      </c>
      <c r="B91" t="str">
        <f>IFERROR(_xlfn.XLOOKUP(lstEligible[[#This Row],[Unique ID]], tblMaster[Unique ID], tblMaster[First Name], ""), "")</f>
        <v xml:space="preserve">Paulo </v>
      </c>
      <c r="C91" t="str">
        <f>IFERROR(_xlfn.XLOOKUP(lstEligible[[#This Row],[Unique ID]], tblMaster[Unique ID], tblMaster[Last Name], ""), "")</f>
        <v xml:space="preserve"> Lopes </v>
      </c>
      <c r="D91" t="str">
        <f>IFERROR(_xlfn.XLOOKUP(lstEligible[[#This Row],[Unique ID]], tblMaster[Unique ID], tblMaster[Email_Clean], ""), "")</f>
        <v>plphotos@icloud.com</v>
      </c>
      <c r="E91" t="str">
        <f>IFERROR(_xlfn.XLOOKUP(lstEligible[[#This Row],[Unique ID]], tblMaster[Unique ID], tblMaster[Phone], ""), "")</f>
        <v xml:space="preserve">(774) 207-8104 </v>
      </c>
      <c r="F91" t="str">
        <f>IFERROR(_xlfn.XLOOKUP(lstEligible[[#This Row],[Unique ID]], tblMaster[Unique ID], tblMaster[Recruiter], ""), "")</f>
        <v>Zenon Moses</v>
      </c>
      <c r="G91" t="str">
        <f>IFERROR(_xlfn.XLOOKUP(lstEligible[[#This Row],[Unique ID]], tblMaster[Unique ID], tblMaster[Recruitment Cycle], ""), "")</f>
        <v xml:space="preserve">Re-Engagment/Post Civil Service Exam </v>
      </c>
      <c r="H91" s="3"/>
      <c r="I91" s="3"/>
    </row>
    <row r="92" spans="1:9">
      <c r="A92" t="s">
        <v>8439</v>
      </c>
      <c r="B92" t="str">
        <f>IFERROR(_xlfn.XLOOKUP(lstEligible[[#This Row],[Unique ID]], tblMaster[Unique ID], tblMaster[First Name], ""), "")</f>
        <v xml:space="preserve">Melvin </v>
      </c>
      <c r="C92" t="str">
        <f>IFERROR(_xlfn.XLOOKUP(lstEligible[[#This Row],[Unique ID]], tblMaster[Unique ID], tblMaster[Last Name], ""), "")</f>
        <v xml:space="preserve">Cuevas </v>
      </c>
      <c r="D92" t="str">
        <f>IFERROR(_xlfn.XLOOKUP(lstEligible[[#This Row],[Unique ID]], tblMaster[Unique ID], tblMaster[Email_Clean], ""), "")</f>
        <v>melvincuevas051@gmail.com</v>
      </c>
      <c r="E92" t="str">
        <f>IFERROR(_xlfn.XLOOKUP(lstEligible[[#This Row],[Unique ID]], tblMaster[Unique ID], tblMaster[Phone], ""), "")</f>
        <v>857-506-9521</v>
      </c>
      <c r="F92" t="str">
        <f>IFERROR(_xlfn.XLOOKUP(lstEligible[[#This Row],[Unique ID]], tblMaster[Unique ID], tblMaster[Recruiter], ""), "")</f>
        <v>Zenon Moses</v>
      </c>
      <c r="G92" t="str">
        <f>IFERROR(_xlfn.XLOOKUP(lstEligible[[#This Row],[Unique ID]], tblMaster[Unique ID], tblMaster[Recruitment Cycle], ""), "")</f>
        <v xml:space="preserve">Re-Engagment/Post Civil Service Exam </v>
      </c>
      <c r="H92" s="3"/>
      <c r="I92" s="3"/>
    </row>
    <row r="93" spans="1:9">
      <c r="A93" t="s">
        <v>8440</v>
      </c>
      <c r="B93" t="str">
        <f>IFERROR(_xlfn.XLOOKUP(lstEligible[[#This Row],[Unique ID]], tblMaster[Unique ID], tblMaster[First Name], ""), "")</f>
        <v xml:space="preserve">Adrianna </v>
      </c>
      <c r="C93" t="str">
        <f>IFERROR(_xlfn.XLOOKUP(lstEligible[[#This Row],[Unique ID]], tblMaster[Unique ID], tblMaster[Last Name], ""), "")</f>
        <v xml:space="preserve"> White </v>
      </c>
      <c r="D93" t="str">
        <f>IFERROR(_xlfn.XLOOKUP(lstEligible[[#This Row],[Unique ID]], tblMaster[Unique ID], tblMaster[Email_Clean], ""), "")</f>
        <v>adriianna.white@gmail.com</v>
      </c>
      <c r="E93" t="str">
        <f>IFERROR(_xlfn.XLOOKUP(lstEligible[[#This Row],[Unique ID]], tblMaster[Unique ID], tblMaster[Phone], ""), "")</f>
        <v>(978) 717-8232</v>
      </c>
      <c r="F93" t="str">
        <f>IFERROR(_xlfn.XLOOKUP(lstEligible[[#This Row],[Unique ID]], tblMaster[Unique ID], tblMaster[Recruiter], ""), "")</f>
        <v xml:space="preserve">Jevon Brown Simpson </v>
      </c>
      <c r="G93" t="str">
        <f>IFERROR(_xlfn.XLOOKUP(lstEligible[[#This Row],[Unique ID]], tblMaster[Unique ID], tblMaster[Recruitment Cycle], ""), "")</f>
        <v xml:space="preserve">Re-Engagment/Post Civil Service Exam </v>
      </c>
      <c r="H93" s="3"/>
      <c r="I93" s="3"/>
    </row>
    <row r="94" spans="1:9">
      <c r="A94" t="s">
        <v>8441</v>
      </c>
      <c r="B94" t="str">
        <f>IFERROR(_xlfn.XLOOKUP(lstEligible[[#This Row],[Unique ID]], tblMaster[Unique ID], tblMaster[First Name], ""), "")</f>
        <v>Emmanuel</v>
      </c>
      <c r="C94" t="str">
        <f>IFERROR(_xlfn.XLOOKUP(lstEligible[[#This Row],[Unique ID]], tblMaster[Unique ID], tblMaster[Last Name], ""), "")</f>
        <v>Yillah</v>
      </c>
      <c r="D94" t="str">
        <f>IFERROR(_xlfn.XLOOKUP(lstEligible[[#This Row],[Unique ID]], tblMaster[Unique ID], tblMaster[Email_Clean], ""), "")</f>
        <v>emmanuelyillah1@gmail.com</v>
      </c>
      <c r="E94" t="str">
        <f>IFERROR(_xlfn.XLOOKUP(lstEligible[[#This Row],[Unique ID]], tblMaster[Unique ID], tblMaster[Phone], ""), "")</f>
        <v>571-477-6774</v>
      </c>
      <c r="F94" t="str">
        <f>IFERROR(_xlfn.XLOOKUP(lstEligible[[#This Row],[Unique ID]], tblMaster[Unique ID], tblMaster[Recruiter], ""), "")</f>
        <v xml:space="preserve">Tom Clark </v>
      </c>
      <c r="G94" t="str">
        <f>IFERROR(_xlfn.XLOOKUP(lstEligible[[#This Row],[Unique ID]], tblMaster[Unique ID], tblMaster[Recruitment Cycle], ""), "")</f>
        <v xml:space="preserve">Re-Engagment/Post Civil Service Exam </v>
      </c>
      <c r="H94" s="3"/>
      <c r="I94" s="3"/>
    </row>
    <row r="95" spans="1:9">
      <c r="A95" t="s">
        <v>8442</v>
      </c>
      <c r="B95" t="str">
        <f>IFERROR(_xlfn.XLOOKUP(lstEligible[[#This Row],[Unique ID]], tblMaster[Unique ID], tblMaster[First Name], ""), "")</f>
        <v xml:space="preserve">Edward </v>
      </c>
      <c r="C95" t="str">
        <f>IFERROR(_xlfn.XLOOKUP(lstEligible[[#This Row],[Unique ID]], tblMaster[Unique ID], tblMaster[Last Name], ""), "")</f>
        <v xml:space="preserve">Hackett Jr. </v>
      </c>
      <c r="D95" t="str">
        <f>IFERROR(_xlfn.XLOOKUP(lstEligible[[#This Row],[Unique ID]], tblMaster[Unique ID], tblMaster[Email_Clean], ""), "")</f>
        <v>eddie.hackett@gmail.com</v>
      </c>
      <c r="E95" t="str">
        <f>IFERROR(_xlfn.XLOOKUP(lstEligible[[#This Row],[Unique ID]], tblMaster[Unique ID], tblMaster[Phone], ""), "")</f>
        <v xml:space="preserve">(603) 233-3351 </v>
      </c>
      <c r="F95" t="str">
        <f>IFERROR(_xlfn.XLOOKUP(lstEligible[[#This Row],[Unique ID]], tblMaster[Unique ID], tblMaster[Recruiter], ""), "")</f>
        <v>Zenon Moses</v>
      </c>
      <c r="G95" t="str">
        <f>IFERROR(_xlfn.XLOOKUP(lstEligible[[#This Row],[Unique ID]], tblMaster[Unique ID], tblMaster[Recruitment Cycle], ""), "")</f>
        <v xml:space="preserve">Re-Engagment/Post Civil Service Exam </v>
      </c>
      <c r="H95" s="3"/>
      <c r="I95" s="3"/>
    </row>
    <row r="96" spans="1:9">
      <c r="A96" t="s">
        <v>7942</v>
      </c>
      <c r="B96" t="str">
        <f>IFERROR(_xlfn.XLOOKUP(lstEligible[[#This Row],[Unique ID]], tblMaster[Unique ID], tblMaster[First Name], ""), "")</f>
        <v xml:space="preserve">Luis </v>
      </c>
      <c r="C96" t="str">
        <f>IFERROR(_xlfn.XLOOKUP(lstEligible[[#This Row],[Unique ID]], tblMaster[Unique ID], tblMaster[Last Name], ""), "")</f>
        <v>Garcia</v>
      </c>
      <c r="D96" t="str">
        <f>IFERROR(_xlfn.XLOOKUP(lstEligible[[#This Row],[Unique ID]], tblMaster[Unique ID], tblMaster[Email_Clean], ""), "")</f>
        <v>luiscanton128@icloud.com</v>
      </c>
      <c r="E96" t="str">
        <f>IFERROR(_xlfn.XLOOKUP(lstEligible[[#This Row],[Unique ID]], tblMaster[Unique ID], tblMaster[Phone], ""), "")</f>
        <v>508-963-3448</v>
      </c>
      <c r="F96" t="str">
        <f>IFERROR(_xlfn.XLOOKUP(lstEligible[[#This Row],[Unique ID]], tblMaster[Unique ID], tblMaster[Recruiter], ""), "")</f>
        <v xml:space="preserve">Jevon Brown Simpson </v>
      </c>
      <c r="G96" t="str">
        <f>IFERROR(_xlfn.XLOOKUP(lstEligible[[#This Row],[Unique ID]], tblMaster[Unique ID], tblMaster[Recruitment Cycle], ""), "")</f>
        <v xml:space="preserve">Re-Engagment/Post Civil Service Exam </v>
      </c>
      <c r="H96" s="3"/>
      <c r="I96" s="3"/>
    </row>
    <row r="97" spans="1:9">
      <c r="A97" t="s">
        <v>7941</v>
      </c>
      <c r="B97" t="str">
        <f>IFERROR(_xlfn.XLOOKUP(lstEligible[[#This Row],[Unique ID]], tblMaster[Unique ID], tblMaster[First Name], ""), "")</f>
        <v xml:space="preserve">Clayton </v>
      </c>
      <c r="C97" t="str">
        <f>IFERROR(_xlfn.XLOOKUP(lstEligible[[#This Row],[Unique ID]], tblMaster[Unique ID], tblMaster[Last Name], ""), "")</f>
        <v xml:space="preserve"> lemos-Martin </v>
      </c>
      <c r="D97" t="str">
        <f>IFERROR(_xlfn.XLOOKUP(lstEligible[[#This Row],[Unique ID]], tblMaster[Unique ID], tblMaster[Email_Clean], ""), "")</f>
        <v>lemosmartin6524@gmail.com</v>
      </c>
      <c r="E97" t="str">
        <f>IFERROR(_xlfn.XLOOKUP(lstEligible[[#This Row],[Unique ID]], tblMaster[Unique ID], tblMaster[Phone], ""), "")</f>
        <v xml:space="preserve">(774) 438-2011 </v>
      </c>
      <c r="F97" t="str">
        <f>IFERROR(_xlfn.XLOOKUP(lstEligible[[#This Row],[Unique ID]], tblMaster[Unique ID], tblMaster[Recruiter], ""), "")</f>
        <v xml:space="preserve">Jevon Brown Simpson </v>
      </c>
      <c r="G97" t="str">
        <f>IFERROR(_xlfn.XLOOKUP(lstEligible[[#This Row],[Unique ID]], tblMaster[Unique ID], tblMaster[Recruitment Cycle], ""), "")</f>
        <v xml:space="preserve">Re-Engagment/Post Civil Service Exam </v>
      </c>
      <c r="H97" s="3"/>
      <c r="I97" s="3"/>
    </row>
    <row r="98" spans="1:9">
      <c r="A98" t="s">
        <v>7937</v>
      </c>
      <c r="B98" t="str">
        <f>IFERROR(_xlfn.XLOOKUP(lstEligible[[#This Row],[Unique ID]], tblMaster[Unique ID], tblMaster[First Name], ""), "")</f>
        <v>Christian</v>
      </c>
      <c r="C98" t="str">
        <f>IFERROR(_xlfn.XLOOKUP(lstEligible[[#This Row],[Unique ID]], tblMaster[Unique ID], tblMaster[Last Name], ""), "")</f>
        <v xml:space="preserve"> Smith</v>
      </c>
      <c r="D98" t="str">
        <f>IFERROR(_xlfn.XLOOKUP(lstEligible[[#This Row],[Unique ID]], tblMaster[Unique ID], tblMaster[Email_Clean], ""), "")</f>
        <v>christian.smith41@yahoo.com</v>
      </c>
      <c r="E98" t="str">
        <f>IFERROR(_xlfn.XLOOKUP(lstEligible[[#This Row],[Unique ID]], tblMaster[Unique ID], tblMaster[Phone], ""), "")</f>
        <v>413-325-7411</v>
      </c>
      <c r="F98" t="str">
        <f>IFERROR(_xlfn.XLOOKUP(lstEligible[[#This Row],[Unique ID]], tblMaster[Unique ID], tblMaster[Recruiter], ""), "")</f>
        <v xml:space="preserve">Jevon Brown Simpson </v>
      </c>
      <c r="G98" t="str">
        <f>IFERROR(_xlfn.XLOOKUP(lstEligible[[#This Row],[Unique ID]], tblMaster[Unique ID], tblMaster[Recruitment Cycle], ""), "")</f>
        <v xml:space="preserve">Re-Engagment/Post Civil Service Exam </v>
      </c>
      <c r="H98" s="3"/>
      <c r="I98" s="3"/>
    </row>
    <row r="99" spans="1:9">
      <c r="A99" t="s">
        <v>8443</v>
      </c>
      <c r="B99" t="str">
        <f>IFERROR(_xlfn.XLOOKUP(lstEligible[[#This Row],[Unique ID]], tblMaster[Unique ID], tblMaster[First Name], ""), "")</f>
        <v xml:space="preserve">Dalton </v>
      </c>
      <c r="C99" t="str">
        <f>IFERROR(_xlfn.XLOOKUP(lstEligible[[#This Row],[Unique ID]], tblMaster[Unique ID], tblMaster[Last Name], ""), "")</f>
        <v xml:space="preserve">Brewer </v>
      </c>
      <c r="D99" t="str">
        <f>IFERROR(_xlfn.XLOOKUP(lstEligible[[#This Row],[Unique ID]], tblMaster[Unique ID], tblMaster[Email_Clean], ""), "")</f>
        <v>daltonbrewer3@hotmail.com</v>
      </c>
      <c r="E99" t="str">
        <f>IFERROR(_xlfn.XLOOKUP(lstEligible[[#This Row],[Unique ID]], tblMaster[Unique ID], tblMaster[Phone], ""), "")</f>
        <v>508-736-6529</v>
      </c>
      <c r="F99" t="str">
        <f>IFERROR(_xlfn.XLOOKUP(lstEligible[[#This Row],[Unique ID]], tblMaster[Unique ID], tblMaster[Recruiter], ""), "")</f>
        <v>Zenon Moses</v>
      </c>
      <c r="G99" t="str">
        <f>IFERROR(_xlfn.XLOOKUP(lstEligible[[#This Row],[Unique ID]], tblMaster[Unique ID], tblMaster[Recruitment Cycle], ""), "")</f>
        <v xml:space="preserve">Re-Engagment/Post Civil Service Exam </v>
      </c>
      <c r="H99" s="3"/>
      <c r="I99" s="3"/>
    </row>
    <row r="100" spans="1:9">
      <c r="A100" t="s">
        <v>7938</v>
      </c>
      <c r="B100" t="str">
        <f>IFERROR(_xlfn.XLOOKUP(lstEligible[[#This Row],[Unique ID]], tblMaster[Unique ID], tblMaster[First Name], ""), "")</f>
        <v xml:space="preserve">Renel </v>
      </c>
      <c r="C100" t="str">
        <f>IFERROR(_xlfn.XLOOKUP(lstEligible[[#This Row],[Unique ID]], tblMaster[Unique ID], tblMaster[Last Name], ""), "")</f>
        <v xml:space="preserve">Marcelin </v>
      </c>
      <c r="D100" t="str">
        <f>IFERROR(_xlfn.XLOOKUP(lstEligible[[#This Row],[Unique ID]], tblMaster[Unique ID], tblMaster[Email_Clean], ""), "")</f>
        <v>padovaniknoll@gmail.com</v>
      </c>
      <c r="E100" t="str">
        <f>IFERROR(_xlfn.XLOOKUP(lstEligible[[#This Row],[Unique ID]], tblMaster[Unique ID], tblMaster[Phone], ""), "")</f>
        <v xml:space="preserve">(845) 213-5552 </v>
      </c>
      <c r="F100" t="str">
        <f>IFERROR(_xlfn.XLOOKUP(lstEligible[[#This Row],[Unique ID]], tblMaster[Unique ID], tblMaster[Recruiter], ""), "")</f>
        <v xml:space="preserve">Jevon Brown Simpson </v>
      </c>
      <c r="G100" t="str">
        <f>IFERROR(_xlfn.XLOOKUP(lstEligible[[#This Row],[Unique ID]], tblMaster[Unique ID], tblMaster[Recruitment Cycle], ""), "")</f>
        <v xml:space="preserve">Re-Engagment/Post Civil Service Exam </v>
      </c>
      <c r="H100" s="3"/>
      <c r="I100" s="3"/>
    </row>
    <row r="101" spans="1:9">
      <c r="A101" t="s">
        <v>8444</v>
      </c>
      <c r="B101" t="str">
        <f>IFERROR(_xlfn.XLOOKUP(lstEligible[[#This Row],[Unique ID]], tblMaster[Unique ID], tblMaster[First Name], ""), "")</f>
        <v>Brian</v>
      </c>
      <c r="C101" t="str">
        <f>IFERROR(_xlfn.XLOOKUP(lstEligible[[#This Row],[Unique ID]], tblMaster[Unique ID], tblMaster[Last Name], ""), "")</f>
        <v>McNeil</v>
      </c>
      <c r="D101" t="str">
        <f>IFERROR(_xlfn.XLOOKUP(lstEligible[[#This Row],[Unique ID]], tblMaster[Unique ID], tblMaster[Email_Clean], ""), "")</f>
        <v>mcneil2137@gmail.com</v>
      </c>
      <c r="E101" t="str">
        <f>IFERROR(_xlfn.XLOOKUP(lstEligible[[#This Row],[Unique ID]], tblMaster[Unique ID], tblMaster[Phone], ""), "")</f>
        <v>978-760-9121</v>
      </c>
      <c r="F101" t="str">
        <f>IFERROR(_xlfn.XLOOKUP(lstEligible[[#This Row],[Unique ID]], tblMaster[Unique ID], tblMaster[Recruiter], ""), "")</f>
        <v xml:space="preserve">Tom Clark </v>
      </c>
      <c r="G101" t="str">
        <f>IFERROR(_xlfn.XLOOKUP(lstEligible[[#This Row],[Unique ID]], tblMaster[Unique ID], tblMaster[Recruitment Cycle], ""), "")</f>
        <v xml:space="preserve">Re-Engagment/Post Civil Service Exam </v>
      </c>
      <c r="H101" s="3"/>
      <c r="I101" s="3"/>
    </row>
    <row r="102" spans="1:9">
      <c r="A102" t="s">
        <v>8475</v>
      </c>
      <c r="B102" t="str">
        <f>IFERROR(_xlfn.XLOOKUP(lstEligible[[#This Row],[Unique ID]], tblMaster[Unique ID], tblMaster[First Name], ""), "")</f>
        <v xml:space="preserve">Roberta </v>
      </c>
      <c r="C102" t="str">
        <f>IFERROR(_xlfn.XLOOKUP(lstEligible[[#This Row],[Unique ID]], tblMaster[Unique ID], tblMaster[Last Name], ""), "")</f>
        <v xml:space="preserve">Lopes </v>
      </c>
      <c r="D102" t="str">
        <f>IFERROR(_xlfn.XLOOKUP(lstEligible[[#This Row],[Unique ID]], tblMaster[Unique ID], tblMaster[Email_Clean], ""), "")</f>
        <v>robertalopes62@hotmail.com</v>
      </c>
      <c r="E102" t="str">
        <f>IFERROR(_xlfn.XLOOKUP(lstEligible[[#This Row],[Unique ID]], tblMaster[Unique ID], tblMaster[Phone], ""), "")</f>
        <v xml:space="preserve">(774) 206-0582 </v>
      </c>
      <c r="F102">
        <f>IFERROR(_xlfn.XLOOKUP(lstEligible[[#This Row],[Unique ID]], tblMaster[Unique ID], tblMaster[Recruiter], ""), "")</f>
        <v>0</v>
      </c>
      <c r="G102" t="str">
        <f>IFERROR(_xlfn.XLOOKUP(lstEligible[[#This Row],[Unique ID]], tblMaster[Unique ID], tblMaster[Recruitment Cycle], ""), "")</f>
        <v xml:space="preserve">Re-Engagment/Post Civil Service Exam </v>
      </c>
      <c r="H102" s="3"/>
      <c r="I102" s="3"/>
    </row>
    <row r="103" spans="1:9">
      <c r="A103" t="s">
        <v>8446</v>
      </c>
      <c r="B103" t="str">
        <f>IFERROR(_xlfn.XLOOKUP(lstEligible[[#This Row],[Unique ID]], tblMaster[Unique ID], tblMaster[First Name], ""), "")</f>
        <v xml:space="preserve">Felix </v>
      </c>
      <c r="C103" t="str">
        <f>IFERROR(_xlfn.XLOOKUP(lstEligible[[#This Row],[Unique ID]], tblMaster[Unique ID], tblMaster[Last Name], ""), "")</f>
        <v>Frias</v>
      </c>
      <c r="D103" t="str">
        <f>IFERROR(_xlfn.XLOOKUP(lstEligible[[#This Row],[Unique ID]], tblMaster[Unique ID], tblMaster[Email_Clean], ""), "")</f>
        <v>felixfrias111@gmail.com</v>
      </c>
      <c r="E103" t="str">
        <f>IFERROR(_xlfn.XLOOKUP(lstEligible[[#This Row],[Unique ID]], tblMaster[Unique ID], tblMaster[Phone], ""), "")</f>
        <v>413-356-0298</v>
      </c>
      <c r="F103" t="str">
        <f>IFERROR(_xlfn.XLOOKUP(lstEligible[[#This Row],[Unique ID]], tblMaster[Unique ID], tblMaster[Recruiter], ""), "")</f>
        <v>Zenon Moses</v>
      </c>
      <c r="G103" t="str">
        <f>IFERROR(_xlfn.XLOOKUP(lstEligible[[#This Row],[Unique ID]], tblMaster[Unique ID], tblMaster[Recruitment Cycle], ""), "")</f>
        <v xml:space="preserve">Re-Engagment/Post Civil Service Exam </v>
      </c>
      <c r="H103" s="3"/>
      <c r="I103" s="3"/>
    </row>
    <row r="104" spans="1:9">
      <c r="A104" t="s">
        <v>8476</v>
      </c>
      <c r="B104" t="str">
        <f>IFERROR(_xlfn.XLOOKUP(lstEligible[[#This Row],[Unique ID]], tblMaster[Unique ID], tblMaster[First Name], ""), "")</f>
        <v>Linda</v>
      </c>
      <c r="C104" t="str">
        <f>IFERROR(_xlfn.XLOOKUP(lstEligible[[#This Row],[Unique ID]], tblMaster[Unique ID], tblMaster[Last Name], ""), "")</f>
        <v>Son</v>
      </c>
      <c r="D104" t="str">
        <f>IFERROR(_xlfn.XLOOKUP(lstEligible[[#This Row],[Unique ID]], tblMaster[Unique ID], tblMaster[Email_Clean], ""), "")</f>
        <v>sonliinda7@gmail.com</v>
      </c>
      <c r="E104" t="str">
        <f>IFERROR(_xlfn.XLOOKUP(lstEligible[[#This Row],[Unique ID]], tblMaster[Unique ID], tblMaster[Phone], ""), "")</f>
        <v>(351) 209-8724</v>
      </c>
      <c r="F104">
        <f>IFERROR(_xlfn.XLOOKUP(lstEligible[[#This Row],[Unique ID]], tblMaster[Unique ID], tblMaster[Recruiter], ""), "")</f>
        <v>0</v>
      </c>
      <c r="G104" t="str">
        <f>IFERROR(_xlfn.XLOOKUP(lstEligible[[#This Row],[Unique ID]], tblMaster[Unique ID], tblMaster[Recruitment Cycle], ""), "")</f>
        <v xml:space="preserve">Re-Engagment/Post Civil Service Exam </v>
      </c>
      <c r="H104" s="3"/>
      <c r="I104" s="3"/>
    </row>
    <row r="105" spans="1:9">
      <c r="A105" t="s">
        <v>7929</v>
      </c>
      <c r="B105" t="str">
        <f>IFERROR(_xlfn.XLOOKUP(lstEligible[[#This Row],[Unique ID]], tblMaster[Unique ID], tblMaster[First Name], ""), "")</f>
        <v>Samuel</v>
      </c>
      <c r="C105" t="str">
        <f>IFERROR(_xlfn.XLOOKUP(lstEligible[[#This Row],[Unique ID]], tblMaster[Unique ID], tblMaster[Last Name], ""), "")</f>
        <v>Handrick</v>
      </c>
      <c r="D105" t="str">
        <f>IFERROR(_xlfn.XLOOKUP(lstEligible[[#This Row],[Unique ID]], tblMaster[Unique ID], tblMaster[Email_Clean], ""), "")</f>
        <v>yeseagulls@outlook.com</v>
      </c>
      <c r="E105" t="str">
        <f>IFERROR(_xlfn.XLOOKUP(lstEligible[[#This Row],[Unique ID]], tblMaster[Unique ID], tblMaster[Phone], ""), "")</f>
        <v>978-760-8404 </v>
      </c>
      <c r="F105" t="str">
        <f>IFERROR(_xlfn.XLOOKUP(lstEligible[[#This Row],[Unique ID]], tblMaster[Unique ID], tblMaster[Recruiter], ""), "")</f>
        <v xml:space="preserve">Jevon Brown Simpson </v>
      </c>
      <c r="G105" t="str">
        <f>IFERROR(_xlfn.XLOOKUP(lstEligible[[#This Row],[Unique ID]], tblMaster[Unique ID], tblMaster[Recruitment Cycle], ""), "")</f>
        <v xml:space="preserve">Re-Engagment/Post Civil Service Exam </v>
      </c>
      <c r="H105" s="3"/>
      <c r="I105" s="3"/>
    </row>
    <row r="106" spans="1:9">
      <c r="A106" t="s">
        <v>8447</v>
      </c>
      <c r="B106" t="str">
        <f>IFERROR(_xlfn.XLOOKUP(lstEligible[[#This Row],[Unique ID]], tblMaster[Unique ID], tblMaster[First Name], ""), "")</f>
        <v xml:space="preserve">Erik </v>
      </c>
      <c r="C106" t="str">
        <f>IFERROR(_xlfn.XLOOKUP(lstEligible[[#This Row],[Unique ID]], tblMaster[Unique ID], tblMaster[Last Name], ""), "")</f>
        <v xml:space="preserve">Rauhala </v>
      </c>
      <c r="D106" t="str">
        <f>IFERROR(_xlfn.XLOOKUP(lstEligible[[#This Row],[Unique ID]], tblMaster[Unique ID], tblMaster[Email_Clean], ""), "")</f>
        <v>erauh1217@gmail.com</v>
      </c>
      <c r="E106" t="str">
        <f>IFERROR(_xlfn.XLOOKUP(lstEligible[[#This Row],[Unique ID]], tblMaster[Unique ID], tblMaster[Phone], ""), "")</f>
        <v xml:space="preserve">(978) 549-0320 </v>
      </c>
      <c r="F106" t="str">
        <f>IFERROR(_xlfn.XLOOKUP(lstEligible[[#This Row],[Unique ID]], tblMaster[Unique ID], tblMaster[Recruiter], ""), "")</f>
        <v>Zenon Moses</v>
      </c>
      <c r="G106" t="str">
        <f>IFERROR(_xlfn.XLOOKUP(lstEligible[[#This Row],[Unique ID]], tblMaster[Unique ID], tblMaster[Recruitment Cycle], ""), "")</f>
        <v xml:space="preserve">Re-Engagment/Post Civil Service Exam </v>
      </c>
      <c r="H106" s="3"/>
      <c r="I106" s="3"/>
    </row>
    <row r="107" spans="1:9">
      <c r="A107" t="s">
        <v>8448</v>
      </c>
      <c r="B107" t="str">
        <f>IFERROR(_xlfn.XLOOKUP(lstEligible[[#This Row],[Unique ID]], tblMaster[Unique ID], tblMaster[First Name], ""), "")</f>
        <v xml:space="preserve">Jayzer </v>
      </c>
      <c r="C107" t="str">
        <f>IFERROR(_xlfn.XLOOKUP(lstEligible[[#This Row],[Unique ID]], tblMaster[Unique ID], tblMaster[Last Name], ""), "")</f>
        <v xml:space="preserve">Rodriguez </v>
      </c>
      <c r="D107" t="str">
        <f>IFERROR(_xlfn.XLOOKUP(lstEligible[[#This Row],[Unique ID]], tblMaster[Unique ID], tblMaster[Email_Clean], ""), "")</f>
        <v>jzr630@gmail.com</v>
      </c>
      <c r="E107" t="str">
        <f>IFERROR(_xlfn.XLOOKUP(lstEligible[[#This Row],[Unique ID]], tblMaster[Unique ID], tblMaster[Phone], ""), "")</f>
        <v>978-876-4187</v>
      </c>
      <c r="F107" t="str">
        <f>IFERROR(_xlfn.XLOOKUP(lstEligible[[#This Row],[Unique ID]], tblMaster[Unique ID], tblMaster[Recruiter], ""), "")</f>
        <v>Zenon Moses</v>
      </c>
      <c r="G107" t="str">
        <f>IFERROR(_xlfn.XLOOKUP(lstEligible[[#This Row],[Unique ID]], tblMaster[Unique ID], tblMaster[Recruitment Cycle], ""), "")</f>
        <v xml:space="preserve">Re-Engagment/Post Civil Service Exam </v>
      </c>
      <c r="H107" s="3"/>
      <c r="I107" s="3"/>
    </row>
    <row r="108" spans="1:9">
      <c r="A108" t="s">
        <v>8449</v>
      </c>
      <c r="B108" t="str">
        <f>IFERROR(_xlfn.XLOOKUP(lstEligible[[#This Row],[Unique ID]], tblMaster[Unique ID], tblMaster[First Name], ""), "")</f>
        <v xml:space="preserve">Roody </v>
      </c>
      <c r="C108" t="str">
        <f>IFERROR(_xlfn.XLOOKUP(lstEligible[[#This Row],[Unique ID]], tblMaster[Unique ID], tblMaster[Last Name], ""), "")</f>
        <v xml:space="preserve">Sainvil </v>
      </c>
      <c r="D108" t="str">
        <f>IFERROR(_xlfn.XLOOKUP(lstEligible[[#This Row],[Unique ID]], tblMaster[Unique ID], tblMaster[Email_Clean], ""), "")</f>
        <v>roodysainvil@gmail.com</v>
      </c>
      <c r="E108" t="str">
        <f>IFERROR(_xlfn.XLOOKUP(lstEligible[[#This Row],[Unique ID]], tblMaster[Unique ID], tblMaster[Phone], ""), "")</f>
        <v xml:space="preserve">(978) 483-1394 </v>
      </c>
      <c r="F108" t="str">
        <f>IFERROR(_xlfn.XLOOKUP(lstEligible[[#This Row],[Unique ID]], tblMaster[Unique ID], tblMaster[Recruiter], ""), "")</f>
        <v>Zenon Moses</v>
      </c>
      <c r="G108" t="str">
        <f>IFERROR(_xlfn.XLOOKUP(lstEligible[[#This Row],[Unique ID]], tblMaster[Unique ID], tblMaster[Recruitment Cycle], ""), "")</f>
        <v xml:space="preserve">Re-Engagment/Post Civil Service Exam </v>
      </c>
      <c r="H108" s="3"/>
      <c r="I108" s="3"/>
    </row>
    <row r="109" spans="1:9">
      <c r="A109" t="s">
        <v>8450</v>
      </c>
      <c r="B109" t="str">
        <f>IFERROR(_xlfn.XLOOKUP(lstEligible[[#This Row],[Unique ID]], tblMaster[Unique ID], tblMaster[First Name], ""), "")</f>
        <v xml:space="preserve">Luis </v>
      </c>
      <c r="C109" t="str">
        <f>IFERROR(_xlfn.XLOOKUP(lstEligible[[#This Row],[Unique ID]], tblMaster[Unique ID], tblMaster[Last Name], ""), "")</f>
        <v xml:space="preserve">Carrion </v>
      </c>
      <c r="D109" t="str">
        <f>IFERROR(_xlfn.XLOOKUP(lstEligible[[#This Row],[Unique ID]], tblMaster[Unique ID], tblMaster[Email_Clean], ""), "")</f>
        <v>shaliacluis23@gmail.com</v>
      </c>
      <c r="E109" t="str">
        <f>IFERROR(_xlfn.XLOOKUP(lstEligible[[#This Row],[Unique ID]], tblMaster[Unique ID], tblMaster[Phone], ""), "")</f>
        <v>413-214-9467</v>
      </c>
      <c r="F109" t="str">
        <f>IFERROR(_xlfn.XLOOKUP(lstEligible[[#This Row],[Unique ID]], tblMaster[Unique ID], tblMaster[Recruiter], ""), "")</f>
        <v>Zenon Moses</v>
      </c>
      <c r="G109" t="str">
        <f>IFERROR(_xlfn.XLOOKUP(lstEligible[[#This Row],[Unique ID]], tblMaster[Unique ID], tblMaster[Recruitment Cycle], ""), "")</f>
        <v xml:space="preserve">Re-Engagment/Post Civil Service Exam </v>
      </c>
      <c r="H109" s="3"/>
      <c r="I109" s="3"/>
    </row>
    <row r="110" spans="1:9">
      <c r="A110" t="s">
        <v>8451</v>
      </c>
      <c r="B110" t="str">
        <f>IFERROR(_xlfn.XLOOKUP(lstEligible[[#This Row],[Unique ID]], tblMaster[Unique ID], tblMaster[First Name], ""), "")</f>
        <v xml:space="preserve">Keven </v>
      </c>
      <c r="C110" t="str">
        <f>IFERROR(_xlfn.XLOOKUP(lstEligible[[#This Row],[Unique ID]], tblMaster[Unique ID], tblMaster[Last Name], ""), "")</f>
        <v xml:space="preserve">Molina </v>
      </c>
      <c r="D110" t="str">
        <f>IFERROR(_xlfn.XLOOKUP(lstEligible[[#This Row],[Unique ID]], tblMaster[Unique ID], tblMaster[Email_Clean], ""), "")</f>
        <v>kven243@gmail.com</v>
      </c>
      <c r="E110" t="str">
        <f>IFERROR(_xlfn.XLOOKUP(lstEligible[[#This Row],[Unique ID]], tblMaster[Unique ID], tblMaster[Phone], ""), "")</f>
        <v xml:space="preserve">(774) 701-2258 </v>
      </c>
      <c r="F110" t="str">
        <f>IFERROR(_xlfn.XLOOKUP(lstEligible[[#This Row],[Unique ID]], tblMaster[Unique ID], tblMaster[Recruiter], ""), "")</f>
        <v>Zenon Moses</v>
      </c>
      <c r="G110" t="str">
        <f>IFERROR(_xlfn.XLOOKUP(lstEligible[[#This Row],[Unique ID]], tblMaster[Unique ID], tblMaster[Recruitment Cycle], ""), "")</f>
        <v xml:space="preserve">Re-Engagment/Post Civil Service Exam </v>
      </c>
      <c r="H110" s="3"/>
      <c r="I110" s="3"/>
    </row>
    <row r="111" spans="1:9">
      <c r="A111" t="s">
        <v>8452</v>
      </c>
      <c r="B111" t="str">
        <f>IFERROR(_xlfn.XLOOKUP(lstEligible[[#This Row],[Unique ID]], tblMaster[Unique ID], tblMaster[First Name], ""), "")</f>
        <v xml:space="preserve">NII </v>
      </c>
      <c r="C111" t="str">
        <f>IFERROR(_xlfn.XLOOKUP(lstEligible[[#This Row],[Unique ID]], tblMaster[Unique ID], tblMaster[Last Name], ""), "")</f>
        <v xml:space="preserve">ADJETEY-SOWA </v>
      </c>
      <c r="D111" t="str">
        <f>IFERROR(_xlfn.XLOOKUP(lstEligible[[#This Row],[Unique ID]], tblMaster[Unique ID], tblMaster[Email_Clean], ""), "")</f>
        <v>adjeteysowa.na@gmail.com</v>
      </c>
      <c r="E111" t="str">
        <f>IFERROR(_xlfn.XLOOKUP(lstEligible[[#This Row],[Unique ID]], tblMaster[Unique ID], tblMaster[Phone], ""), "")</f>
        <v xml:space="preserve">347) 723-6230 </v>
      </c>
      <c r="F111" t="str">
        <f>IFERROR(_xlfn.XLOOKUP(lstEligible[[#This Row],[Unique ID]], tblMaster[Unique ID], tblMaster[Recruiter], ""), "")</f>
        <v>Zenon Moses</v>
      </c>
      <c r="G111" t="str">
        <f>IFERROR(_xlfn.XLOOKUP(lstEligible[[#This Row],[Unique ID]], tblMaster[Unique ID], tblMaster[Recruitment Cycle], ""), "")</f>
        <v xml:space="preserve">Re-Engagment/Post Civil Service Exam </v>
      </c>
      <c r="H111" s="3"/>
      <c r="I111" s="3"/>
    </row>
    <row r="112" spans="1:9">
      <c r="A112" t="s">
        <v>8453</v>
      </c>
      <c r="B112" t="str">
        <f>IFERROR(_xlfn.XLOOKUP(lstEligible[[#This Row],[Unique ID]], tblMaster[Unique ID], tblMaster[First Name], ""), "")</f>
        <v xml:space="preserve">Ruth </v>
      </c>
      <c r="C112" t="str">
        <f>IFERROR(_xlfn.XLOOKUP(lstEligible[[#This Row],[Unique ID]], tblMaster[Unique ID], tblMaster[Last Name], ""), "")</f>
        <v xml:space="preserve"> Oros </v>
      </c>
      <c r="D112" t="str">
        <f>IFERROR(_xlfn.XLOOKUP(lstEligible[[#This Row],[Unique ID]], tblMaster[Unique ID], tblMaster[Email_Clean], ""), "")</f>
        <v>ruthgolds76@gmail.com</v>
      </c>
      <c r="E112" t="str">
        <f>IFERROR(_xlfn.XLOOKUP(lstEligible[[#This Row],[Unique ID]], tblMaster[Unique ID], tblMaster[Phone], ""), "")</f>
        <v xml:space="preserve">(508) 436-0264 </v>
      </c>
      <c r="F112" t="str">
        <f>IFERROR(_xlfn.XLOOKUP(lstEligible[[#This Row],[Unique ID]], tblMaster[Unique ID], tblMaster[Recruiter], ""), "")</f>
        <v>Zenon Moses</v>
      </c>
      <c r="G112" t="str">
        <f>IFERROR(_xlfn.XLOOKUP(lstEligible[[#This Row],[Unique ID]], tblMaster[Unique ID], tblMaster[Recruitment Cycle], ""), "")</f>
        <v xml:space="preserve">Re-Engagment/Post Civil Service Exam </v>
      </c>
      <c r="H112" s="3"/>
      <c r="I112" s="3"/>
    </row>
    <row r="113" spans="1:9">
      <c r="A113" t="s">
        <v>8454</v>
      </c>
      <c r="B113" t="str">
        <f>IFERROR(_xlfn.XLOOKUP(lstEligible[[#This Row],[Unique ID]], tblMaster[Unique ID], tblMaster[First Name], ""), "")</f>
        <v xml:space="preserve">Darius </v>
      </c>
      <c r="C113" t="str">
        <f>IFERROR(_xlfn.XLOOKUP(lstEligible[[#This Row],[Unique ID]], tblMaster[Unique ID], tblMaster[Last Name], ""), "")</f>
        <v xml:space="preserve">White </v>
      </c>
      <c r="D113" t="str">
        <f>IFERROR(_xlfn.XLOOKUP(lstEligible[[#This Row],[Unique ID]], tblMaster[Unique ID], tblMaster[Email_Clean], ""), "")</f>
        <v>dariuswhite85@yahoo.com</v>
      </c>
      <c r="E113" t="str">
        <f>IFERROR(_xlfn.XLOOKUP(lstEligible[[#This Row],[Unique ID]], tblMaster[Unique ID], tblMaster[Phone], ""), "")</f>
        <v>617-697-9917</v>
      </c>
      <c r="F113" t="str">
        <f>IFERROR(_xlfn.XLOOKUP(lstEligible[[#This Row],[Unique ID]], tblMaster[Unique ID], tblMaster[Recruiter], ""), "")</f>
        <v>Zenon Moses</v>
      </c>
      <c r="G113" t="str">
        <f>IFERROR(_xlfn.XLOOKUP(lstEligible[[#This Row],[Unique ID]], tblMaster[Unique ID], tblMaster[Recruitment Cycle], ""), "")</f>
        <v xml:space="preserve">Re-Engagment/Post Civil Service Exam </v>
      </c>
      <c r="H113" s="3"/>
      <c r="I113" s="3"/>
    </row>
    <row r="114" spans="1:9">
      <c r="A114" t="s">
        <v>8455</v>
      </c>
      <c r="B114" t="str">
        <f>IFERROR(_xlfn.XLOOKUP(lstEligible[[#This Row],[Unique ID]], tblMaster[Unique ID], tblMaster[First Name], ""), "")</f>
        <v xml:space="preserve">Scott </v>
      </c>
      <c r="C114" t="str">
        <f>IFERROR(_xlfn.XLOOKUP(lstEligible[[#This Row],[Unique ID]], tblMaster[Unique ID], tblMaster[Last Name], ""), "")</f>
        <v xml:space="preserve"> Lashua </v>
      </c>
      <c r="D114" t="str">
        <f>IFERROR(_xlfn.XLOOKUP(lstEligible[[#This Row],[Unique ID]], tblMaster[Unique ID], tblMaster[Email_Clean], ""), "")</f>
        <v>slashua@comcast.net</v>
      </c>
      <c r="E114" t="str">
        <f>IFERROR(_xlfn.XLOOKUP(lstEligible[[#This Row],[Unique ID]], tblMaster[Unique ID], tblMaster[Phone], ""), "")</f>
        <v xml:space="preserve">(978) 660-8295 </v>
      </c>
      <c r="F114" t="str">
        <f>IFERROR(_xlfn.XLOOKUP(lstEligible[[#This Row],[Unique ID]], tblMaster[Unique ID], tblMaster[Recruiter], ""), "")</f>
        <v>Zenon Moses</v>
      </c>
      <c r="G114" t="str">
        <f>IFERROR(_xlfn.XLOOKUP(lstEligible[[#This Row],[Unique ID]], tblMaster[Unique ID], tblMaster[Recruitment Cycle], ""), "")</f>
        <v xml:space="preserve">Re-Engagment/Post Civil Service Exam </v>
      </c>
      <c r="H114" s="3"/>
      <c r="I114" s="3"/>
    </row>
    <row r="115" spans="1:9">
      <c r="A115" t="s">
        <v>8456</v>
      </c>
      <c r="B115" t="str">
        <f>IFERROR(_xlfn.XLOOKUP(lstEligible[[#This Row],[Unique ID]], tblMaster[Unique ID], tblMaster[First Name], ""), "")</f>
        <v>Jenna</v>
      </c>
      <c r="C115" t="str">
        <f>IFERROR(_xlfn.XLOOKUP(lstEligible[[#This Row],[Unique ID]], tblMaster[Unique ID], tblMaster[Last Name], ""), "")</f>
        <v>Bird</v>
      </c>
      <c r="D115" t="str">
        <f>IFERROR(_xlfn.XLOOKUP(lstEligible[[#This Row],[Unique ID]], tblMaster[Unique ID], tblMaster[Email_Clean], ""), "")</f>
        <v>jennabeanmarie@gmail.com</v>
      </c>
      <c r="E115" t="str">
        <f>IFERROR(_xlfn.XLOOKUP(lstEligible[[#This Row],[Unique ID]], tblMaster[Unique ID], tblMaster[Phone], ""), "")</f>
        <v>774-259-1730</v>
      </c>
      <c r="F115" t="str">
        <f>IFERROR(_xlfn.XLOOKUP(lstEligible[[#This Row],[Unique ID]], tblMaster[Unique ID], tblMaster[Recruiter], ""), "")</f>
        <v xml:space="preserve">Jevon Brown Simpson </v>
      </c>
      <c r="G115" t="str">
        <f>IFERROR(_xlfn.XLOOKUP(lstEligible[[#This Row],[Unique ID]], tblMaster[Unique ID], tblMaster[Recruitment Cycle], ""), "")</f>
        <v xml:space="preserve">Re-Engagment/Post Civil Service Exam </v>
      </c>
      <c r="H115" s="3"/>
      <c r="I115" s="3"/>
    </row>
    <row r="116" spans="1:9">
      <c r="A116" t="s">
        <v>8457</v>
      </c>
      <c r="B116" t="str">
        <f>IFERROR(_xlfn.XLOOKUP(lstEligible[[#This Row],[Unique ID]], tblMaster[Unique ID], tblMaster[First Name], ""), "")</f>
        <v xml:space="preserve">Kyle </v>
      </c>
      <c r="C116" t="str">
        <f>IFERROR(_xlfn.XLOOKUP(lstEligible[[#This Row],[Unique ID]], tblMaster[Unique ID], tblMaster[Last Name], ""), "")</f>
        <v xml:space="preserve">Yeh </v>
      </c>
      <c r="D116" t="str">
        <f>IFERROR(_xlfn.XLOOKUP(lstEligible[[#This Row],[Unique ID]], tblMaster[Unique ID], tblMaster[Email_Clean], ""), "")</f>
        <v>kylehyeh@gmail.com</v>
      </c>
      <c r="E116" t="str">
        <f>IFERROR(_xlfn.XLOOKUP(lstEligible[[#This Row],[Unique ID]], tblMaster[Unique ID], tblMaster[Phone], ""), "")</f>
        <v>508-369-8664</v>
      </c>
      <c r="F116" t="str">
        <f>IFERROR(_xlfn.XLOOKUP(lstEligible[[#This Row],[Unique ID]], tblMaster[Unique ID], tblMaster[Recruiter], ""), "")</f>
        <v>Zenon Moses</v>
      </c>
      <c r="G116" t="str">
        <f>IFERROR(_xlfn.XLOOKUP(lstEligible[[#This Row],[Unique ID]], tblMaster[Unique ID], tblMaster[Recruitment Cycle], ""), "")</f>
        <v xml:space="preserve">Re-Engagment/Post Civil Service Exam </v>
      </c>
      <c r="H116" s="3"/>
      <c r="I116" s="3"/>
    </row>
    <row r="117" spans="1:9">
      <c r="A117" t="s">
        <v>8458</v>
      </c>
      <c r="B117" t="str">
        <f>IFERROR(_xlfn.XLOOKUP(lstEligible[[#This Row],[Unique ID]], tblMaster[Unique ID], tblMaster[First Name], ""), "")</f>
        <v>Wanda</v>
      </c>
      <c r="C117" t="str">
        <f>IFERROR(_xlfn.XLOOKUP(lstEligible[[#This Row],[Unique ID]], tblMaster[Unique ID], tblMaster[Last Name], ""), "")</f>
        <v xml:space="preserve">Garcia </v>
      </c>
      <c r="D117" t="str">
        <f>IFERROR(_xlfn.XLOOKUP(lstEligible[[#This Row],[Unique ID]], tblMaster[Unique ID], tblMaster[Email_Clean], ""), "")</f>
        <v>michellegarcia4611@live.com</v>
      </c>
      <c r="E117" t="str">
        <f>IFERROR(_xlfn.XLOOKUP(lstEligible[[#This Row],[Unique ID]], tblMaster[Unique ID], tblMaster[Phone], ""), "")</f>
        <v>(401) 298-3859</v>
      </c>
      <c r="F117" t="str">
        <f>IFERROR(_xlfn.XLOOKUP(lstEligible[[#This Row],[Unique ID]], tblMaster[Unique ID], tblMaster[Recruiter], ""), "")</f>
        <v xml:space="preserve">Jevon Brown Simpson </v>
      </c>
      <c r="G117" t="str">
        <f>IFERROR(_xlfn.XLOOKUP(lstEligible[[#This Row],[Unique ID]], tblMaster[Unique ID], tblMaster[Recruitment Cycle], ""), "")</f>
        <v xml:space="preserve">Re-Engagment/Post Civil Service Exam </v>
      </c>
      <c r="H117" s="3"/>
      <c r="I117" s="3"/>
    </row>
    <row r="118" spans="1:9">
      <c r="A118" t="s">
        <v>8459</v>
      </c>
      <c r="B118" t="str">
        <f>IFERROR(_xlfn.XLOOKUP(lstEligible[[#This Row],[Unique ID]], tblMaster[Unique ID], tblMaster[First Name], ""), "")</f>
        <v xml:space="preserve">Jeremy </v>
      </c>
      <c r="C118" t="str">
        <f>IFERROR(_xlfn.XLOOKUP(lstEligible[[#This Row],[Unique ID]], tblMaster[Unique ID], tblMaster[Last Name], ""), "")</f>
        <v>Xhija</v>
      </c>
      <c r="D118" t="str">
        <f>IFERROR(_xlfn.XLOOKUP(lstEligible[[#This Row],[Unique ID]], tblMaster[Unique ID], tblMaster[Email_Clean], ""), "")</f>
        <v>jxhija14@gmail.com</v>
      </c>
      <c r="E118" t="str">
        <f>IFERROR(_xlfn.XLOOKUP(lstEligible[[#This Row],[Unique ID]], tblMaster[Unique ID], tblMaster[Phone], ""), "")</f>
        <v xml:space="preserve">508-873-4044 </v>
      </c>
      <c r="F118" t="str">
        <f>IFERROR(_xlfn.XLOOKUP(lstEligible[[#This Row],[Unique ID]], tblMaster[Unique ID], tblMaster[Recruiter], ""), "")</f>
        <v>Zenon Moses</v>
      </c>
      <c r="G118" t="str">
        <f>IFERROR(_xlfn.XLOOKUP(lstEligible[[#This Row],[Unique ID]], tblMaster[Unique ID], tblMaster[Recruitment Cycle], ""), "")</f>
        <v xml:space="preserve">Re-Engagment/Post Civil Service Exam </v>
      </c>
      <c r="H118" s="3"/>
      <c r="I118" s="3"/>
    </row>
    <row r="119" spans="1:9">
      <c r="A119" t="s">
        <v>7894</v>
      </c>
      <c r="B119" t="str">
        <f>IFERROR(_xlfn.XLOOKUP(lstEligible[[#This Row],[Unique ID]], tblMaster[Unique ID], tblMaster[First Name], ""), "")</f>
        <v>Eliza</v>
      </c>
      <c r="C119" t="str">
        <f>IFERROR(_xlfn.XLOOKUP(lstEligible[[#This Row],[Unique ID]], tblMaster[Unique ID], tblMaster[Last Name], ""), "")</f>
        <v xml:space="preserve"> Tripp </v>
      </c>
      <c r="D119" t="str">
        <f>IFERROR(_xlfn.XLOOKUP(lstEligible[[#This Row],[Unique ID]], tblMaster[Unique ID], tblMaster[Email_Clean], ""), "")</f>
        <v>elizatripp01@gmail.com</v>
      </c>
      <c r="E119" t="str">
        <f>IFERROR(_xlfn.XLOOKUP(lstEligible[[#This Row],[Unique ID]], tblMaster[Unique ID], tblMaster[Phone], ""), "")</f>
        <v xml:space="preserve">774) 208-3429 </v>
      </c>
      <c r="F119" t="str">
        <f>IFERROR(_xlfn.XLOOKUP(lstEligible[[#This Row],[Unique ID]], tblMaster[Unique ID], tblMaster[Recruiter], ""), "")</f>
        <v xml:space="preserve">Jevon Brown Simpson </v>
      </c>
      <c r="G119" t="str">
        <f>IFERROR(_xlfn.XLOOKUP(lstEligible[[#This Row],[Unique ID]], tblMaster[Unique ID], tblMaster[Recruitment Cycle], ""), "")</f>
        <v xml:space="preserve">Re-Engagment/Post Civil Service Exam </v>
      </c>
      <c r="H119" s="3"/>
      <c r="I119" s="3"/>
    </row>
    <row r="120" spans="1:9">
      <c r="A120" t="s">
        <v>8437</v>
      </c>
      <c r="B120" t="str">
        <f>IFERROR(_xlfn.XLOOKUP(lstEligible[[#This Row],[Unique ID]], tblMaster[Unique ID], tblMaster[First Name], ""), "")</f>
        <v xml:space="preserve">Anthony </v>
      </c>
      <c r="C120" t="str">
        <f>IFERROR(_xlfn.XLOOKUP(lstEligible[[#This Row],[Unique ID]], tblMaster[Unique ID], tblMaster[Last Name], ""), "")</f>
        <v>Pierre-Louis</v>
      </c>
      <c r="D120" t="str">
        <f>IFERROR(_xlfn.XLOOKUP(lstEligible[[#This Row],[Unique ID]], tblMaster[Unique ID], tblMaster[Email_Clean], ""), "")</f>
        <v>apl2k14@gmail.com</v>
      </c>
      <c r="E120" t="str">
        <f>IFERROR(_xlfn.XLOOKUP(lstEligible[[#This Row],[Unique ID]], tblMaster[Unique ID], tblMaster[Phone], ""), "")</f>
        <v>772-361-5658</v>
      </c>
      <c r="F120" t="str">
        <f>IFERROR(_xlfn.XLOOKUP(lstEligible[[#This Row],[Unique ID]], tblMaster[Unique ID], tblMaster[Recruiter], ""), "")</f>
        <v xml:space="preserve">Jevon Brown Simpson </v>
      </c>
      <c r="G120" t="str">
        <f>IFERROR(_xlfn.XLOOKUP(lstEligible[[#This Row],[Unique ID]], tblMaster[Unique ID], tblMaster[Recruitment Cycle], ""), "")</f>
        <v xml:space="preserve">Re-Engagment/Post Civil Service Exam </v>
      </c>
      <c r="H120" s="3"/>
      <c r="I120" s="3"/>
    </row>
    <row r="121" spans="1:9">
      <c r="A121" t="s">
        <v>8481</v>
      </c>
      <c r="B121" t="str">
        <f>IFERROR(_xlfn.XLOOKUP(lstEligible[[#This Row],[Unique ID]], tblMaster[Unique ID], tblMaster[First Name], ""), "")</f>
        <v xml:space="preserve">Matt </v>
      </c>
      <c r="C121" t="str">
        <f>IFERROR(_xlfn.XLOOKUP(lstEligible[[#This Row],[Unique ID]], tblMaster[Unique ID], tblMaster[Last Name], ""), "")</f>
        <v>Shaw</v>
      </c>
      <c r="D121" t="str">
        <f>IFERROR(_xlfn.XLOOKUP(lstEligible[[#This Row],[Unique ID]], tblMaster[Unique ID], tblMaster[Email_Clean], ""), "")</f>
        <v>mshaw126@terpmail.umd.edu</v>
      </c>
      <c r="E121" t="str">
        <f>IFERROR(_xlfn.XLOOKUP(lstEligible[[#This Row],[Unique ID]], tblMaster[Unique ID], tblMaster[Phone], ""), "")</f>
        <v>508-455-8368</v>
      </c>
      <c r="F121" t="str">
        <f>IFERROR(_xlfn.XLOOKUP(lstEligible[[#This Row],[Unique ID]], tblMaster[Unique ID], tblMaster[Recruiter], ""), "")</f>
        <v xml:space="preserve">Tom Clark </v>
      </c>
      <c r="G121" t="str">
        <f>IFERROR(_xlfn.XLOOKUP(lstEligible[[#This Row],[Unique ID]], tblMaster[Unique ID], tblMaster[Recruitment Cycle], ""), "")</f>
        <v xml:space="preserve">Re-Engagment/Post Civil Service Exam </v>
      </c>
      <c r="H121" s="3"/>
      <c r="I121" s="3"/>
    </row>
    <row r="122" spans="1:9">
      <c r="A122" t="s">
        <v>8482</v>
      </c>
      <c r="B122" t="str">
        <f>IFERROR(_xlfn.XLOOKUP(lstEligible[[#This Row],[Unique ID]], tblMaster[Unique ID], tblMaster[First Name], ""), "")</f>
        <v xml:space="preserve">Anderson </v>
      </c>
      <c r="C122" t="str">
        <f>IFERROR(_xlfn.XLOOKUP(lstEligible[[#This Row],[Unique ID]], tblMaster[Unique ID], tblMaster[Last Name], ""), "")</f>
        <v>Soares</v>
      </c>
      <c r="D122" t="str">
        <f>IFERROR(_xlfn.XLOOKUP(lstEligible[[#This Row],[Unique ID]], tblMaster[Unique ID], tblMaster[Email_Clean], ""), "")</f>
        <v>andy36.as@gmail.com</v>
      </c>
      <c r="E122" t="str">
        <f>IFERROR(_xlfn.XLOOKUP(lstEligible[[#This Row],[Unique ID]], tblMaster[Unique ID], tblMaster[Phone], ""), "")</f>
        <v>774-635-1834</v>
      </c>
      <c r="F122" t="str">
        <f>IFERROR(_xlfn.XLOOKUP(lstEligible[[#This Row],[Unique ID]], tblMaster[Unique ID], tblMaster[Recruiter], ""), "")</f>
        <v xml:space="preserve">Tom Clark </v>
      </c>
      <c r="G122" t="str">
        <f>IFERROR(_xlfn.XLOOKUP(lstEligible[[#This Row],[Unique ID]], tblMaster[Unique ID], tblMaster[Recruitment Cycle], ""), "")</f>
        <v xml:space="preserve">New Submission/ Lead </v>
      </c>
      <c r="H122" s="3"/>
      <c r="I122" s="3"/>
    </row>
    <row r="123" spans="1:9">
      <c r="A123" t="s">
        <v>8483</v>
      </c>
      <c r="B123" t="str">
        <f>IFERROR(_xlfn.XLOOKUP(lstEligible[[#This Row],[Unique ID]], tblMaster[Unique ID], tblMaster[First Name], ""), "")</f>
        <v xml:space="preserve">Franklin </v>
      </c>
      <c r="C123" t="str">
        <f>IFERROR(_xlfn.XLOOKUP(lstEligible[[#This Row],[Unique ID]], tblMaster[Unique ID], tblMaster[Last Name], ""), "")</f>
        <v xml:space="preserve">Gonzalez </v>
      </c>
      <c r="D123" t="str">
        <f>IFERROR(_xlfn.XLOOKUP(lstEligible[[#This Row],[Unique ID]], tblMaster[Unique ID], tblMaster[Email_Clean], ""), "")</f>
        <v>gonzalezfranklin6052@gmail.com</v>
      </c>
      <c r="E123" t="str">
        <f>IFERROR(_xlfn.XLOOKUP(lstEligible[[#This Row],[Unique ID]], tblMaster[Unique ID], tblMaster[Phone], ""), "")</f>
        <v>978-514-3952</v>
      </c>
      <c r="F123" t="str">
        <f>IFERROR(_xlfn.XLOOKUP(lstEligible[[#This Row],[Unique ID]], tblMaster[Unique ID], tblMaster[Recruiter], ""), "")</f>
        <v>Zenon Moses</v>
      </c>
      <c r="G123" t="str">
        <f>IFERROR(_xlfn.XLOOKUP(lstEligible[[#This Row],[Unique ID]], tblMaster[Unique ID], tblMaster[Recruitment Cycle], ""), "")</f>
        <v xml:space="preserve">Re-Engagment/Post Civil Service Exam </v>
      </c>
      <c r="H123" s="3"/>
      <c r="I123" s="3"/>
    </row>
    <row r="124" spans="1:9">
      <c r="A124" t="s">
        <v>8485</v>
      </c>
      <c r="B124" t="str">
        <f>IFERROR(_xlfn.XLOOKUP(lstEligible[[#This Row],[Unique ID]], tblMaster[Unique ID], tblMaster[First Name], ""), "")</f>
        <v xml:space="preserve">Cassandra </v>
      </c>
      <c r="C124" t="str">
        <f>IFERROR(_xlfn.XLOOKUP(lstEligible[[#This Row],[Unique ID]], tblMaster[Unique ID], tblMaster[Last Name], ""), "")</f>
        <v xml:space="preserve"> Williams </v>
      </c>
      <c r="D124" t="str">
        <f>IFERROR(_xlfn.XLOOKUP(lstEligible[[#This Row],[Unique ID]], tblMaster[Unique ID], tblMaster[Email_Clean], ""), "")</f>
        <v>cassandran_32@hotmail.com</v>
      </c>
      <c r="E124" t="str">
        <f>IFERROR(_xlfn.XLOOKUP(lstEligible[[#This Row],[Unique ID]], tblMaster[Unique ID], tblMaster[Phone], ""), "")</f>
        <v xml:space="preserve">(704) 726-4936 </v>
      </c>
      <c r="F124" t="str">
        <f>IFERROR(_xlfn.XLOOKUP(lstEligible[[#This Row],[Unique ID]], tblMaster[Unique ID], tblMaster[Recruiter], ""), "")</f>
        <v>Zenon Moses</v>
      </c>
      <c r="G124" t="str">
        <f>IFERROR(_xlfn.XLOOKUP(lstEligible[[#This Row],[Unique ID]], tblMaster[Unique ID], tblMaster[Recruitment Cycle], ""), "")</f>
        <v xml:space="preserve">Re-Engagment/Post Civil Service Exam </v>
      </c>
      <c r="H124" s="3"/>
      <c r="I124" s="3"/>
    </row>
    <row r="125" spans="1:9">
      <c r="A125" t="s">
        <v>8486</v>
      </c>
      <c r="B125" t="str">
        <f>IFERROR(_xlfn.XLOOKUP(lstEligible[[#This Row],[Unique ID]], tblMaster[Unique ID], tblMaster[First Name], ""), "")</f>
        <v>Andrew</v>
      </c>
      <c r="C125" t="str">
        <f>IFERROR(_xlfn.XLOOKUP(lstEligible[[#This Row],[Unique ID]], tblMaster[Unique ID], tblMaster[Last Name], ""), "")</f>
        <v>Calvagno</v>
      </c>
      <c r="D125" t="str">
        <f>IFERROR(_xlfn.XLOOKUP(lstEligible[[#This Row],[Unique ID]], tblMaster[Unique ID], tblMaster[Email_Clean], ""), "")</f>
        <v>andrew_calvagno@yahoo.com</v>
      </c>
      <c r="E125" t="str">
        <f>IFERROR(_xlfn.XLOOKUP(lstEligible[[#This Row],[Unique ID]], tblMaster[Unique ID], tblMaster[Phone], ""), "")</f>
        <v>781-924-9678</v>
      </c>
      <c r="F125" t="str">
        <f>IFERROR(_xlfn.XLOOKUP(lstEligible[[#This Row],[Unique ID]], tblMaster[Unique ID], tblMaster[Recruiter], ""), "")</f>
        <v>Zenon Moses</v>
      </c>
      <c r="G125" t="str">
        <f>IFERROR(_xlfn.XLOOKUP(lstEligible[[#This Row],[Unique ID]], tblMaster[Unique ID], tblMaster[Recruitment Cycle], ""), "")</f>
        <v xml:space="preserve">Re-Engagment/Post Civil Service Exam </v>
      </c>
      <c r="H125" s="3"/>
      <c r="I125" s="3"/>
    </row>
    <row r="126" spans="1:9">
      <c r="A126" t="s">
        <v>8086</v>
      </c>
      <c r="B126" t="str">
        <f>IFERROR(_xlfn.XLOOKUP(lstEligible[[#This Row],[Unique ID]], tblMaster[Unique ID], tblMaster[First Name], ""), "")</f>
        <v xml:space="preserve">Alexander </v>
      </c>
      <c r="C126" t="str">
        <f>IFERROR(_xlfn.XLOOKUP(lstEligible[[#This Row],[Unique ID]], tblMaster[Unique ID], tblMaster[Last Name], ""), "")</f>
        <v xml:space="preserve">ervello Santiago </v>
      </c>
      <c r="D126" t="str">
        <f>IFERROR(_xlfn.XLOOKUP(lstEligible[[#This Row],[Unique ID]], tblMaster[Unique ID], tblMaster[Email_Clean], ""), "")</f>
        <v>alexsantiago64@gmail.com</v>
      </c>
      <c r="E126" t="str">
        <f>IFERROR(_xlfn.XLOOKUP(lstEligible[[#This Row],[Unique ID]], tblMaster[Unique ID], tblMaster[Phone], ""), "")</f>
        <v>978-728-1261</v>
      </c>
      <c r="F126" t="str">
        <f>IFERROR(_xlfn.XLOOKUP(lstEligible[[#This Row],[Unique ID]], tblMaster[Unique ID], tblMaster[Recruiter], ""), "")</f>
        <v xml:space="preserve">Jevon Brown Simpson </v>
      </c>
      <c r="G126" t="str">
        <f>IFERROR(_xlfn.XLOOKUP(lstEligible[[#This Row],[Unique ID]], tblMaster[Unique ID], tblMaster[Recruitment Cycle], ""), "")</f>
        <v xml:space="preserve">Re-Engagment/Post Civil Service Exam </v>
      </c>
      <c r="H126" s="3"/>
      <c r="I126" s="3"/>
    </row>
    <row r="127" spans="1:9">
      <c r="A127" t="s">
        <v>8489</v>
      </c>
      <c r="B127" t="str">
        <f>IFERROR(_xlfn.XLOOKUP(lstEligible[[#This Row],[Unique ID]], tblMaster[Unique ID], tblMaster[First Name], ""), "")</f>
        <v>Tyler</v>
      </c>
      <c r="C127" t="str">
        <f>IFERROR(_xlfn.XLOOKUP(lstEligible[[#This Row],[Unique ID]], tblMaster[Unique ID], tblMaster[Last Name], ""), "")</f>
        <v>Gabriel</v>
      </c>
      <c r="D127" t="str">
        <f>IFERROR(_xlfn.XLOOKUP(lstEligible[[#This Row],[Unique ID]], tblMaster[Unique ID], tblMaster[Email_Clean], ""), "")</f>
        <v>tygabriel20@gmail.com</v>
      </c>
      <c r="E127" t="str">
        <f>IFERROR(_xlfn.XLOOKUP(lstEligible[[#This Row],[Unique ID]], tblMaster[Unique ID], tblMaster[Phone], ""), "")</f>
        <v>(774) 331-6369</v>
      </c>
      <c r="F127" t="str">
        <f>IFERROR(_xlfn.XLOOKUP(lstEligible[[#This Row],[Unique ID]], tblMaster[Unique ID], tblMaster[Recruiter], ""), "")</f>
        <v xml:space="preserve">Jevon Brown Simpson </v>
      </c>
      <c r="G127" t="str">
        <f>IFERROR(_xlfn.XLOOKUP(lstEligible[[#This Row],[Unique ID]], tblMaster[Unique ID], tblMaster[Recruitment Cycle], ""), "")</f>
        <v xml:space="preserve">Re-Engagment/Post Civil Service Exam </v>
      </c>
      <c r="H127" s="3"/>
      <c r="I127" s="3"/>
    </row>
    <row r="128" spans="1:9">
      <c r="A128" t="s">
        <v>7859</v>
      </c>
      <c r="B128" t="str">
        <f>IFERROR(_xlfn.XLOOKUP(lstEligible[[#This Row],[Unique ID]], tblMaster[Unique ID], tblMaster[First Name], ""), "")</f>
        <v>Jacey</v>
      </c>
      <c r="C128" t="str">
        <f>IFERROR(_xlfn.XLOOKUP(lstEligible[[#This Row],[Unique ID]], tblMaster[Unique ID], tblMaster[Last Name], ""), "")</f>
        <v>Smith</v>
      </c>
      <c r="D128" t="str">
        <f>IFERROR(_xlfn.XLOOKUP(lstEligible[[#This Row],[Unique ID]], tblMaster[Unique ID], tblMaster[Email_Clean], ""), "")</f>
        <v>smithjacey20@gmail.com</v>
      </c>
      <c r="E128" t="str">
        <f>IFERROR(_xlfn.XLOOKUP(lstEligible[[#This Row],[Unique ID]], tblMaster[Unique ID], tblMaster[Phone], ""), "")</f>
        <v>857-385-6414</v>
      </c>
      <c r="F128" t="str">
        <f>IFERROR(_xlfn.XLOOKUP(lstEligible[[#This Row],[Unique ID]], tblMaster[Unique ID], tblMaster[Recruiter], ""), "")</f>
        <v xml:space="preserve">Austin Campos </v>
      </c>
      <c r="G128" t="str">
        <f>IFERROR(_xlfn.XLOOKUP(lstEligible[[#This Row],[Unique ID]], tblMaster[Unique ID], tblMaster[Recruitment Cycle], ""), "")</f>
        <v xml:space="preserve">Re-Engagment/Post Civil Service Exam </v>
      </c>
      <c r="H128" s="3"/>
      <c r="I128" s="3"/>
    </row>
    <row r="129" spans="1:9">
      <c r="A129" t="s">
        <v>8491</v>
      </c>
      <c r="B129" t="str">
        <f>IFERROR(_xlfn.XLOOKUP(lstEligible[[#This Row],[Unique ID]], tblMaster[Unique ID], tblMaster[First Name], ""), "")</f>
        <v xml:space="preserve">Jefferson </v>
      </c>
      <c r="C129" t="str">
        <f>IFERROR(_xlfn.XLOOKUP(lstEligible[[#This Row],[Unique ID]], tblMaster[Unique ID], tblMaster[Last Name], ""), "")</f>
        <v xml:space="preserve">Dornezon </v>
      </c>
      <c r="D129" t="str">
        <f>IFERROR(_xlfn.XLOOKUP(lstEligible[[#This Row],[Unique ID]], tblMaster[Unique ID], tblMaster[Email_Clean], ""), "")</f>
        <v>dornezonj@gmail.com</v>
      </c>
      <c r="E129" t="str">
        <f>IFERROR(_xlfn.XLOOKUP(lstEligible[[#This Row],[Unique ID]], tblMaster[Unique ID], tblMaster[Phone], ""), "")</f>
        <v>978-397-7310</v>
      </c>
      <c r="F129" t="str">
        <f>IFERROR(_xlfn.XLOOKUP(lstEligible[[#This Row],[Unique ID]], tblMaster[Unique ID], tblMaster[Recruiter], ""), "")</f>
        <v>Zenon Moses</v>
      </c>
      <c r="G129" t="str">
        <f>IFERROR(_xlfn.XLOOKUP(lstEligible[[#This Row],[Unique ID]], tblMaster[Unique ID], tblMaster[Recruitment Cycle], ""), "")</f>
        <v xml:space="preserve">Re-Engagment/Post Civil Service Exam </v>
      </c>
      <c r="H129" s="3"/>
      <c r="I129" s="3"/>
    </row>
    <row r="130" spans="1:9">
      <c r="A130" t="s">
        <v>8502</v>
      </c>
      <c r="B130" t="str">
        <f>IFERROR(_xlfn.XLOOKUP(lstEligible[[#This Row],[Unique ID]], tblMaster[Unique ID], tblMaster[First Name], ""), "")</f>
        <v xml:space="preserve">Leette </v>
      </c>
      <c r="C130" t="str">
        <f>IFERROR(_xlfn.XLOOKUP(lstEligible[[#This Row],[Unique ID]], tblMaster[Unique ID], tblMaster[Last Name], ""), "")</f>
        <v xml:space="preserve">Marshall </v>
      </c>
      <c r="D130" t="str">
        <f>IFERROR(_xlfn.XLOOKUP(lstEligible[[#This Row],[Unique ID]], tblMaster[Unique ID], tblMaster[Email_Clean], ""), "")</f>
        <v>ladiielee@gmail.com</v>
      </c>
      <c r="E130" t="str">
        <f>IFERROR(_xlfn.XLOOKUP(lstEligible[[#This Row],[Unique ID]], tblMaster[Unique ID], tblMaster[Phone], ""), "")</f>
        <v xml:space="preserve">(857) 287-0662 </v>
      </c>
      <c r="F130" t="str">
        <f>IFERROR(_xlfn.XLOOKUP(lstEligible[[#This Row],[Unique ID]], tblMaster[Unique ID], tblMaster[Recruiter], ""), "")</f>
        <v>Zenon Moses</v>
      </c>
      <c r="G130" t="str">
        <f>IFERROR(_xlfn.XLOOKUP(lstEligible[[#This Row],[Unique ID]], tblMaster[Unique ID], tblMaster[Recruitment Cycle], ""), "")</f>
        <v xml:space="preserve">Re-Engagment/Post Civil Service Exam </v>
      </c>
      <c r="H130" s="3"/>
      <c r="I130" s="3"/>
    </row>
    <row r="131" spans="1:9">
      <c r="A131" t="s">
        <v>8313</v>
      </c>
      <c r="B131" t="str">
        <f>IFERROR(_xlfn.XLOOKUP(lstEligible[[#This Row],[Unique ID]], tblMaster[Unique ID], tblMaster[First Name], ""), "")</f>
        <v xml:space="preserve">Matt </v>
      </c>
      <c r="C131" t="str">
        <f>IFERROR(_xlfn.XLOOKUP(lstEligible[[#This Row],[Unique ID]], tblMaster[Unique ID], tblMaster[Last Name], ""), "")</f>
        <v xml:space="preserve">Johnston </v>
      </c>
      <c r="D131" t="str">
        <f>IFERROR(_xlfn.XLOOKUP(lstEligible[[#This Row],[Unique ID]], tblMaster[Unique ID], tblMaster[Email_Clean], ""), "")</f>
        <v>matthiasj@gmail.com</v>
      </c>
      <c r="E131" t="str">
        <f>IFERROR(_xlfn.XLOOKUP(lstEligible[[#This Row],[Unique ID]], tblMaster[Unique ID], tblMaster[Phone], ""), "")</f>
        <v>312-519-0872</v>
      </c>
      <c r="F131" t="str">
        <f>IFERROR(_xlfn.XLOOKUP(lstEligible[[#This Row],[Unique ID]], tblMaster[Unique ID], tblMaster[Recruiter], ""), "")</f>
        <v>Zenon Moses</v>
      </c>
      <c r="G131" t="str">
        <f>IFERROR(_xlfn.XLOOKUP(lstEligible[[#This Row],[Unique ID]], tblMaster[Unique ID], tblMaster[Recruitment Cycle], ""), "")</f>
        <v xml:space="preserve">Re-Engagment/Post Civil Service Exam </v>
      </c>
      <c r="H131" s="3"/>
      <c r="I131" s="3"/>
    </row>
    <row r="132" spans="1:9">
      <c r="A132" t="s">
        <v>8141</v>
      </c>
      <c r="B132" t="str">
        <f>IFERROR(_xlfn.XLOOKUP(lstEligible[[#This Row],[Unique ID]], tblMaster[Unique ID], tblMaster[First Name], ""), "")</f>
        <v xml:space="preserve">William </v>
      </c>
      <c r="C132" t="str">
        <f>IFERROR(_xlfn.XLOOKUP(lstEligible[[#This Row],[Unique ID]], tblMaster[Unique ID], tblMaster[Last Name], ""), "")</f>
        <v>Kelley</v>
      </c>
      <c r="D132" t="str">
        <f>IFERROR(_xlfn.XLOOKUP(lstEligible[[#This Row],[Unique ID]], tblMaster[Unique ID], tblMaster[Email_Clean], ""), "")</f>
        <v>william.luciano.kelley@gmail.com</v>
      </c>
      <c r="E132" t="str">
        <f>IFERROR(_xlfn.XLOOKUP(lstEligible[[#This Row],[Unique ID]], tblMaster[Unique ID], tblMaster[Phone], ""), "")</f>
        <v>617 984 9321</v>
      </c>
      <c r="F132" t="str">
        <f>IFERROR(_xlfn.XLOOKUP(lstEligible[[#This Row],[Unique ID]], tblMaster[Unique ID], tblMaster[Recruiter], ""), "")</f>
        <v xml:space="preserve">Jevon Brown Simpson </v>
      </c>
      <c r="G132" t="str">
        <f>IFERROR(_xlfn.XLOOKUP(lstEligible[[#This Row],[Unique ID]], tblMaster[Unique ID], tblMaster[Recruitment Cycle], ""), "")</f>
        <v xml:space="preserve">Re-Engagment/Post Civil Service Exam </v>
      </c>
      <c r="H132" s="3"/>
      <c r="I132" s="3"/>
    </row>
    <row r="133" spans="1:9">
      <c r="A133" t="s">
        <v>8494</v>
      </c>
      <c r="B133" t="str">
        <f>IFERROR(_xlfn.XLOOKUP(lstEligible[[#This Row],[Unique ID]], tblMaster[Unique ID], tblMaster[First Name], ""), "")</f>
        <v xml:space="preserve">Jose </v>
      </c>
      <c r="C133" t="str">
        <f>IFERROR(_xlfn.XLOOKUP(lstEligible[[#This Row],[Unique ID]], tblMaster[Unique ID], tblMaster[Last Name], ""), "")</f>
        <v>Baptista</v>
      </c>
      <c r="D133" t="str">
        <f>IFERROR(_xlfn.XLOOKUP(lstEligible[[#This Row],[Unique ID]], tblMaster[Unique ID], tblMaster[Email_Clean], ""), "")</f>
        <v>josebaptista10273@gmail.com</v>
      </c>
      <c r="E133" t="str">
        <f>IFERROR(_xlfn.XLOOKUP(lstEligible[[#This Row],[Unique ID]], tblMaster[Unique ID], tblMaster[Phone], ""), "")</f>
        <v>860-232-8241</v>
      </c>
      <c r="F133" t="str">
        <f>IFERROR(_xlfn.XLOOKUP(lstEligible[[#This Row],[Unique ID]], tblMaster[Unique ID], tblMaster[Recruiter], ""), "")</f>
        <v>Zenon Moses</v>
      </c>
      <c r="G133" t="str">
        <f>IFERROR(_xlfn.XLOOKUP(lstEligible[[#This Row],[Unique ID]], tblMaster[Unique ID], tblMaster[Recruitment Cycle], ""), "")</f>
        <v xml:space="preserve">Re-Engagment/Post Civil Service Exam </v>
      </c>
      <c r="H133" s="3"/>
      <c r="I133" s="3"/>
    </row>
    <row r="134" spans="1:9">
      <c r="A134" t="s">
        <v>8495</v>
      </c>
      <c r="B134" t="str">
        <f>IFERROR(_xlfn.XLOOKUP(lstEligible[[#This Row],[Unique ID]], tblMaster[Unique ID], tblMaster[First Name], ""), "")</f>
        <v xml:space="preserve">Brian </v>
      </c>
      <c r="C134" t="str">
        <f>IFERROR(_xlfn.XLOOKUP(lstEligible[[#This Row],[Unique ID]], tblMaster[Unique ID], tblMaster[Last Name], ""), "")</f>
        <v>Arthur</v>
      </c>
      <c r="D134" t="str">
        <f>IFERROR(_xlfn.XLOOKUP(lstEligible[[#This Row],[Unique ID]], tblMaster[Unique ID], tblMaster[Email_Clean], ""), "")</f>
        <v>brianarthur8982@gmail.com</v>
      </c>
      <c r="E134" t="str">
        <f>IFERROR(_xlfn.XLOOKUP(lstEligible[[#This Row],[Unique ID]], tblMaster[Unique ID], tblMaster[Phone], ""), "")</f>
        <v>857-334-5729</v>
      </c>
      <c r="F134" t="str">
        <f>IFERROR(_xlfn.XLOOKUP(lstEligible[[#This Row],[Unique ID]], tblMaster[Unique ID], tblMaster[Recruiter], ""), "")</f>
        <v xml:space="preserve">Tom Clark </v>
      </c>
      <c r="G134" t="str">
        <f>IFERROR(_xlfn.XLOOKUP(lstEligible[[#This Row],[Unique ID]], tblMaster[Unique ID], tblMaster[Recruitment Cycle], ""), "")</f>
        <v xml:space="preserve">Re-Engagment/Post Civil Service Exam </v>
      </c>
      <c r="H134" s="3"/>
      <c r="I134" s="3"/>
    </row>
    <row r="135" spans="1:9">
      <c r="A135" t="s">
        <v>8497</v>
      </c>
      <c r="B135" t="str">
        <f>IFERROR(_xlfn.XLOOKUP(lstEligible[[#This Row],[Unique ID]], tblMaster[Unique ID], tblMaster[First Name], ""), "")</f>
        <v xml:space="preserve">Sylvia </v>
      </c>
      <c r="C135" t="str">
        <f>IFERROR(_xlfn.XLOOKUP(lstEligible[[#This Row],[Unique ID]], tblMaster[Unique ID], tblMaster[Last Name], ""), "")</f>
        <v xml:space="preserve"> DaSilva </v>
      </c>
      <c r="D135" t="str">
        <f>IFERROR(_xlfn.XLOOKUP(lstEligible[[#This Row],[Unique ID]], tblMaster[Unique ID], tblMaster[Email_Clean], ""), "")</f>
        <v>sdasilva0228@gmail.com</v>
      </c>
      <c r="E135" t="str">
        <f>IFERROR(_xlfn.XLOOKUP(lstEligible[[#This Row],[Unique ID]], tblMaster[Unique ID], tblMaster[Phone], ""), "")</f>
        <v>508-818-4725</v>
      </c>
      <c r="F135" t="str">
        <f>IFERROR(_xlfn.XLOOKUP(lstEligible[[#This Row],[Unique ID]], tblMaster[Unique ID], tblMaster[Recruiter], ""), "")</f>
        <v xml:space="preserve">Jevon Brown Simpson </v>
      </c>
      <c r="G135" t="str">
        <f>IFERROR(_xlfn.XLOOKUP(lstEligible[[#This Row],[Unique ID]], tblMaster[Unique ID], tblMaster[Recruitment Cycle], ""), "")</f>
        <v xml:space="preserve">Re-Engagment/Post Civil Service Exam </v>
      </c>
      <c r="H135" s="3"/>
      <c r="I135" s="3"/>
    </row>
    <row r="136" spans="1:9">
      <c r="A136" t="s">
        <v>8499</v>
      </c>
      <c r="B136" t="str">
        <f>IFERROR(_xlfn.XLOOKUP(lstEligible[[#This Row],[Unique ID]], tblMaster[Unique ID], tblMaster[First Name], ""), "")</f>
        <v>Chris</v>
      </c>
      <c r="C136" t="str">
        <f>IFERROR(_xlfn.XLOOKUP(lstEligible[[#This Row],[Unique ID]], tblMaster[Unique ID], tblMaster[Last Name], ""), "")</f>
        <v>Todd</v>
      </c>
      <c r="D136" t="str">
        <f>IFERROR(_xlfn.XLOOKUP(lstEligible[[#This Row],[Unique ID]], tblMaster[Unique ID], tblMaster[Email_Clean], ""), "")</f>
        <v>christodd004@gmail.com</v>
      </c>
      <c r="E136" t="str">
        <f>IFERROR(_xlfn.XLOOKUP(lstEligible[[#This Row],[Unique ID]], tblMaster[Unique ID], tblMaster[Phone], ""), "")</f>
        <v>(774) 273-5948</v>
      </c>
      <c r="F136">
        <f>IFERROR(_xlfn.XLOOKUP(lstEligible[[#This Row],[Unique ID]], tblMaster[Unique ID], tblMaster[Recruiter], ""), "")</f>
        <v>0</v>
      </c>
      <c r="G136" t="str">
        <f>IFERROR(_xlfn.XLOOKUP(lstEligible[[#This Row],[Unique ID]], tblMaster[Unique ID], tblMaster[Recruitment Cycle], ""), "")</f>
        <v xml:space="preserve">Re-Engagment/Post Civil Service Exam </v>
      </c>
      <c r="H136" s="3"/>
      <c r="I136" s="3"/>
    </row>
    <row r="137" spans="1:9">
      <c r="A137" t="s">
        <v>8500</v>
      </c>
      <c r="B137" t="str">
        <f>IFERROR(_xlfn.XLOOKUP(lstEligible[[#This Row],[Unique ID]], tblMaster[Unique ID], tblMaster[First Name], ""), "")</f>
        <v xml:space="preserve">James </v>
      </c>
      <c r="C137" t="str">
        <f>IFERROR(_xlfn.XLOOKUP(lstEligible[[#This Row],[Unique ID]], tblMaster[Unique ID], tblMaster[Last Name], ""), "")</f>
        <v xml:space="preserve"> Ahern</v>
      </c>
      <c r="D137" t="str">
        <f>IFERROR(_xlfn.XLOOKUP(lstEligible[[#This Row],[Unique ID]], tblMaster[Unique ID], tblMaster[Email_Clean], ""), "")</f>
        <v>jahern28@icloud.com</v>
      </c>
      <c r="E137" t="str">
        <f>IFERROR(_xlfn.XLOOKUP(lstEligible[[#This Row],[Unique ID]], tblMaster[Unique ID], tblMaster[Phone], ""), "")</f>
        <v>978-987-5639</v>
      </c>
      <c r="F137" t="str">
        <f>IFERROR(_xlfn.XLOOKUP(lstEligible[[#This Row],[Unique ID]], tblMaster[Unique ID], tblMaster[Recruiter], ""), "")</f>
        <v xml:space="preserve">Jevon Brown Simpson </v>
      </c>
      <c r="G137" t="str">
        <f>IFERROR(_xlfn.XLOOKUP(lstEligible[[#This Row],[Unique ID]], tblMaster[Unique ID], tblMaster[Recruitment Cycle], ""), "")</f>
        <v xml:space="preserve">Re-Engagment/Post Civil Service Exam </v>
      </c>
      <c r="H137" s="3"/>
      <c r="I137" s="3"/>
    </row>
    <row r="138" spans="1:9">
      <c r="A138" t="s">
        <v>7943</v>
      </c>
      <c r="B138" t="str">
        <f>IFERROR(_xlfn.XLOOKUP(lstEligible[[#This Row],[Unique ID]], tblMaster[Unique ID], tblMaster[First Name], ""), "")</f>
        <v xml:space="preserve">Jaethen </v>
      </c>
      <c r="C138" t="str">
        <f>IFERROR(_xlfn.XLOOKUP(lstEligible[[#This Row],[Unique ID]], tblMaster[Unique ID], tblMaster[Last Name], ""), "")</f>
        <v xml:space="preserve">Ramos </v>
      </c>
      <c r="D138" t="str">
        <f>IFERROR(_xlfn.XLOOKUP(lstEligible[[#This Row],[Unique ID]], tblMaster[Unique ID], tblMaster[Email_Clean], ""), "")</f>
        <v>jaethen1@icloud.com</v>
      </c>
      <c r="E138" t="str">
        <f>IFERROR(_xlfn.XLOOKUP(lstEligible[[#This Row],[Unique ID]], tblMaster[Unique ID], tblMaster[Phone], ""), "")</f>
        <v>774-633-7970</v>
      </c>
      <c r="F138" t="str">
        <f>IFERROR(_xlfn.XLOOKUP(lstEligible[[#This Row],[Unique ID]], tblMaster[Unique ID], tblMaster[Recruiter], ""), "")</f>
        <v xml:space="preserve">Jevon Brown Simpson </v>
      </c>
      <c r="G138" t="str">
        <f>IFERROR(_xlfn.XLOOKUP(lstEligible[[#This Row],[Unique ID]], tblMaster[Unique ID], tblMaster[Recruitment Cycle], ""), "")</f>
        <v xml:space="preserve">Re-Engagment/Post Civil Service Exam </v>
      </c>
      <c r="H138" s="3"/>
      <c r="I138" s="3"/>
    </row>
    <row r="139" spans="1:9">
      <c r="A139" t="s">
        <v>8503</v>
      </c>
      <c r="B139" t="str">
        <f>IFERROR(_xlfn.XLOOKUP(lstEligible[[#This Row],[Unique ID]], tblMaster[Unique ID], tblMaster[First Name], ""), "")</f>
        <v xml:space="preserve">Marie </v>
      </c>
      <c r="C139" t="str">
        <f>IFERROR(_xlfn.XLOOKUP(lstEligible[[#This Row],[Unique ID]], tblMaster[Unique ID], tblMaster[Last Name], ""), "")</f>
        <v xml:space="preserve">Charles </v>
      </c>
      <c r="D139" t="str">
        <f>IFERROR(_xlfn.XLOOKUP(lstEligible[[#This Row],[Unique ID]], tblMaster[Unique ID], tblMaster[Email_Clean], ""), "")</f>
        <v>charlesmarie6@gmail.com</v>
      </c>
      <c r="E139" t="str">
        <f>IFERROR(_xlfn.XLOOKUP(lstEligible[[#This Row],[Unique ID]], tblMaster[Unique ID], tblMaster[Phone], ""), "")</f>
        <v>781 492 6097</v>
      </c>
      <c r="F139">
        <f>IFERROR(_xlfn.XLOOKUP(lstEligible[[#This Row],[Unique ID]], tblMaster[Unique ID], tblMaster[Recruiter], ""), "")</f>
        <v>0</v>
      </c>
      <c r="G139" t="str">
        <f>IFERROR(_xlfn.XLOOKUP(lstEligible[[#This Row],[Unique ID]], tblMaster[Unique ID], tblMaster[Recruitment Cycle], ""), "")</f>
        <v xml:space="preserve">Re-Engagment/Post Civil Service Exam </v>
      </c>
      <c r="H139" s="3"/>
      <c r="I139" s="3"/>
    </row>
    <row r="140" spans="1:9">
      <c r="A140" t="s">
        <v>8505</v>
      </c>
      <c r="B140" t="str">
        <f>IFERROR(_xlfn.XLOOKUP(lstEligible[[#This Row],[Unique ID]], tblMaster[Unique ID], tblMaster[First Name], ""), "")</f>
        <v>Dmitri</v>
      </c>
      <c r="C140" t="str">
        <f>IFERROR(_xlfn.XLOOKUP(lstEligible[[#This Row],[Unique ID]], tblMaster[Unique ID], tblMaster[Last Name], ""), "")</f>
        <v>Erickson</v>
      </c>
      <c r="D140" t="str">
        <f>IFERROR(_xlfn.XLOOKUP(lstEligible[[#This Row],[Unique ID]], tblMaster[Unique ID], tblMaster[Email_Clean], ""), "")</f>
        <v>ericksondimitri@yahoo.com</v>
      </c>
      <c r="E140" t="str">
        <f>IFERROR(_xlfn.XLOOKUP(lstEligible[[#This Row],[Unique ID]], tblMaster[Unique ID], tblMaster[Phone], ""), "")</f>
        <v>978-420-7612</v>
      </c>
      <c r="F140">
        <f>IFERROR(_xlfn.XLOOKUP(lstEligible[[#This Row],[Unique ID]], tblMaster[Unique ID], tblMaster[Recruiter], ""), "")</f>
        <v>0</v>
      </c>
      <c r="G140" t="str">
        <f>IFERROR(_xlfn.XLOOKUP(lstEligible[[#This Row],[Unique ID]], tblMaster[Unique ID], tblMaster[Recruitment Cycle], ""), "")</f>
        <v xml:space="preserve">Re-Engagment/Post Civil Service Exam </v>
      </c>
      <c r="H140" s="3"/>
      <c r="I140" s="3"/>
    </row>
    <row r="141" spans="1:9">
      <c r="A141" t="s">
        <v>8506</v>
      </c>
      <c r="B141" t="str">
        <f>IFERROR(_xlfn.XLOOKUP(lstEligible[[#This Row],[Unique ID]], tblMaster[Unique ID], tblMaster[First Name], ""), "")</f>
        <v xml:space="preserve">Keandre </v>
      </c>
      <c r="C141" t="str">
        <f>IFERROR(_xlfn.XLOOKUP(lstEligible[[#This Row],[Unique ID]], tblMaster[Unique ID], tblMaster[Last Name], ""), "")</f>
        <v xml:space="preserve"> Madison</v>
      </c>
      <c r="D141" t="str">
        <f>IFERROR(_xlfn.XLOOKUP(lstEligible[[#This Row],[Unique ID]], tblMaster[Unique ID], tblMaster[Email_Clean], ""), "")</f>
        <v>riconmadison15@gmail.com</v>
      </c>
      <c r="E141" t="str">
        <f>IFERROR(_xlfn.XLOOKUP(lstEligible[[#This Row],[Unique ID]], tblMaster[Unique ID], tblMaster[Phone], ""), "")</f>
        <v>774 253 0067</v>
      </c>
      <c r="F141" t="str">
        <f>IFERROR(_xlfn.XLOOKUP(lstEligible[[#This Row],[Unique ID]], tblMaster[Unique ID], tblMaster[Recruiter], ""), "")</f>
        <v xml:space="preserve">Austin Campos </v>
      </c>
      <c r="G141" t="str">
        <f>IFERROR(_xlfn.XLOOKUP(lstEligible[[#This Row],[Unique ID]], tblMaster[Unique ID], tblMaster[Recruitment Cycle], ""), "")</f>
        <v xml:space="preserve">New Submission/ Lead </v>
      </c>
      <c r="H141" s="3"/>
      <c r="I141" s="3"/>
    </row>
    <row r="142" spans="1:9">
      <c r="A142" t="s">
        <v>8508</v>
      </c>
      <c r="B142" t="str">
        <f>IFERROR(_xlfn.XLOOKUP(lstEligible[[#This Row],[Unique ID]], tblMaster[Unique ID], tblMaster[First Name], ""), "")</f>
        <v xml:space="preserve">Thomas </v>
      </c>
      <c r="C142" t="str">
        <f>IFERROR(_xlfn.XLOOKUP(lstEligible[[#This Row],[Unique ID]], tblMaster[Unique ID], tblMaster[Last Name], ""), "")</f>
        <v xml:space="preserve">Ethier </v>
      </c>
      <c r="D142" t="str">
        <f>IFERROR(_xlfn.XLOOKUP(lstEligible[[#This Row],[Unique ID]], tblMaster[Unique ID], tblMaster[Email_Clean], ""), "")</f>
        <v>racingtntmx@aol.com</v>
      </c>
      <c r="E142" t="str">
        <f>IFERROR(_xlfn.XLOOKUP(lstEligible[[#This Row],[Unique ID]], tblMaster[Unique ID], tblMaster[Phone], ""), "")</f>
        <v>(603) 265-2324</v>
      </c>
      <c r="F142" t="str">
        <f>IFERROR(_xlfn.XLOOKUP(lstEligible[[#This Row],[Unique ID]], tblMaster[Unique ID], tblMaster[Recruiter], ""), "")</f>
        <v>Zenon Moses</v>
      </c>
      <c r="G142" t="str">
        <f>IFERROR(_xlfn.XLOOKUP(lstEligible[[#This Row],[Unique ID]], tblMaster[Unique ID], tblMaster[Recruitment Cycle], ""), "")</f>
        <v xml:space="preserve">Re-Engagment/Post Civil Service Exam </v>
      </c>
      <c r="H142" s="3"/>
      <c r="I142" s="3"/>
    </row>
    <row r="143" spans="1:9">
      <c r="A143" t="s">
        <v>8445</v>
      </c>
      <c r="B143" t="str">
        <f>IFERROR(_xlfn.XLOOKUP(lstEligible[[#This Row],[Unique ID]], tblMaster[Unique ID], tblMaster[First Name], ""), "")</f>
        <v xml:space="preserve">Paul </v>
      </c>
      <c r="C143" t="str">
        <f>IFERROR(_xlfn.XLOOKUP(lstEligible[[#This Row],[Unique ID]], tblMaster[Unique ID], tblMaster[Last Name], ""), "")</f>
        <v xml:space="preserve">Colburn </v>
      </c>
      <c r="D143" t="str">
        <f>IFERROR(_xlfn.XLOOKUP(lstEligible[[#This Row],[Unique ID]], tblMaster[Unique ID], tblMaster[Email_Clean], ""), "")</f>
        <v>pcolburn25@yahoo.com</v>
      </c>
      <c r="E143" t="str">
        <f>IFERROR(_xlfn.XLOOKUP(lstEligible[[#This Row],[Unique ID]], tblMaster[Unique ID], tblMaster[Phone], ""), "")</f>
        <v xml:space="preserve">(978) 696-7129 </v>
      </c>
      <c r="F143">
        <f>IFERROR(_xlfn.XLOOKUP(lstEligible[[#This Row],[Unique ID]], tblMaster[Unique ID], tblMaster[Recruiter], ""), "")</f>
        <v>0</v>
      </c>
      <c r="G143" t="str">
        <f>IFERROR(_xlfn.XLOOKUP(lstEligible[[#This Row],[Unique ID]], tblMaster[Unique ID], tblMaster[Recruitment Cycle], ""), "")</f>
        <v xml:space="preserve">Re-Engagment/Post Civil Service Exam </v>
      </c>
      <c r="H143" s="3"/>
      <c r="I143" s="3"/>
    </row>
    <row r="144" spans="1:9">
      <c r="A144" t="s">
        <v>8509</v>
      </c>
      <c r="B144" t="str">
        <f>IFERROR(_xlfn.XLOOKUP(lstEligible[[#This Row],[Unique ID]], tblMaster[Unique ID], tblMaster[First Name], ""), "")</f>
        <v>Ivyana</v>
      </c>
      <c r="C144" t="str">
        <f>IFERROR(_xlfn.XLOOKUP(lstEligible[[#This Row],[Unique ID]], tblMaster[Unique ID], tblMaster[Last Name], ""), "")</f>
        <v>Scott</v>
      </c>
      <c r="D144" t="str">
        <f>IFERROR(_xlfn.XLOOKUP(lstEligible[[#This Row],[Unique ID]], tblMaster[Unique ID], tblMaster[Email_Clean], ""), "")</f>
        <v>ivyanascott123456@icloud.com</v>
      </c>
      <c r="E144" t="str">
        <f>IFERROR(_xlfn.XLOOKUP(lstEligible[[#This Row],[Unique ID]], tblMaster[Unique ID], tblMaster[Phone], ""), "")</f>
        <v>857-266-7427</v>
      </c>
      <c r="F144" t="str">
        <f>IFERROR(_xlfn.XLOOKUP(lstEligible[[#This Row],[Unique ID]], tblMaster[Unique ID], tblMaster[Recruiter], ""), "")</f>
        <v xml:space="preserve">Jevon Brown Simpson </v>
      </c>
      <c r="G144" t="str">
        <f>IFERROR(_xlfn.XLOOKUP(lstEligible[[#This Row],[Unique ID]], tblMaster[Unique ID], tblMaster[Recruitment Cycle], ""), "")</f>
        <v xml:space="preserve">Re-Engagment/Post Civil Service Exam </v>
      </c>
      <c r="H144" s="3"/>
      <c r="I144" s="3"/>
    </row>
    <row r="145" spans="1:9">
      <c r="A145" t="s">
        <v>8053</v>
      </c>
      <c r="B145" t="str">
        <f>IFERROR(_xlfn.XLOOKUP(lstEligible[[#This Row],[Unique ID]], tblMaster[Unique ID], tblMaster[First Name], ""), "")</f>
        <v>Ronnie</v>
      </c>
      <c r="C145" t="str">
        <f>IFERROR(_xlfn.XLOOKUP(lstEligible[[#This Row],[Unique ID]], tblMaster[Unique ID], tblMaster[Last Name], ""), "")</f>
        <v xml:space="preserve"> Jacobs </v>
      </c>
      <c r="D145" t="str">
        <f>IFERROR(_xlfn.XLOOKUP(lstEligible[[#This Row],[Unique ID]], tblMaster[Unique ID], tblMaster[Email_Clean], ""), "")</f>
        <v>ronniesacredbox@gmail.com</v>
      </c>
      <c r="E145" t="str">
        <f>IFERROR(_xlfn.XLOOKUP(lstEligible[[#This Row],[Unique ID]], tblMaster[Unique ID], tblMaster[Phone], ""), "")</f>
        <v xml:space="preserve">(413) 693-6722 </v>
      </c>
      <c r="F145" t="str">
        <f>IFERROR(_xlfn.XLOOKUP(lstEligible[[#This Row],[Unique ID]], tblMaster[Unique ID], tblMaster[Recruiter], ""), "")</f>
        <v xml:space="preserve">Jevon Brown Simpson </v>
      </c>
      <c r="G145" t="str">
        <f>IFERROR(_xlfn.XLOOKUP(lstEligible[[#This Row],[Unique ID]], tblMaster[Unique ID], tblMaster[Recruitment Cycle], ""), "")</f>
        <v xml:space="preserve">Re-Engagment/Post Civil Service Exam </v>
      </c>
      <c r="H145" s="3"/>
      <c r="I145" s="3"/>
    </row>
    <row r="146" spans="1:9">
      <c r="A146" t="s">
        <v>8511</v>
      </c>
      <c r="B146" t="str">
        <f>IFERROR(_xlfn.XLOOKUP(lstEligible[[#This Row],[Unique ID]], tblMaster[Unique ID], tblMaster[First Name], ""), "")</f>
        <v>Margaret</v>
      </c>
      <c r="C146" t="str">
        <f>IFERROR(_xlfn.XLOOKUP(lstEligible[[#This Row],[Unique ID]], tblMaster[Unique ID], tblMaster[Last Name], ""), "")</f>
        <v>Contreras</v>
      </c>
      <c r="D146" t="str">
        <f>IFERROR(_xlfn.XLOOKUP(lstEligible[[#This Row],[Unique ID]], tblMaster[Unique ID], tblMaster[Email_Clean], ""), "")</f>
        <v>c.margaret17@gmail.com</v>
      </c>
      <c r="E146" t="str">
        <f>IFERROR(_xlfn.XLOOKUP(lstEligible[[#This Row],[Unique ID]], tblMaster[Unique ID], tblMaster[Phone], ""), "")</f>
        <v>917-939-7848</v>
      </c>
      <c r="F146" t="str">
        <f>IFERROR(_xlfn.XLOOKUP(lstEligible[[#This Row],[Unique ID]], tblMaster[Unique ID], tblMaster[Recruiter], ""), "")</f>
        <v xml:space="preserve">Jevon Brown Simpson </v>
      </c>
      <c r="G146" t="str">
        <f>IFERROR(_xlfn.XLOOKUP(lstEligible[[#This Row],[Unique ID]], tblMaster[Unique ID], tblMaster[Recruitment Cycle], ""), "")</f>
        <v xml:space="preserve">Re-Engagment/Post Civil Service Exam </v>
      </c>
      <c r="H146" s="3"/>
      <c r="I146" s="3"/>
    </row>
    <row r="147" spans="1:9">
      <c r="A147" t="s">
        <v>8513</v>
      </c>
      <c r="B147" t="str">
        <f>IFERROR(_xlfn.XLOOKUP(lstEligible[[#This Row],[Unique ID]], tblMaster[Unique ID], tblMaster[First Name], ""), "")</f>
        <v xml:space="preserve">Jeff </v>
      </c>
      <c r="C147" t="str">
        <f>IFERROR(_xlfn.XLOOKUP(lstEligible[[#This Row],[Unique ID]], tblMaster[Unique ID], tblMaster[Last Name], ""), "")</f>
        <v xml:space="preserve">Paul </v>
      </c>
      <c r="D147" t="str">
        <f>IFERROR(_xlfn.XLOOKUP(lstEligible[[#This Row],[Unique ID]], tblMaster[Unique ID], tblMaster[Email_Clean], ""), "")</f>
        <v>jeff.paul1987@gmail.com</v>
      </c>
      <c r="E147" t="str">
        <f>IFERROR(_xlfn.XLOOKUP(lstEligible[[#This Row],[Unique ID]], tblMaster[Unique ID], tblMaster[Phone], ""), "")</f>
        <v xml:space="preserve"> 347-249-8830</v>
      </c>
      <c r="F147">
        <f>IFERROR(_xlfn.XLOOKUP(lstEligible[[#This Row],[Unique ID]], tblMaster[Unique ID], tblMaster[Recruiter], ""), "")</f>
        <v>0</v>
      </c>
      <c r="G147" t="str">
        <f>IFERROR(_xlfn.XLOOKUP(lstEligible[[#This Row],[Unique ID]], tblMaster[Unique ID], tblMaster[Recruitment Cycle], ""), "")</f>
        <v xml:space="preserve">Re-Engagment/Post Civil Service Exam </v>
      </c>
      <c r="H147" s="3"/>
      <c r="I147" s="3"/>
    </row>
    <row r="148" spans="1:9">
      <c r="A148" t="s">
        <v>8515</v>
      </c>
      <c r="B148" t="str">
        <f>IFERROR(_xlfn.XLOOKUP(lstEligible[[#This Row],[Unique ID]], tblMaster[Unique ID], tblMaster[First Name], ""), "")</f>
        <v>Jesse</v>
      </c>
      <c r="C148" t="str">
        <f>IFERROR(_xlfn.XLOOKUP(lstEligible[[#This Row],[Unique ID]], tblMaster[Unique ID], tblMaster[Last Name], ""), "")</f>
        <v>Tompkins</v>
      </c>
      <c r="D148" t="str">
        <f>IFERROR(_xlfn.XLOOKUP(lstEligible[[#This Row],[Unique ID]], tblMaster[Unique ID], tblMaster[Email_Clean], ""), "")</f>
        <v>jessetompkins01@gmail.com</v>
      </c>
      <c r="E148" t="str">
        <f>IFERROR(_xlfn.XLOOKUP(lstEligible[[#This Row],[Unique ID]], tblMaster[Unique ID], tblMaster[Phone], ""), "")</f>
        <v>508-948-7111</v>
      </c>
      <c r="F148">
        <f>IFERROR(_xlfn.XLOOKUP(lstEligible[[#This Row],[Unique ID]], tblMaster[Unique ID], tblMaster[Recruiter], ""), "")</f>
        <v>0</v>
      </c>
      <c r="G148" t="str">
        <f>IFERROR(_xlfn.XLOOKUP(lstEligible[[#This Row],[Unique ID]], tblMaster[Unique ID], tblMaster[Recruitment Cycle], ""), "")</f>
        <v xml:space="preserve">Re-Engagment/Post Civil Service Exam </v>
      </c>
      <c r="H148" s="3"/>
      <c r="I148" s="3"/>
    </row>
    <row r="149" spans="1:9">
      <c r="A149" t="s">
        <v>8517</v>
      </c>
      <c r="B149" t="str">
        <f>IFERROR(_xlfn.XLOOKUP(lstEligible[[#This Row],[Unique ID]], tblMaster[Unique ID], tblMaster[First Name], ""), "")</f>
        <v>Miquel</v>
      </c>
      <c r="C149" t="str">
        <f>IFERROR(_xlfn.XLOOKUP(lstEligible[[#This Row],[Unique ID]], tblMaster[Unique ID], tblMaster[Last Name], ""), "")</f>
        <v>Cordova</v>
      </c>
      <c r="D149" t="str">
        <f>IFERROR(_xlfn.XLOOKUP(lstEligible[[#This Row],[Unique ID]], tblMaster[Unique ID], tblMaster[Email_Clean], ""), "")</f>
        <v>amazingmac90@gmail.com</v>
      </c>
      <c r="E149" t="str">
        <f>IFERROR(_xlfn.XLOOKUP(lstEligible[[#This Row],[Unique ID]], tblMaster[Unique ID], tblMaster[Phone], ""), "")</f>
        <v>774 435 1124</v>
      </c>
      <c r="F149">
        <f>IFERROR(_xlfn.XLOOKUP(lstEligible[[#This Row],[Unique ID]], tblMaster[Unique ID], tblMaster[Recruiter], ""), "")</f>
        <v>0</v>
      </c>
      <c r="G149" t="str">
        <f>IFERROR(_xlfn.XLOOKUP(lstEligible[[#This Row],[Unique ID]], tblMaster[Unique ID], tblMaster[Recruitment Cycle], ""), "")</f>
        <v xml:space="preserve">Re-Engagment/Post Civil Service Exam </v>
      </c>
      <c r="H149" s="3"/>
      <c r="I149" s="3"/>
    </row>
    <row r="150" spans="1:9">
      <c r="A150" t="s">
        <v>8518</v>
      </c>
      <c r="B150" t="str">
        <f>IFERROR(_xlfn.XLOOKUP(lstEligible[[#This Row],[Unique ID]], tblMaster[Unique ID], tblMaster[First Name], ""), "")</f>
        <v xml:space="preserve">Luis </v>
      </c>
      <c r="C150" t="str">
        <f>IFERROR(_xlfn.XLOOKUP(lstEligible[[#This Row],[Unique ID]], tblMaster[Unique ID], tblMaster[Last Name], ""), "")</f>
        <v xml:space="preserve">Serrano </v>
      </c>
      <c r="D150" t="str">
        <f>IFERROR(_xlfn.XLOOKUP(lstEligible[[#This Row],[Unique ID]], tblMaster[Unique ID], tblMaster[Email_Clean], ""), "")</f>
        <v>luisserrano72387@gmail.com</v>
      </c>
      <c r="E150" t="str">
        <f>IFERROR(_xlfn.XLOOKUP(lstEligible[[#This Row],[Unique ID]], tblMaster[Unique ID], tblMaster[Phone], ""), "")</f>
        <v xml:space="preserve">(978) 696-1686 </v>
      </c>
      <c r="F150">
        <f>IFERROR(_xlfn.XLOOKUP(lstEligible[[#This Row],[Unique ID]], tblMaster[Unique ID], tblMaster[Recruiter], ""), "")</f>
        <v>0</v>
      </c>
      <c r="G150" t="str">
        <f>IFERROR(_xlfn.XLOOKUP(lstEligible[[#This Row],[Unique ID]], tblMaster[Unique ID], tblMaster[Recruitment Cycle], ""), "")</f>
        <v xml:space="preserve">Re-Engagment/Post Civil Service Exam </v>
      </c>
      <c r="H150" s="3"/>
      <c r="I150" s="3"/>
    </row>
    <row r="151" spans="1:9">
      <c r="A151" t="s">
        <v>8519</v>
      </c>
      <c r="B151" t="str">
        <f>IFERROR(_xlfn.XLOOKUP(lstEligible[[#This Row],[Unique ID]], tblMaster[Unique ID], tblMaster[First Name], ""), "")</f>
        <v>Thaynara</v>
      </c>
      <c r="C151" t="str">
        <f>IFERROR(_xlfn.XLOOKUP(lstEligible[[#This Row],[Unique ID]], tblMaster[Unique ID], tblMaster[Last Name], ""), "")</f>
        <v>DeCristofano</v>
      </c>
      <c r="D151" t="str">
        <f>IFERROR(_xlfn.XLOOKUP(lstEligible[[#This Row],[Unique ID]], tblMaster[Unique ID], tblMaster[Email_Clean], ""), "")</f>
        <v>oliveira.thay1992@gmail.com</v>
      </c>
      <c r="E151" t="str">
        <f>IFERROR(_xlfn.XLOOKUP(lstEligible[[#This Row],[Unique ID]], tblMaster[Unique ID], tblMaster[Phone], ""), "")</f>
        <v>774-999-9255</v>
      </c>
      <c r="F151">
        <f>IFERROR(_xlfn.XLOOKUP(lstEligible[[#This Row],[Unique ID]], tblMaster[Unique ID], tblMaster[Recruiter], ""), "")</f>
        <v>0</v>
      </c>
      <c r="G151" t="str">
        <f>IFERROR(_xlfn.XLOOKUP(lstEligible[[#This Row],[Unique ID]], tblMaster[Unique ID], tblMaster[Recruitment Cycle], ""), "")</f>
        <v xml:space="preserve">Re-Engagment/Post Civil Service Exam </v>
      </c>
      <c r="H151" s="3"/>
      <c r="I151" s="3"/>
    </row>
    <row r="152" spans="1:9">
      <c r="A152" t="s">
        <v>8520</v>
      </c>
      <c r="B152" t="str">
        <f>IFERROR(_xlfn.XLOOKUP(lstEligible[[#This Row],[Unique ID]], tblMaster[Unique ID], tblMaster[First Name], ""), "")</f>
        <v>Joseph</v>
      </c>
      <c r="C152" t="str">
        <f>IFERROR(_xlfn.XLOOKUP(lstEligible[[#This Row],[Unique ID]], tblMaster[Unique ID], tblMaster[Last Name], ""), "")</f>
        <v>eough</v>
      </c>
      <c r="D152" t="str">
        <f>IFERROR(_xlfn.XLOOKUP(lstEligible[[#This Row],[Unique ID]], tblMaster[Unique ID], tblMaster[Email_Clean], ""), "")</f>
        <v>desalvojoseph6@gmail.com</v>
      </c>
      <c r="E152" t="str">
        <f>IFERROR(_xlfn.XLOOKUP(lstEligible[[#This Row],[Unique ID]], tblMaster[Unique ID], tblMaster[Phone], ""), "")</f>
        <v>978-866-4254</v>
      </c>
      <c r="F152">
        <f>IFERROR(_xlfn.XLOOKUP(lstEligible[[#This Row],[Unique ID]], tblMaster[Unique ID], tblMaster[Recruiter], ""), "")</f>
        <v>0</v>
      </c>
      <c r="G152" t="str">
        <f>IFERROR(_xlfn.XLOOKUP(lstEligible[[#This Row],[Unique ID]], tblMaster[Unique ID], tblMaster[Recruitment Cycle], ""), "")</f>
        <v xml:space="preserve">Re-Engagment/Post Civil Service Exam </v>
      </c>
      <c r="H152" s="3"/>
      <c r="I152" s="3"/>
    </row>
    <row r="153" spans="1:9">
      <c r="A153" t="s">
        <v>8522</v>
      </c>
      <c r="B153" t="str">
        <f>IFERROR(_xlfn.XLOOKUP(lstEligible[[#This Row],[Unique ID]], tblMaster[Unique ID], tblMaster[First Name], ""), "")</f>
        <v xml:space="preserve">JERRY </v>
      </c>
      <c r="C153" t="str">
        <f>IFERROR(_xlfn.XLOOKUP(lstEligible[[#This Row],[Unique ID]], tblMaster[Unique ID], tblMaster[Last Name], ""), "")</f>
        <v>SANDIMAN</v>
      </c>
      <c r="D153" t="str">
        <f>IFERROR(_xlfn.XLOOKUP(lstEligible[[#This Row],[Unique ID]], tblMaster[Unique ID], tblMaster[Email_Clean], ""), "")</f>
        <v>jerrysandiman@yahoo.com</v>
      </c>
      <c r="E153" t="str">
        <f>IFERROR(_xlfn.XLOOKUP(lstEligible[[#This Row],[Unique ID]], tblMaster[Unique ID], tblMaster[Phone], ""), "")</f>
        <v>508-333-5340</v>
      </c>
      <c r="F153">
        <f>IFERROR(_xlfn.XLOOKUP(lstEligible[[#This Row],[Unique ID]], tblMaster[Unique ID], tblMaster[Recruiter], ""), "")</f>
        <v>0</v>
      </c>
      <c r="G153" t="str">
        <f>IFERROR(_xlfn.XLOOKUP(lstEligible[[#This Row],[Unique ID]], tblMaster[Unique ID], tblMaster[Recruitment Cycle], ""), "")</f>
        <v xml:space="preserve">Re-Engagment/Post Civil Service Exam </v>
      </c>
      <c r="H153" s="3"/>
      <c r="I153" s="3"/>
    </row>
    <row r="154" spans="1:9">
      <c r="A154" t="s">
        <v>8005</v>
      </c>
      <c r="B154" t="str">
        <f>IFERROR(_xlfn.XLOOKUP(lstEligible[[#This Row],[Unique ID]], tblMaster[Unique ID], tblMaster[First Name], ""), "")</f>
        <v xml:space="preserve">Francisco </v>
      </c>
      <c r="C154" t="str">
        <f>IFERROR(_xlfn.XLOOKUP(lstEligible[[#This Row],[Unique ID]], tblMaster[Unique ID], tblMaster[Last Name], ""), "")</f>
        <v xml:space="preserve"> Taveras </v>
      </c>
      <c r="D154" t="str">
        <f>IFERROR(_xlfn.XLOOKUP(lstEligible[[#This Row],[Unique ID]], tblMaster[Unique ID], tblMaster[Email_Clean], ""), "")</f>
        <v>miguelitotaveras2930@gmail.com</v>
      </c>
      <c r="E154" t="str">
        <f>IFERROR(_xlfn.XLOOKUP(lstEligible[[#This Row],[Unique ID]], tblMaster[Unique ID], tblMaster[Phone], ""), "")</f>
        <v>781-600-5602</v>
      </c>
      <c r="F154" t="str">
        <f>IFERROR(_xlfn.XLOOKUP(lstEligible[[#This Row],[Unique ID]], tblMaster[Unique ID], tblMaster[Recruiter], ""), "")</f>
        <v xml:space="preserve">Jevon Brown Simpson </v>
      </c>
      <c r="G154" t="str">
        <f>IFERROR(_xlfn.XLOOKUP(lstEligible[[#This Row],[Unique ID]], tblMaster[Unique ID], tblMaster[Recruitment Cycle], ""), "")</f>
        <v xml:space="preserve">Re-Engagment/Post Civil Service Exam </v>
      </c>
      <c r="H154" s="3"/>
      <c r="I154" s="3"/>
    </row>
    <row r="155" spans="1:9">
      <c r="A155" t="s">
        <v>8523</v>
      </c>
      <c r="B155" t="str">
        <f>IFERROR(_xlfn.XLOOKUP(lstEligible[[#This Row],[Unique ID]], tblMaster[Unique ID], tblMaster[First Name], ""), "")</f>
        <v xml:space="preserve">Shantel </v>
      </c>
      <c r="C155" t="str">
        <f>IFERROR(_xlfn.XLOOKUP(lstEligible[[#This Row],[Unique ID]], tblMaster[Unique ID], tblMaster[Last Name], ""), "")</f>
        <v xml:space="preserve"> Davis </v>
      </c>
      <c r="D155" t="str">
        <f>IFERROR(_xlfn.XLOOKUP(lstEligible[[#This Row],[Unique ID]], tblMaster[Unique ID], tblMaster[Email_Clean], ""), "")</f>
        <v>shanteldavis2020@gmail.com</v>
      </c>
      <c r="E155" t="str">
        <f>IFERROR(_xlfn.XLOOKUP(lstEligible[[#This Row],[Unique ID]], tblMaster[Unique ID], tblMaster[Phone], ""), "")</f>
        <v xml:space="preserve">857) 701-3509 </v>
      </c>
      <c r="F155" t="str">
        <f>IFERROR(_xlfn.XLOOKUP(lstEligible[[#This Row],[Unique ID]], tblMaster[Unique ID], tblMaster[Recruiter], ""), "")</f>
        <v xml:space="preserve">Tom Clark </v>
      </c>
      <c r="G155" t="str">
        <f>IFERROR(_xlfn.XLOOKUP(lstEligible[[#This Row],[Unique ID]], tblMaster[Unique ID], tblMaster[Recruitment Cycle], ""), "")</f>
        <v xml:space="preserve">Re-Engagment/Post Civil Service Exam </v>
      </c>
      <c r="H155" s="3"/>
      <c r="I155" s="3"/>
    </row>
    <row r="156" spans="1:9">
      <c r="A156" t="s">
        <v>8524</v>
      </c>
      <c r="B156" t="str">
        <f>IFERROR(_xlfn.XLOOKUP(lstEligible[[#This Row],[Unique ID]], tblMaster[Unique ID], tblMaster[First Name], ""), "")</f>
        <v xml:space="preserve">Frimantz </v>
      </c>
      <c r="C156" t="str">
        <f>IFERROR(_xlfn.XLOOKUP(lstEligible[[#This Row],[Unique ID]], tblMaster[Unique ID], tblMaster[Last Name], ""), "")</f>
        <v xml:space="preserve">Etienne </v>
      </c>
      <c r="D156" t="str">
        <f>IFERROR(_xlfn.XLOOKUP(lstEligible[[#This Row],[Unique ID]], tblMaster[Unique ID], tblMaster[Email_Clean], ""), "")</f>
        <v>garlensetienne@icloud.com</v>
      </c>
      <c r="E156" t="str">
        <f>IFERROR(_xlfn.XLOOKUP(lstEligible[[#This Row],[Unique ID]], tblMaster[Unique ID], tblMaster[Phone], ""), "")</f>
        <v>774-946-8767</v>
      </c>
      <c r="F156" t="str">
        <f>IFERROR(_xlfn.XLOOKUP(lstEligible[[#This Row],[Unique ID]], tblMaster[Unique ID], tblMaster[Recruiter], ""), "")</f>
        <v xml:space="preserve">Tom Clark </v>
      </c>
      <c r="G156" t="str">
        <f>IFERROR(_xlfn.XLOOKUP(lstEligible[[#This Row],[Unique ID]], tblMaster[Unique ID], tblMaster[Recruitment Cycle], ""), "")</f>
        <v xml:space="preserve">Re-Engagment/Post Civil Service Exam </v>
      </c>
      <c r="H156" s="3"/>
      <c r="I156" s="3"/>
    </row>
    <row r="157" spans="1:9">
      <c r="A157" t="s">
        <v>8525</v>
      </c>
      <c r="B157" t="str">
        <f>IFERROR(_xlfn.XLOOKUP(lstEligible[[#This Row],[Unique ID]], tblMaster[Unique ID], tblMaster[First Name], ""), "")</f>
        <v xml:space="preserve">Joe </v>
      </c>
      <c r="C157" t="str">
        <f>IFERROR(_xlfn.XLOOKUP(lstEligible[[#This Row],[Unique ID]], tblMaster[Unique ID], tblMaster[Last Name], ""), "")</f>
        <v xml:space="preserve"> Servello </v>
      </c>
      <c r="D157" t="str">
        <f>IFERROR(_xlfn.XLOOKUP(lstEligible[[#This Row],[Unique ID]], tblMaster[Unique ID], tblMaster[Email_Clean], ""), "")</f>
        <v>joeservello00@gmail.com</v>
      </c>
      <c r="E157" t="str">
        <f>IFERROR(_xlfn.XLOOKUP(lstEligible[[#This Row],[Unique ID]], tblMaster[Unique ID], tblMaster[Phone], ""), "")</f>
        <v xml:space="preserve">(508) 801-3078 </v>
      </c>
      <c r="F157">
        <f>IFERROR(_xlfn.XLOOKUP(lstEligible[[#This Row],[Unique ID]], tblMaster[Unique ID], tblMaster[Recruiter], ""), "")</f>
        <v>0</v>
      </c>
      <c r="G157" t="str">
        <f>IFERROR(_xlfn.XLOOKUP(lstEligible[[#This Row],[Unique ID]], tblMaster[Unique ID], tblMaster[Recruitment Cycle], ""), "")</f>
        <v xml:space="preserve">Re-Engagment/Post Civil Service Exam </v>
      </c>
      <c r="H157" s="3"/>
      <c r="I157" s="3"/>
    </row>
    <row r="158" spans="1:9">
      <c r="A158" t="s">
        <v>8526</v>
      </c>
      <c r="B158" t="str">
        <f>IFERROR(_xlfn.XLOOKUP(lstEligible[[#This Row],[Unique ID]], tblMaster[Unique ID], tblMaster[First Name], ""), "")</f>
        <v>Jianyu</v>
      </c>
      <c r="C158" t="str">
        <f>IFERROR(_xlfn.XLOOKUP(lstEligible[[#This Row],[Unique ID]], tblMaster[Unique ID], tblMaster[Last Name], ""), "")</f>
        <v>Huang</v>
      </c>
      <c r="D158" t="str">
        <f>IFERROR(_xlfn.XLOOKUP(lstEligible[[#This Row],[Unique ID]], tblMaster[Unique ID], tblMaster[Email_Clean], ""), "")</f>
        <v>wangjyu2016@gmail.com</v>
      </c>
      <c r="E158" t="str">
        <f>IFERROR(_xlfn.XLOOKUP(lstEligible[[#This Row],[Unique ID]], tblMaster[Unique ID], tblMaster[Phone], ""), "")</f>
        <v>857-269-8978</v>
      </c>
      <c r="F158" t="str">
        <f>IFERROR(_xlfn.XLOOKUP(lstEligible[[#This Row],[Unique ID]], tblMaster[Unique ID], tblMaster[Recruiter], ""), "")</f>
        <v xml:space="preserve">Jevon Brown Simpson </v>
      </c>
      <c r="G158" t="str">
        <f>IFERROR(_xlfn.XLOOKUP(lstEligible[[#This Row],[Unique ID]], tblMaster[Unique ID], tblMaster[Recruitment Cycle], ""), "")</f>
        <v xml:space="preserve">Re-Engagment/Post Civil Service Exam </v>
      </c>
      <c r="H158" s="3"/>
      <c r="I158" s="3"/>
    </row>
    <row r="159" spans="1:9">
      <c r="A159" t="s">
        <v>8527</v>
      </c>
      <c r="B159" t="str">
        <f>IFERROR(_xlfn.XLOOKUP(lstEligible[[#This Row],[Unique ID]], tblMaster[Unique ID], tblMaster[First Name], ""), "")</f>
        <v>William</v>
      </c>
      <c r="C159" t="str">
        <f>IFERROR(_xlfn.XLOOKUP(lstEligible[[#This Row],[Unique ID]], tblMaster[Unique ID], tblMaster[Last Name], ""), "")</f>
        <v>Lopes</v>
      </c>
      <c r="D159" t="str">
        <f>IFERROR(_xlfn.XLOOKUP(lstEligible[[#This Row],[Unique ID]], tblMaster[Unique ID], tblMaster[Email_Clean], ""), "")</f>
        <v>beng</v>
      </c>
      <c r="E159" t="str">
        <f>IFERROR(_xlfn.XLOOKUP(lstEligible[[#This Row],[Unique ID]], tblMaster[Unique ID], tblMaster[Phone], ""), "")</f>
        <v>508-677-5758</v>
      </c>
      <c r="F159" t="str">
        <f>IFERROR(_xlfn.XLOOKUP(lstEligible[[#This Row],[Unique ID]], tblMaster[Unique ID], tblMaster[Recruiter], ""), "")</f>
        <v>Zenon Moses</v>
      </c>
      <c r="G159" t="str">
        <f>IFERROR(_xlfn.XLOOKUP(lstEligible[[#This Row],[Unique ID]], tblMaster[Unique ID], tblMaster[Recruitment Cycle], ""), "")</f>
        <v xml:space="preserve">Re-Engagment/Post Civil Service Exam </v>
      </c>
      <c r="H159" s="3"/>
      <c r="I159" s="3"/>
    </row>
    <row r="160" spans="1:9">
      <c r="A160" t="s">
        <v>7725</v>
      </c>
      <c r="B160" t="str">
        <f>IFERROR(_xlfn.XLOOKUP(lstEligible[[#This Row],[Unique ID]], tblMaster[Unique ID], tblMaster[First Name], ""), "")</f>
        <v>Edgardo</v>
      </c>
      <c r="C160" t="str">
        <f>IFERROR(_xlfn.XLOOKUP(lstEligible[[#This Row],[Unique ID]], tblMaster[Unique ID], tblMaster[Last Name], ""), "")</f>
        <v>Santiago</v>
      </c>
      <c r="D160" t="str">
        <f>IFERROR(_xlfn.XLOOKUP(lstEligible[[#This Row],[Unique ID]], tblMaster[Unique ID], tblMaster[Email_Clean], ""), "")</f>
        <v>santiagoeliel2006@gmail.com</v>
      </c>
      <c r="E160" t="str">
        <f>IFERROR(_xlfn.XLOOKUP(lstEligible[[#This Row],[Unique ID]], tblMaster[Unique ID], tblMaster[Phone], ""), "")</f>
        <v xml:space="preserve">
(978) 320-9028</v>
      </c>
      <c r="F160" t="str">
        <f>IFERROR(_xlfn.XLOOKUP(lstEligible[[#This Row],[Unique ID]], tblMaster[Unique ID], tblMaster[Recruiter], ""), "")</f>
        <v xml:space="preserve">Tom Clark </v>
      </c>
      <c r="G160" t="str">
        <f>IFERROR(_xlfn.XLOOKUP(lstEligible[[#This Row],[Unique ID]], tblMaster[Unique ID], tblMaster[Recruitment Cycle], ""), "")</f>
        <v xml:space="preserve">New Submission/ Lead </v>
      </c>
      <c r="H160" s="3"/>
      <c r="I160" s="3"/>
    </row>
    <row r="161" spans="1:9">
      <c r="A161" t="s">
        <v>8528</v>
      </c>
      <c r="B161" t="str">
        <f>IFERROR(_xlfn.XLOOKUP(lstEligible[[#This Row],[Unique ID]], tblMaster[Unique ID], tblMaster[First Name], ""), "")</f>
        <v xml:space="preserve">Dawn </v>
      </c>
      <c r="C161" t="str">
        <f>IFERROR(_xlfn.XLOOKUP(lstEligible[[#This Row],[Unique ID]], tblMaster[Unique ID], tblMaster[Last Name], ""), "")</f>
        <v xml:space="preserve">Dawn Bryson </v>
      </c>
      <c r="D161" t="str">
        <f>IFERROR(_xlfn.XLOOKUP(lstEligible[[#This Row],[Unique ID]], tblMaster[Unique ID], tblMaster[Email_Clean], ""), "")</f>
        <v>brysondawn097@gmail.com</v>
      </c>
      <c r="E161" t="str">
        <f>IFERROR(_xlfn.XLOOKUP(lstEligible[[#This Row],[Unique ID]], tblMaster[Unique ID], tblMaster[Phone], ""), "")</f>
        <v xml:space="preserve">508) 733-0638 </v>
      </c>
      <c r="F161">
        <f>IFERROR(_xlfn.XLOOKUP(lstEligible[[#This Row],[Unique ID]], tblMaster[Unique ID], tblMaster[Recruiter], ""), "")</f>
        <v>0</v>
      </c>
      <c r="G161" t="str">
        <f>IFERROR(_xlfn.XLOOKUP(lstEligible[[#This Row],[Unique ID]], tblMaster[Unique ID], tblMaster[Recruitment Cycle], ""), "")</f>
        <v xml:space="preserve">New Submission/ Lead </v>
      </c>
      <c r="H161" s="3"/>
      <c r="I161" s="3"/>
    </row>
    <row r="162" spans="1:9">
      <c r="A162" t="s">
        <v>8529</v>
      </c>
      <c r="B162" t="str">
        <f>IFERROR(_xlfn.XLOOKUP(lstEligible[[#This Row],[Unique ID]], tblMaster[Unique ID], tblMaster[First Name], ""), "")</f>
        <v>Dylan</v>
      </c>
      <c r="C162" t="str">
        <f>IFERROR(_xlfn.XLOOKUP(lstEligible[[#This Row],[Unique ID]], tblMaster[Unique ID], tblMaster[Last Name], ""), "")</f>
        <v>Monette</v>
      </c>
      <c r="D162" t="str">
        <f>IFERROR(_xlfn.XLOOKUP(lstEligible[[#This Row],[Unique ID]], tblMaster[Unique ID], tblMaster[Email_Clean], ""), "")</f>
        <v>dylanmonette7@gmail.com</v>
      </c>
      <c r="E162" t="str">
        <f>IFERROR(_xlfn.XLOOKUP(lstEligible[[#This Row],[Unique ID]], tblMaster[Unique ID], tblMaster[Phone], ""), "")</f>
        <v>978 320 1726</v>
      </c>
      <c r="F162" t="str">
        <f>IFERROR(_xlfn.XLOOKUP(lstEligible[[#This Row],[Unique ID]], tblMaster[Unique ID], tblMaster[Recruiter], ""), "")</f>
        <v xml:space="preserve">Jevon Brown Simpson </v>
      </c>
      <c r="G162" t="str">
        <f>IFERROR(_xlfn.XLOOKUP(lstEligible[[#This Row],[Unique ID]], tblMaster[Unique ID], tblMaster[Recruitment Cycle], ""), "")</f>
        <v xml:space="preserve">Re-Engagment/Post Civil Service Exam </v>
      </c>
      <c r="H162" s="3"/>
      <c r="I162" s="3"/>
    </row>
    <row r="163" spans="1:9">
      <c r="A163" t="s">
        <v>8530</v>
      </c>
      <c r="B163" t="str">
        <f>IFERROR(_xlfn.XLOOKUP(lstEligible[[#This Row],[Unique ID]], tblMaster[Unique ID], tblMaster[First Name], ""), "")</f>
        <v>Stanley</v>
      </c>
      <c r="C163" t="str">
        <f>IFERROR(_xlfn.XLOOKUP(lstEligible[[#This Row],[Unique ID]], tblMaster[Unique ID], tblMaster[Last Name], ""), "")</f>
        <v>Gustave</v>
      </c>
      <c r="D163" t="str">
        <f>IFERROR(_xlfn.XLOOKUP(lstEligible[[#This Row],[Unique ID]], tblMaster[Unique ID], tblMaster[Email_Clean], ""), "")</f>
        <v>stnlgustave@gmail.com</v>
      </c>
      <c r="E163" t="str">
        <f>IFERROR(_xlfn.XLOOKUP(lstEligible[[#This Row],[Unique ID]], tblMaster[Unique ID], tblMaster[Phone], ""), "")</f>
        <v>857-218-0347</v>
      </c>
      <c r="F163" t="str">
        <f>IFERROR(_xlfn.XLOOKUP(lstEligible[[#This Row],[Unique ID]], tblMaster[Unique ID], tblMaster[Recruiter], ""), "")</f>
        <v xml:space="preserve">Tom Clark </v>
      </c>
      <c r="G163" t="str">
        <f>IFERROR(_xlfn.XLOOKUP(lstEligible[[#This Row],[Unique ID]], tblMaster[Unique ID], tblMaster[Recruitment Cycle], ""), "")</f>
        <v xml:space="preserve">Re-Engagment/Post Civil Service Exam </v>
      </c>
      <c r="H163" s="3"/>
      <c r="I163" s="3"/>
    </row>
    <row r="164" spans="1:9">
      <c r="A164" t="s">
        <v>8531</v>
      </c>
      <c r="B164" t="str">
        <f>IFERROR(_xlfn.XLOOKUP(lstEligible[[#This Row],[Unique ID]], tblMaster[Unique ID], tblMaster[First Name], ""), "")</f>
        <v xml:space="preserve">Rositta </v>
      </c>
      <c r="C164" t="str">
        <f>IFERROR(_xlfn.XLOOKUP(lstEligible[[#This Row],[Unique ID]], tblMaster[Unique ID], tblMaster[Last Name], ""), "")</f>
        <v xml:space="preserve"> Williams</v>
      </c>
      <c r="D164" t="str">
        <f>IFERROR(_xlfn.XLOOKUP(lstEligible[[#This Row],[Unique ID]], tblMaster[Unique ID], tblMaster[Email_Clean], ""), "")</f>
        <v>rositta85@gmail.com</v>
      </c>
      <c r="E164" t="str">
        <f>IFERROR(_xlfn.XLOOKUP(lstEligible[[#This Row],[Unique ID]], tblMaster[Unique ID], tblMaster[Phone], ""), "")</f>
        <v>774) 826-9216</v>
      </c>
      <c r="F164" t="str">
        <f>IFERROR(_xlfn.XLOOKUP(lstEligible[[#This Row],[Unique ID]], tblMaster[Unique ID], tblMaster[Recruiter], ""), "")</f>
        <v>Zenon Moses</v>
      </c>
      <c r="G164" t="str">
        <f>IFERROR(_xlfn.XLOOKUP(lstEligible[[#This Row],[Unique ID]], tblMaster[Unique ID], tblMaster[Recruitment Cycle], ""), "")</f>
        <v xml:space="preserve">Re-Engagment/Post Civil Service Exam </v>
      </c>
      <c r="H164" s="3"/>
      <c r="I164" s="3"/>
    </row>
    <row r="165" spans="1:9">
      <c r="A165" t="s">
        <v>8532</v>
      </c>
      <c r="B165" t="str">
        <f>IFERROR(_xlfn.XLOOKUP(lstEligible[[#This Row],[Unique ID]], tblMaster[Unique ID], tblMaster[First Name], ""), "")</f>
        <v>Yuliana</v>
      </c>
      <c r="C165" t="str">
        <f>IFERROR(_xlfn.XLOOKUP(lstEligible[[#This Row],[Unique ID]], tblMaster[Unique ID], tblMaster[Last Name], ""), "")</f>
        <v xml:space="preserve"> Barrera </v>
      </c>
      <c r="D165" t="str">
        <f>IFERROR(_xlfn.XLOOKUP(lstEligible[[#This Row],[Unique ID]], tblMaster[Unique ID], tblMaster[Email_Clean], ""), "")</f>
        <v>yuls52012@icloud.com</v>
      </c>
      <c r="E165" t="str">
        <f>IFERROR(_xlfn.XLOOKUP(lstEligible[[#This Row],[Unique ID]], tblMaster[Unique ID], tblMaster[Phone], ""), "")</f>
        <v xml:space="preserve">(781) 392-4748 </v>
      </c>
      <c r="F165">
        <f>IFERROR(_xlfn.XLOOKUP(lstEligible[[#This Row],[Unique ID]], tblMaster[Unique ID], tblMaster[Recruiter], ""), "")</f>
        <v>0</v>
      </c>
      <c r="G165" t="str">
        <f>IFERROR(_xlfn.XLOOKUP(lstEligible[[#This Row],[Unique ID]], tblMaster[Unique ID], tblMaster[Recruitment Cycle], ""), "")</f>
        <v xml:space="preserve">Re-Engagment </v>
      </c>
      <c r="H165" s="3"/>
      <c r="I165" s="3"/>
    </row>
    <row r="166" spans="1:9">
      <c r="A166" t="s">
        <v>8533</v>
      </c>
      <c r="B166" t="str">
        <f>IFERROR(_xlfn.XLOOKUP(lstEligible[[#This Row],[Unique ID]], tblMaster[Unique ID], tblMaster[First Name], ""), "")</f>
        <v xml:space="preserve">Jayden </v>
      </c>
      <c r="C166" t="str">
        <f>IFERROR(_xlfn.XLOOKUP(lstEligible[[#This Row],[Unique ID]], tblMaster[Unique ID], tblMaster[Last Name], ""), "")</f>
        <v xml:space="preserve">Perkins </v>
      </c>
      <c r="D166" t="str">
        <f>IFERROR(_xlfn.XLOOKUP(lstEligible[[#This Row],[Unique ID]], tblMaster[Unique ID], tblMaster[Email_Clean], ""), "")</f>
        <v>jaydenlee41304@icloud.com</v>
      </c>
      <c r="E166" t="str">
        <f>IFERROR(_xlfn.XLOOKUP(lstEligible[[#This Row],[Unique ID]], tblMaster[Unique ID], tblMaster[Phone], ""), "")</f>
        <v xml:space="preserve">(774) 436-0033 </v>
      </c>
      <c r="F166" t="str">
        <f>IFERROR(_xlfn.XLOOKUP(lstEligible[[#This Row],[Unique ID]], tblMaster[Unique ID], tblMaster[Recruiter], ""), "")</f>
        <v>Zenon Moses</v>
      </c>
      <c r="G166" t="str">
        <f>IFERROR(_xlfn.XLOOKUP(lstEligible[[#This Row],[Unique ID]], tblMaster[Unique ID], tblMaster[Recruitment Cycle], ""), "")</f>
        <v xml:space="preserve">Re-Engagment/Post Civil Service Exam </v>
      </c>
      <c r="H166" s="3"/>
      <c r="I166" s="3"/>
    </row>
    <row r="167" spans="1:9">
      <c r="A167" t="s">
        <v>8534</v>
      </c>
      <c r="B167" t="str">
        <f>IFERROR(_xlfn.XLOOKUP(lstEligible[[#This Row],[Unique ID]], tblMaster[Unique ID], tblMaster[First Name], ""), "")</f>
        <v xml:space="preserve">Kervens </v>
      </c>
      <c r="C167" t="str">
        <f>IFERROR(_xlfn.XLOOKUP(lstEligible[[#This Row],[Unique ID]], tblMaster[Unique ID], tblMaster[Last Name], ""), "")</f>
        <v xml:space="preserve">jean Jacques </v>
      </c>
      <c r="D167" t="str">
        <f>IFERROR(_xlfn.XLOOKUP(lstEligible[[#This Row],[Unique ID]], tblMaster[Unique ID], tblMaster[Email_Clean], ""), "")</f>
        <v>vensky8105@gmail.com</v>
      </c>
      <c r="E167" t="str">
        <f>IFERROR(_xlfn.XLOOKUP(lstEligible[[#This Row],[Unique ID]], tblMaster[Unique ID], tblMaster[Phone], ""), "")</f>
        <v>857-719-6502</v>
      </c>
      <c r="F167">
        <f>IFERROR(_xlfn.XLOOKUP(lstEligible[[#This Row],[Unique ID]], tblMaster[Unique ID], tblMaster[Recruiter], ""), "")</f>
        <v>0</v>
      </c>
      <c r="G167" t="str">
        <f>IFERROR(_xlfn.XLOOKUP(lstEligible[[#This Row],[Unique ID]], tblMaster[Unique ID], tblMaster[Recruitment Cycle], ""), "")</f>
        <v xml:space="preserve">Re-Engagment </v>
      </c>
      <c r="H167" s="3"/>
      <c r="I167" s="3"/>
    </row>
    <row r="168" spans="1:9">
      <c r="A168" t="s">
        <v>8465</v>
      </c>
      <c r="B168" t="str">
        <f>IFERROR(_xlfn.XLOOKUP(lstEligible[[#This Row],[Unique ID]], tblMaster[Unique ID], tblMaster[First Name], ""), "")</f>
        <v>Thomas</v>
      </c>
      <c r="C168" t="str">
        <f>IFERROR(_xlfn.XLOOKUP(lstEligible[[#This Row],[Unique ID]], tblMaster[Unique ID], tblMaster[Last Name], ""), "")</f>
        <v>Leavitt</v>
      </c>
      <c r="D168" t="str">
        <f>IFERROR(_xlfn.XLOOKUP(lstEligible[[#This Row],[Unique ID]], tblMaster[Unique ID], tblMaster[Email_Clean], ""), "")</f>
        <v>leavitt0331@gmail.com</v>
      </c>
      <c r="E168" t="str">
        <f>IFERROR(_xlfn.XLOOKUP(lstEligible[[#This Row],[Unique ID]], tblMaster[Unique ID], tblMaster[Phone], ""), "")</f>
        <v>781-985-3231</v>
      </c>
      <c r="F168" t="str">
        <f>IFERROR(_xlfn.XLOOKUP(lstEligible[[#This Row],[Unique ID]], tblMaster[Unique ID], tblMaster[Recruiter], ""), "")</f>
        <v xml:space="preserve">Tom Clark </v>
      </c>
      <c r="G168" t="str">
        <f>IFERROR(_xlfn.XLOOKUP(lstEligible[[#This Row],[Unique ID]], tblMaster[Unique ID], tblMaster[Recruitment Cycle], ""), "")</f>
        <v xml:space="preserve">Re-Engagment/Post Civil Service Exam </v>
      </c>
      <c r="H168" s="3"/>
      <c r="I168" s="3"/>
    </row>
    <row r="169" spans="1:9">
      <c r="A169" t="s">
        <v>8163</v>
      </c>
      <c r="B169" t="str">
        <f>IFERROR(_xlfn.XLOOKUP(lstEligible[[#This Row],[Unique ID]], tblMaster[Unique ID], tblMaster[First Name], ""), "")</f>
        <v xml:space="preserve">Ferdinan </v>
      </c>
      <c r="C169" t="str">
        <f>IFERROR(_xlfn.XLOOKUP(lstEligible[[#This Row],[Unique ID]], tblMaster[Unique ID], tblMaster[Last Name], ""), "")</f>
        <v xml:space="preserve">Ocasio III </v>
      </c>
      <c r="D169" t="str">
        <f>IFERROR(_xlfn.XLOOKUP(lstEligible[[#This Row],[Unique ID]], tblMaster[Unique ID], tblMaster[Email_Clean], ""), "")</f>
        <v>ferdibirdi777@gmail.com</v>
      </c>
      <c r="E169" t="str">
        <f>IFERROR(_xlfn.XLOOKUP(lstEligible[[#This Row],[Unique ID]], tblMaster[Unique ID], tblMaster[Phone], ""), "")</f>
        <v xml:space="preserve">413) 263-9800 </v>
      </c>
      <c r="F169" t="str">
        <f>IFERROR(_xlfn.XLOOKUP(lstEligible[[#This Row],[Unique ID]], tblMaster[Unique ID], tblMaster[Recruiter], ""), "")</f>
        <v>Zenon Moses</v>
      </c>
      <c r="G169" t="str">
        <f>IFERROR(_xlfn.XLOOKUP(lstEligible[[#This Row],[Unique ID]], tblMaster[Unique ID], tblMaster[Recruitment Cycle], ""), "")</f>
        <v xml:space="preserve">Re-Engagment </v>
      </c>
      <c r="H169" s="3"/>
      <c r="I169" s="3"/>
    </row>
    <row r="170" spans="1:9">
      <c r="A170" t="s">
        <v>8535</v>
      </c>
      <c r="B170" t="str">
        <f>IFERROR(_xlfn.XLOOKUP(lstEligible[[#This Row],[Unique ID]], tblMaster[Unique ID], tblMaster[First Name], ""), "")</f>
        <v>Melissa</v>
      </c>
      <c r="C170" t="str">
        <f>IFERROR(_xlfn.XLOOKUP(lstEligible[[#This Row],[Unique ID]], tblMaster[Unique ID], tblMaster[Last Name], ""), "")</f>
        <v xml:space="preserve">Samayoa </v>
      </c>
      <c r="D170" t="str">
        <f>IFERROR(_xlfn.XLOOKUP(lstEligible[[#This Row],[Unique ID]], tblMaster[Unique ID], tblMaster[Email_Clean], ""), "")</f>
        <v>melissagaellejean@gmail.com</v>
      </c>
      <c r="E170" t="str">
        <f>IFERROR(_xlfn.XLOOKUP(lstEligible[[#This Row],[Unique ID]], tblMaster[Unique ID], tblMaster[Phone], ""), "")</f>
        <v xml:space="preserve">(617)980-8543 </v>
      </c>
      <c r="F170">
        <f>IFERROR(_xlfn.XLOOKUP(lstEligible[[#This Row],[Unique ID]], tblMaster[Unique ID], tblMaster[Recruiter], ""), "")</f>
        <v>0</v>
      </c>
      <c r="G170" t="str">
        <f>IFERROR(_xlfn.XLOOKUP(lstEligible[[#This Row],[Unique ID]], tblMaster[Unique ID], tblMaster[Recruitment Cycle], ""), "")</f>
        <v xml:space="preserve">Re-Engagment/Post Civil Service Exam </v>
      </c>
      <c r="H170" s="3"/>
      <c r="I170" s="3"/>
    </row>
    <row r="171" spans="1:9">
      <c r="A171" t="s">
        <v>8536</v>
      </c>
      <c r="B171" t="str">
        <f>IFERROR(_xlfn.XLOOKUP(lstEligible[[#This Row],[Unique ID]], tblMaster[Unique ID], tblMaster[First Name], ""), "")</f>
        <v xml:space="preserve">Brooke </v>
      </c>
      <c r="C171" t="str">
        <f>IFERROR(_xlfn.XLOOKUP(lstEligible[[#This Row],[Unique ID]], tblMaster[Unique ID], tblMaster[Last Name], ""), "")</f>
        <v>Young</v>
      </c>
      <c r="D171" t="str">
        <f>IFERROR(_xlfn.XLOOKUP(lstEligible[[#This Row],[Unique ID]], tblMaster[Unique ID], tblMaster[Email_Clean], ""), "")</f>
        <v>brookebay03@gmail.com</v>
      </c>
      <c r="E171" t="str">
        <f>IFERROR(_xlfn.XLOOKUP(lstEligible[[#This Row],[Unique ID]], tblMaster[Unique ID], tblMaster[Phone], ""), "")</f>
        <v>781 336 8208</v>
      </c>
      <c r="F171">
        <f>IFERROR(_xlfn.XLOOKUP(lstEligible[[#This Row],[Unique ID]], tblMaster[Unique ID], tblMaster[Recruiter], ""), "")</f>
        <v>0</v>
      </c>
      <c r="G171" t="str">
        <f>IFERROR(_xlfn.XLOOKUP(lstEligible[[#This Row],[Unique ID]], tblMaster[Unique ID], tblMaster[Recruitment Cycle], ""), "")</f>
        <v xml:space="preserve">Re-Engagment/Post Civil Service Exam </v>
      </c>
      <c r="H171" s="3"/>
      <c r="I171" s="3"/>
    </row>
    <row r="172" spans="1:9">
      <c r="A172" t="s">
        <v>8212</v>
      </c>
      <c r="B172" t="str">
        <f>IFERROR(_xlfn.XLOOKUP(lstEligible[[#This Row],[Unique ID]], tblMaster[Unique ID], tblMaster[First Name], ""), "")</f>
        <v xml:space="preserve">Molege </v>
      </c>
      <c r="C172" t="str">
        <f>IFERROR(_xlfn.XLOOKUP(lstEligible[[#This Row],[Unique ID]], tblMaster[Unique ID], tblMaster[Last Name], ""), "")</f>
        <v xml:space="preserve">Ertilien </v>
      </c>
      <c r="D172" t="str">
        <f>IFERROR(_xlfn.XLOOKUP(lstEligible[[#This Row],[Unique ID]], tblMaster[Unique ID], tblMaster[Email_Clean], ""), "")</f>
        <v>molegeertilien@gmail.com</v>
      </c>
      <c r="E172" t="str">
        <f>IFERROR(_xlfn.XLOOKUP(lstEligible[[#This Row],[Unique ID]], tblMaster[Unique ID], tblMaster[Phone], ""), "")</f>
        <v>862)224-6896</v>
      </c>
      <c r="F172" t="str">
        <f>IFERROR(_xlfn.XLOOKUP(lstEligible[[#This Row],[Unique ID]], tblMaster[Unique ID], tblMaster[Recruiter], ""), "")</f>
        <v>Zenon Moses</v>
      </c>
      <c r="G172" t="str">
        <f>IFERROR(_xlfn.XLOOKUP(lstEligible[[#This Row],[Unique ID]], tblMaster[Unique ID], tblMaster[Recruitment Cycle], ""), "")</f>
        <v xml:space="preserve">Re-Engagment </v>
      </c>
      <c r="H172" s="3"/>
      <c r="I172" s="3"/>
    </row>
    <row r="173" spans="1:9">
      <c r="A173" t="s">
        <v>8537</v>
      </c>
      <c r="B173" t="str">
        <f>IFERROR(_xlfn.XLOOKUP(lstEligible[[#This Row],[Unique ID]], tblMaster[Unique ID], tblMaster[First Name], ""), "")</f>
        <v xml:space="preserve">Kristiana </v>
      </c>
      <c r="C173" t="str">
        <f>IFERROR(_xlfn.XLOOKUP(lstEligible[[#This Row],[Unique ID]], tblMaster[Unique ID], tblMaster[Last Name], ""), "")</f>
        <v xml:space="preserve"> Gousby </v>
      </c>
      <c r="D173" t="str">
        <f>IFERROR(_xlfn.XLOOKUP(lstEligible[[#This Row],[Unique ID]], tblMaster[Unique ID], tblMaster[Email_Clean], ""), "")</f>
        <v>k.gousby12@gmail.com</v>
      </c>
      <c r="E173" t="str">
        <f>IFERROR(_xlfn.XLOOKUP(lstEligible[[#This Row],[Unique ID]], tblMaster[Unique ID], tblMaster[Phone], ""), "")</f>
        <v xml:space="preserve">(857) 237-8104 </v>
      </c>
      <c r="F173">
        <f>IFERROR(_xlfn.XLOOKUP(lstEligible[[#This Row],[Unique ID]], tblMaster[Unique ID], tblMaster[Recruiter], ""), "")</f>
        <v>0</v>
      </c>
      <c r="G173" t="str">
        <f>IFERROR(_xlfn.XLOOKUP(lstEligible[[#This Row],[Unique ID]], tblMaster[Unique ID], tblMaster[Recruitment Cycle], ""), "")</f>
        <v xml:space="preserve">Re-Engagment/Post Civil Service Exam </v>
      </c>
      <c r="H173" s="3"/>
      <c r="I173" s="3"/>
    </row>
    <row r="174" spans="1:9">
      <c r="A174" t="s">
        <v>8540</v>
      </c>
      <c r="B174" t="str">
        <f>IFERROR(_xlfn.XLOOKUP(lstEligible[[#This Row],[Unique ID]], tblMaster[Unique ID], tblMaster[First Name], ""), "")</f>
        <v xml:space="preserve">Andrew </v>
      </c>
      <c r="C174" t="str">
        <f>IFERROR(_xlfn.XLOOKUP(lstEligible[[#This Row],[Unique ID]], tblMaster[Unique ID], tblMaster[Last Name], ""), "")</f>
        <v xml:space="preserve"> Balestracci </v>
      </c>
      <c r="D174" t="str">
        <f>IFERROR(_xlfn.XLOOKUP(lstEligible[[#This Row],[Unique ID]], tblMaster[Unique ID], tblMaster[Email_Clean], ""), "")</f>
        <v>andrewbalestracci@gmail.com</v>
      </c>
      <c r="E174" t="str">
        <f>IFERROR(_xlfn.XLOOKUP(lstEligible[[#This Row],[Unique ID]], tblMaster[Unique ID], tblMaster[Phone], ""), "")</f>
        <v xml:space="preserve">(508) 207-5563 </v>
      </c>
      <c r="F174">
        <f>IFERROR(_xlfn.XLOOKUP(lstEligible[[#This Row],[Unique ID]], tblMaster[Unique ID], tblMaster[Recruiter], ""), "")</f>
        <v>0</v>
      </c>
      <c r="G174" t="str">
        <f>IFERROR(_xlfn.XLOOKUP(lstEligible[[#This Row],[Unique ID]], tblMaster[Unique ID], tblMaster[Recruitment Cycle], ""), "")</f>
        <v xml:space="preserve">Re-Engagment/Post Civil Service Exam </v>
      </c>
      <c r="H174" s="3"/>
      <c r="I174" s="3"/>
    </row>
    <row r="175" spans="1:9">
      <c r="A175" t="s">
        <v>8470</v>
      </c>
      <c r="B175" t="str">
        <f>IFERROR(_xlfn.XLOOKUP(lstEligible[[#This Row],[Unique ID]], tblMaster[Unique ID], tblMaster[First Name], ""), "")</f>
        <v xml:space="preserve">Stella </v>
      </c>
      <c r="C175" t="str">
        <f>IFERROR(_xlfn.XLOOKUP(lstEligible[[#This Row],[Unique ID]], tblMaster[Unique ID], tblMaster[Last Name], ""), "")</f>
        <v xml:space="preserve"> DiFronzo </v>
      </c>
      <c r="D175" t="str">
        <f>IFERROR(_xlfn.XLOOKUP(lstEligible[[#This Row],[Unique ID]], tblMaster[Unique ID], tblMaster[Email_Clean], ""), "")</f>
        <v>sdifronzo31@gmail.com</v>
      </c>
      <c r="E175" t="str">
        <f>IFERROR(_xlfn.XLOOKUP(lstEligible[[#This Row],[Unique ID]], tblMaster[Unique ID], tblMaster[Phone], ""), "")</f>
        <v xml:space="preserve">(617) 999-4381 </v>
      </c>
      <c r="F175" t="str">
        <f>IFERROR(_xlfn.XLOOKUP(lstEligible[[#This Row],[Unique ID]], tblMaster[Unique ID], tblMaster[Recruiter], ""), "")</f>
        <v xml:space="preserve">Christopher Servello </v>
      </c>
      <c r="G175" t="str">
        <f>IFERROR(_xlfn.XLOOKUP(lstEligible[[#This Row],[Unique ID]], tblMaster[Unique ID], tblMaster[Recruitment Cycle], ""), "")</f>
        <v xml:space="preserve">New Submission/ Lead </v>
      </c>
      <c r="H175" s="3"/>
      <c r="I175" s="3"/>
    </row>
    <row r="176" spans="1:9">
      <c r="A176" t="s">
        <v>8541</v>
      </c>
      <c r="B176" t="str">
        <f>IFERROR(_xlfn.XLOOKUP(lstEligible[[#This Row],[Unique ID]], tblMaster[Unique ID], tblMaster[First Name], ""), "")</f>
        <v xml:space="preserve">Paul </v>
      </c>
      <c r="C176" t="str">
        <f>IFERROR(_xlfn.XLOOKUP(lstEligible[[#This Row],[Unique ID]], tblMaster[Unique ID], tblMaster[Last Name], ""), "")</f>
        <v xml:space="preserve">lison </v>
      </c>
      <c r="D176" t="str">
        <f>IFERROR(_xlfn.XLOOKUP(lstEligible[[#This Row],[Unique ID]], tblMaster[Unique ID], tblMaster[Email_Clean], ""), "")</f>
        <v>paul.lison83@gmail.com</v>
      </c>
      <c r="E176" t="str">
        <f>IFERROR(_xlfn.XLOOKUP(lstEligible[[#This Row],[Unique ID]], tblMaster[Unique ID], tblMaster[Phone], ""), "")</f>
        <v>978 483 7330</v>
      </c>
      <c r="F176">
        <f>IFERROR(_xlfn.XLOOKUP(lstEligible[[#This Row],[Unique ID]], tblMaster[Unique ID], tblMaster[Recruiter], ""), "")</f>
        <v>0</v>
      </c>
      <c r="G176" t="str">
        <f>IFERROR(_xlfn.XLOOKUP(lstEligible[[#This Row],[Unique ID]], tblMaster[Unique ID], tblMaster[Recruitment Cycle], ""), "")</f>
        <v xml:space="preserve">Re-Engagment/Post Civil Service Exam </v>
      </c>
      <c r="H176" s="3"/>
      <c r="I176" s="3"/>
    </row>
    <row r="177" spans="1:9">
      <c r="A177" t="s">
        <v>7819</v>
      </c>
      <c r="B177" t="str">
        <f>IFERROR(_xlfn.XLOOKUP(lstEligible[[#This Row],[Unique ID]], tblMaster[Unique ID], tblMaster[First Name], ""), "")</f>
        <v xml:space="preserve">Brendan </v>
      </c>
      <c r="C177" t="str">
        <f>IFERROR(_xlfn.XLOOKUP(lstEligible[[#This Row],[Unique ID]], tblMaster[Unique ID], tblMaster[Last Name], ""), "")</f>
        <v>Penttila</v>
      </c>
      <c r="D177" t="str">
        <f>IFERROR(_xlfn.XLOOKUP(lstEligible[[#This Row],[Unique ID]], tblMaster[Unique ID], tblMaster[Email_Clean], ""), "")</f>
        <v>penttilab@gmail.com</v>
      </c>
      <c r="E177" t="str">
        <f>IFERROR(_xlfn.XLOOKUP(lstEligible[[#This Row],[Unique ID]], tblMaster[Unique ID], tblMaster[Phone], ""), "")</f>
        <v>508-216-3175</v>
      </c>
      <c r="F177">
        <f>IFERROR(_xlfn.XLOOKUP(lstEligible[[#This Row],[Unique ID]], tblMaster[Unique ID], tblMaster[Recruiter], ""), "")</f>
        <v>0</v>
      </c>
      <c r="G177" t="str">
        <f>IFERROR(_xlfn.XLOOKUP(lstEligible[[#This Row],[Unique ID]], tblMaster[Unique ID], tblMaster[Recruitment Cycle], ""), "")</f>
        <v xml:space="preserve">Re-Engagment/Post Civil Service Exam </v>
      </c>
      <c r="H177" s="3"/>
      <c r="I177" s="3"/>
    </row>
    <row r="178" spans="1:9">
      <c r="A178" t="s">
        <v>8544</v>
      </c>
      <c r="B178" t="str">
        <f>IFERROR(_xlfn.XLOOKUP(lstEligible[[#This Row],[Unique ID]], tblMaster[Unique ID], tblMaster[First Name], ""), "")</f>
        <v>Reda</v>
      </c>
      <c r="C178" t="str">
        <f>IFERROR(_xlfn.XLOOKUP(lstEligible[[#This Row],[Unique ID]], tblMaster[Unique ID], tblMaster[Last Name], ""), "")</f>
        <v>Bazarto</v>
      </c>
      <c r="D178" t="str">
        <f>IFERROR(_xlfn.XLOOKUP(lstEligible[[#This Row],[Unique ID]], tblMaster[Unique ID], tblMaster[Email_Clean], ""), "")</f>
        <v>redabazarto@gmail.com</v>
      </c>
      <c r="E178" t="str">
        <f>IFERROR(_xlfn.XLOOKUP(lstEligible[[#This Row],[Unique ID]], tblMaster[Unique ID], tblMaster[Phone], ""), "")</f>
        <v>978-314-6230</v>
      </c>
      <c r="F178" t="str">
        <f>IFERROR(_xlfn.XLOOKUP(lstEligible[[#This Row],[Unique ID]], tblMaster[Unique ID], tblMaster[Recruiter], ""), "")</f>
        <v xml:space="preserve">Tom Clark </v>
      </c>
      <c r="G178" t="str">
        <f>IFERROR(_xlfn.XLOOKUP(lstEligible[[#This Row],[Unique ID]], tblMaster[Unique ID], tblMaster[Recruitment Cycle], ""), "")</f>
        <v xml:space="preserve">Re-Engagment/Post Civil Service Exam </v>
      </c>
      <c r="H178" s="3"/>
      <c r="I178" s="3"/>
    </row>
    <row r="179" spans="1:9">
      <c r="A179" t="s">
        <v>8545</v>
      </c>
      <c r="B179" t="str">
        <f>IFERROR(_xlfn.XLOOKUP(lstEligible[[#This Row],[Unique ID]], tblMaster[Unique ID], tblMaster[First Name], ""), "")</f>
        <v>Shamikhah</v>
      </c>
      <c r="C179" t="str">
        <f>IFERROR(_xlfn.XLOOKUP(lstEligible[[#This Row],[Unique ID]], tblMaster[Unique ID], tblMaster[Last Name], ""), "")</f>
        <v xml:space="preserve"> Curry</v>
      </c>
      <c r="D179" t="str">
        <f>IFERROR(_xlfn.XLOOKUP(lstEligible[[#This Row],[Unique ID]], tblMaster[Unique ID], tblMaster[Email_Clean], ""), "")</f>
        <v>shamikhah73@gmail.com</v>
      </c>
      <c r="E179" t="str">
        <f>IFERROR(_xlfn.XLOOKUP(lstEligible[[#This Row],[Unique ID]], tblMaster[Unique ID], tblMaster[Phone], ""), "")</f>
        <v>617) 669-4139</v>
      </c>
      <c r="F179">
        <f>IFERROR(_xlfn.XLOOKUP(lstEligible[[#This Row],[Unique ID]], tblMaster[Unique ID], tblMaster[Recruiter], ""), "")</f>
        <v>0</v>
      </c>
      <c r="G179" t="str">
        <f>IFERROR(_xlfn.XLOOKUP(lstEligible[[#This Row],[Unique ID]], tblMaster[Unique ID], tblMaster[Recruitment Cycle], ""), "")</f>
        <v xml:space="preserve">Re-Engagment/Post Civil Service Exam </v>
      </c>
      <c r="H179" s="3"/>
      <c r="I179" s="3"/>
    </row>
    <row r="180" spans="1:9">
      <c r="A180" t="s">
        <v>8547</v>
      </c>
      <c r="B180" t="str">
        <f>IFERROR(_xlfn.XLOOKUP(lstEligible[[#This Row],[Unique ID]], tblMaster[Unique ID], tblMaster[First Name], ""), "")</f>
        <v xml:space="preserve">Katelyn ( kaitie) </v>
      </c>
      <c r="C180" t="str">
        <f>IFERROR(_xlfn.XLOOKUP(lstEligible[[#This Row],[Unique ID]], tblMaster[Unique ID], tblMaster[Last Name], ""), "")</f>
        <v xml:space="preserve"> Piasecki </v>
      </c>
      <c r="D180" t="str">
        <f>IFERROR(_xlfn.XLOOKUP(lstEligible[[#This Row],[Unique ID]], tblMaster[Unique ID], tblMaster[Email_Clean], ""), "")</f>
        <v>katiepiasecki152@gmail.com</v>
      </c>
      <c r="E180" t="str">
        <f>IFERROR(_xlfn.XLOOKUP(lstEligible[[#This Row],[Unique ID]], tblMaster[Unique ID], tblMaster[Phone], ""), "")</f>
        <v xml:space="preserve">(508) 317-9498 </v>
      </c>
      <c r="F180">
        <f>IFERROR(_xlfn.XLOOKUP(lstEligible[[#This Row],[Unique ID]], tblMaster[Unique ID], tblMaster[Recruiter], ""), "")</f>
        <v>0</v>
      </c>
      <c r="G180" t="str">
        <f>IFERROR(_xlfn.XLOOKUP(lstEligible[[#This Row],[Unique ID]], tblMaster[Unique ID], tblMaster[Recruitment Cycle], ""), "")</f>
        <v xml:space="preserve">Re-Engagment/Post Civil Service Exam </v>
      </c>
      <c r="H180" s="3"/>
      <c r="I180" s="3"/>
    </row>
    <row r="181" spans="1:9">
      <c r="A181" t="s">
        <v>8096</v>
      </c>
      <c r="B181" t="str">
        <f>IFERROR(_xlfn.XLOOKUP(lstEligible[[#This Row],[Unique ID]], tblMaster[Unique ID], tblMaster[First Name], ""), "")</f>
        <v>Elias</v>
      </c>
      <c r="C181" t="str">
        <f>IFERROR(_xlfn.XLOOKUP(lstEligible[[#This Row],[Unique ID]], tblMaster[Unique ID], tblMaster[Last Name], ""), "")</f>
        <v>Flores</v>
      </c>
      <c r="D181" t="str">
        <f>IFERROR(_xlfn.XLOOKUP(lstEligible[[#This Row],[Unique ID]], tblMaster[Unique ID], tblMaster[Email_Clean], ""), "")</f>
        <v>eliasjflores18@gmail.com</v>
      </c>
      <c r="E181" t="str">
        <f>IFERROR(_xlfn.XLOOKUP(lstEligible[[#This Row],[Unique ID]], tblMaster[Unique ID], tblMaster[Phone], ""), "")</f>
        <v>401-837-9383</v>
      </c>
      <c r="F181" t="str">
        <f>IFERROR(_xlfn.XLOOKUP(lstEligible[[#This Row],[Unique ID]], tblMaster[Unique ID], tblMaster[Recruiter], ""), "")</f>
        <v xml:space="preserve">Jevon Brown Simpson </v>
      </c>
      <c r="G181" t="str">
        <f>IFERROR(_xlfn.XLOOKUP(lstEligible[[#This Row],[Unique ID]], tblMaster[Unique ID], tblMaster[Recruitment Cycle], ""), "")</f>
        <v xml:space="preserve">Re-Engagment/Post Civil Service Exam </v>
      </c>
      <c r="H181" s="3"/>
      <c r="I181" s="3"/>
    </row>
    <row r="182" spans="1:9">
      <c r="A182" t="s">
        <v>7869</v>
      </c>
      <c r="B182" t="str">
        <f>IFERROR(_xlfn.XLOOKUP(lstEligible[[#This Row],[Unique ID]], tblMaster[Unique ID], tblMaster[First Name], ""), "")</f>
        <v xml:space="preserve">Alexandria </v>
      </c>
      <c r="C182" t="str">
        <f>IFERROR(_xlfn.XLOOKUP(lstEligible[[#This Row],[Unique ID]], tblMaster[Unique ID], tblMaster[Last Name], ""), "")</f>
        <v>Gomes</v>
      </c>
      <c r="D182" t="str">
        <f>IFERROR(_xlfn.XLOOKUP(lstEligible[[#This Row],[Unique ID]], tblMaster[Unique ID], tblMaster[Email_Clean], ""), "")</f>
        <v>allygomes4@gmail.com</v>
      </c>
      <c r="E182" t="str">
        <f>IFERROR(_xlfn.XLOOKUP(lstEligible[[#This Row],[Unique ID]], tblMaster[Unique ID], tblMaster[Phone], ""), "")</f>
        <v>(774)-558-7151</v>
      </c>
      <c r="F182" t="str">
        <f>IFERROR(_xlfn.XLOOKUP(lstEligible[[#This Row],[Unique ID]], tblMaster[Unique ID], tblMaster[Recruiter], ""), "")</f>
        <v xml:space="preserve">Tom Clark </v>
      </c>
      <c r="G182" t="str">
        <f>IFERROR(_xlfn.XLOOKUP(lstEligible[[#This Row],[Unique ID]], tblMaster[Unique ID], tblMaster[Recruitment Cycle], ""), "")</f>
        <v xml:space="preserve">Re-Engagment </v>
      </c>
      <c r="H182" s="3"/>
      <c r="I182" s="3"/>
    </row>
    <row r="183" spans="1:9">
      <c r="A183" t="s">
        <v>8548</v>
      </c>
      <c r="B183" t="str">
        <f>IFERROR(_xlfn.XLOOKUP(lstEligible[[#This Row],[Unique ID]], tblMaster[Unique ID], tblMaster[First Name], ""), "")</f>
        <v xml:space="preserve">Steve </v>
      </c>
      <c r="C183" t="str">
        <f>IFERROR(_xlfn.XLOOKUP(lstEligible[[#This Row],[Unique ID]], tblMaster[Unique ID], tblMaster[Last Name], ""), "")</f>
        <v xml:space="preserve"> Sanz </v>
      </c>
      <c r="D183" t="str">
        <f>IFERROR(_xlfn.XLOOKUP(lstEligible[[#This Row],[Unique ID]], tblMaster[Unique ID], tblMaster[Email_Clean], ""), "")</f>
        <v>ssanz09@icloud.com</v>
      </c>
      <c r="E183" t="str">
        <f>IFERROR(_xlfn.XLOOKUP(lstEligible[[#This Row],[Unique ID]], tblMaster[Unique ID], tblMaster[Phone], ""), "")</f>
        <v xml:space="preserve">781) 930-9897 </v>
      </c>
      <c r="F183">
        <f>IFERROR(_xlfn.XLOOKUP(lstEligible[[#This Row],[Unique ID]], tblMaster[Unique ID], tblMaster[Recruiter], ""), "")</f>
        <v>0</v>
      </c>
      <c r="G183" t="str">
        <f>IFERROR(_xlfn.XLOOKUP(lstEligible[[#This Row],[Unique ID]], tblMaster[Unique ID], tblMaster[Recruitment Cycle], ""), "")</f>
        <v xml:space="preserve">Re-Engagment/Post Civil Service Exam </v>
      </c>
      <c r="H183" s="3"/>
      <c r="I183" s="3"/>
    </row>
    <row r="184" spans="1:9">
      <c r="A184" t="s">
        <v>8549</v>
      </c>
      <c r="B184" t="str">
        <f>IFERROR(_xlfn.XLOOKUP(lstEligible[[#This Row],[Unique ID]], tblMaster[Unique ID], tblMaster[First Name], ""), "")</f>
        <v xml:space="preserve">David </v>
      </c>
      <c r="C184" t="str">
        <f>IFERROR(_xlfn.XLOOKUP(lstEligible[[#This Row],[Unique ID]], tblMaster[Unique ID], tblMaster[Last Name], ""), "")</f>
        <v xml:space="preserve">Tengbeh </v>
      </c>
      <c r="D184" t="str">
        <f>IFERROR(_xlfn.XLOOKUP(lstEligible[[#This Row],[Unique ID]], tblMaster[Unique ID], tblMaster[Email_Clean], ""), "")</f>
        <v>davidtengbeh@gmail.com</v>
      </c>
      <c r="E184" t="str">
        <f>IFERROR(_xlfn.XLOOKUP(lstEligible[[#This Row],[Unique ID]], tblMaster[Unique ID], tblMaster[Phone], ""), "")</f>
        <v xml:space="preserve">(401) 548-2750 </v>
      </c>
      <c r="F184" t="str">
        <f>IFERROR(_xlfn.XLOOKUP(lstEligible[[#This Row],[Unique ID]], tblMaster[Unique ID], tblMaster[Recruiter], ""), "")</f>
        <v>Zenon Moses</v>
      </c>
      <c r="G184" t="str">
        <f>IFERROR(_xlfn.XLOOKUP(lstEligible[[#This Row],[Unique ID]], tblMaster[Unique ID], tblMaster[Recruitment Cycle], ""), "")</f>
        <v xml:space="preserve">New Submission/ Lead </v>
      </c>
      <c r="H184" s="3"/>
      <c r="I184" s="3"/>
    </row>
    <row r="185" spans="1:9">
      <c r="A185" t="s">
        <v>7904</v>
      </c>
      <c r="B185" t="str">
        <f>IFERROR(_xlfn.XLOOKUP(lstEligible[[#This Row],[Unique ID]], tblMaster[Unique ID], tblMaster[First Name], ""), "")</f>
        <v xml:space="preserve">Vincent </v>
      </c>
      <c r="C185" t="str">
        <f>IFERROR(_xlfn.XLOOKUP(lstEligible[[#This Row],[Unique ID]], tblMaster[Unique ID], tblMaster[Last Name], ""), "")</f>
        <v xml:space="preserve"> Amegbor </v>
      </c>
      <c r="D185" t="str">
        <f>IFERROR(_xlfn.XLOOKUP(lstEligible[[#This Row],[Unique ID]], tblMaster[Unique ID], tblMaster[Email_Clean], ""), "")</f>
        <v>vincentferrer15@yahoo.com</v>
      </c>
      <c r="E185" t="str">
        <f>IFERROR(_xlfn.XLOOKUP(lstEligible[[#This Row],[Unique ID]], tblMaster[Unique ID], tblMaster[Phone], ""), "")</f>
        <v xml:space="preserve">(774) 502-9590 </v>
      </c>
      <c r="F185" t="str">
        <f>IFERROR(_xlfn.XLOOKUP(lstEligible[[#This Row],[Unique ID]], tblMaster[Unique ID], tblMaster[Recruiter], ""), "")</f>
        <v xml:space="preserve">Enrique Ortiz </v>
      </c>
      <c r="G185" t="str">
        <f>IFERROR(_xlfn.XLOOKUP(lstEligible[[#This Row],[Unique ID]], tblMaster[Unique ID], tblMaster[Recruitment Cycle], ""), "")</f>
        <v xml:space="preserve">Re-Engagment/Post Civil Service Exam </v>
      </c>
      <c r="H185" s="3"/>
      <c r="I185" s="3"/>
    </row>
    <row r="186" spans="1:9">
      <c r="A186" t="s">
        <v>7771</v>
      </c>
      <c r="B186" t="str">
        <f>IFERROR(_xlfn.XLOOKUP(lstEligible[[#This Row],[Unique ID]], tblMaster[Unique ID], tblMaster[First Name], ""), "")</f>
        <v xml:space="preserve">Enoch </v>
      </c>
      <c r="C186" t="str">
        <f>IFERROR(_xlfn.XLOOKUP(lstEligible[[#This Row],[Unique ID]], tblMaster[Unique ID], tblMaster[Last Name], ""), "")</f>
        <v>Amankwah</v>
      </c>
      <c r="D186" t="str">
        <f>IFERROR(_xlfn.XLOOKUP(lstEligible[[#This Row],[Unique ID]], tblMaster[Unique ID], tblMaster[Email_Clean], ""), "")</f>
        <v>oheneamankwah95@gmail.com</v>
      </c>
      <c r="E186" t="str">
        <f>IFERROR(_xlfn.XLOOKUP(lstEligible[[#This Row],[Unique ID]], tblMaster[Unique ID], tblMaster[Phone], ""), "")</f>
        <v>508 454 3037</v>
      </c>
      <c r="F186" t="str">
        <f>IFERROR(_xlfn.XLOOKUP(lstEligible[[#This Row],[Unique ID]], tblMaster[Unique ID], tblMaster[Recruiter], ""), "")</f>
        <v xml:space="preserve">Austin Campos </v>
      </c>
      <c r="G186" t="str">
        <f>IFERROR(_xlfn.XLOOKUP(lstEligible[[#This Row],[Unique ID]], tblMaster[Unique ID], tblMaster[Recruitment Cycle], ""), "")</f>
        <v xml:space="preserve">Re-Engagment/Post Civil Service Exam </v>
      </c>
      <c r="H186" s="3"/>
      <c r="I186" s="3"/>
    </row>
    <row r="187" spans="1:9">
      <c r="A187" t="s">
        <v>8551</v>
      </c>
      <c r="B187" t="str">
        <f>IFERROR(_xlfn.XLOOKUP(lstEligible[[#This Row],[Unique ID]], tblMaster[Unique ID], tblMaster[First Name], ""), "")</f>
        <v xml:space="preserve">Adewale </v>
      </c>
      <c r="C187" t="str">
        <f>IFERROR(_xlfn.XLOOKUP(lstEligible[[#This Row],[Unique ID]], tblMaster[Unique ID], tblMaster[Last Name], ""), "")</f>
        <v xml:space="preserve">Ajibade </v>
      </c>
      <c r="D187" t="str">
        <f>IFERROR(_xlfn.XLOOKUP(lstEligible[[#This Row],[Unique ID]], tblMaster[Unique ID], tblMaster[Email_Clean], ""), "")</f>
        <v>dewaleajib1071@gmail.com</v>
      </c>
      <c r="E187" t="str">
        <f>IFERROR(_xlfn.XLOOKUP(lstEligible[[#This Row],[Unique ID]], tblMaster[Unique ID], tblMaster[Phone], ""), "")</f>
        <v xml:space="preserve">240)860-3399 </v>
      </c>
      <c r="F187">
        <f>IFERROR(_xlfn.XLOOKUP(lstEligible[[#This Row],[Unique ID]], tblMaster[Unique ID], tblMaster[Recruiter], ""), "")</f>
        <v>0</v>
      </c>
      <c r="G187" t="str">
        <f>IFERROR(_xlfn.XLOOKUP(lstEligible[[#This Row],[Unique ID]], tblMaster[Unique ID], tblMaster[Recruitment Cycle], ""), "")</f>
        <v xml:space="preserve">Re-Engagment/Post Civil Service Exam </v>
      </c>
      <c r="H187" s="3"/>
      <c r="I187" s="3"/>
    </row>
    <row r="188" spans="1:9">
      <c r="A188" t="s">
        <v>8552</v>
      </c>
      <c r="B188" t="str">
        <f>IFERROR(_xlfn.XLOOKUP(lstEligible[[#This Row],[Unique ID]], tblMaster[Unique ID], tblMaster[First Name], ""), "")</f>
        <v>Belly</v>
      </c>
      <c r="C188" t="str">
        <f>IFERROR(_xlfn.XLOOKUP(lstEligible[[#This Row],[Unique ID]], tblMaster[Unique ID], tblMaster[Last Name], ""), "")</f>
        <v>Junior Cesar</v>
      </c>
      <c r="D188" t="str">
        <f>IFERROR(_xlfn.XLOOKUP(lstEligible[[#This Row],[Unique ID]], tblMaster[Unique ID], tblMaster[Email_Clean], ""), "")</f>
        <v>bellycesar135@gmail.com</v>
      </c>
      <c r="E188" t="str">
        <f>IFERROR(_xlfn.XLOOKUP(lstEligible[[#This Row],[Unique ID]], tblMaster[Unique ID], tblMaster[Phone], ""), "")</f>
        <v>508) 371-8810</v>
      </c>
      <c r="F188">
        <f>IFERROR(_xlfn.XLOOKUP(lstEligible[[#This Row],[Unique ID]], tblMaster[Unique ID], tblMaster[Recruiter], ""), "")</f>
        <v>0</v>
      </c>
      <c r="G188" t="str">
        <f>IFERROR(_xlfn.XLOOKUP(lstEligible[[#This Row],[Unique ID]], tblMaster[Unique ID], tblMaster[Recruitment Cycle], ""), "")</f>
        <v xml:space="preserve">Re-Engagment/Post Civil Service Exam </v>
      </c>
      <c r="H188" s="3"/>
      <c r="I188" s="3"/>
    </row>
    <row r="189" spans="1:9">
      <c r="A189" t="s">
        <v>8553</v>
      </c>
      <c r="B189" t="str">
        <f>IFERROR(_xlfn.XLOOKUP(lstEligible[[#This Row],[Unique ID]], tblMaster[Unique ID], tblMaster[First Name], ""), "")</f>
        <v xml:space="preserve">Ryan </v>
      </c>
      <c r="C189" t="str">
        <f>IFERROR(_xlfn.XLOOKUP(lstEligible[[#This Row],[Unique ID]], tblMaster[Unique ID], tblMaster[Last Name], ""), "")</f>
        <v xml:space="preserve">Major </v>
      </c>
      <c r="D189" t="str">
        <f>IFERROR(_xlfn.XLOOKUP(lstEligible[[#This Row],[Unique ID]], tblMaster[Unique ID], tblMaster[Email_Clean], ""), "")</f>
        <v>ryanmajor193@gmail.com</v>
      </c>
      <c r="E189" t="str">
        <f>IFERROR(_xlfn.XLOOKUP(lstEligible[[#This Row],[Unique ID]], tblMaster[Unique ID], tblMaster[Phone], ""), "")</f>
        <v>813-523-2966</v>
      </c>
      <c r="F189" t="str">
        <f>IFERROR(_xlfn.XLOOKUP(lstEligible[[#This Row],[Unique ID]], tblMaster[Unique ID], tblMaster[Recruiter], ""), "")</f>
        <v xml:space="preserve">Jevon Brown Simpson </v>
      </c>
      <c r="G189" t="str">
        <f>IFERROR(_xlfn.XLOOKUP(lstEligible[[#This Row],[Unique ID]], tblMaster[Unique ID], tblMaster[Recruitment Cycle], ""), "")</f>
        <v xml:space="preserve">Re-Engagment/Post Civil Service Exam </v>
      </c>
      <c r="H189" s="3"/>
      <c r="I189" s="3"/>
    </row>
    <row r="190" spans="1:9">
      <c r="A190" t="s">
        <v>8554</v>
      </c>
      <c r="B190" t="str">
        <f>IFERROR(_xlfn.XLOOKUP(lstEligible[[#This Row],[Unique ID]], tblMaster[Unique ID], tblMaster[First Name], ""), "")</f>
        <v>Robel</v>
      </c>
      <c r="C190" t="str">
        <f>IFERROR(_xlfn.XLOOKUP(lstEligible[[#This Row],[Unique ID]], tblMaster[Unique ID], tblMaster[Last Name], ""), "")</f>
        <v xml:space="preserve"> Rivera </v>
      </c>
      <c r="D190" t="str">
        <f>IFERROR(_xlfn.XLOOKUP(lstEligible[[#This Row],[Unique ID]], tblMaster[Unique ID], tblMaster[Email_Clean], ""), "")</f>
        <v>erionaj@gmail.com</v>
      </c>
      <c r="E190" t="str">
        <f>IFERROR(_xlfn.XLOOKUP(lstEligible[[#This Row],[Unique ID]], tblMaster[Unique ID], tblMaster[Phone], ""), "")</f>
        <v>857-707-1072</v>
      </c>
      <c r="F190">
        <f>IFERROR(_xlfn.XLOOKUP(lstEligible[[#This Row],[Unique ID]], tblMaster[Unique ID], tblMaster[Recruiter], ""), "")</f>
        <v>0</v>
      </c>
      <c r="G190" t="str">
        <f>IFERROR(_xlfn.XLOOKUP(lstEligible[[#This Row],[Unique ID]], tblMaster[Unique ID], tblMaster[Recruitment Cycle], ""), "")</f>
        <v xml:space="preserve">Re-Engagment/Post Civil Service Exam </v>
      </c>
      <c r="H190" s="3"/>
      <c r="I190" s="3"/>
    </row>
    <row r="191" spans="1:9">
      <c r="A191" t="s">
        <v>8555</v>
      </c>
      <c r="B191" t="str">
        <f>IFERROR(_xlfn.XLOOKUP(lstEligible[[#This Row],[Unique ID]], tblMaster[Unique ID], tblMaster[First Name], ""), "")</f>
        <v xml:space="preserve">YAR </v>
      </c>
      <c r="C191" t="str">
        <f>IFERROR(_xlfn.XLOOKUP(lstEligible[[#This Row],[Unique ID]], tblMaster[Unique ID], tblMaster[Last Name], ""), "")</f>
        <v>YAR YUEL</v>
      </c>
      <c r="D191" t="str">
        <f>IFERROR(_xlfn.XLOOKUP(lstEligible[[#This Row],[Unique ID]], tblMaster[Unique ID], tblMaster[Email_Clean], ""), "")</f>
        <v>yar.ayuel@gmail.com</v>
      </c>
      <c r="E191" t="str">
        <f>IFERROR(_xlfn.XLOOKUP(lstEligible[[#This Row],[Unique ID]], tblMaster[Unique ID], tblMaster[Phone], ""), "")</f>
        <v>857-523-5186</v>
      </c>
      <c r="F191">
        <f>IFERROR(_xlfn.XLOOKUP(lstEligible[[#This Row],[Unique ID]], tblMaster[Unique ID], tblMaster[Recruiter], ""), "")</f>
        <v>0</v>
      </c>
      <c r="G191" t="str">
        <f>IFERROR(_xlfn.XLOOKUP(lstEligible[[#This Row],[Unique ID]], tblMaster[Unique ID], tblMaster[Recruitment Cycle], ""), "")</f>
        <v xml:space="preserve">Re-Engagment/Post Civil Service Exam </v>
      </c>
      <c r="H191" s="3"/>
      <c r="I191" s="3"/>
    </row>
    <row r="192" spans="1:9">
      <c r="A192" t="s">
        <v>8556</v>
      </c>
      <c r="B192" t="str">
        <f>IFERROR(_xlfn.XLOOKUP(lstEligible[[#This Row],[Unique ID]], tblMaster[Unique ID], tblMaster[First Name], ""), "")</f>
        <v xml:space="preserve">Kyara </v>
      </c>
      <c r="C192" t="str">
        <f>IFERROR(_xlfn.XLOOKUP(lstEligible[[#This Row],[Unique ID]], tblMaster[Unique ID], tblMaster[Last Name], ""), "")</f>
        <v xml:space="preserve"> Beardsley </v>
      </c>
      <c r="D192" t="str">
        <f>IFERROR(_xlfn.XLOOKUP(lstEligible[[#This Row],[Unique ID]], tblMaster[Unique ID], tblMaster[Email_Clean], ""), "")</f>
        <v>kyaralavallee9@gmail.com</v>
      </c>
      <c r="E192" t="str">
        <f>IFERROR(_xlfn.XLOOKUP(lstEligible[[#This Row],[Unique ID]], tblMaster[Unique ID], tblMaster[Phone], ""), "")</f>
        <v>413-557-8205</v>
      </c>
      <c r="F192">
        <f>IFERROR(_xlfn.XLOOKUP(lstEligible[[#This Row],[Unique ID]], tblMaster[Unique ID], tblMaster[Recruiter], ""), "")</f>
        <v>0</v>
      </c>
      <c r="G192" t="str">
        <f>IFERROR(_xlfn.XLOOKUP(lstEligible[[#This Row],[Unique ID]], tblMaster[Unique ID], tblMaster[Recruitment Cycle], ""), "")</f>
        <v xml:space="preserve">Re-Engagment/Post Civil Service Exam </v>
      </c>
      <c r="H192" s="3"/>
      <c r="I192" s="3"/>
    </row>
    <row r="193" spans="1:9">
      <c r="A193" t="s">
        <v>8046</v>
      </c>
      <c r="B193" t="str">
        <f>IFERROR(_xlfn.XLOOKUP(lstEligible[[#This Row],[Unique ID]], tblMaster[Unique ID], tblMaster[First Name], ""), "")</f>
        <v>Tatiana</v>
      </c>
      <c r="C193" t="str">
        <f>IFERROR(_xlfn.XLOOKUP(lstEligible[[#This Row],[Unique ID]], tblMaster[Unique ID], tblMaster[Last Name], ""), "")</f>
        <v xml:space="preserve">Rentas </v>
      </c>
      <c r="D193" t="str">
        <f>IFERROR(_xlfn.XLOOKUP(lstEligible[[#This Row],[Unique ID]], tblMaster[Unique ID], tblMaster[Email_Clean], ""), "")</f>
        <v>tmrentas08@gmail.com</v>
      </c>
      <c r="E193" t="str">
        <f>IFERROR(_xlfn.XLOOKUP(lstEligible[[#This Row],[Unique ID]], tblMaster[Unique ID], tblMaster[Phone], ""), "")</f>
        <v xml:space="preserve">978) 387-3213 </v>
      </c>
      <c r="F193" t="str">
        <f>IFERROR(_xlfn.XLOOKUP(lstEligible[[#This Row],[Unique ID]], tblMaster[Unique ID], tblMaster[Recruiter], ""), "")</f>
        <v xml:space="preserve">Jevon Brown Simpson </v>
      </c>
      <c r="G193" t="str">
        <f>IFERROR(_xlfn.XLOOKUP(lstEligible[[#This Row],[Unique ID]], tblMaster[Unique ID], tblMaster[Recruitment Cycle], ""), "")</f>
        <v xml:space="preserve">Re-Engagment/Post Civil Service Exam </v>
      </c>
      <c r="H193" s="3"/>
      <c r="I193" s="3"/>
    </row>
    <row r="194" spans="1:9">
      <c r="A194" t="s">
        <v>8557</v>
      </c>
      <c r="B194" t="str">
        <f>IFERROR(_xlfn.XLOOKUP(lstEligible[[#This Row],[Unique ID]], tblMaster[Unique ID], tblMaster[First Name], ""), "")</f>
        <v xml:space="preserve">Kelly </v>
      </c>
      <c r="C194" t="str">
        <f>IFERROR(_xlfn.XLOOKUP(lstEligible[[#This Row],[Unique ID]], tblMaster[Unique ID], tblMaster[Last Name], ""), "")</f>
        <v>Batista</v>
      </c>
      <c r="D194" t="str">
        <f>IFERROR(_xlfn.XLOOKUP(lstEligible[[#This Row],[Unique ID]], tblMaster[Unique ID], tblMaster[Email_Clean], ""), "")</f>
        <v>kelly.salesbatista@gmail.com</v>
      </c>
      <c r="E194" t="str">
        <f>IFERROR(_xlfn.XLOOKUP(lstEligible[[#This Row],[Unique ID]], tblMaster[Unique ID], tblMaster[Phone], ""), "")</f>
        <v>857)236-0687</v>
      </c>
      <c r="F194">
        <f>IFERROR(_xlfn.XLOOKUP(lstEligible[[#This Row],[Unique ID]], tblMaster[Unique ID], tblMaster[Recruiter], ""), "")</f>
        <v>0</v>
      </c>
      <c r="G194" t="str">
        <f>IFERROR(_xlfn.XLOOKUP(lstEligible[[#This Row],[Unique ID]], tblMaster[Unique ID], tblMaster[Recruitment Cycle], ""), "")</f>
        <v xml:space="preserve">Re-Engagment/Post Civil Service Exam </v>
      </c>
      <c r="H194" s="3"/>
      <c r="I194" s="3"/>
    </row>
    <row r="195" spans="1:9">
      <c r="A195" t="s">
        <v>8558</v>
      </c>
      <c r="B195" t="str">
        <f>IFERROR(_xlfn.XLOOKUP(lstEligible[[#This Row],[Unique ID]], tblMaster[Unique ID], tblMaster[First Name], ""), "")</f>
        <v>Eric</v>
      </c>
      <c r="C195" t="str">
        <f>IFERROR(_xlfn.XLOOKUP(lstEligible[[#This Row],[Unique ID]], tblMaster[Unique ID], tblMaster[Last Name], ""), "")</f>
        <v xml:space="preserve">Boateng </v>
      </c>
      <c r="D195" t="str">
        <f>IFERROR(_xlfn.XLOOKUP(lstEligible[[#This Row],[Unique ID]], tblMaster[Unique ID], tblMaster[Email_Clean], ""), "")</f>
        <v>boatengfilms@gmail.com</v>
      </c>
      <c r="E195" t="str">
        <f>IFERROR(_xlfn.XLOOKUP(lstEligible[[#This Row],[Unique ID]], tblMaster[Unique ID], tblMaster[Phone], ""), "")</f>
        <v xml:space="preserve">(978) 996-4196 </v>
      </c>
      <c r="F195">
        <f>IFERROR(_xlfn.XLOOKUP(lstEligible[[#This Row],[Unique ID]], tblMaster[Unique ID], tblMaster[Recruiter], ""), "")</f>
        <v>0</v>
      </c>
      <c r="G195" t="str">
        <f>IFERROR(_xlfn.XLOOKUP(lstEligible[[#This Row],[Unique ID]], tblMaster[Unique ID], tblMaster[Recruitment Cycle], ""), "")</f>
        <v xml:space="preserve">Re-Engagment/Post Civil Service Exam </v>
      </c>
      <c r="H195" s="3"/>
      <c r="I195" s="3"/>
    </row>
    <row r="196" spans="1:9">
      <c r="A196" t="s">
        <v>7376</v>
      </c>
      <c r="B196" t="str">
        <f>IFERROR(_xlfn.XLOOKUP(lstEligible[[#This Row],[Unique ID]], tblMaster[Unique ID], tblMaster[First Name], ""), "")</f>
        <v>Ciana</v>
      </c>
      <c r="C196" t="str">
        <f>IFERROR(_xlfn.XLOOKUP(lstEligible[[#This Row],[Unique ID]], tblMaster[Unique ID], tblMaster[Last Name], ""), "")</f>
        <v>Rentas</v>
      </c>
      <c r="D196" t="str">
        <f>IFERROR(_xlfn.XLOOKUP(lstEligible[[#This Row],[Unique ID]], tblMaster[Unique ID], tblMaster[Email_Clean], ""), "")</f>
        <v>rentasciana@gmail.com</v>
      </c>
      <c r="E196" t="str">
        <f>IFERROR(_xlfn.XLOOKUP(lstEligible[[#This Row],[Unique ID]], tblMaster[Unique ID], tblMaster[Phone], ""), "")</f>
        <v>508-904-5057</v>
      </c>
      <c r="F196" t="str">
        <f>IFERROR(_xlfn.XLOOKUP(lstEligible[[#This Row],[Unique ID]], tblMaster[Unique ID], tblMaster[Recruiter], ""), "")</f>
        <v xml:space="preserve">Tom Clark </v>
      </c>
      <c r="G196" t="str">
        <f>IFERROR(_xlfn.XLOOKUP(lstEligible[[#This Row],[Unique ID]], tblMaster[Unique ID], tblMaster[Recruitment Cycle], ""), "")</f>
        <v xml:space="preserve">Re-Engagment/Post Civil Service Exam </v>
      </c>
      <c r="H196" s="3"/>
      <c r="I196" s="3"/>
    </row>
    <row r="197" spans="1:9">
      <c r="A197" t="s">
        <v>8560</v>
      </c>
      <c r="B197" t="str">
        <f>IFERROR(_xlfn.XLOOKUP(lstEligible[[#This Row],[Unique ID]], tblMaster[Unique ID], tblMaster[First Name], ""), "")</f>
        <v>Paul</v>
      </c>
      <c r="C197" t="str">
        <f>IFERROR(_xlfn.XLOOKUP(lstEligible[[#This Row],[Unique ID]], tblMaster[Unique ID], tblMaster[Last Name], ""), "")</f>
        <v xml:space="preserve">Wacuka </v>
      </c>
      <c r="D197" t="str">
        <f>IFERROR(_xlfn.XLOOKUP(lstEligible[[#This Row],[Unique ID]], tblMaster[Unique ID], tblMaster[Email_Clean], ""), "")</f>
        <v>paulkimani26@gmail.com</v>
      </c>
      <c r="E197" t="str">
        <f>IFERROR(_xlfn.XLOOKUP(lstEligible[[#This Row],[Unique ID]], tblMaster[Unique ID], tblMaster[Phone], ""), "")</f>
        <v xml:space="preserve">(978) 327-2924 </v>
      </c>
      <c r="F197">
        <f>IFERROR(_xlfn.XLOOKUP(lstEligible[[#This Row],[Unique ID]], tblMaster[Unique ID], tblMaster[Recruiter], ""), "")</f>
        <v>0</v>
      </c>
      <c r="G197" t="str">
        <f>IFERROR(_xlfn.XLOOKUP(lstEligible[[#This Row],[Unique ID]], tblMaster[Unique ID], tblMaster[Recruitment Cycle], ""), "")</f>
        <v xml:space="preserve">Re-Engagment/Post Civil Service Exam </v>
      </c>
      <c r="H197" s="3"/>
      <c r="I197" s="3"/>
    </row>
    <row r="198" spans="1:9">
      <c r="A198" t="s">
        <v>8490</v>
      </c>
      <c r="B198" t="str">
        <f>IFERROR(_xlfn.XLOOKUP(lstEligible[[#This Row],[Unique ID]], tblMaster[Unique ID], tblMaster[First Name], ""), "")</f>
        <v xml:space="preserve">Casey </v>
      </c>
      <c r="C198" t="str">
        <f>IFERROR(_xlfn.XLOOKUP(lstEligible[[#This Row],[Unique ID]], tblMaster[Unique ID], tblMaster[Last Name], ""), "")</f>
        <v xml:space="preserve">Currie </v>
      </c>
      <c r="D198" t="str">
        <f>IFERROR(_xlfn.XLOOKUP(lstEligible[[#This Row],[Unique ID]], tblMaster[Unique ID], tblMaster[Email_Clean], ""), "")</f>
        <v>caseycurrie1820@yahoo.com</v>
      </c>
      <c r="E198" t="str">
        <f>IFERROR(_xlfn.XLOOKUP(lstEligible[[#This Row],[Unique ID]], tblMaster[Unique ID], tblMaster[Phone], ""), "")</f>
        <v>413) 523-6690</v>
      </c>
      <c r="F198" t="str">
        <f>IFERROR(_xlfn.XLOOKUP(lstEligible[[#This Row],[Unique ID]], tblMaster[Unique ID], tblMaster[Recruiter], ""), "")</f>
        <v xml:space="preserve">Tom Clark </v>
      </c>
      <c r="G198" t="str">
        <f>IFERROR(_xlfn.XLOOKUP(lstEligible[[#This Row],[Unique ID]], tblMaster[Unique ID], tblMaster[Recruitment Cycle], ""), "")</f>
        <v xml:space="preserve">Re-Engagment/Post Civil Service Exam </v>
      </c>
      <c r="H198" s="3"/>
      <c r="I198" s="3"/>
    </row>
    <row r="199" spans="1:9">
      <c r="A199" t="s">
        <v>8350</v>
      </c>
      <c r="B199" t="str">
        <f>IFERROR(_xlfn.XLOOKUP(lstEligible[[#This Row],[Unique ID]], tblMaster[Unique ID], tblMaster[First Name], ""), "")</f>
        <v>Moses</v>
      </c>
      <c r="C199" t="str">
        <f>IFERROR(_xlfn.XLOOKUP(lstEligible[[#This Row],[Unique ID]], tblMaster[Unique ID], tblMaster[Last Name], ""), "")</f>
        <v>Maparyan</v>
      </c>
      <c r="D199" t="str">
        <f>IFERROR(_xlfn.XLOOKUP(lstEligible[[#This Row],[Unique ID]], tblMaster[Unique ID], tblMaster[Email_Clean], ""), "")</f>
        <v>mosesmaparyan@gmail.com</v>
      </c>
      <c r="E199" t="str">
        <f>IFERROR(_xlfn.XLOOKUP(lstEligible[[#This Row],[Unique ID]], tblMaster[Unique ID], tblMaster[Phone], ""), "")</f>
        <v>781-591-1239</v>
      </c>
      <c r="F199" t="str">
        <f>IFERROR(_xlfn.XLOOKUP(lstEligible[[#This Row],[Unique ID]], tblMaster[Unique ID], tblMaster[Recruiter], ""), "")</f>
        <v>Zenon Moses</v>
      </c>
      <c r="G199" t="str">
        <f>IFERROR(_xlfn.XLOOKUP(lstEligible[[#This Row],[Unique ID]], tblMaster[Unique ID], tblMaster[Recruitment Cycle], ""), "")</f>
        <v xml:space="preserve">Re-Engagment/Post Civil Service Exam </v>
      </c>
      <c r="H199" s="3"/>
      <c r="I199" s="3"/>
    </row>
    <row r="200" spans="1:9">
      <c r="A200" t="s">
        <v>8561</v>
      </c>
      <c r="B200" t="str">
        <f>IFERROR(_xlfn.XLOOKUP(lstEligible[[#This Row],[Unique ID]], tblMaster[Unique ID], tblMaster[First Name], ""), "")</f>
        <v>Afeez</v>
      </c>
      <c r="C200" t="str">
        <f>IFERROR(_xlfn.XLOOKUP(lstEligible[[#This Row],[Unique ID]], tblMaster[Unique ID], tblMaster[Last Name], ""), "")</f>
        <v>Awojobi</v>
      </c>
      <c r="D200" t="str">
        <f>IFERROR(_xlfn.XLOOKUP(lstEligible[[#This Row],[Unique ID]], tblMaster[Unique ID], tblMaster[Email_Clean], ""), "")</f>
        <v>awojobiafeez@yahoo.com</v>
      </c>
      <c r="E200" t="str">
        <f>IFERROR(_xlfn.XLOOKUP(lstEligible[[#This Row],[Unique ID]], tblMaster[Unique ID], tblMaster[Phone], ""), "")</f>
        <v>(973) 332-2552</v>
      </c>
      <c r="F200" t="str">
        <f>IFERROR(_xlfn.XLOOKUP(lstEligible[[#This Row],[Unique ID]], tblMaster[Unique ID], tblMaster[Recruiter], ""), "")</f>
        <v xml:space="preserve">Jevon Brown Simpson </v>
      </c>
      <c r="G200" t="str">
        <f>IFERROR(_xlfn.XLOOKUP(lstEligible[[#This Row],[Unique ID]], tblMaster[Unique ID], tblMaster[Recruitment Cycle], ""), "")</f>
        <v xml:space="preserve">Re-Engagment/Post Civil Service Exam </v>
      </c>
      <c r="H200" s="3"/>
      <c r="I200" s="3"/>
    </row>
    <row r="201" spans="1:9">
      <c r="A201" t="s">
        <v>8564</v>
      </c>
      <c r="B201" t="str">
        <f>IFERROR(_xlfn.XLOOKUP(lstEligible[[#This Row],[Unique ID]], tblMaster[Unique ID], tblMaster[First Name], ""), "")</f>
        <v>Ludwige</v>
      </c>
      <c r="C201" t="str">
        <f>IFERROR(_xlfn.XLOOKUP(lstEligible[[#This Row],[Unique ID]], tblMaster[Unique ID], tblMaster[Last Name], ""), "")</f>
        <v>Elvariste Yoyo</v>
      </c>
      <c r="D201" t="str">
        <f>IFERROR(_xlfn.XLOOKUP(lstEligible[[#This Row],[Unique ID]], tblMaster[Unique ID], tblMaster[Email_Clean], ""), "")</f>
        <v>ludwigelvariste@gmail.com</v>
      </c>
      <c r="E201" t="str">
        <f>IFERROR(_xlfn.XLOOKUP(lstEligible[[#This Row],[Unique ID]], tblMaster[Unique ID], tblMaster[Phone], ""), "")</f>
        <v>857-397-3357</v>
      </c>
      <c r="F201">
        <f>IFERROR(_xlfn.XLOOKUP(lstEligible[[#This Row],[Unique ID]], tblMaster[Unique ID], tblMaster[Recruiter], ""), "")</f>
        <v>0</v>
      </c>
      <c r="G201" t="str">
        <f>IFERROR(_xlfn.XLOOKUP(lstEligible[[#This Row],[Unique ID]], tblMaster[Unique ID], tblMaster[Recruitment Cycle], ""), "")</f>
        <v xml:space="preserve">Re-Engagment/Post Civil Service Exam </v>
      </c>
      <c r="H201" s="3"/>
      <c r="I201" s="3"/>
    </row>
    <row r="202" spans="1:9">
      <c r="A202" t="s">
        <v>8565</v>
      </c>
      <c r="B202" t="str">
        <f>IFERROR(_xlfn.XLOOKUP(lstEligible[[#This Row],[Unique ID]], tblMaster[Unique ID], tblMaster[First Name], ""), "")</f>
        <v>Alydia</v>
      </c>
      <c r="C202" t="str">
        <f>IFERROR(_xlfn.XLOOKUP(lstEligible[[#This Row],[Unique ID]], tblMaster[Unique ID], tblMaster[Last Name], ""), "")</f>
        <v>Le</v>
      </c>
      <c r="D202" t="str">
        <f>IFERROR(_xlfn.XLOOKUP(lstEligible[[#This Row],[Unique ID]], tblMaster[Unique ID], tblMaster[Email_Clean], ""), "")</f>
        <v>alydia.le19@gmail.com</v>
      </c>
      <c r="E202" t="str">
        <f>IFERROR(_xlfn.XLOOKUP(lstEligible[[#This Row],[Unique ID]], tblMaster[Unique ID], tblMaster[Phone], ""), "")</f>
        <v>(978) 906-4451</v>
      </c>
      <c r="F202" t="str">
        <f>IFERROR(_xlfn.XLOOKUP(lstEligible[[#This Row],[Unique ID]], tblMaster[Unique ID], tblMaster[Recruiter], ""), "")</f>
        <v xml:space="preserve">Jevon Brown Simpson </v>
      </c>
      <c r="G202" t="str">
        <f>IFERROR(_xlfn.XLOOKUP(lstEligible[[#This Row],[Unique ID]], tblMaster[Unique ID], tblMaster[Recruitment Cycle], ""), "")</f>
        <v xml:space="preserve">Re-Engagment/Post Civil Service Exam </v>
      </c>
      <c r="H202" s="3"/>
      <c r="I202" s="3"/>
    </row>
    <row r="203" spans="1:9">
      <c r="A203" t="s">
        <v>8566</v>
      </c>
      <c r="B203" t="str">
        <f>IFERROR(_xlfn.XLOOKUP(lstEligible[[#This Row],[Unique ID]], tblMaster[Unique ID], tblMaster[First Name], ""), "")</f>
        <v xml:space="preserve">Polinaria </v>
      </c>
      <c r="C203" t="str">
        <f>IFERROR(_xlfn.XLOOKUP(lstEligible[[#This Row],[Unique ID]], tblMaster[Unique ID], tblMaster[Last Name], ""), "")</f>
        <v xml:space="preserve">Giannino </v>
      </c>
      <c r="D203" t="str">
        <f>IFERROR(_xlfn.XLOOKUP(lstEligible[[#This Row],[Unique ID]], tblMaster[Unique ID], tblMaster[Email_Clean], ""), "")</f>
        <v>p_paulausa@hotmail.com</v>
      </c>
      <c r="E203" t="str">
        <f>IFERROR(_xlfn.XLOOKUP(lstEligible[[#This Row],[Unique ID]], tblMaster[Unique ID], tblMaster[Phone], ""), "")</f>
        <v xml:space="preserve">(617) 767-1636 </v>
      </c>
      <c r="F203" t="str">
        <f>IFERROR(_xlfn.XLOOKUP(lstEligible[[#This Row],[Unique ID]], tblMaster[Unique ID], tblMaster[Recruiter], ""), "")</f>
        <v>Zenon Moses</v>
      </c>
      <c r="G203" t="str">
        <f>IFERROR(_xlfn.XLOOKUP(lstEligible[[#This Row],[Unique ID]], tblMaster[Unique ID], tblMaster[Recruitment Cycle], ""), "")</f>
        <v xml:space="preserve">Re-Engagment/Post Civil Service Exam </v>
      </c>
      <c r="H203" s="3"/>
      <c r="I203" s="3"/>
    </row>
    <row r="204" spans="1:9">
      <c r="A204" t="s">
        <v>8525</v>
      </c>
      <c r="B204" t="str">
        <f>IFERROR(_xlfn.XLOOKUP(lstEligible[[#This Row],[Unique ID]], tblMaster[Unique ID], tblMaster[First Name], ""), "")</f>
        <v xml:space="preserve">Joe </v>
      </c>
      <c r="C204" t="str">
        <f>IFERROR(_xlfn.XLOOKUP(lstEligible[[#This Row],[Unique ID]], tblMaster[Unique ID], tblMaster[Last Name], ""), "")</f>
        <v xml:space="preserve"> Servello </v>
      </c>
      <c r="D204" t="str">
        <f>IFERROR(_xlfn.XLOOKUP(lstEligible[[#This Row],[Unique ID]], tblMaster[Unique ID], tblMaster[Email_Clean], ""), "")</f>
        <v>joeservello00@gmail.com</v>
      </c>
      <c r="E204" t="str">
        <f>IFERROR(_xlfn.XLOOKUP(lstEligible[[#This Row],[Unique ID]], tblMaster[Unique ID], tblMaster[Phone], ""), "")</f>
        <v xml:space="preserve">(508) 801-3078 </v>
      </c>
      <c r="F204">
        <f>IFERROR(_xlfn.XLOOKUP(lstEligible[[#This Row],[Unique ID]], tblMaster[Unique ID], tblMaster[Recruiter], ""), "")</f>
        <v>0</v>
      </c>
      <c r="G204" t="str">
        <f>IFERROR(_xlfn.XLOOKUP(lstEligible[[#This Row],[Unique ID]], tblMaster[Unique ID], tblMaster[Recruitment Cycle], ""), "")</f>
        <v xml:space="preserve">Re-Engagment/Post Civil Service Exam </v>
      </c>
      <c r="H204" s="3"/>
      <c r="I204" s="3"/>
    </row>
    <row r="205" spans="1:9">
      <c r="A205" t="s">
        <v>8567</v>
      </c>
      <c r="B205" t="str">
        <f>IFERROR(_xlfn.XLOOKUP(lstEligible[[#This Row],[Unique ID]], tblMaster[Unique ID], tblMaster[First Name], ""), "")</f>
        <v>Perla</v>
      </c>
      <c r="C205" t="str">
        <f>IFERROR(_xlfn.XLOOKUP(lstEligible[[#This Row],[Unique ID]], tblMaster[Unique ID], tblMaster[Last Name], ""), "")</f>
        <v>Franco Pafume</v>
      </c>
      <c r="D205" t="str">
        <f>IFERROR(_xlfn.XLOOKUP(lstEligible[[#This Row],[Unique ID]], tblMaster[Unique ID], tblMaster[Email_Clean], ""), "")</f>
        <v>perlafranco.law@gmail.com</v>
      </c>
      <c r="E205" t="str">
        <f>IFERROR(_xlfn.XLOOKUP(lstEligible[[#This Row],[Unique ID]], tblMaster[Unique ID], tblMaster[Phone], ""), "")</f>
        <v>857-504-4449</v>
      </c>
      <c r="F205" t="str">
        <f>IFERROR(_xlfn.XLOOKUP(lstEligible[[#This Row],[Unique ID]], tblMaster[Unique ID], tblMaster[Recruiter], ""), "")</f>
        <v xml:space="preserve">Jevon Brown Simpson </v>
      </c>
      <c r="G205" t="str">
        <f>IFERROR(_xlfn.XLOOKUP(lstEligible[[#This Row],[Unique ID]], tblMaster[Unique ID], tblMaster[Recruitment Cycle], ""), "")</f>
        <v xml:space="preserve">Re-Engagment/Post Civil Service Exam </v>
      </c>
      <c r="H205" s="3"/>
      <c r="I205" s="3"/>
    </row>
    <row r="206" spans="1:9">
      <c r="A206" t="s">
        <v>8568</v>
      </c>
      <c r="B206" t="str">
        <f>IFERROR(_xlfn.XLOOKUP(lstEligible[[#This Row],[Unique ID]], tblMaster[Unique ID], tblMaster[First Name], ""), "")</f>
        <v>Haley</v>
      </c>
      <c r="C206" t="str">
        <f>IFERROR(_xlfn.XLOOKUP(lstEligible[[#This Row],[Unique ID]], tblMaster[Unique ID], tblMaster[Last Name], ""), "")</f>
        <v>Duevaughn</v>
      </c>
      <c r="D206" t="str">
        <f>IFERROR(_xlfn.XLOOKUP(lstEligible[[#This Row],[Unique ID]], tblMaster[Unique ID], tblMaster[Email_Clean], ""), "")</f>
        <v>duevaughnh@gmail.com</v>
      </c>
      <c r="E206" t="str">
        <f>IFERROR(_xlfn.XLOOKUP(lstEligible[[#This Row],[Unique ID]], tblMaster[Unique ID], tblMaster[Phone], ""), "")</f>
        <v>857-204-6644</v>
      </c>
      <c r="F206" t="str">
        <f>IFERROR(_xlfn.XLOOKUP(lstEligible[[#This Row],[Unique ID]], tblMaster[Unique ID], tblMaster[Recruiter], ""), "")</f>
        <v>Zenon Moses</v>
      </c>
      <c r="G206" t="str">
        <f>IFERROR(_xlfn.XLOOKUP(lstEligible[[#This Row],[Unique ID]], tblMaster[Unique ID], tblMaster[Recruitment Cycle], ""), "")</f>
        <v xml:space="preserve">Re-Engagment/Post Civil Service Exam </v>
      </c>
      <c r="H206" s="3"/>
      <c r="I206" s="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84BE608-56E1-4D91-8B8D-F2140EFC32DB}">
          <x14:formula1>
            <xm:f>Lists!$X$2:$X$3</xm:f>
          </x14:formula1>
          <xm:sqref>J2:J206</xm:sqref>
        </x14:dataValidation>
        <x14:dataValidation type="list" allowBlank="1" showInputMessage="1" showErrorMessage="1" xr:uid="{9AA19DA3-4F70-4E33-AB86-C491C539CC45}">
          <x14:formula1>
            <xm:f>' Recruitment Exam Tracker'!$A$2:$A$9997</xm:f>
          </x14:formula1>
          <xm:sqref>A2:A42 A120:A1048576</xm:sqref>
        </x14:dataValidation>
        <x14:dataValidation type="list" allowBlank="1" showInputMessage="1" showErrorMessage="1" xr:uid="{440ED629-D0B0-4706-9243-DE9A3F6906D1}">
          <x14:formula1>
            <xm:f>Master!$A$2:$A$1048576</xm:f>
          </x14:formula1>
          <xm:sqref>A43:A119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5F53-B89C-4C4D-937D-FE485A433697}">
  <dimension ref="A1:AC1344"/>
  <sheetViews>
    <sheetView workbookViewId="0">
      <selection activeCell="H2" sqref="H2"/>
    </sheetView>
  </sheetViews>
  <sheetFormatPr defaultRowHeight="15"/>
  <cols>
    <col min="1" max="1" width="20.28515625" bestFit="1" customWidth="1"/>
    <col min="2" max="2" width="35" bestFit="1" customWidth="1"/>
    <col min="3" max="3" width="18.140625" bestFit="1" customWidth="1"/>
    <col min="4" max="4" width="11.42578125" bestFit="1" customWidth="1"/>
    <col min="5" max="5" width="40.7109375" bestFit="1" customWidth="1"/>
    <col min="6" max="6" width="11" bestFit="1" customWidth="1"/>
    <col min="7" max="7" width="16.5703125" bestFit="1" customWidth="1"/>
    <col min="8" max="8" width="40.7109375" bestFit="1" customWidth="1"/>
    <col min="9" max="9" width="37.7109375" bestFit="1" customWidth="1"/>
    <col min="11" max="11" width="41.85546875" bestFit="1" customWidth="1"/>
    <col min="12" max="12" width="17" bestFit="1" customWidth="1"/>
    <col min="14" max="14" width="12" bestFit="1" customWidth="1"/>
    <col min="15" max="15" width="10.42578125" bestFit="1" customWidth="1"/>
    <col min="16" max="16" width="17.85546875" bestFit="1" customWidth="1"/>
    <col min="17" max="17" width="42.7109375" bestFit="1" customWidth="1"/>
    <col min="18" max="18" width="21.7109375" bestFit="1" customWidth="1"/>
    <col min="19" max="20" width="41.28515625" bestFit="1" customWidth="1"/>
    <col min="21" max="21" width="7.28515625" bestFit="1" customWidth="1"/>
    <col min="22" max="22" width="14.7109375" bestFit="1" customWidth="1"/>
    <col min="23" max="23" width="30.42578125" bestFit="1" customWidth="1"/>
    <col min="24" max="24" width="13.42578125" bestFit="1" customWidth="1"/>
    <col min="25" max="25" width="14.28515625" bestFit="1" customWidth="1"/>
    <col min="26" max="26" width="17.42578125" bestFit="1" customWidth="1"/>
    <col min="27" max="27" width="10.140625" bestFit="1" customWidth="1"/>
    <col min="28" max="28" width="11.5703125" bestFit="1" customWidth="1"/>
    <col min="29" max="29" width="17.7109375" bestFit="1" customWidth="1"/>
  </cols>
  <sheetData>
    <row r="1" spans="1:29">
      <c r="A1" t="s">
        <v>9</v>
      </c>
      <c r="B1" t="s">
        <v>10</v>
      </c>
      <c r="C1" s="1" t="s">
        <v>8</v>
      </c>
      <c r="D1" t="str" cm="1">
        <f t="array" ref="D1:D1344">_xlfn._xlws.SORT(
  _xlfn._xlws.FILTER(
    tblMaster[Unique ID],
    (tblMaster[Unique ID]&lt;&gt;"") *
    ISNA(MATCH(tblMaster[Unique ID], tblLog[Unique ID], 0))
  )
)</f>
        <v>DOC-00005</v>
      </c>
      <c r="E1" s="6" t="s">
        <v>7421</v>
      </c>
      <c r="F1" s="6" t="s">
        <v>8147</v>
      </c>
      <c r="G1" t="s">
        <v>7424</v>
      </c>
      <c r="H1" s="6" t="s">
        <v>7426</v>
      </c>
      <c r="I1" s="6" t="s">
        <v>7427</v>
      </c>
      <c r="K1" t="s">
        <v>7421</v>
      </c>
      <c r="L1" t="s">
        <v>7424</v>
      </c>
      <c r="N1" s="10" t="s">
        <v>8142</v>
      </c>
      <c r="O1" s="10" t="s">
        <v>8143</v>
      </c>
      <c r="P1" s="13" t="s">
        <v>8144</v>
      </c>
      <c r="Q1" s="13" t="s">
        <v>8145</v>
      </c>
      <c r="R1" s="13" t="s">
        <v>8146</v>
      </c>
      <c r="S1" s="1" t="s">
        <v>8145</v>
      </c>
      <c r="T1" s="1" t="s">
        <v>8575</v>
      </c>
      <c r="U1" s="13" t="s">
        <v>8147</v>
      </c>
      <c r="V1" s="13" t="s">
        <v>8576</v>
      </c>
      <c r="W1" s="14" t="s">
        <v>8148</v>
      </c>
      <c r="X1" t="s">
        <v>8571</v>
      </c>
      <c r="Y1" s="13" t="s">
        <v>8577</v>
      </c>
      <c r="Z1" s="13" t="s">
        <v>8578</v>
      </c>
      <c r="AA1" s="13" t="s">
        <v>8579</v>
      </c>
      <c r="AB1" s="13" t="s">
        <v>8580</v>
      </c>
      <c r="AC1" s="13" t="s">
        <v>8581</v>
      </c>
    </row>
    <row r="2" spans="1:29">
      <c r="A2" t="s">
        <v>118</v>
      </c>
      <c r="B2" t="s">
        <v>4185</v>
      </c>
      <c r="C2" t="s">
        <v>54</v>
      </c>
      <c r="D2" t="str">
        <v>DOC-00006</v>
      </c>
      <c r="E2" t="s">
        <v>7455</v>
      </c>
      <c r="F2" t="s">
        <v>7434</v>
      </c>
      <c r="G2" t="s">
        <v>8582</v>
      </c>
      <c r="H2" t="s">
        <v>7452</v>
      </c>
      <c r="I2" t="s">
        <v>8583</v>
      </c>
      <c r="K2" s="1" t="s">
        <v>7455</v>
      </c>
      <c r="L2" t="s">
        <v>7446</v>
      </c>
      <c r="N2" s="11" t="s">
        <v>8357</v>
      </c>
      <c r="O2" s="13">
        <v>2025</v>
      </c>
      <c r="P2" s="13" t="s">
        <v>7436</v>
      </c>
      <c r="Q2" s="13" t="s">
        <v>7439</v>
      </c>
      <c r="R2" s="13" t="s">
        <v>8584</v>
      </c>
      <c r="S2" t="s">
        <v>7445</v>
      </c>
      <c r="T2" t="s">
        <v>8585</v>
      </c>
      <c r="U2" s="13" t="s">
        <v>7434</v>
      </c>
      <c r="V2" s="13" t="s">
        <v>8029</v>
      </c>
      <c r="W2" s="13" t="s">
        <v>8158</v>
      </c>
      <c r="X2" s="13" t="s">
        <v>8586</v>
      </c>
      <c r="Y2" s="13"/>
      <c r="Z2" s="13"/>
      <c r="AA2" s="13"/>
      <c r="AB2" s="13"/>
      <c r="AC2" s="13"/>
    </row>
    <row r="3" spans="1:29">
      <c r="A3" t="s">
        <v>560</v>
      </c>
      <c r="B3" t="s">
        <v>652</v>
      </c>
      <c r="C3" t="s">
        <v>112</v>
      </c>
      <c r="D3" t="str">
        <v>DOC-00007</v>
      </c>
      <c r="E3" t="s">
        <v>7463</v>
      </c>
      <c r="F3" t="s">
        <v>7516</v>
      </c>
      <c r="G3" t="s">
        <v>7436</v>
      </c>
      <c r="H3" t="s">
        <v>7485</v>
      </c>
      <c r="I3" t="s">
        <v>7448</v>
      </c>
      <c r="K3" s="1" t="s">
        <v>7455</v>
      </c>
      <c r="L3" t="s">
        <v>7491</v>
      </c>
      <c r="N3" s="11" t="s">
        <v>8150</v>
      </c>
      <c r="O3" s="13">
        <v>2026</v>
      </c>
      <c r="P3" s="13" t="s">
        <v>7446</v>
      </c>
      <c r="Q3" s="13" t="s">
        <v>8153</v>
      </c>
      <c r="R3" s="13" t="s">
        <v>8587</v>
      </c>
      <c r="S3" t="s">
        <v>7445</v>
      </c>
      <c r="T3" t="s">
        <v>7436</v>
      </c>
      <c r="U3" s="13" t="s">
        <v>8328</v>
      </c>
      <c r="V3" s="13" t="s">
        <v>8175</v>
      </c>
      <c r="W3" s="13" t="s">
        <v>8195</v>
      </c>
      <c r="X3" s="13" t="s">
        <v>8588</v>
      </c>
      <c r="Y3" s="13" t="s">
        <v>7478</v>
      </c>
      <c r="Z3" s="13" t="s">
        <v>7478</v>
      </c>
      <c r="AA3" s="13" t="s">
        <v>7478</v>
      </c>
      <c r="AB3" s="13" t="s">
        <v>7478</v>
      </c>
      <c r="AC3" s="13" t="s">
        <v>8589</v>
      </c>
    </row>
    <row r="4" spans="1:29">
      <c r="A4" t="s">
        <v>23</v>
      </c>
      <c r="B4" t="s">
        <v>226</v>
      </c>
      <c r="C4" t="s">
        <v>943</v>
      </c>
      <c r="D4" t="str">
        <v>DOC-00008</v>
      </c>
      <c r="E4" t="s">
        <v>7439</v>
      </c>
      <c r="F4" t="s">
        <v>4</v>
      </c>
      <c r="G4" t="s">
        <v>7446</v>
      </c>
      <c r="H4" t="s">
        <v>7598</v>
      </c>
      <c r="I4" t="s">
        <v>7500</v>
      </c>
      <c r="K4" s="1" t="s">
        <v>7455</v>
      </c>
      <c r="L4" t="s">
        <v>7435</v>
      </c>
      <c r="N4" s="11" t="s">
        <v>8358</v>
      </c>
      <c r="O4" s="13">
        <v>2027</v>
      </c>
      <c r="P4" s="13" t="s">
        <v>8471</v>
      </c>
      <c r="Q4" s="13" t="s">
        <v>7445</v>
      </c>
      <c r="R4" s="13" t="s">
        <v>8590</v>
      </c>
      <c r="S4" t="s">
        <v>7445</v>
      </c>
      <c r="T4" t="s">
        <v>7446</v>
      </c>
      <c r="U4" s="13" t="s">
        <v>7464</v>
      </c>
      <c r="V4" s="13" t="s">
        <v>8157</v>
      </c>
      <c r="W4" s="13" t="s">
        <v>8289</v>
      </c>
      <c r="Y4" s="13" t="s">
        <v>8165</v>
      </c>
      <c r="Z4" s="13" t="s">
        <v>8165</v>
      </c>
      <c r="AA4" s="13" t="s">
        <v>8165</v>
      </c>
      <c r="AB4" s="13" t="s">
        <v>8165</v>
      </c>
      <c r="AC4" s="13" t="s">
        <v>8591</v>
      </c>
    </row>
    <row r="5" spans="1:29">
      <c r="A5" t="s">
        <v>497</v>
      </c>
      <c r="C5" t="s">
        <v>101</v>
      </c>
      <c r="D5" t="str">
        <v>DOC-00009</v>
      </c>
      <c r="E5" t="s">
        <v>7716</v>
      </c>
      <c r="F5" t="s">
        <v>7494</v>
      </c>
      <c r="G5" t="s">
        <v>8014</v>
      </c>
      <c r="H5" t="s">
        <v>7544</v>
      </c>
      <c r="I5" t="s">
        <v>7509</v>
      </c>
      <c r="K5" s="1" t="s">
        <v>7455</v>
      </c>
      <c r="L5" t="s">
        <v>7478</v>
      </c>
      <c r="N5" s="11" t="s">
        <v>8592</v>
      </c>
      <c r="O5" s="13">
        <v>2028</v>
      </c>
      <c r="P5" s="13" t="s">
        <v>7491</v>
      </c>
      <c r="Q5" s="13" t="s">
        <v>8151</v>
      </c>
      <c r="R5" s="13" t="s">
        <v>8154</v>
      </c>
      <c r="S5" t="s">
        <v>7445</v>
      </c>
      <c r="T5" t="s">
        <v>8014</v>
      </c>
      <c r="V5" s="13" t="s">
        <v>7435</v>
      </c>
      <c r="W5" s="13" t="s">
        <v>8162</v>
      </c>
      <c r="Y5" s="13" t="s">
        <v>8591</v>
      </c>
      <c r="Z5" s="13" t="s">
        <v>8591</v>
      </c>
      <c r="AA5" s="13" t="s">
        <v>8591</v>
      </c>
      <c r="AB5" s="13" t="s">
        <v>8591</v>
      </c>
      <c r="AC5" s="13" t="s">
        <v>8593</v>
      </c>
    </row>
    <row r="6" spans="1:29">
      <c r="A6" t="s">
        <v>194</v>
      </c>
      <c r="C6" t="s">
        <v>18</v>
      </c>
      <c r="D6" t="str">
        <v>DOC-00010</v>
      </c>
      <c r="E6" t="s">
        <v>8594</v>
      </c>
      <c r="F6" t="s">
        <v>7569</v>
      </c>
      <c r="G6" t="s">
        <v>8595</v>
      </c>
      <c r="H6" t="s">
        <v>8596</v>
      </c>
      <c r="I6" t="s">
        <v>7481</v>
      </c>
      <c r="K6" s="1" t="s">
        <v>7455</v>
      </c>
      <c r="L6" t="s">
        <v>7460</v>
      </c>
      <c r="N6" s="11" t="s">
        <v>8366</v>
      </c>
      <c r="O6" s="13">
        <v>2029</v>
      </c>
      <c r="Q6" s="13" t="s">
        <v>8277</v>
      </c>
      <c r="R6" s="13" t="s">
        <v>8597</v>
      </c>
      <c r="S6" t="s">
        <v>7445</v>
      </c>
      <c r="T6" t="s">
        <v>7615</v>
      </c>
      <c r="W6" s="13" t="s">
        <v>7472</v>
      </c>
      <c r="Y6" s="13" t="s">
        <v>8014</v>
      </c>
      <c r="Z6" s="13" t="s">
        <v>8014</v>
      </c>
      <c r="AA6" t="s">
        <v>8014</v>
      </c>
      <c r="AB6" t="s">
        <v>8014</v>
      </c>
      <c r="AC6" s="13" t="s">
        <v>8598</v>
      </c>
    </row>
    <row r="7" spans="1:29">
      <c r="A7" t="s">
        <v>66</v>
      </c>
      <c r="C7" t="s">
        <v>193</v>
      </c>
      <c r="D7" t="str">
        <v>DOC-00013</v>
      </c>
      <c r="E7" t="s">
        <v>7543</v>
      </c>
      <c r="F7" t="s">
        <v>7530</v>
      </c>
      <c r="G7" t="s">
        <v>7615</v>
      </c>
      <c r="H7" t="s">
        <v>7615</v>
      </c>
      <c r="I7" t="s">
        <v>8599</v>
      </c>
      <c r="K7" s="1" t="s">
        <v>7455</v>
      </c>
      <c r="L7" t="s">
        <v>7595</v>
      </c>
      <c r="N7" s="11" t="s">
        <v>8186</v>
      </c>
      <c r="O7" s="13">
        <v>2030</v>
      </c>
      <c r="Q7" s="13" t="s">
        <v>7543</v>
      </c>
      <c r="R7" s="13" t="s">
        <v>8600</v>
      </c>
      <c r="S7" t="s">
        <v>7445</v>
      </c>
      <c r="T7" t="s">
        <v>8601</v>
      </c>
      <c r="W7" s="13" t="s">
        <v>7612</v>
      </c>
      <c r="Y7" s="13" t="s">
        <v>8154</v>
      </c>
      <c r="Z7" s="13" t="s">
        <v>8154</v>
      </c>
      <c r="AA7" s="13" t="s">
        <v>8154</v>
      </c>
      <c r="AB7" s="13" t="s">
        <v>8154</v>
      </c>
      <c r="AC7" s="13"/>
    </row>
    <row r="8" spans="1:29">
      <c r="C8" t="s">
        <v>8602</v>
      </c>
      <c r="D8" t="str">
        <v>DOC-00014</v>
      </c>
      <c r="E8" t="s">
        <v>7529</v>
      </c>
      <c r="F8" t="s">
        <v>7478</v>
      </c>
      <c r="G8" t="s">
        <v>8029</v>
      </c>
      <c r="H8" t="s">
        <v>7612</v>
      </c>
      <c r="I8" t="s">
        <v>8603</v>
      </c>
      <c r="K8" s="1" t="s">
        <v>7455</v>
      </c>
      <c r="L8" t="s">
        <v>8582</v>
      </c>
      <c r="N8" s="11" t="s">
        <v>8604</v>
      </c>
      <c r="O8" s="13">
        <v>2031</v>
      </c>
      <c r="S8" t="s">
        <v>7445</v>
      </c>
      <c r="T8" t="s">
        <v>7445</v>
      </c>
      <c r="W8" s="13" t="s">
        <v>8192</v>
      </c>
    </row>
    <row r="9" spans="1:29">
      <c r="C9" t="s">
        <v>339</v>
      </c>
      <c r="D9" t="str">
        <v>DOC-00015</v>
      </c>
      <c r="E9" t="s">
        <v>8605</v>
      </c>
      <c r="F9" t="s">
        <v>7446</v>
      </c>
      <c r="G9" t="s">
        <v>7478</v>
      </c>
      <c r="H9" t="s">
        <v>7508</v>
      </c>
      <c r="I9" t="s">
        <v>7475</v>
      </c>
      <c r="K9" s="1" t="s">
        <v>7455</v>
      </c>
      <c r="L9" t="s">
        <v>7472</v>
      </c>
      <c r="N9" s="11" t="s">
        <v>8360</v>
      </c>
      <c r="O9" s="13">
        <v>2032</v>
      </c>
      <c r="S9" t="s">
        <v>7445</v>
      </c>
      <c r="T9" t="s">
        <v>7543</v>
      </c>
      <c r="W9" s="13" t="s">
        <v>7456</v>
      </c>
    </row>
    <row r="10" spans="1:29">
      <c r="D10" t="str">
        <v>DOC-00016</v>
      </c>
      <c r="E10" t="s">
        <v>7524</v>
      </c>
      <c r="F10" t="s">
        <v>7491</v>
      </c>
      <c r="G10" t="s">
        <v>8606</v>
      </c>
      <c r="H10" t="s">
        <v>7711</v>
      </c>
      <c r="I10" t="s">
        <v>7487</v>
      </c>
      <c r="K10" s="141" t="s">
        <v>7496</v>
      </c>
      <c r="L10" t="s">
        <v>7434</v>
      </c>
      <c r="N10" s="11" t="s">
        <v>8607</v>
      </c>
      <c r="O10" s="13">
        <v>2033</v>
      </c>
      <c r="S10" t="s">
        <v>7445</v>
      </c>
      <c r="T10" t="s">
        <v>8608</v>
      </c>
    </row>
    <row r="11" spans="1:29">
      <c r="D11" t="str">
        <v>DOC-00018</v>
      </c>
      <c r="E11" t="s">
        <v>7445</v>
      </c>
      <c r="F11" t="s">
        <v>8014</v>
      </c>
      <c r="G11" t="s">
        <v>8609</v>
      </c>
      <c r="H11" t="s">
        <v>7556</v>
      </c>
      <c r="I11" t="s">
        <v>7497</v>
      </c>
      <c r="K11" s="141" t="s">
        <v>7496</v>
      </c>
      <c r="L11" t="s">
        <v>7516</v>
      </c>
      <c r="N11" s="11" t="s">
        <v>8610</v>
      </c>
      <c r="O11" s="13">
        <v>2034</v>
      </c>
      <c r="S11" t="s">
        <v>7543</v>
      </c>
      <c r="T11" t="s">
        <v>8585</v>
      </c>
    </row>
    <row r="12" spans="1:29">
      <c r="D12" t="str">
        <v>DOC-00019</v>
      </c>
      <c r="E12" t="s">
        <v>8608</v>
      </c>
      <c r="F12" t="s">
        <v>8611</v>
      </c>
      <c r="G12" t="s">
        <v>8612</v>
      </c>
      <c r="H12" t="s">
        <v>8613</v>
      </c>
      <c r="I12" t="s">
        <v>8614</v>
      </c>
      <c r="K12" s="141" t="s">
        <v>7496</v>
      </c>
      <c r="L12" t="s">
        <v>4</v>
      </c>
      <c r="N12" s="11" t="s">
        <v>8164</v>
      </c>
      <c r="O12" s="13">
        <v>2035</v>
      </c>
      <c r="S12" t="s">
        <v>7543</v>
      </c>
      <c r="T12" t="s">
        <v>7436</v>
      </c>
    </row>
    <row r="13" spans="1:29">
      <c r="D13" t="str">
        <v>DOC-00020</v>
      </c>
      <c r="E13" t="s">
        <v>7515</v>
      </c>
      <c r="G13" t="s">
        <v>8615</v>
      </c>
      <c r="H13" t="s">
        <v>7565</v>
      </c>
      <c r="I13" t="s">
        <v>8616</v>
      </c>
      <c r="K13" s="141" t="s">
        <v>7496</v>
      </c>
      <c r="L13" t="s">
        <v>7494</v>
      </c>
      <c r="N13" s="11" t="s">
        <v>8617</v>
      </c>
      <c r="O13" s="13">
        <v>2036</v>
      </c>
      <c r="S13" t="s">
        <v>7543</v>
      </c>
      <c r="T13" t="s">
        <v>7446</v>
      </c>
    </row>
    <row r="14" spans="1:29">
      <c r="D14" t="str">
        <v>DOC-00021</v>
      </c>
      <c r="E14" t="s">
        <v>7496</v>
      </c>
      <c r="G14" t="s">
        <v>8157</v>
      </c>
      <c r="H14" t="s">
        <v>8618</v>
      </c>
      <c r="I14" t="s">
        <v>8619</v>
      </c>
      <c r="K14" s="141" t="s">
        <v>7496</v>
      </c>
      <c r="L14" t="s">
        <v>7569</v>
      </c>
      <c r="O14" s="13">
        <v>2037</v>
      </c>
      <c r="S14" t="s">
        <v>7543</v>
      </c>
      <c r="T14" t="s">
        <v>8014</v>
      </c>
    </row>
    <row r="15" spans="1:29">
      <c r="D15" t="str">
        <v>DOC-00022</v>
      </c>
      <c r="E15" t="s">
        <v>7490</v>
      </c>
      <c r="H15" t="s">
        <v>8620</v>
      </c>
      <c r="I15" t="s">
        <v>8621</v>
      </c>
      <c r="K15" s="141" t="s">
        <v>7496</v>
      </c>
      <c r="L15" t="s">
        <v>7530</v>
      </c>
      <c r="O15" s="13">
        <v>2038</v>
      </c>
      <c r="S15" t="s">
        <v>7543</v>
      </c>
      <c r="T15" t="s">
        <v>7615</v>
      </c>
    </row>
    <row r="16" spans="1:29">
      <c r="D16" t="str">
        <v>DOC-00024</v>
      </c>
      <c r="E16" t="s">
        <v>7505</v>
      </c>
      <c r="H16" t="s">
        <v>8622</v>
      </c>
      <c r="I16" t="s">
        <v>7517</v>
      </c>
      <c r="K16" s="141" t="s">
        <v>7496</v>
      </c>
      <c r="L16" t="s">
        <v>7478</v>
      </c>
      <c r="O16" s="13">
        <v>2039</v>
      </c>
      <c r="S16" t="s">
        <v>7543</v>
      </c>
      <c r="T16" t="s">
        <v>8601</v>
      </c>
    </row>
    <row r="17" spans="4:20">
      <c r="D17" t="str">
        <v>DOC-00025</v>
      </c>
      <c r="E17" t="s">
        <v>8620</v>
      </c>
      <c r="H17" t="s">
        <v>7570</v>
      </c>
      <c r="K17" s="141" t="s">
        <v>7496</v>
      </c>
      <c r="L17" t="s">
        <v>7446</v>
      </c>
      <c r="O17" s="13">
        <v>2040</v>
      </c>
      <c r="S17" t="s">
        <v>7543</v>
      </c>
      <c r="T17" t="s">
        <v>7445</v>
      </c>
    </row>
    <row r="18" spans="4:20">
      <c r="D18" t="str">
        <v>DOC-00026</v>
      </c>
      <c r="E18" t="s">
        <v>8083</v>
      </c>
      <c r="H18" t="s">
        <v>7445</v>
      </c>
      <c r="K18" s="141" t="s">
        <v>7496</v>
      </c>
      <c r="L18" t="s">
        <v>7491</v>
      </c>
      <c r="O18" s="13">
        <v>2041</v>
      </c>
      <c r="S18" t="s">
        <v>7543</v>
      </c>
      <c r="T18" t="s">
        <v>7543</v>
      </c>
    </row>
    <row r="19" spans="4:20">
      <c r="D19" t="str">
        <v>DOC-00027</v>
      </c>
      <c r="E19" t="s">
        <v>7484</v>
      </c>
      <c r="H19" t="s">
        <v>7543</v>
      </c>
      <c r="K19" s="141" t="s">
        <v>7496</v>
      </c>
      <c r="L19" t="s">
        <v>8014</v>
      </c>
      <c r="O19" s="13">
        <v>2042</v>
      </c>
      <c r="S19" t="s">
        <v>7543</v>
      </c>
      <c r="T19" t="s">
        <v>8608</v>
      </c>
    </row>
    <row r="20" spans="4:20">
      <c r="D20" t="str">
        <v>DOC-00028</v>
      </c>
      <c r="H20" t="s">
        <v>7702</v>
      </c>
      <c r="K20" s="141" t="s">
        <v>7496</v>
      </c>
      <c r="L20" t="s">
        <v>8611</v>
      </c>
      <c r="O20" s="13">
        <v>2043</v>
      </c>
      <c r="S20" t="s">
        <v>8153</v>
      </c>
      <c r="T20" t="s">
        <v>8154</v>
      </c>
    </row>
    <row r="21" spans="4:20">
      <c r="D21" t="str">
        <v>DOC-00030</v>
      </c>
      <c r="H21" t="s">
        <v>7436</v>
      </c>
      <c r="K21" s="141" t="s">
        <v>7496</v>
      </c>
      <c r="L21" t="s">
        <v>8612</v>
      </c>
      <c r="O21" s="13">
        <v>2044</v>
      </c>
      <c r="S21" t="s">
        <v>8153</v>
      </c>
      <c r="T21" t="s">
        <v>8623</v>
      </c>
    </row>
    <row r="22" spans="4:20">
      <c r="D22" t="str">
        <v>DOC-00031</v>
      </c>
      <c r="K22" s="141" t="s">
        <v>7496</v>
      </c>
      <c r="L22" t="s">
        <v>8615</v>
      </c>
      <c r="O22" s="13">
        <v>2045</v>
      </c>
      <c r="S22" t="s">
        <v>8153</v>
      </c>
      <c r="T22" t="s">
        <v>8624</v>
      </c>
    </row>
    <row r="23" spans="4:20">
      <c r="D23" t="str">
        <v>DOC-00032</v>
      </c>
      <c r="K23" s="1" t="s">
        <v>8605</v>
      </c>
      <c r="L23" t="s">
        <v>7446</v>
      </c>
      <c r="O23" s="13">
        <v>2046</v>
      </c>
      <c r="S23" t="s">
        <v>8153</v>
      </c>
      <c r="T23" t="s">
        <v>7460</v>
      </c>
    </row>
    <row r="24" spans="4:20">
      <c r="D24" t="str">
        <v>DOC-00033</v>
      </c>
      <c r="K24" s="1" t="s">
        <v>8605</v>
      </c>
      <c r="L24" t="s">
        <v>7491</v>
      </c>
      <c r="O24" s="13">
        <v>2047</v>
      </c>
      <c r="S24" t="s">
        <v>8151</v>
      </c>
      <c r="T24" t="s">
        <v>8625</v>
      </c>
    </row>
    <row r="25" spans="4:20">
      <c r="D25" t="str">
        <v>DOC-00034</v>
      </c>
      <c r="K25" s="1" t="s">
        <v>8605</v>
      </c>
      <c r="L25" t="s">
        <v>7435</v>
      </c>
      <c r="O25" s="13">
        <v>2048</v>
      </c>
      <c r="S25" t="s">
        <v>8151</v>
      </c>
      <c r="T25" t="s">
        <v>8626</v>
      </c>
    </row>
    <row r="26" spans="4:20">
      <c r="D26" t="str">
        <v>DOC-00036</v>
      </c>
      <c r="K26" s="1" t="s">
        <v>8605</v>
      </c>
      <c r="L26" t="s">
        <v>7478</v>
      </c>
      <c r="O26" s="13">
        <v>2049</v>
      </c>
      <c r="S26" t="s">
        <v>8151</v>
      </c>
      <c r="T26" t="s">
        <v>8165</v>
      </c>
    </row>
    <row r="27" spans="4:20">
      <c r="D27" t="str">
        <v>DOC-00037</v>
      </c>
      <c r="K27" s="1" t="s">
        <v>8605</v>
      </c>
      <c r="L27" t="s">
        <v>7460</v>
      </c>
      <c r="O27" s="13">
        <v>2050</v>
      </c>
      <c r="S27" t="s">
        <v>8151</v>
      </c>
      <c r="T27" t="s">
        <v>8154</v>
      </c>
    </row>
    <row r="28" spans="4:20">
      <c r="D28" t="str">
        <v>DOC-00038</v>
      </c>
      <c r="K28" s="1" t="s">
        <v>8605</v>
      </c>
      <c r="L28" t="s">
        <v>7595</v>
      </c>
      <c r="S28" t="s">
        <v>7439</v>
      </c>
      <c r="T28" t="s">
        <v>8154</v>
      </c>
    </row>
    <row r="29" spans="4:20">
      <c r="D29" t="str">
        <v>DOC-00039</v>
      </c>
      <c r="K29" s="1" t="s">
        <v>8605</v>
      </c>
      <c r="L29" t="s">
        <v>8582</v>
      </c>
      <c r="S29" t="s">
        <v>7439</v>
      </c>
      <c r="T29" t="s">
        <v>8167</v>
      </c>
    </row>
    <row r="30" spans="4:20">
      <c r="D30" t="str">
        <v>DOC-00040</v>
      </c>
      <c r="K30" s="1" t="s">
        <v>8605</v>
      </c>
      <c r="L30" t="s">
        <v>7472</v>
      </c>
      <c r="S30" t="s">
        <v>7439</v>
      </c>
      <c r="T30" t="s">
        <v>7491</v>
      </c>
    </row>
    <row r="31" spans="4:20">
      <c r="D31" t="str">
        <v>DOC-00042</v>
      </c>
      <c r="K31" s="1" t="s">
        <v>7463</v>
      </c>
      <c r="L31" s="102" t="s">
        <v>7446</v>
      </c>
      <c r="S31" t="s">
        <v>8277</v>
      </c>
      <c r="T31" t="s">
        <v>8154</v>
      </c>
    </row>
    <row r="32" spans="4:20">
      <c r="D32" t="str">
        <v>DOC-00043</v>
      </c>
      <c r="K32" s="1" t="s">
        <v>7463</v>
      </c>
      <c r="L32" s="103" t="s">
        <v>7491</v>
      </c>
      <c r="S32" t="s">
        <v>8277</v>
      </c>
      <c r="T32" t="s">
        <v>8167</v>
      </c>
    </row>
    <row r="33" spans="4:20">
      <c r="D33" t="str">
        <v>DOC-00044</v>
      </c>
      <c r="K33" s="1" t="s">
        <v>7463</v>
      </c>
      <c r="L33" t="s">
        <v>7465</v>
      </c>
      <c r="S33" t="s">
        <v>8277</v>
      </c>
      <c r="T33" t="s">
        <v>7491</v>
      </c>
    </row>
    <row r="34" spans="4:20">
      <c r="D34" t="str">
        <v>DOC-00045</v>
      </c>
      <c r="K34" s="1" t="s">
        <v>7463</v>
      </c>
      <c r="L34" t="s">
        <v>7468</v>
      </c>
    </row>
    <row r="35" spans="4:20">
      <c r="D35" t="str">
        <v>DOC-00046</v>
      </c>
      <c r="K35" s="1" t="s">
        <v>7463</v>
      </c>
      <c r="L35" t="s">
        <v>7435</v>
      </c>
    </row>
    <row r="36" spans="4:20">
      <c r="D36" t="str">
        <v>DOC-00048</v>
      </c>
      <c r="K36" s="1" t="s">
        <v>7463</v>
      </c>
      <c r="L36" t="s">
        <v>7478</v>
      </c>
    </row>
    <row r="37" spans="4:20">
      <c r="D37" t="str">
        <v>DOC-00049</v>
      </c>
      <c r="K37" s="1" t="s">
        <v>7463</v>
      </c>
      <c r="L37" t="s">
        <v>7460</v>
      </c>
    </row>
    <row r="38" spans="4:20">
      <c r="D38" t="str">
        <v>DOC-00050</v>
      </c>
      <c r="K38" s="1" t="s">
        <v>7463</v>
      </c>
      <c r="L38" t="s">
        <v>7595</v>
      </c>
    </row>
    <row r="39" spans="4:20">
      <c r="D39" t="str">
        <v>DOC-00051</v>
      </c>
      <c r="K39" s="1" t="s">
        <v>7463</v>
      </c>
      <c r="L39" s="102" t="s">
        <v>8582</v>
      </c>
    </row>
    <row r="40" spans="4:20">
      <c r="D40" t="str">
        <v>DOC-00052</v>
      </c>
      <c r="K40" s="1" t="s">
        <v>7463</v>
      </c>
      <c r="L40" t="s">
        <v>7472</v>
      </c>
    </row>
    <row r="41" spans="4:20">
      <c r="D41" t="str">
        <v>DOC-00053</v>
      </c>
      <c r="K41" s="1" t="s">
        <v>7524</v>
      </c>
      <c r="L41" s="102" t="s">
        <v>7446</v>
      </c>
    </row>
    <row r="42" spans="4:20">
      <c r="D42" t="str">
        <v>DOC-00056</v>
      </c>
      <c r="K42" s="1" t="s">
        <v>7524</v>
      </c>
      <c r="L42" s="103" t="s">
        <v>7491</v>
      </c>
    </row>
    <row r="43" spans="4:20">
      <c r="D43" t="str">
        <v>DOC-00057</v>
      </c>
      <c r="K43" s="1" t="s">
        <v>7524</v>
      </c>
      <c r="L43" t="s">
        <v>7465</v>
      </c>
    </row>
    <row r="44" spans="4:20">
      <c r="D44" t="str">
        <v>DOC-00058</v>
      </c>
      <c r="K44" s="1" t="s">
        <v>7524</v>
      </c>
      <c r="L44" t="s">
        <v>7468</v>
      </c>
    </row>
    <row r="45" spans="4:20">
      <c r="D45" t="str">
        <v>DOC-00059</v>
      </c>
      <c r="K45" s="1" t="s">
        <v>7524</v>
      </c>
      <c r="L45" t="s">
        <v>7435</v>
      </c>
    </row>
    <row r="46" spans="4:20">
      <c r="D46" t="str">
        <v>DOC-00060</v>
      </c>
      <c r="K46" s="1" t="s">
        <v>7524</v>
      </c>
      <c r="L46" t="s">
        <v>7478</v>
      </c>
    </row>
    <row r="47" spans="4:20">
      <c r="D47" t="str">
        <v>DOC-00062</v>
      </c>
      <c r="K47" s="1" t="s">
        <v>7524</v>
      </c>
      <c r="L47" t="s">
        <v>7460</v>
      </c>
    </row>
    <row r="48" spans="4:20">
      <c r="D48" t="str">
        <v>DOC-00063</v>
      </c>
      <c r="K48" s="1" t="s">
        <v>7524</v>
      </c>
      <c r="L48" t="s">
        <v>7595</v>
      </c>
    </row>
    <row r="49" spans="4:12">
      <c r="D49" t="str">
        <v>DOC-00064</v>
      </c>
      <c r="K49" s="1" t="s">
        <v>7524</v>
      </c>
      <c r="L49" s="102" t="s">
        <v>8582</v>
      </c>
    </row>
    <row r="50" spans="4:12">
      <c r="D50" t="str">
        <v>DOC-00065</v>
      </c>
      <c r="K50" s="1" t="s">
        <v>7524</v>
      </c>
      <c r="L50" t="s">
        <v>7472</v>
      </c>
    </row>
    <row r="51" spans="4:12">
      <c r="D51" t="str">
        <v>DOC-00067</v>
      </c>
      <c r="K51" s="1" t="s">
        <v>7439</v>
      </c>
      <c r="L51" s="7" t="s">
        <v>7701</v>
      </c>
    </row>
    <row r="52" spans="4:12">
      <c r="D52" t="str">
        <v>DOC-00069</v>
      </c>
      <c r="K52" s="1" t="s">
        <v>7439</v>
      </c>
      <c r="L52" t="s">
        <v>7440</v>
      </c>
    </row>
    <row r="53" spans="4:12">
      <c r="D53" t="str">
        <v>DOC-00070</v>
      </c>
      <c r="K53" s="1" t="s">
        <v>7716</v>
      </c>
      <c r="L53" s="102" t="s">
        <v>7446</v>
      </c>
    </row>
    <row r="54" spans="4:12">
      <c r="D54" t="str">
        <v>DOC-00071</v>
      </c>
      <c r="K54" s="1" t="s">
        <v>7716</v>
      </c>
      <c r="L54" s="103" t="s">
        <v>7491</v>
      </c>
    </row>
    <row r="55" spans="4:12">
      <c r="D55" t="str">
        <v>DOC-00072</v>
      </c>
      <c r="K55" s="1" t="s">
        <v>7716</v>
      </c>
      <c r="L55" t="s">
        <v>7435</v>
      </c>
    </row>
    <row r="56" spans="4:12">
      <c r="D56" t="str">
        <v>DOC-00073</v>
      </c>
      <c r="K56" s="1" t="s">
        <v>7716</v>
      </c>
      <c r="L56" t="s">
        <v>7478</v>
      </c>
    </row>
    <row r="57" spans="4:12">
      <c r="D57" t="str">
        <v>DOC-00075</v>
      </c>
      <c r="K57" s="1" t="s">
        <v>7716</v>
      </c>
      <c r="L57" t="s">
        <v>7460</v>
      </c>
    </row>
    <row r="58" spans="4:12">
      <c r="D58" t="str">
        <v>DOC-00078</v>
      </c>
      <c r="K58" s="1" t="s">
        <v>7716</v>
      </c>
      <c r="L58" t="s">
        <v>7595</v>
      </c>
    </row>
    <row r="59" spans="4:12">
      <c r="D59" t="str">
        <v>DOC-00079</v>
      </c>
      <c r="K59" s="1" t="s">
        <v>8594</v>
      </c>
      <c r="L59" s="102" t="s">
        <v>7446</v>
      </c>
    </row>
    <row r="60" spans="4:12">
      <c r="D60" t="str">
        <v>DOC-00081</v>
      </c>
      <c r="K60" s="1" t="s">
        <v>8594</v>
      </c>
      <c r="L60" s="103" t="s">
        <v>7491</v>
      </c>
    </row>
    <row r="61" spans="4:12">
      <c r="D61" t="str">
        <v>DOC-00083</v>
      </c>
      <c r="K61" s="1" t="s">
        <v>8594</v>
      </c>
      <c r="L61" t="s">
        <v>7451</v>
      </c>
    </row>
    <row r="62" spans="4:12">
      <c r="D62" t="str">
        <v>DOC-00084</v>
      </c>
      <c r="K62" s="1" t="s">
        <v>8594</v>
      </c>
      <c r="L62" t="s">
        <v>7446</v>
      </c>
    </row>
    <row r="63" spans="4:12">
      <c r="D63" t="str">
        <v>DOC-00085</v>
      </c>
      <c r="K63" s="1" t="s">
        <v>8594</v>
      </c>
      <c r="L63" t="s">
        <v>7460</v>
      </c>
    </row>
    <row r="64" spans="4:12">
      <c r="D64" t="str">
        <v>DOC-00087</v>
      </c>
      <c r="K64" s="1" t="s">
        <v>8594</v>
      </c>
      <c r="L64" t="s">
        <v>7472</v>
      </c>
    </row>
    <row r="65" spans="4:12">
      <c r="D65" t="str">
        <v>DOC-00088</v>
      </c>
      <c r="K65" s="1" t="s">
        <v>8594</v>
      </c>
      <c r="L65" t="s">
        <v>7595</v>
      </c>
    </row>
    <row r="66" spans="4:12">
      <c r="D66" t="str">
        <v>DOC-00089</v>
      </c>
      <c r="K66" s="1" t="s">
        <v>7445</v>
      </c>
      <c r="L66" s="15" t="s">
        <v>8627</v>
      </c>
    </row>
    <row r="67" spans="4:12">
      <c r="D67" t="str">
        <v>DOC-00090</v>
      </c>
      <c r="K67" s="1" t="s">
        <v>7445</v>
      </c>
      <c r="L67" t="s">
        <v>7491</v>
      </c>
    </row>
    <row r="68" spans="4:12">
      <c r="D68" t="str">
        <v>DOC-00091</v>
      </c>
      <c r="K68" s="1" t="s">
        <v>7445</v>
      </c>
      <c r="L68" s="13" t="s">
        <v>7451</v>
      </c>
    </row>
    <row r="69" spans="4:12">
      <c r="D69" t="str">
        <v>DOC-00092</v>
      </c>
      <c r="K69" s="1" t="s">
        <v>7445</v>
      </c>
      <c r="L69" s="13" t="s">
        <v>7446</v>
      </c>
    </row>
    <row r="70" spans="4:12">
      <c r="D70" t="str">
        <v>DOC-00093</v>
      </c>
      <c r="K70" s="1" t="s">
        <v>7445</v>
      </c>
      <c r="L70" s="13" t="s">
        <v>7460</v>
      </c>
    </row>
    <row r="71" spans="4:12">
      <c r="D71" t="str">
        <v>DOC-00094</v>
      </c>
      <c r="K71" s="1" t="s">
        <v>7445</v>
      </c>
      <c r="L71" s="13" t="s">
        <v>7472</v>
      </c>
    </row>
    <row r="72" spans="4:12">
      <c r="D72" t="str">
        <v>DOC-00095</v>
      </c>
      <c r="K72" s="1" t="s">
        <v>7445</v>
      </c>
      <c r="L72" s="13" t="s">
        <v>7595</v>
      </c>
    </row>
    <row r="73" spans="4:12">
      <c r="D73" t="str">
        <v>DOC-00096</v>
      </c>
      <c r="K73" s="1" t="s">
        <v>7445</v>
      </c>
      <c r="L73" s="102" t="s">
        <v>8582</v>
      </c>
    </row>
    <row r="74" spans="4:12" ht="60">
      <c r="D74" t="str">
        <v>DOC-00097</v>
      </c>
      <c r="I74" t="s">
        <v>8628</v>
      </c>
      <c r="K74" s="1" t="s">
        <v>7445</v>
      </c>
      <c r="L74" s="15" t="s">
        <v>8092</v>
      </c>
    </row>
    <row r="75" spans="4:12" ht="60">
      <c r="D75" t="str">
        <v>DOC-00099</v>
      </c>
      <c r="K75" s="1" t="s">
        <v>7445</v>
      </c>
      <c r="L75" s="15" t="s">
        <v>8097</v>
      </c>
    </row>
    <row r="76" spans="4:12" ht="60">
      <c r="D76" t="str">
        <v>DOC-00100</v>
      </c>
      <c r="K76" s="1" t="s">
        <v>7445</v>
      </c>
      <c r="L76" s="15" t="s">
        <v>8629</v>
      </c>
    </row>
    <row r="77" spans="4:12">
      <c r="D77" t="str">
        <v>DOC-00101</v>
      </c>
      <c r="K77" s="1" t="s">
        <v>7543</v>
      </c>
      <c r="L77" s="15" t="s">
        <v>8627</v>
      </c>
    </row>
    <row r="78" spans="4:12">
      <c r="D78" t="str">
        <v>DOC-00102</v>
      </c>
      <c r="K78" s="1" t="s">
        <v>7543</v>
      </c>
      <c r="L78" s="15" t="s">
        <v>7491</v>
      </c>
    </row>
    <row r="79" spans="4:12">
      <c r="D79" t="str">
        <v>DOC-00103</v>
      </c>
      <c r="K79" s="1" t="s">
        <v>7543</v>
      </c>
      <c r="L79" s="13" t="s">
        <v>7451</v>
      </c>
    </row>
    <row r="80" spans="4:12">
      <c r="D80" t="str">
        <v>DOC-00105</v>
      </c>
      <c r="K80" s="1" t="s">
        <v>7543</v>
      </c>
      <c r="L80" s="13" t="s">
        <v>7446</v>
      </c>
    </row>
    <row r="81" spans="4:12">
      <c r="D81" t="str">
        <v>DOC-00106</v>
      </c>
      <c r="K81" s="1" t="s">
        <v>7543</v>
      </c>
      <c r="L81" s="13" t="s">
        <v>7460</v>
      </c>
    </row>
    <row r="82" spans="4:12">
      <c r="D82" t="str">
        <v>DOC-00107</v>
      </c>
      <c r="K82" s="1" t="s">
        <v>7543</v>
      </c>
      <c r="L82" s="13" t="s">
        <v>7472</v>
      </c>
    </row>
    <row r="83" spans="4:12">
      <c r="D83" t="str">
        <v>DOC-00108</v>
      </c>
      <c r="K83" s="1" t="s">
        <v>7543</v>
      </c>
      <c r="L83" s="13" t="s">
        <v>7595</v>
      </c>
    </row>
    <row r="84" spans="4:12">
      <c r="D84" t="str">
        <v>DOC-00109</v>
      </c>
      <c r="K84" s="1" t="s">
        <v>7543</v>
      </c>
      <c r="L84" s="102" t="s">
        <v>8582</v>
      </c>
    </row>
    <row r="85" spans="4:12" ht="60">
      <c r="D85" t="str">
        <v>DOC-00111</v>
      </c>
      <c r="K85" s="1" t="s">
        <v>7543</v>
      </c>
      <c r="L85" s="15" t="s">
        <v>8092</v>
      </c>
    </row>
    <row r="86" spans="4:12" ht="60">
      <c r="D86" t="str">
        <v>DOC-00112</v>
      </c>
      <c r="K86" s="1" t="s">
        <v>7543</v>
      </c>
      <c r="L86" s="15" t="s">
        <v>8097</v>
      </c>
    </row>
    <row r="87" spans="4:12" ht="60">
      <c r="D87" t="str">
        <v>DOC-00113</v>
      </c>
      <c r="K87" s="1" t="s">
        <v>7543</v>
      </c>
      <c r="L87" s="15" t="s">
        <v>8629</v>
      </c>
    </row>
    <row r="88" spans="4:12">
      <c r="D88" t="str">
        <v>DOC-00115</v>
      </c>
      <c r="K88" s="1" t="s">
        <v>8608</v>
      </c>
      <c r="L88" s="15"/>
    </row>
    <row r="89" spans="4:12">
      <c r="D89" t="str">
        <v>DOC-00117</v>
      </c>
      <c r="K89" s="1" t="s">
        <v>7529</v>
      </c>
      <c r="L89" t="s">
        <v>8630</v>
      </c>
    </row>
    <row r="90" spans="4:12">
      <c r="D90" t="str">
        <v>DOC-00118</v>
      </c>
      <c r="K90" s="1" t="s">
        <v>7490</v>
      </c>
      <c r="L90" t="s">
        <v>8631</v>
      </c>
    </row>
    <row r="91" spans="4:12">
      <c r="D91" t="str">
        <v>DOC-00120</v>
      </c>
      <c r="K91" s="1" t="s">
        <v>7505</v>
      </c>
      <c r="L91" t="s">
        <v>7434</v>
      </c>
    </row>
    <row r="92" spans="4:12">
      <c r="D92" t="str">
        <v>DOC-00121</v>
      </c>
      <c r="K92" s="1" t="s">
        <v>7505</v>
      </c>
      <c r="L92" t="s">
        <v>7516</v>
      </c>
    </row>
    <row r="93" spans="4:12">
      <c r="D93" t="str">
        <v>DOC-00123</v>
      </c>
      <c r="K93" s="1" t="s">
        <v>7505</v>
      </c>
      <c r="L93" t="s">
        <v>4</v>
      </c>
    </row>
    <row r="94" spans="4:12">
      <c r="D94" t="str">
        <v>DOC-00124</v>
      </c>
      <c r="K94" s="1" t="s">
        <v>7505</v>
      </c>
      <c r="L94" t="s">
        <v>7494</v>
      </c>
    </row>
    <row r="95" spans="4:12">
      <c r="D95" t="str">
        <v>DOC-00125</v>
      </c>
      <c r="K95" s="1" t="s">
        <v>7505</v>
      </c>
      <c r="L95" t="s">
        <v>7569</v>
      </c>
    </row>
    <row r="96" spans="4:12">
      <c r="D96" t="str">
        <v>DOC-00126</v>
      </c>
      <c r="K96" s="1" t="s">
        <v>7505</v>
      </c>
      <c r="L96" t="s">
        <v>7530</v>
      </c>
    </row>
    <row r="97" spans="4:12">
      <c r="D97" t="str">
        <v>DOC-00127</v>
      </c>
      <c r="K97" s="1" t="s">
        <v>7505</v>
      </c>
      <c r="L97" t="s">
        <v>7478</v>
      </c>
    </row>
    <row r="98" spans="4:12">
      <c r="D98" t="str">
        <v>DOC-00129</v>
      </c>
      <c r="K98" s="1" t="s">
        <v>7505</v>
      </c>
      <c r="L98" t="s">
        <v>7446</v>
      </c>
    </row>
    <row r="99" spans="4:12">
      <c r="D99" t="str">
        <v>DOC-00130</v>
      </c>
      <c r="K99" s="1" t="s">
        <v>7505</v>
      </c>
      <c r="L99" t="s">
        <v>7491</v>
      </c>
    </row>
    <row r="100" spans="4:12">
      <c r="D100" t="str">
        <v>DOC-00131</v>
      </c>
      <c r="K100" s="1" t="s">
        <v>7505</v>
      </c>
      <c r="L100" t="s">
        <v>8014</v>
      </c>
    </row>
    <row r="101" spans="4:12">
      <c r="D101" t="str">
        <v>DOC-00132</v>
      </c>
      <c r="K101" s="1" t="s">
        <v>7505</v>
      </c>
      <c r="L101" t="s">
        <v>8611</v>
      </c>
    </row>
    <row r="102" spans="4:12">
      <c r="D102" t="str">
        <v>DOC-00134</v>
      </c>
      <c r="K102" s="1" t="s">
        <v>7505</v>
      </c>
      <c r="L102" t="s">
        <v>7455</v>
      </c>
    </row>
    <row r="103" spans="4:12">
      <c r="D103" t="str">
        <v>DOC-00135</v>
      </c>
      <c r="K103" s="1" t="s">
        <v>7505</v>
      </c>
      <c r="L103" t="s">
        <v>8612</v>
      </c>
    </row>
    <row r="104" spans="4:12">
      <c r="D104" t="str">
        <v>DOC-00137</v>
      </c>
      <c r="K104" s="1" t="s">
        <v>7505</v>
      </c>
      <c r="L104" t="s">
        <v>8615</v>
      </c>
    </row>
    <row r="105" spans="4:12">
      <c r="D105" t="str">
        <v>DOC-00138</v>
      </c>
      <c r="K105" s="1" t="s">
        <v>7505</v>
      </c>
      <c r="L105" t="s">
        <v>7463</v>
      </c>
    </row>
    <row r="106" spans="4:12">
      <c r="D106" t="str">
        <v>DOC-00139</v>
      </c>
      <c r="K106" s="1" t="s">
        <v>7505</v>
      </c>
      <c r="L106" t="s">
        <v>8594</v>
      </c>
    </row>
    <row r="107" spans="4:12">
      <c r="D107" t="str">
        <v>DOC-00140</v>
      </c>
      <c r="K107" s="1" t="s">
        <v>7515</v>
      </c>
      <c r="L107" t="s">
        <v>7530</v>
      </c>
    </row>
    <row r="108" spans="4:12">
      <c r="D108" t="str">
        <v>DOC-00141</v>
      </c>
      <c r="K108" t="s">
        <v>7499</v>
      </c>
    </row>
    <row r="109" spans="4:12">
      <c r="D109" t="str">
        <v>DOC-00144</v>
      </c>
      <c r="K109" s="1" t="s">
        <v>7484</v>
      </c>
      <c r="L109" t="s">
        <v>7595</v>
      </c>
    </row>
    <row r="110" spans="4:12">
      <c r="D110" t="str">
        <v>DOC-00145</v>
      </c>
    </row>
    <row r="111" spans="4:12">
      <c r="D111" t="str">
        <v>DOC-00147</v>
      </c>
    </row>
    <row r="112" spans="4:12">
      <c r="D112" t="str">
        <v>DOC-00148</v>
      </c>
    </row>
    <row r="113" spans="4:4">
      <c r="D113" t="str">
        <v>DOC-00149</v>
      </c>
    </row>
    <row r="114" spans="4:4">
      <c r="D114" t="str">
        <v>DOC-00150</v>
      </c>
    </row>
    <row r="115" spans="4:4">
      <c r="D115" t="str">
        <v>DOC-00151</v>
      </c>
    </row>
    <row r="116" spans="4:4">
      <c r="D116" t="str">
        <v>DOC-00152</v>
      </c>
    </row>
    <row r="117" spans="4:4">
      <c r="D117" t="str">
        <v>DOC-00154</v>
      </c>
    </row>
    <row r="118" spans="4:4">
      <c r="D118" t="str">
        <v>DOC-00155</v>
      </c>
    </row>
    <row r="119" spans="4:4">
      <c r="D119" t="str">
        <v>DOC-00156</v>
      </c>
    </row>
    <row r="120" spans="4:4">
      <c r="D120" t="str">
        <v>DOC-00157</v>
      </c>
    </row>
    <row r="121" spans="4:4">
      <c r="D121" t="str">
        <v>DOC-00159</v>
      </c>
    </row>
    <row r="122" spans="4:4">
      <c r="D122" t="str">
        <v>DOC-00160</v>
      </c>
    </row>
    <row r="123" spans="4:4">
      <c r="D123" t="str">
        <v>DOC-00161</v>
      </c>
    </row>
    <row r="124" spans="4:4">
      <c r="D124" t="str">
        <v>DOC-00162</v>
      </c>
    </row>
    <row r="125" spans="4:4">
      <c r="D125" t="str">
        <v>DOC-00163</v>
      </c>
    </row>
    <row r="126" spans="4:4">
      <c r="D126" t="str">
        <v>DOC-00164</v>
      </c>
    </row>
    <row r="127" spans="4:4">
      <c r="D127" t="str">
        <v>DOC-00165</v>
      </c>
    </row>
    <row r="128" spans="4:4">
      <c r="D128" t="str">
        <v>DOC-00166</v>
      </c>
    </row>
    <row r="129" spans="4:4">
      <c r="D129" t="str">
        <v>DOC-00167</v>
      </c>
    </row>
    <row r="130" spans="4:4">
      <c r="D130" t="str">
        <v>DOC-00168</v>
      </c>
    </row>
    <row r="131" spans="4:4">
      <c r="D131" t="str">
        <v>DOC-00169</v>
      </c>
    </row>
    <row r="132" spans="4:4">
      <c r="D132" t="str">
        <v>DOC-00170</v>
      </c>
    </row>
    <row r="133" spans="4:4">
      <c r="D133" t="str">
        <v>DOC-00171</v>
      </c>
    </row>
    <row r="134" spans="4:4">
      <c r="D134" t="str">
        <v>DOC-00172</v>
      </c>
    </row>
    <row r="135" spans="4:4">
      <c r="D135" t="str">
        <v>DOC-00173</v>
      </c>
    </row>
    <row r="136" spans="4:4">
      <c r="D136" t="str">
        <v>DOC-00174</v>
      </c>
    </row>
    <row r="137" spans="4:4">
      <c r="D137" t="str">
        <v>DOC-00176</v>
      </c>
    </row>
    <row r="138" spans="4:4">
      <c r="D138" t="str">
        <v>DOC-00177</v>
      </c>
    </row>
    <row r="139" spans="4:4">
      <c r="D139" t="str">
        <v>DOC-00178</v>
      </c>
    </row>
    <row r="140" spans="4:4">
      <c r="D140" t="str">
        <v>DOC-00179</v>
      </c>
    </row>
    <row r="141" spans="4:4">
      <c r="D141" t="str">
        <v>DOC-00180</v>
      </c>
    </row>
    <row r="142" spans="4:4">
      <c r="D142" t="str">
        <v>DOC-00181</v>
      </c>
    </row>
    <row r="143" spans="4:4">
      <c r="D143" t="str">
        <v>DOC-00182</v>
      </c>
    </row>
    <row r="144" spans="4:4">
      <c r="D144" t="str">
        <v>DOC-00183</v>
      </c>
    </row>
    <row r="145" spans="4:4">
      <c r="D145" t="str">
        <v>DOC-00184</v>
      </c>
    </row>
    <row r="146" spans="4:4">
      <c r="D146" t="str">
        <v>DOC-00185</v>
      </c>
    </row>
    <row r="147" spans="4:4">
      <c r="D147" t="str">
        <v>DOC-00186</v>
      </c>
    </row>
    <row r="148" spans="4:4">
      <c r="D148" t="str">
        <v>DOC-00187</v>
      </c>
    </row>
    <row r="149" spans="4:4">
      <c r="D149" t="str">
        <v>DOC-00188</v>
      </c>
    </row>
    <row r="150" spans="4:4">
      <c r="D150" t="str">
        <v>DOC-00189</v>
      </c>
    </row>
    <row r="151" spans="4:4">
      <c r="D151" t="str">
        <v>DOC-00191</v>
      </c>
    </row>
    <row r="152" spans="4:4">
      <c r="D152" t="str">
        <v>DOC-00192</v>
      </c>
    </row>
    <row r="153" spans="4:4">
      <c r="D153" t="str">
        <v>DOC-00193</v>
      </c>
    </row>
    <row r="154" spans="4:4">
      <c r="D154" t="str">
        <v>DOC-00194</v>
      </c>
    </row>
    <row r="155" spans="4:4">
      <c r="D155" t="str">
        <v>DOC-00195</v>
      </c>
    </row>
    <row r="156" spans="4:4">
      <c r="D156" t="str">
        <v>DOC-00197</v>
      </c>
    </row>
    <row r="157" spans="4:4">
      <c r="D157" t="str">
        <v>DOC-00198</v>
      </c>
    </row>
    <row r="158" spans="4:4">
      <c r="D158" t="str">
        <v>DOC-00199</v>
      </c>
    </row>
    <row r="159" spans="4:4">
      <c r="D159" t="str">
        <v>DOC-00200</v>
      </c>
    </row>
    <row r="160" spans="4:4">
      <c r="D160" t="str">
        <v>DOC-00201</v>
      </c>
    </row>
    <row r="161" spans="4:4">
      <c r="D161" t="str">
        <v>DOC-00202</v>
      </c>
    </row>
    <row r="162" spans="4:4">
      <c r="D162" t="str">
        <v>DOC-00203</v>
      </c>
    </row>
    <row r="163" spans="4:4">
      <c r="D163" t="str">
        <v>DOC-00204</v>
      </c>
    </row>
    <row r="164" spans="4:4">
      <c r="D164" t="str">
        <v>DOC-00205</v>
      </c>
    </row>
    <row r="165" spans="4:4">
      <c r="D165" t="str">
        <v>DOC-00206</v>
      </c>
    </row>
    <row r="166" spans="4:4">
      <c r="D166" t="str">
        <v>DOC-00207</v>
      </c>
    </row>
    <row r="167" spans="4:4">
      <c r="D167" t="str">
        <v>DOC-00208</v>
      </c>
    </row>
    <row r="168" spans="4:4">
      <c r="D168" t="str">
        <v>DOC-00209</v>
      </c>
    </row>
    <row r="169" spans="4:4">
      <c r="D169" t="str">
        <v>DOC-00210</v>
      </c>
    </row>
    <row r="170" spans="4:4">
      <c r="D170" t="str">
        <v>DOC-00211</v>
      </c>
    </row>
    <row r="171" spans="4:4">
      <c r="D171" t="str">
        <v>DOC-00212</v>
      </c>
    </row>
    <row r="172" spans="4:4">
      <c r="D172" t="str">
        <v>DOC-00213</v>
      </c>
    </row>
    <row r="173" spans="4:4">
      <c r="D173" t="str">
        <v>DOC-00214</v>
      </c>
    </row>
    <row r="174" spans="4:4">
      <c r="D174" t="str">
        <v>DOC-00215</v>
      </c>
    </row>
    <row r="175" spans="4:4">
      <c r="D175" t="str">
        <v>DOC-00216</v>
      </c>
    </row>
    <row r="176" spans="4:4">
      <c r="D176" t="str">
        <v>DOC-00218</v>
      </c>
    </row>
    <row r="177" spans="4:4">
      <c r="D177" t="str">
        <v>DOC-00219</v>
      </c>
    </row>
    <row r="178" spans="4:4">
      <c r="D178" t="str">
        <v>DOC-00220</v>
      </c>
    </row>
    <row r="179" spans="4:4">
      <c r="D179" t="str">
        <v>DOC-00223</v>
      </c>
    </row>
    <row r="180" spans="4:4">
      <c r="D180" t="str">
        <v>DOC-00224</v>
      </c>
    </row>
    <row r="181" spans="4:4">
      <c r="D181" t="str">
        <v>DOC-00225</v>
      </c>
    </row>
    <row r="182" spans="4:4">
      <c r="D182" t="str">
        <v>DOC-00226</v>
      </c>
    </row>
    <row r="183" spans="4:4">
      <c r="D183" t="str">
        <v>DOC-00227</v>
      </c>
    </row>
    <row r="184" spans="4:4">
      <c r="D184" t="str">
        <v>DOC-00228</v>
      </c>
    </row>
    <row r="185" spans="4:4">
      <c r="D185" t="str">
        <v>DOC-00229</v>
      </c>
    </row>
    <row r="186" spans="4:4">
      <c r="D186" t="str">
        <v>DOC-00230</v>
      </c>
    </row>
    <row r="187" spans="4:4">
      <c r="D187" t="str">
        <v>DOC-00231</v>
      </c>
    </row>
    <row r="188" spans="4:4">
      <c r="D188" t="str">
        <v>DOC-00232</v>
      </c>
    </row>
    <row r="189" spans="4:4">
      <c r="D189" t="str">
        <v>DOC-00233</v>
      </c>
    </row>
    <row r="190" spans="4:4">
      <c r="D190" t="str">
        <v>DOC-00234</v>
      </c>
    </row>
    <row r="191" spans="4:4">
      <c r="D191" t="str">
        <v>DOC-00235</v>
      </c>
    </row>
    <row r="192" spans="4:4">
      <c r="D192" t="str">
        <v>DOC-00236</v>
      </c>
    </row>
    <row r="193" spans="4:4">
      <c r="D193" t="str">
        <v>DOC-00237</v>
      </c>
    </row>
    <row r="194" spans="4:4">
      <c r="D194" t="str">
        <v>DOC-00238</v>
      </c>
    </row>
    <row r="195" spans="4:4">
      <c r="D195" t="str">
        <v>DOC-00239</v>
      </c>
    </row>
    <row r="196" spans="4:4">
      <c r="D196" t="str">
        <v>DOC-00241</v>
      </c>
    </row>
    <row r="197" spans="4:4">
      <c r="D197" t="str">
        <v>DOC-00242</v>
      </c>
    </row>
    <row r="198" spans="4:4">
      <c r="D198" t="str">
        <v>DOC-00243</v>
      </c>
    </row>
    <row r="199" spans="4:4">
      <c r="D199" t="str">
        <v>DOC-00244</v>
      </c>
    </row>
    <row r="200" spans="4:4">
      <c r="D200" t="str">
        <v>DOC-00245</v>
      </c>
    </row>
    <row r="201" spans="4:4">
      <c r="D201" t="str">
        <v>DOC-00246</v>
      </c>
    </row>
    <row r="202" spans="4:4">
      <c r="D202" t="str">
        <v>DOC-00248</v>
      </c>
    </row>
    <row r="203" spans="4:4">
      <c r="D203" t="str">
        <v>DOC-00249</v>
      </c>
    </row>
    <row r="204" spans="4:4">
      <c r="D204" t="str">
        <v>DOC-00251</v>
      </c>
    </row>
    <row r="205" spans="4:4">
      <c r="D205" t="str">
        <v>DOC-00252</v>
      </c>
    </row>
    <row r="206" spans="4:4">
      <c r="D206" t="str">
        <v>DOC-00253</v>
      </c>
    </row>
    <row r="207" spans="4:4">
      <c r="D207" t="str">
        <v>DOC-00254</v>
      </c>
    </row>
    <row r="208" spans="4:4">
      <c r="D208" t="str">
        <v>DOC-00255</v>
      </c>
    </row>
    <row r="209" spans="4:4">
      <c r="D209" t="str">
        <v>DOC-00256</v>
      </c>
    </row>
    <row r="210" spans="4:4">
      <c r="D210" t="str">
        <v>DOC-00257</v>
      </c>
    </row>
    <row r="211" spans="4:4">
      <c r="D211" t="str">
        <v>DOC-00258</v>
      </c>
    </row>
    <row r="212" spans="4:4">
      <c r="D212" t="str">
        <v>DOC-00259</v>
      </c>
    </row>
    <row r="213" spans="4:4">
      <c r="D213" t="str">
        <v>DOC-00260</v>
      </c>
    </row>
    <row r="214" spans="4:4">
      <c r="D214" t="str">
        <v>DOC-00261</v>
      </c>
    </row>
    <row r="215" spans="4:4">
      <c r="D215" t="str">
        <v>DOC-00262</v>
      </c>
    </row>
    <row r="216" spans="4:4">
      <c r="D216" t="str">
        <v>DOC-00264</v>
      </c>
    </row>
    <row r="217" spans="4:4">
      <c r="D217" t="str">
        <v>DOC-00265</v>
      </c>
    </row>
    <row r="218" spans="4:4">
      <c r="D218" t="str">
        <v>DOC-00266</v>
      </c>
    </row>
    <row r="219" spans="4:4">
      <c r="D219" t="str">
        <v>DOC-00267</v>
      </c>
    </row>
    <row r="220" spans="4:4">
      <c r="D220" t="str">
        <v>DOC-00268</v>
      </c>
    </row>
    <row r="221" spans="4:4">
      <c r="D221" t="str">
        <v>DOC-00269</v>
      </c>
    </row>
    <row r="222" spans="4:4">
      <c r="D222" t="str">
        <v>DOC-00270</v>
      </c>
    </row>
    <row r="223" spans="4:4">
      <c r="D223" t="str">
        <v>DOC-00271</v>
      </c>
    </row>
    <row r="224" spans="4:4">
      <c r="D224" t="str">
        <v>DOC-00273</v>
      </c>
    </row>
    <row r="225" spans="4:4">
      <c r="D225" t="str">
        <v>DOC-00274</v>
      </c>
    </row>
    <row r="226" spans="4:4">
      <c r="D226" t="str">
        <v>DOC-00277</v>
      </c>
    </row>
    <row r="227" spans="4:4">
      <c r="D227" t="str">
        <v>DOC-00278</v>
      </c>
    </row>
    <row r="228" spans="4:4">
      <c r="D228" t="str">
        <v>DOC-00279</v>
      </c>
    </row>
    <row r="229" spans="4:4">
      <c r="D229" t="str">
        <v>DOC-00280</v>
      </c>
    </row>
    <row r="230" spans="4:4">
      <c r="D230" t="str">
        <v>DOC-00282</v>
      </c>
    </row>
    <row r="231" spans="4:4">
      <c r="D231" t="str">
        <v>DOC-00283</v>
      </c>
    </row>
    <row r="232" spans="4:4">
      <c r="D232" t="str">
        <v>DOC-00284</v>
      </c>
    </row>
    <row r="233" spans="4:4">
      <c r="D233" t="str">
        <v>DOC-00285</v>
      </c>
    </row>
    <row r="234" spans="4:4">
      <c r="D234" t="str">
        <v>DOC-00286</v>
      </c>
    </row>
    <row r="235" spans="4:4">
      <c r="D235" t="str">
        <v>DOC-00288</v>
      </c>
    </row>
    <row r="236" spans="4:4">
      <c r="D236" t="str">
        <v>DOC-00289</v>
      </c>
    </row>
    <row r="237" spans="4:4">
      <c r="D237" t="str">
        <v>DOC-00290</v>
      </c>
    </row>
    <row r="238" spans="4:4">
      <c r="D238" t="str">
        <v>DOC-00291</v>
      </c>
    </row>
    <row r="239" spans="4:4">
      <c r="D239" t="str">
        <v>DOC-00292</v>
      </c>
    </row>
    <row r="240" spans="4:4">
      <c r="D240" t="str">
        <v>DOC-00294</v>
      </c>
    </row>
    <row r="241" spans="4:4">
      <c r="D241" t="str">
        <v>DOC-00295</v>
      </c>
    </row>
    <row r="242" spans="4:4">
      <c r="D242" t="str">
        <v>DOC-00296</v>
      </c>
    </row>
    <row r="243" spans="4:4">
      <c r="D243" t="str">
        <v>DOC-00297</v>
      </c>
    </row>
    <row r="244" spans="4:4">
      <c r="D244" t="str">
        <v>DOC-00298</v>
      </c>
    </row>
    <row r="245" spans="4:4">
      <c r="D245" t="str">
        <v>DOC-00300</v>
      </c>
    </row>
    <row r="246" spans="4:4">
      <c r="D246" t="str">
        <v>DOC-00301</v>
      </c>
    </row>
    <row r="247" spans="4:4">
      <c r="D247" t="str">
        <v>DOC-00302</v>
      </c>
    </row>
    <row r="248" spans="4:4">
      <c r="D248" t="str">
        <v>DOC-00303</v>
      </c>
    </row>
    <row r="249" spans="4:4">
      <c r="D249" t="str">
        <v>DOC-00304</v>
      </c>
    </row>
    <row r="250" spans="4:4">
      <c r="D250" t="str">
        <v>DOC-00306</v>
      </c>
    </row>
    <row r="251" spans="4:4">
      <c r="D251" t="str">
        <v>DOC-00307</v>
      </c>
    </row>
    <row r="252" spans="4:4">
      <c r="D252" t="str">
        <v>DOC-00308</v>
      </c>
    </row>
    <row r="253" spans="4:4">
      <c r="D253" t="str">
        <v>DOC-00309</v>
      </c>
    </row>
    <row r="254" spans="4:4">
      <c r="D254" t="str">
        <v>DOC-00310</v>
      </c>
    </row>
    <row r="255" spans="4:4">
      <c r="D255" t="str">
        <v>DOC-00311</v>
      </c>
    </row>
    <row r="256" spans="4:4">
      <c r="D256" t="str">
        <v>DOC-00312</v>
      </c>
    </row>
    <row r="257" spans="4:4">
      <c r="D257" t="str">
        <v>DOC-00313</v>
      </c>
    </row>
    <row r="258" spans="4:4">
      <c r="D258" t="str">
        <v>DOC-00314</v>
      </c>
    </row>
    <row r="259" spans="4:4">
      <c r="D259" t="str">
        <v>DOC-00315</v>
      </c>
    </row>
    <row r="260" spans="4:4">
      <c r="D260" t="str">
        <v>DOC-00316</v>
      </c>
    </row>
    <row r="261" spans="4:4">
      <c r="D261" t="str">
        <v>DOC-00318</v>
      </c>
    </row>
    <row r="262" spans="4:4">
      <c r="D262" t="str">
        <v>DOC-00319</v>
      </c>
    </row>
    <row r="263" spans="4:4">
      <c r="D263" t="str">
        <v>DOC-00320</v>
      </c>
    </row>
    <row r="264" spans="4:4">
      <c r="D264" t="str">
        <v>DOC-00321</v>
      </c>
    </row>
    <row r="265" spans="4:4">
      <c r="D265" t="str">
        <v>DOC-00325</v>
      </c>
    </row>
    <row r="266" spans="4:4">
      <c r="D266" t="str">
        <v>DOC-00327</v>
      </c>
    </row>
    <row r="267" spans="4:4">
      <c r="D267" t="str">
        <v>DOC-00328</v>
      </c>
    </row>
    <row r="268" spans="4:4">
      <c r="D268" t="str">
        <v>DOC-00329</v>
      </c>
    </row>
    <row r="269" spans="4:4">
      <c r="D269" t="str">
        <v>DOC-00330</v>
      </c>
    </row>
    <row r="270" spans="4:4">
      <c r="D270" t="str">
        <v>DOC-00331</v>
      </c>
    </row>
    <row r="271" spans="4:4">
      <c r="D271" t="str">
        <v>DOC-00333</v>
      </c>
    </row>
    <row r="272" spans="4:4">
      <c r="D272" t="str">
        <v>DOC-00334</v>
      </c>
    </row>
    <row r="273" spans="4:4">
      <c r="D273" t="str">
        <v>DOC-00336</v>
      </c>
    </row>
    <row r="274" spans="4:4">
      <c r="D274" t="str">
        <v>DOC-00338</v>
      </c>
    </row>
    <row r="275" spans="4:4">
      <c r="D275" t="str">
        <v>DOC-00341</v>
      </c>
    </row>
    <row r="276" spans="4:4">
      <c r="D276" t="str">
        <v>DOC-00342</v>
      </c>
    </row>
    <row r="277" spans="4:4">
      <c r="D277" t="str">
        <v>DOC-00343</v>
      </c>
    </row>
    <row r="278" spans="4:4">
      <c r="D278" t="str">
        <v>DOC-00344</v>
      </c>
    </row>
    <row r="279" spans="4:4">
      <c r="D279" t="str">
        <v>DOC-00345</v>
      </c>
    </row>
    <row r="280" spans="4:4">
      <c r="D280" t="str">
        <v>DOC-00347</v>
      </c>
    </row>
    <row r="281" spans="4:4">
      <c r="D281" t="str">
        <v>DOC-00348</v>
      </c>
    </row>
    <row r="282" spans="4:4">
      <c r="D282" t="str">
        <v>DOC-00349</v>
      </c>
    </row>
    <row r="283" spans="4:4">
      <c r="D283" t="str">
        <v>DOC-00350</v>
      </c>
    </row>
    <row r="284" spans="4:4">
      <c r="D284" t="str">
        <v>DOC-00351</v>
      </c>
    </row>
    <row r="285" spans="4:4">
      <c r="D285" t="str">
        <v>DOC-00352</v>
      </c>
    </row>
    <row r="286" spans="4:4">
      <c r="D286" t="str">
        <v>DOC-00353</v>
      </c>
    </row>
    <row r="287" spans="4:4">
      <c r="D287" t="str">
        <v>DOC-00355</v>
      </c>
    </row>
    <row r="288" spans="4:4">
      <c r="D288" t="str">
        <v>DOC-00356</v>
      </c>
    </row>
    <row r="289" spans="4:4">
      <c r="D289" t="str">
        <v>DOC-00357</v>
      </c>
    </row>
    <row r="290" spans="4:4">
      <c r="D290" t="str">
        <v>DOC-00358</v>
      </c>
    </row>
    <row r="291" spans="4:4">
      <c r="D291" t="str">
        <v>DOC-00359</v>
      </c>
    </row>
    <row r="292" spans="4:4">
      <c r="D292" t="str">
        <v>DOC-00361</v>
      </c>
    </row>
    <row r="293" spans="4:4">
      <c r="D293" t="str">
        <v>DOC-00362</v>
      </c>
    </row>
    <row r="294" spans="4:4">
      <c r="D294" t="str">
        <v>DOC-00363</v>
      </c>
    </row>
    <row r="295" spans="4:4">
      <c r="D295" t="str">
        <v>DOC-00364</v>
      </c>
    </row>
    <row r="296" spans="4:4">
      <c r="D296" t="str">
        <v>DOC-00366</v>
      </c>
    </row>
    <row r="297" spans="4:4">
      <c r="D297" t="str">
        <v>DOC-00367</v>
      </c>
    </row>
    <row r="298" spans="4:4">
      <c r="D298" t="str">
        <v>DOC-00369</v>
      </c>
    </row>
    <row r="299" spans="4:4">
      <c r="D299" t="str">
        <v>DOC-00370</v>
      </c>
    </row>
    <row r="300" spans="4:4">
      <c r="D300" t="str">
        <v>DOC-00372</v>
      </c>
    </row>
    <row r="301" spans="4:4">
      <c r="D301" t="str">
        <v>DOC-00373</v>
      </c>
    </row>
    <row r="302" spans="4:4">
      <c r="D302" t="str">
        <v>DOC-00375</v>
      </c>
    </row>
    <row r="303" spans="4:4">
      <c r="D303" t="str">
        <v>DOC-00376</v>
      </c>
    </row>
    <row r="304" spans="4:4">
      <c r="D304" t="str">
        <v>DOC-00378</v>
      </c>
    </row>
    <row r="305" spans="4:4">
      <c r="D305" t="str">
        <v>DOC-00379</v>
      </c>
    </row>
    <row r="306" spans="4:4">
      <c r="D306" t="str">
        <v>DOC-00380</v>
      </c>
    </row>
    <row r="307" spans="4:4">
      <c r="D307" t="str">
        <v>DOC-00381</v>
      </c>
    </row>
    <row r="308" spans="4:4">
      <c r="D308" t="str">
        <v>DOC-00383</v>
      </c>
    </row>
    <row r="309" spans="4:4">
      <c r="D309" t="str">
        <v>DOC-00384</v>
      </c>
    </row>
    <row r="310" spans="4:4">
      <c r="D310" t="str">
        <v>DOC-00385</v>
      </c>
    </row>
    <row r="311" spans="4:4">
      <c r="D311" t="str">
        <v>DOC-00386</v>
      </c>
    </row>
    <row r="312" spans="4:4">
      <c r="D312" t="str">
        <v>DOC-00387</v>
      </c>
    </row>
    <row r="313" spans="4:4">
      <c r="D313" t="str">
        <v>DOC-00388</v>
      </c>
    </row>
    <row r="314" spans="4:4">
      <c r="D314" t="str">
        <v>DOC-00390</v>
      </c>
    </row>
    <row r="315" spans="4:4">
      <c r="D315" t="str">
        <v>DOC-00391</v>
      </c>
    </row>
    <row r="316" spans="4:4">
      <c r="D316" t="str">
        <v>DOC-00392</v>
      </c>
    </row>
    <row r="317" spans="4:4">
      <c r="D317" t="str">
        <v>DOC-00393</v>
      </c>
    </row>
    <row r="318" spans="4:4">
      <c r="D318" t="str">
        <v>DOC-00395</v>
      </c>
    </row>
    <row r="319" spans="4:4">
      <c r="D319" t="str">
        <v>DOC-00396</v>
      </c>
    </row>
    <row r="320" spans="4:4">
      <c r="D320" t="str">
        <v>DOC-00397</v>
      </c>
    </row>
    <row r="321" spans="4:4">
      <c r="D321" t="str">
        <v>DOC-00398</v>
      </c>
    </row>
    <row r="322" spans="4:4">
      <c r="D322" t="str">
        <v>DOC-00400</v>
      </c>
    </row>
    <row r="323" spans="4:4">
      <c r="D323" t="str">
        <v>DOC-00401</v>
      </c>
    </row>
    <row r="324" spans="4:4">
      <c r="D324" t="str">
        <v>DOC-00402</v>
      </c>
    </row>
    <row r="325" spans="4:4">
      <c r="D325" t="str">
        <v>DOC-00403</v>
      </c>
    </row>
    <row r="326" spans="4:4">
      <c r="D326" t="str">
        <v>DOC-00404</v>
      </c>
    </row>
    <row r="327" spans="4:4">
      <c r="D327" t="str">
        <v>DOC-00406</v>
      </c>
    </row>
    <row r="328" spans="4:4">
      <c r="D328" t="str">
        <v>DOC-00407</v>
      </c>
    </row>
    <row r="329" spans="4:4">
      <c r="D329" t="str">
        <v>DOC-00408</v>
      </c>
    </row>
    <row r="330" spans="4:4">
      <c r="D330" t="str">
        <v>DOC-00409</v>
      </c>
    </row>
    <row r="331" spans="4:4">
      <c r="D331" t="str">
        <v>DOC-00410</v>
      </c>
    </row>
    <row r="332" spans="4:4">
      <c r="D332" t="str">
        <v>DOC-00412</v>
      </c>
    </row>
    <row r="333" spans="4:4">
      <c r="D333" t="str">
        <v>DOC-00413</v>
      </c>
    </row>
    <row r="334" spans="4:4">
      <c r="D334" t="str">
        <v>DOC-00414</v>
      </c>
    </row>
    <row r="335" spans="4:4">
      <c r="D335" t="str">
        <v>DOC-00415</v>
      </c>
    </row>
    <row r="336" spans="4:4">
      <c r="D336" t="str">
        <v>DOC-00416</v>
      </c>
    </row>
    <row r="337" spans="4:4">
      <c r="D337" t="str">
        <v>DOC-00417</v>
      </c>
    </row>
    <row r="338" spans="4:4">
      <c r="D338" t="str">
        <v>DOC-00418</v>
      </c>
    </row>
    <row r="339" spans="4:4">
      <c r="D339" t="str">
        <v>DOC-00420</v>
      </c>
    </row>
    <row r="340" spans="4:4">
      <c r="D340" t="str">
        <v>DOC-00421</v>
      </c>
    </row>
    <row r="341" spans="4:4">
      <c r="D341" t="str">
        <v>DOC-00422</v>
      </c>
    </row>
    <row r="342" spans="4:4">
      <c r="D342" t="str">
        <v>DOC-00423</v>
      </c>
    </row>
    <row r="343" spans="4:4">
      <c r="D343" t="str">
        <v>DOC-00424</v>
      </c>
    </row>
    <row r="344" spans="4:4">
      <c r="D344" t="str">
        <v>DOC-00425</v>
      </c>
    </row>
    <row r="345" spans="4:4">
      <c r="D345" t="str">
        <v>DOC-00427</v>
      </c>
    </row>
    <row r="346" spans="4:4">
      <c r="D346" t="str">
        <v>DOC-00428</v>
      </c>
    </row>
    <row r="347" spans="4:4">
      <c r="D347" t="str">
        <v>DOC-00429</v>
      </c>
    </row>
    <row r="348" spans="4:4">
      <c r="D348" t="str">
        <v>DOC-00430</v>
      </c>
    </row>
    <row r="349" spans="4:4">
      <c r="D349" t="str">
        <v>DOC-00432</v>
      </c>
    </row>
    <row r="350" spans="4:4">
      <c r="D350" t="str">
        <v>DOC-00433</v>
      </c>
    </row>
    <row r="351" spans="4:4">
      <c r="D351" t="str">
        <v>DOC-00434</v>
      </c>
    </row>
    <row r="352" spans="4:4">
      <c r="D352" t="str">
        <v>DOC-00435</v>
      </c>
    </row>
    <row r="353" spans="4:4">
      <c r="D353" t="str">
        <v>DOC-00436</v>
      </c>
    </row>
    <row r="354" spans="4:4">
      <c r="D354" t="str">
        <v>DOC-00438</v>
      </c>
    </row>
    <row r="355" spans="4:4">
      <c r="D355" t="str">
        <v>DOC-00439</v>
      </c>
    </row>
    <row r="356" spans="4:4">
      <c r="D356" t="str">
        <v>DOC-00440</v>
      </c>
    </row>
    <row r="357" spans="4:4">
      <c r="D357" t="str">
        <v>DOC-00441</v>
      </c>
    </row>
    <row r="358" spans="4:4">
      <c r="D358" t="str">
        <v>DOC-00442</v>
      </c>
    </row>
    <row r="359" spans="4:4">
      <c r="D359" t="str">
        <v>DOC-00444</v>
      </c>
    </row>
    <row r="360" spans="4:4">
      <c r="D360" t="str">
        <v>DOC-00445</v>
      </c>
    </row>
    <row r="361" spans="4:4">
      <c r="D361" t="str">
        <v>DOC-00446</v>
      </c>
    </row>
    <row r="362" spans="4:4">
      <c r="D362" t="str">
        <v>DOC-00447</v>
      </c>
    </row>
    <row r="363" spans="4:4">
      <c r="D363" t="str">
        <v>DOC-00448</v>
      </c>
    </row>
    <row r="364" spans="4:4">
      <c r="D364" t="str">
        <v>DOC-00450</v>
      </c>
    </row>
    <row r="365" spans="4:4">
      <c r="D365" t="str">
        <v>DOC-00451</v>
      </c>
    </row>
    <row r="366" spans="4:4">
      <c r="D366" t="str">
        <v>DOC-00453</v>
      </c>
    </row>
    <row r="367" spans="4:4">
      <c r="D367" t="str">
        <v>DOC-00454</v>
      </c>
    </row>
    <row r="368" spans="4:4">
      <c r="D368" t="str">
        <v>DOC-00455</v>
      </c>
    </row>
    <row r="369" spans="4:4">
      <c r="D369" t="str">
        <v>DOC-00456</v>
      </c>
    </row>
    <row r="370" spans="4:4">
      <c r="D370" t="str">
        <v>DOC-00457</v>
      </c>
    </row>
    <row r="371" spans="4:4">
      <c r="D371" t="str">
        <v>DOC-00458</v>
      </c>
    </row>
    <row r="372" spans="4:4">
      <c r="D372" t="str">
        <v>DOC-00459</v>
      </c>
    </row>
    <row r="373" spans="4:4">
      <c r="D373" t="str">
        <v>DOC-00460</v>
      </c>
    </row>
    <row r="374" spans="4:4">
      <c r="D374" t="str">
        <v>DOC-00462</v>
      </c>
    </row>
    <row r="375" spans="4:4">
      <c r="D375" t="str">
        <v>DOC-00463</v>
      </c>
    </row>
    <row r="376" spans="4:4">
      <c r="D376" t="str">
        <v>DOC-00464</v>
      </c>
    </row>
    <row r="377" spans="4:4">
      <c r="D377" t="str">
        <v>DOC-00465</v>
      </c>
    </row>
    <row r="378" spans="4:4">
      <c r="D378" t="str">
        <v>DOC-00466</v>
      </c>
    </row>
    <row r="379" spans="4:4">
      <c r="D379" t="str">
        <v>DOC-00467</v>
      </c>
    </row>
    <row r="380" spans="4:4">
      <c r="D380" t="str">
        <v>DOC-00469</v>
      </c>
    </row>
    <row r="381" spans="4:4">
      <c r="D381" t="str">
        <v>DOC-00470</v>
      </c>
    </row>
    <row r="382" spans="4:4">
      <c r="D382" t="str">
        <v>DOC-00471</v>
      </c>
    </row>
    <row r="383" spans="4:4">
      <c r="D383" t="str">
        <v>DOC-00472</v>
      </c>
    </row>
    <row r="384" spans="4:4">
      <c r="D384" t="str">
        <v>DOC-00473</v>
      </c>
    </row>
    <row r="385" spans="4:4">
      <c r="D385" t="str">
        <v>DOC-00475</v>
      </c>
    </row>
    <row r="386" spans="4:4">
      <c r="D386" t="str">
        <v>DOC-00477</v>
      </c>
    </row>
    <row r="387" spans="4:4">
      <c r="D387" t="str">
        <v>DOC-00478</v>
      </c>
    </row>
    <row r="388" spans="4:4">
      <c r="D388" t="str">
        <v>DOC-00479</v>
      </c>
    </row>
    <row r="389" spans="4:4">
      <c r="D389" t="str">
        <v>DOC-00480</v>
      </c>
    </row>
    <row r="390" spans="4:4">
      <c r="D390" t="str">
        <v>DOC-00481</v>
      </c>
    </row>
    <row r="391" spans="4:4">
      <c r="D391" t="str">
        <v>DOC-00482</v>
      </c>
    </row>
    <row r="392" spans="4:4">
      <c r="D392" t="str">
        <v>DOC-00483</v>
      </c>
    </row>
    <row r="393" spans="4:4">
      <c r="D393" t="str">
        <v>DOC-00485</v>
      </c>
    </row>
    <row r="394" spans="4:4">
      <c r="D394" t="str">
        <v>DOC-00487</v>
      </c>
    </row>
    <row r="395" spans="4:4">
      <c r="D395" t="str">
        <v>DOC-00488</v>
      </c>
    </row>
    <row r="396" spans="4:4">
      <c r="D396" t="str">
        <v>DOC-00489</v>
      </c>
    </row>
    <row r="397" spans="4:4">
      <c r="D397" t="str">
        <v>DOC-00492</v>
      </c>
    </row>
    <row r="398" spans="4:4">
      <c r="D398" t="str">
        <v>DOC-00493</v>
      </c>
    </row>
    <row r="399" spans="4:4">
      <c r="D399" t="str">
        <v>DOC-00495</v>
      </c>
    </row>
    <row r="400" spans="4:4">
      <c r="D400" t="str">
        <v>DOC-00496</v>
      </c>
    </row>
    <row r="401" spans="4:4">
      <c r="D401" t="str">
        <v>DOC-00497</v>
      </c>
    </row>
    <row r="402" spans="4:4">
      <c r="D402" t="str">
        <v>DOC-00498</v>
      </c>
    </row>
    <row r="403" spans="4:4">
      <c r="D403" t="str">
        <v>DOC-00499</v>
      </c>
    </row>
    <row r="404" spans="4:4">
      <c r="D404" t="str">
        <v>DOC-00501</v>
      </c>
    </row>
    <row r="405" spans="4:4">
      <c r="D405" t="str">
        <v>DOC-00502</v>
      </c>
    </row>
    <row r="406" spans="4:4">
      <c r="D406" t="str">
        <v>DOC-00505</v>
      </c>
    </row>
    <row r="407" spans="4:4">
      <c r="D407" t="str">
        <v>DOC-00507</v>
      </c>
    </row>
    <row r="408" spans="4:4">
      <c r="D408" t="str">
        <v>DOC-00508</v>
      </c>
    </row>
    <row r="409" spans="4:4">
      <c r="D409" t="str">
        <v>DOC-00509</v>
      </c>
    </row>
    <row r="410" spans="4:4">
      <c r="D410" t="str">
        <v>DOC-00510</v>
      </c>
    </row>
    <row r="411" spans="4:4">
      <c r="D411" t="str">
        <v>DOC-00511</v>
      </c>
    </row>
    <row r="412" spans="4:4">
      <c r="D412" t="str">
        <v>DOC-00513</v>
      </c>
    </row>
    <row r="413" spans="4:4">
      <c r="D413" t="str">
        <v>DOC-00514</v>
      </c>
    </row>
    <row r="414" spans="4:4">
      <c r="D414" t="str">
        <v>DOC-00515</v>
      </c>
    </row>
    <row r="415" spans="4:4">
      <c r="D415" t="str">
        <v>DOC-00516</v>
      </c>
    </row>
    <row r="416" spans="4:4">
      <c r="D416" t="str">
        <v>DOC-00517</v>
      </c>
    </row>
    <row r="417" spans="4:4">
      <c r="D417" t="str">
        <v>DOC-00519</v>
      </c>
    </row>
    <row r="418" spans="4:4">
      <c r="D418" t="str">
        <v>DOC-00521</v>
      </c>
    </row>
    <row r="419" spans="4:4">
      <c r="D419" t="str">
        <v>DOC-00522</v>
      </c>
    </row>
    <row r="420" spans="4:4">
      <c r="D420" t="str">
        <v>DOC-00523</v>
      </c>
    </row>
    <row r="421" spans="4:4">
      <c r="D421" t="str">
        <v>DOC-00525</v>
      </c>
    </row>
    <row r="422" spans="4:4">
      <c r="D422" t="str">
        <v>DOC-00526</v>
      </c>
    </row>
    <row r="423" spans="4:4">
      <c r="D423" t="str">
        <v>DOC-00527</v>
      </c>
    </row>
    <row r="424" spans="4:4">
      <c r="D424" t="str">
        <v>DOC-00528</v>
      </c>
    </row>
    <row r="425" spans="4:4">
      <c r="D425" t="str">
        <v>DOC-00529</v>
      </c>
    </row>
    <row r="426" spans="4:4">
      <c r="D426" t="str">
        <v>DOC-00531</v>
      </c>
    </row>
    <row r="427" spans="4:4">
      <c r="D427" t="str">
        <v>DOC-00532</v>
      </c>
    </row>
    <row r="428" spans="4:4">
      <c r="D428" t="str">
        <v>DOC-00533</v>
      </c>
    </row>
    <row r="429" spans="4:4">
      <c r="D429" t="str">
        <v>DOC-00534</v>
      </c>
    </row>
    <row r="430" spans="4:4">
      <c r="D430" t="str">
        <v>DOC-00535</v>
      </c>
    </row>
    <row r="431" spans="4:4">
      <c r="D431" t="str">
        <v>DOC-00537</v>
      </c>
    </row>
    <row r="432" spans="4:4">
      <c r="D432" t="str">
        <v>DOC-00538</v>
      </c>
    </row>
    <row r="433" spans="4:4">
      <c r="D433" t="str">
        <v>DOC-00539</v>
      </c>
    </row>
    <row r="434" spans="4:4">
      <c r="D434" t="str">
        <v>DOC-00540</v>
      </c>
    </row>
    <row r="435" spans="4:4">
      <c r="D435" t="str">
        <v>DOC-00543</v>
      </c>
    </row>
    <row r="436" spans="4:4">
      <c r="D436" t="str">
        <v>DOC-00544</v>
      </c>
    </row>
    <row r="437" spans="4:4">
      <c r="D437" t="str">
        <v>DOC-00545</v>
      </c>
    </row>
    <row r="438" spans="4:4">
      <c r="D438" t="str">
        <v>DOC-00546</v>
      </c>
    </row>
    <row r="439" spans="4:4">
      <c r="D439" t="str">
        <v>DOC-00547</v>
      </c>
    </row>
    <row r="440" spans="4:4">
      <c r="D440" t="str">
        <v>DOC-00549</v>
      </c>
    </row>
    <row r="441" spans="4:4">
      <c r="D441" t="str">
        <v>DOC-00550</v>
      </c>
    </row>
    <row r="442" spans="4:4">
      <c r="D442" t="str">
        <v>DOC-00551</v>
      </c>
    </row>
    <row r="443" spans="4:4">
      <c r="D443" t="str">
        <v>DOC-00552</v>
      </c>
    </row>
    <row r="444" spans="4:4">
      <c r="D444" t="str">
        <v>DOC-00553</v>
      </c>
    </row>
    <row r="445" spans="4:4">
      <c r="D445" t="str">
        <v>DOC-00559</v>
      </c>
    </row>
    <row r="446" spans="4:4">
      <c r="D446" t="str">
        <v>DOC-00560</v>
      </c>
    </row>
    <row r="447" spans="4:4">
      <c r="D447" t="str">
        <v>DOC-00563</v>
      </c>
    </row>
    <row r="448" spans="4:4">
      <c r="D448" t="str">
        <v>DOC-00564</v>
      </c>
    </row>
    <row r="449" spans="4:4">
      <c r="D449" t="str">
        <v>DOC-00565</v>
      </c>
    </row>
    <row r="450" spans="4:4">
      <c r="D450" t="str">
        <v>DOC-00566</v>
      </c>
    </row>
    <row r="451" spans="4:4">
      <c r="D451" t="str">
        <v>DOC-00567</v>
      </c>
    </row>
    <row r="452" spans="4:4">
      <c r="D452" t="str">
        <v>DOC-00569</v>
      </c>
    </row>
    <row r="453" spans="4:4">
      <c r="D453" t="str">
        <v>DOC-00570</v>
      </c>
    </row>
    <row r="454" spans="4:4">
      <c r="D454" t="str">
        <v>DOC-00571</v>
      </c>
    </row>
    <row r="455" spans="4:4">
      <c r="D455" t="str">
        <v>DOC-00572</v>
      </c>
    </row>
    <row r="456" spans="4:4">
      <c r="D456" t="str">
        <v>DOC-00573</v>
      </c>
    </row>
    <row r="457" spans="4:4">
      <c r="D457" t="str">
        <v>DOC-00574</v>
      </c>
    </row>
    <row r="458" spans="4:4">
      <c r="D458" t="str">
        <v>DOC-00575</v>
      </c>
    </row>
    <row r="459" spans="4:4">
      <c r="D459" t="str">
        <v>DOC-00576</v>
      </c>
    </row>
    <row r="460" spans="4:4">
      <c r="D460" t="str">
        <v>DOC-00577</v>
      </c>
    </row>
    <row r="461" spans="4:4">
      <c r="D461" t="str">
        <v>DOC-00578</v>
      </c>
    </row>
    <row r="462" spans="4:4">
      <c r="D462" t="str">
        <v>DOC-00579</v>
      </c>
    </row>
    <row r="463" spans="4:4">
      <c r="D463" t="str">
        <v>DOC-00581</v>
      </c>
    </row>
    <row r="464" spans="4:4">
      <c r="D464" t="str">
        <v>DOC-00583</v>
      </c>
    </row>
    <row r="465" spans="4:4">
      <c r="D465" t="str">
        <v>DOC-00586</v>
      </c>
    </row>
    <row r="466" spans="4:4">
      <c r="D466" t="str">
        <v>DOC-00589</v>
      </c>
    </row>
    <row r="467" spans="4:4">
      <c r="D467" t="str">
        <v>DOC-00590</v>
      </c>
    </row>
    <row r="468" spans="4:4">
      <c r="D468" t="str">
        <v>DOC-00591</v>
      </c>
    </row>
    <row r="469" spans="4:4">
      <c r="D469" t="str">
        <v>DOC-00593</v>
      </c>
    </row>
    <row r="470" spans="4:4">
      <c r="D470" t="str">
        <v>DOC-00595</v>
      </c>
    </row>
    <row r="471" spans="4:4">
      <c r="D471" t="str">
        <v>DOC-00596</v>
      </c>
    </row>
    <row r="472" spans="4:4">
      <c r="D472" t="str">
        <v>DOC-00599</v>
      </c>
    </row>
    <row r="473" spans="4:4">
      <c r="D473" t="str">
        <v>DOC-00600</v>
      </c>
    </row>
    <row r="474" spans="4:4">
      <c r="D474" t="str">
        <v>DOC-00605</v>
      </c>
    </row>
    <row r="475" spans="4:4">
      <c r="D475" t="str">
        <v>DOC-00611</v>
      </c>
    </row>
    <row r="476" spans="4:4">
      <c r="D476" t="str">
        <v>DOC-00613</v>
      </c>
    </row>
    <row r="477" spans="4:4">
      <c r="D477" t="str">
        <v>DOC-00614</v>
      </c>
    </row>
    <row r="478" spans="4:4">
      <c r="D478" t="str">
        <v>DOC-00615</v>
      </c>
    </row>
    <row r="479" spans="4:4">
      <c r="D479" t="str">
        <v>DOC-00620</v>
      </c>
    </row>
    <row r="480" spans="4:4">
      <c r="D480" t="str">
        <v>DOC-00622</v>
      </c>
    </row>
    <row r="481" spans="4:4">
      <c r="D481" t="str">
        <v>DOC-00623</v>
      </c>
    </row>
    <row r="482" spans="4:4">
      <c r="D482" t="str">
        <v>DOC-00625</v>
      </c>
    </row>
    <row r="483" spans="4:4">
      <c r="D483" t="str">
        <v>DOC-00626</v>
      </c>
    </row>
    <row r="484" spans="4:4">
      <c r="D484" t="str">
        <v>DOC-00628</v>
      </c>
    </row>
    <row r="485" spans="4:4">
      <c r="D485" t="str">
        <v>DOC-00629</v>
      </c>
    </row>
    <row r="486" spans="4:4">
      <c r="D486" t="str">
        <v>DOC-00631</v>
      </c>
    </row>
    <row r="487" spans="4:4">
      <c r="D487" t="str">
        <v>DOC-00632</v>
      </c>
    </row>
    <row r="488" spans="4:4">
      <c r="D488" t="str">
        <v>DOC-00633</v>
      </c>
    </row>
    <row r="489" spans="4:4">
      <c r="D489" t="str">
        <v>DOC-00636</v>
      </c>
    </row>
    <row r="490" spans="4:4">
      <c r="D490" t="str">
        <v>DOC-00641</v>
      </c>
    </row>
    <row r="491" spans="4:4">
      <c r="D491" t="str">
        <v>DOC-00643</v>
      </c>
    </row>
    <row r="492" spans="4:4">
      <c r="D492" t="str">
        <v>DOC-00644</v>
      </c>
    </row>
    <row r="493" spans="4:4">
      <c r="D493" t="str">
        <v>DOC-00655</v>
      </c>
    </row>
    <row r="494" spans="4:4">
      <c r="D494" t="str">
        <v>DOC-00656</v>
      </c>
    </row>
    <row r="495" spans="4:4">
      <c r="D495" t="str">
        <v>DOC-00661</v>
      </c>
    </row>
    <row r="496" spans="4:4">
      <c r="D496" t="str">
        <v>DOC-00663</v>
      </c>
    </row>
    <row r="497" spans="4:4">
      <c r="D497" t="str">
        <v>DOC-00667</v>
      </c>
    </row>
    <row r="498" spans="4:4">
      <c r="D498" t="str">
        <v>DOC-00669</v>
      </c>
    </row>
    <row r="499" spans="4:4">
      <c r="D499" t="str">
        <v>DOC-00672</v>
      </c>
    </row>
    <row r="500" spans="4:4">
      <c r="D500" t="str">
        <v>DOC-00674</v>
      </c>
    </row>
    <row r="501" spans="4:4">
      <c r="D501" t="str">
        <v>DOC-00675</v>
      </c>
    </row>
    <row r="502" spans="4:4">
      <c r="D502" t="str">
        <v>DOC-00676</v>
      </c>
    </row>
    <row r="503" spans="4:4">
      <c r="D503" t="str">
        <v>DOC-00677</v>
      </c>
    </row>
    <row r="504" spans="4:4">
      <c r="D504" t="str">
        <v>DOC-00679</v>
      </c>
    </row>
    <row r="505" spans="4:4">
      <c r="D505" t="str">
        <v>DOC-00680</v>
      </c>
    </row>
    <row r="506" spans="4:4">
      <c r="D506" t="str">
        <v>DOC-00682</v>
      </c>
    </row>
    <row r="507" spans="4:4">
      <c r="D507" t="str">
        <v>DOC-00683</v>
      </c>
    </row>
    <row r="508" spans="4:4">
      <c r="D508" t="str">
        <v>DOC-00685</v>
      </c>
    </row>
    <row r="509" spans="4:4">
      <c r="D509" t="str">
        <v>DOC-00689</v>
      </c>
    </row>
    <row r="510" spans="4:4">
      <c r="D510" t="str">
        <v>DOC-00690</v>
      </c>
    </row>
    <row r="511" spans="4:4">
      <c r="D511" t="str">
        <v>DOC-00691</v>
      </c>
    </row>
    <row r="512" spans="4:4">
      <c r="D512" t="str">
        <v>DOC-00692</v>
      </c>
    </row>
    <row r="513" spans="4:4">
      <c r="D513" t="str">
        <v>DOC-00693</v>
      </c>
    </row>
    <row r="514" spans="4:4">
      <c r="D514" t="str">
        <v>DOC-00694</v>
      </c>
    </row>
    <row r="515" spans="4:4">
      <c r="D515" t="str">
        <v>DOC-00698</v>
      </c>
    </row>
    <row r="516" spans="4:4">
      <c r="D516" t="str">
        <v>DOC-00699</v>
      </c>
    </row>
    <row r="517" spans="4:4">
      <c r="D517" t="str">
        <v>DOC-00710</v>
      </c>
    </row>
    <row r="518" spans="4:4">
      <c r="D518" t="str">
        <v>DOC-00711</v>
      </c>
    </row>
    <row r="519" spans="4:4">
      <c r="D519" t="str">
        <v>DOC-00712</v>
      </c>
    </row>
    <row r="520" spans="4:4">
      <c r="D520" t="str">
        <v>DOC-00713</v>
      </c>
    </row>
    <row r="521" spans="4:4">
      <c r="D521" t="str">
        <v>DOC-00723</v>
      </c>
    </row>
    <row r="522" spans="4:4">
      <c r="D522" t="str">
        <v>DOC-00724</v>
      </c>
    </row>
    <row r="523" spans="4:4">
      <c r="D523" t="str">
        <v>DOC-00725</v>
      </c>
    </row>
    <row r="524" spans="4:4">
      <c r="D524" t="str">
        <v>DOC-00729</v>
      </c>
    </row>
    <row r="525" spans="4:4">
      <c r="D525" t="str">
        <v>DOC-00730</v>
      </c>
    </row>
    <row r="526" spans="4:4">
      <c r="D526" t="str">
        <v>DOC-00733</v>
      </c>
    </row>
    <row r="527" spans="4:4">
      <c r="D527" t="str">
        <v>DOC-00734</v>
      </c>
    </row>
    <row r="528" spans="4:4">
      <c r="D528" t="str">
        <v>DOC-00735</v>
      </c>
    </row>
    <row r="529" spans="4:4">
      <c r="D529" t="str">
        <v>DOC-00736</v>
      </c>
    </row>
    <row r="530" spans="4:4">
      <c r="D530" t="str">
        <v>DOC-00737</v>
      </c>
    </row>
    <row r="531" spans="4:4">
      <c r="D531" t="str">
        <v>DOC-00738</v>
      </c>
    </row>
    <row r="532" spans="4:4">
      <c r="D532" t="str">
        <v>DOC-00740</v>
      </c>
    </row>
    <row r="533" spans="4:4">
      <c r="D533" t="str">
        <v>DOC-00741</v>
      </c>
    </row>
    <row r="534" spans="4:4">
      <c r="D534" t="str">
        <v>DOC-00742</v>
      </c>
    </row>
    <row r="535" spans="4:4">
      <c r="D535" t="str">
        <v>DOC-00743</v>
      </c>
    </row>
    <row r="536" spans="4:4">
      <c r="D536" t="str">
        <v>DOC-00744</v>
      </c>
    </row>
    <row r="537" spans="4:4">
      <c r="D537" t="str">
        <v>DOC-00745</v>
      </c>
    </row>
    <row r="538" spans="4:4">
      <c r="D538" t="str">
        <v>DOC-00747</v>
      </c>
    </row>
    <row r="539" spans="4:4">
      <c r="D539" t="str">
        <v>DOC-00748</v>
      </c>
    </row>
    <row r="540" spans="4:4">
      <c r="D540" t="str">
        <v>DOC-00749</v>
      </c>
    </row>
    <row r="541" spans="4:4">
      <c r="D541" t="str">
        <v>DOC-00750</v>
      </c>
    </row>
    <row r="542" spans="4:4">
      <c r="D542" t="str">
        <v>DOC-00751</v>
      </c>
    </row>
    <row r="543" spans="4:4">
      <c r="D543" t="str">
        <v>DOC-00754</v>
      </c>
    </row>
    <row r="544" spans="4:4">
      <c r="D544" t="str">
        <v>DOC-00759</v>
      </c>
    </row>
    <row r="545" spans="4:4">
      <c r="D545" t="str">
        <v>DOC-00760</v>
      </c>
    </row>
    <row r="546" spans="4:4">
      <c r="D546" t="str">
        <v>DOC-00761</v>
      </c>
    </row>
    <row r="547" spans="4:4">
      <c r="D547" t="str">
        <v>DOC-00762</v>
      </c>
    </row>
    <row r="548" spans="4:4">
      <c r="D548" t="str">
        <v>DOC-00764</v>
      </c>
    </row>
    <row r="549" spans="4:4">
      <c r="D549" t="str">
        <v>DOC-00766</v>
      </c>
    </row>
    <row r="550" spans="4:4">
      <c r="D550" t="str">
        <v>DOC-00767</v>
      </c>
    </row>
    <row r="551" spans="4:4">
      <c r="D551" t="str">
        <v>DOC-00768</v>
      </c>
    </row>
    <row r="552" spans="4:4">
      <c r="D552" t="str">
        <v>DOC-00769</v>
      </c>
    </row>
    <row r="553" spans="4:4">
      <c r="D553" t="str">
        <v>DOC-00770</v>
      </c>
    </row>
    <row r="554" spans="4:4">
      <c r="D554" t="str">
        <v>DOC-00772</v>
      </c>
    </row>
    <row r="555" spans="4:4">
      <c r="D555" t="str">
        <v>DOC-00773</v>
      </c>
    </row>
    <row r="556" spans="4:4">
      <c r="D556" t="str">
        <v>DOC-00774</v>
      </c>
    </row>
    <row r="557" spans="4:4">
      <c r="D557" t="str">
        <v>DOC-00775</v>
      </c>
    </row>
    <row r="558" spans="4:4">
      <c r="D558" t="str">
        <v>DOC-00776</v>
      </c>
    </row>
    <row r="559" spans="4:4">
      <c r="D559" t="str">
        <v>DOC-00778</v>
      </c>
    </row>
    <row r="560" spans="4:4">
      <c r="D560" t="str">
        <v>DOC-00779</v>
      </c>
    </row>
    <row r="561" spans="4:4">
      <c r="D561" t="str">
        <v>DOC-00780</v>
      </c>
    </row>
    <row r="562" spans="4:4">
      <c r="D562" t="str">
        <v>DOC-00781</v>
      </c>
    </row>
    <row r="563" spans="4:4">
      <c r="D563" t="str">
        <v>DOC-00782</v>
      </c>
    </row>
    <row r="564" spans="4:4">
      <c r="D564" t="str">
        <v>DOC-00783</v>
      </c>
    </row>
    <row r="565" spans="4:4">
      <c r="D565" t="str">
        <v>DOC-00785</v>
      </c>
    </row>
    <row r="566" spans="4:4">
      <c r="D566" t="str">
        <v>DOC-00786</v>
      </c>
    </row>
    <row r="567" spans="4:4">
      <c r="D567" t="str">
        <v>DOC-00787</v>
      </c>
    </row>
    <row r="568" spans="4:4">
      <c r="D568" t="str">
        <v>DOC-00788</v>
      </c>
    </row>
    <row r="569" spans="4:4">
      <c r="D569" t="str">
        <v>DOC-00792</v>
      </c>
    </row>
    <row r="570" spans="4:4">
      <c r="D570" t="str">
        <v>DOC-00793</v>
      </c>
    </row>
    <row r="571" spans="4:4">
      <c r="D571" t="str">
        <v>DOC-00794</v>
      </c>
    </row>
    <row r="572" spans="4:4">
      <c r="D572" t="str">
        <v>DOC-00795</v>
      </c>
    </row>
    <row r="573" spans="4:4">
      <c r="D573" t="str">
        <v>DOC-00796</v>
      </c>
    </row>
    <row r="574" spans="4:4">
      <c r="D574" t="str">
        <v>DOC-00797</v>
      </c>
    </row>
    <row r="575" spans="4:4">
      <c r="D575" t="str">
        <v>DOC-00798</v>
      </c>
    </row>
    <row r="576" spans="4:4">
      <c r="D576" t="str">
        <v>DOC-00799</v>
      </c>
    </row>
    <row r="577" spans="4:4">
      <c r="D577" t="str">
        <v>DOC-00800</v>
      </c>
    </row>
    <row r="578" spans="4:4">
      <c r="D578" t="str">
        <v>DOC-00802</v>
      </c>
    </row>
    <row r="579" spans="4:4">
      <c r="D579" t="str">
        <v>DOC-00803</v>
      </c>
    </row>
    <row r="580" spans="4:4">
      <c r="D580" t="str">
        <v>DOC-00804</v>
      </c>
    </row>
    <row r="581" spans="4:4">
      <c r="D581" t="str">
        <v>DOC-00805</v>
      </c>
    </row>
    <row r="582" spans="4:4">
      <c r="D582" t="str">
        <v>DOC-00807</v>
      </c>
    </row>
    <row r="583" spans="4:4">
      <c r="D583" t="str">
        <v>DOC-00808</v>
      </c>
    </row>
    <row r="584" spans="4:4">
      <c r="D584" t="str">
        <v>DOC-00810</v>
      </c>
    </row>
    <row r="585" spans="4:4">
      <c r="D585" t="str">
        <v>DOC-00811</v>
      </c>
    </row>
    <row r="586" spans="4:4">
      <c r="D586" t="str">
        <v>DOC-00812</v>
      </c>
    </row>
    <row r="587" spans="4:4">
      <c r="D587" t="str">
        <v>DOC-00814</v>
      </c>
    </row>
    <row r="588" spans="4:4">
      <c r="D588" t="str">
        <v>DOC-00815</v>
      </c>
    </row>
    <row r="589" spans="4:4">
      <c r="D589" t="str">
        <v>DOC-00816</v>
      </c>
    </row>
    <row r="590" spans="4:4">
      <c r="D590" t="str">
        <v>DOC-00817</v>
      </c>
    </row>
    <row r="591" spans="4:4">
      <c r="D591" t="str">
        <v>DOC-00818</v>
      </c>
    </row>
    <row r="592" spans="4:4">
      <c r="D592" t="str">
        <v>DOC-00821</v>
      </c>
    </row>
    <row r="593" spans="4:4">
      <c r="D593" t="str">
        <v>DOC-00822</v>
      </c>
    </row>
    <row r="594" spans="4:4">
      <c r="D594" t="str">
        <v>DOC-00823</v>
      </c>
    </row>
    <row r="595" spans="4:4">
      <c r="D595" t="str">
        <v>DOC-00824</v>
      </c>
    </row>
    <row r="596" spans="4:4">
      <c r="D596" t="str">
        <v>DOC-00826</v>
      </c>
    </row>
    <row r="597" spans="4:4">
      <c r="D597" t="str">
        <v>DOC-00827</v>
      </c>
    </row>
    <row r="598" spans="4:4">
      <c r="D598" t="str">
        <v>DOC-00828</v>
      </c>
    </row>
    <row r="599" spans="4:4">
      <c r="D599" t="str">
        <v>DOC-00829</v>
      </c>
    </row>
    <row r="600" spans="4:4">
      <c r="D600" t="str">
        <v>DOC-00832</v>
      </c>
    </row>
    <row r="601" spans="4:4">
      <c r="D601" t="str">
        <v>DOC-00833</v>
      </c>
    </row>
    <row r="602" spans="4:4">
      <c r="D602" t="str">
        <v>DOC-00834</v>
      </c>
    </row>
    <row r="603" spans="4:4">
      <c r="D603" t="str">
        <v>DOC-00835</v>
      </c>
    </row>
    <row r="604" spans="4:4">
      <c r="D604" t="str">
        <v>DOC-00836</v>
      </c>
    </row>
    <row r="605" spans="4:4">
      <c r="D605" t="str">
        <v>DOC-00837</v>
      </c>
    </row>
    <row r="606" spans="4:4">
      <c r="D606" t="str">
        <v>DOC-00839</v>
      </c>
    </row>
    <row r="607" spans="4:4">
      <c r="D607" t="str">
        <v>DOC-00840</v>
      </c>
    </row>
    <row r="608" spans="4:4">
      <c r="D608" t="str">
        <v>DOC-00841</v>
      </c>
    </row>
    <row r="609" spans="4:4">
      <c r="D609" t="str">
        <v>DOC-00842</v>
      </c>
    </row>
    <row r="610" spans="4:4">
      <c r="D610" t="str">
        <v>DOC-00844</v>
      </c>
    </row>
    <row r="611" spans="4:4">
      <c r="D611" t="str">
        <v>DOC-00845</v>
      </c>
    </row>
    <row r="612" spans="4:4">
      <c r="D612" t="str">
        <v>DOC-00846</v>
      </c>
    </row>
    <row r="613" spans="4:4">
      <c r="D613" t="str">
        <v>DOC-00847</v>
      </c>
    </row>
    <row r="614" spans="4:4">
      <c r="D614" t="str">
        <v>DOC-00848</v>
      </c>
    </row>
    <row r="615" spans="4:4">
      <c r="D615" t="str">
        <v>DOC-00850</v>
      </c>
    </row>
    <row r="616" spans="4:4">
      <c r="D616" t="str">
        <v>DOC-00851</v>
      </c>
    </row>
    <row r="617" spans="4:4">
      <c r="D617" t="str">
        <v>DOC-00852</v>
      </c>
    </row>
    <row r="618" spans="4:4">
      <c r="D618" t="str">
        <v>DOC-00853</v>
      </c>
    </row>
    <row r="619" spans="4:4">
      <c r="D619" t="str">
        <v>DOC-00856</v>
      </c>
    </row>
    <row r="620" spans="4:4">
      <c r="D620" t="str">
        <v>DOC-00857</v>
      </c>
    </row>
    <row r="621" spans="4:4">
      <c r="D621" t="str">
        <v>DOC-00858</v>
      </c>
    </row>
    <row r="622" spans="4:4">
      <c r="D622" t="str">
        <v>DOC-00859</v>
      </c>
    </row>
    <row r="623" spans="4:4">
      <c r="D623" t="str">
        <v>DOC-00860</v>
      </c>
    </row>
    <row r="624" spans="4:4">
      <c r="D624" t="str">
        <v>DOC-00861</v>
      </c>
    </row>
    <row r="625" spans="4:4">
      <c r="D625" t="str">
        <v>DOC-00862</v>
      </c>
    </row>
    <row r="626" spans="4:4">
      <c r="D626" t="str">
        <v>DOC-00864</v>
      </c>
    </row>
    <row r="627" spans="4:4">
      <c r="D627" t="str">
        <v>DOC-00865</v>
      </c>
    </row>
    <row r="628" spans="4:4">
      <c r="D628" t="str">
        <v>DOC-00867</v>
      </c>
    </row>
    <row r="629" spans="4:4">
      <c r="D629" t="str">
        <v>DOC-00868</v>
      </c>
    </row>
    <row r="630" spans="4:4">
      <c r="D630" t="str">
        <v>DOC-00869</v>
      </c>
    </row>
    <row r="631" spans="4:4">
      <c r="D631" t="str">
        <v>DOC-00871</v>
      </c>
    </row>
    <row r="632" spans="4:4">
      <c r="D632" t="str">
        <v>DOC-00872</v>
      </c>
    </row>
    <row r="633" spans="4:4">
      <c r="D633" t="str">
        <v>DOC-00873</v>
      </c>
    </row>
    <row r="634" spans="4:4">
      <c r="D634" t="str">
        <v>DOC-00874</v>
      </c>
    </row>
    <row r="635" spans="4:4">
      <c r="D635" t="str">
        <v>DOC-00875</v>
      </c>
    </row>
    <row r="636" spans="4:4">
      <c r="D636" t="str">
        <v>DOC-00877</v>
      </c>
    </row>
    <row r="637" spans="4:4">
      <c r="D637" t="str">
        <v>DOC-00878</v>
      </c>
    </row>
    <row r="638" spans="4:4">
      <c r="D638" t="str">
        <v>DOC-00879</v>
      </c>
    </row>
    <row r="639" spans="4:4">
      <c r="D639" t="str">
        <v>DOC-00880</v>
      </c>
    </row>
    <row r="640" spans="4:4">
      <c r="D640" t="str">
        <v>DOC-00881</v>
      </c>
    </row>
    <row r="641" spans="4:4">
      <c r="D641" t="str">
        <v>DOC-00883</v>
      </c>
    </row>
    <row r="642" spans="4:4">
      <c r="D642" t="str">
        <v>DOC-00884</v>
      </c>
    </row>
    <row r="643" spans="4:4">
      <c r="D643" t="str">
        <v>DOC-00885</v>
      </c>
    </row>
    <row r="644" spans="4:4">
      <c r="D644" t="str">
        <v>DOC-00886</v>
      </c>
    </row>
    <row r="645" spans="4:4">
      <c r="D645" t="str">
        <v>DOC-00888</v>
      </c>
    </row>
    <row r="646" spans="4:4">
      <c r="D646" t="str">
        <v>DOC-00889</v>
      </c>
    </row>
    <row r="647" spans="4:4">
      <c r="D647" t="str">
        <v>DOC-00890</v>
      </c>
    </row>
    <row r="648" spans="4:4">
      <c r="D648" t="str">
        <v>DOC-00891</v>
      </c>
    </row>
    <row r="649" spans="4:4">
      <c r="D649" t="str">
        <v>DOC-00892</v>
      </c>
    </row>
    <row r="650" spans="4:4">
      <c r="D650" t="str">
        <v>DOC-00894</v>
      </c>
    </row>
    <row r="651" spans="4:4">
      <c r="D651" t="str">
        <v>DOC-00895</v>
      </c>
    </row>
    <row r="652" spans="4:4">
      <c r="D652" t="str">
        <v>DOC-00896</v>
      </c>
    </row>
    <row r="653" spans="4:4">
      <c r="D653" t="str">
        <v>DOC-00897</v>
      </c>
    </row>
    <row r="654" spans="4:4">
      <c r="D654" t="str">
        <v>DOC-00898</v>
      </c>
    </row>
    <row r="655" spans="4:4">
      <c r="D655" t="str">
        <v>DOC-00901</v>
      </c>
    </row>
    <row r="656" spans="4:4">
      <c r="D656" t="str">
        <v>DOC-00902</v>
      </c>
    </row>
    <row r="657" spans="4:4">
      <c r="D657" t="str">
        <v>DOC-00904</v>
      </c>
    </row>
    <row r="658" spans="4:4">
      <c r="D658" t="str">
        <v>DOC-00906</v>
      </c>
    </row>
    <row r="659" spans="4:4">
      <c r="D659" t="str">
        <v>DOC-00907</v>
      </c>
    </row>
    <row r="660" spans="4:4">
      <c r="D660" t="str">
        <v>DOC-00908</v>
      </c>
    </row>
    <row r="661" spans="4:4">
      <c r="D661" t="str">
        <v>DOC-00909</v>
      </c>
    </row>
    <row r="662" spans="4:4">
      <c r="D662" t="str">
        <v>DOC-00912</v>
      </c>
    </row>
    <row r="663" spans="4:4">
      <c r="D663" t="str">
        <v>DOC-00913</v>
      </c>
    </row>
    <row r="664" spans="4:4">
      <c r="D664" t="str">
        <v>DOC-00915</v>
      </c>
    </row>
    <row r="665" spans="4:4">
      <c r="D665" t="str">
        <v>DOC-00918</v>
      </c>
    </row>
    <row r="666" spans="4:4">
      <c r="D666" t="str">
        <v>DOC-00919</v>
      </c>
    </row>
    <row r="667" spans="4:4">
      <c r="D667" t="str">
        <v>DOC-00920</v>
      </c>
    </row>
    <row r="668" spans="4:4">
      <c r="D668" t="str">
        <v>DOC-00925</v>
      </c>
    </row>
    <row r="669" spans="4:4">
      <c r="D669" t="str">
        <v>DOC-00927</v>
      </c>
    </row>
    <row r="670" spans="4:4">
      <c r="D670" t="str">
        <v>DOC-00929</v>
      </c>
    </row>
    <row r="671" spans="4:4">
      <c r="D671" t="str">
        <v>DOC-00930</v>
      </c>
    </row>
    <row r="672" spans="4:4">
      <c r="D672" t="str">
        <v>DOC-00931</v>
      </c>
    </row>
    <row r="673" spans="4:4">
      <c r="D673" t="str">
        <v>DOC-00932</v>
      </c>
    </row>
    <row r="674" spans="4:4">
      <c r="D674" t="str">
        <v>DOC-00933</v>
      </c>
    </row>
    <row r="675" spans="4:4">
      <c r="D675" t="str">
        <v>DOC-00935</v>
      </c>
    </row>
    <row r="676" spans="4:4">
      <c r="D676" t="str">
        <v>DOC-00936</v>
      </c>
    </row>
    <row r="677" spans="4:4">
      <c r="D677" t="str">
        <v>DOC-00938</v>
      </c>
    </row>
    <row r="678" spans="4:4">
      <c r="D678" t="str">
        <v>DOC-00939</v>
      </c>
    </row>
    <row r="679" spans="4:4">
      <c r="D679" t="str">
        <v>DOC-00941</v>
      </c>
    </row>
    <row r="680" spans="4:4">
      <c r="D680" t="str">
        <v>DOC-00942</v>
      </c>
    </row>
    <row r="681" spans="4:4">
      <c r="D681" t="str">
        <v>DOC-00943</v>
      </c>
    </row>
    <row r="682" spans="4:4">
      <c r="D682" t="str">
        <v>DOC-00944</v>
      </c>
    </row>
    <row r="683" spans="4:4">
      <c r="D683" t="str">
        <v>DOC-00945</v>
      </c>
    </row>
    <row r="684" spans="4:4">
      <c r="D684" t="str">
        <v>DOC-00947</v>
      </c>
    </row>
    <row r="685" spans="4:4">
      <c r="D685" t="str">
        <v>DOC-00948</v>
      </c>
    </row>
    <row r="686" spans="4:4">
      <c r="D686" t="str">
        <v>DOC-00949</v>
      </c>
    </row>
    <row r="687" spans="4:4">
      <c r="D687" t="str">
        <v>DOC-00950</v>
      </c>
    </row>
    <row r="688" spans="4:4">
      <c r="D688" t="str">
        <v>DOC-00951</v>
      </c>
    </row>
    <row r="689" spans="4:4">
      <c r="D689" t="str">
        <v>DOC-00952</v>
      </c>
    </row>
    <row r="690" spans="4:4">
      <c r="D690" t="str">
        <v>DOC-00953</v>
      </c>
    </row>
    <row r="691" spans="4:4">
      <c r="D691" t="str">
        <v>DOC-00954</v>
      </c>
    </row>
    <row r="692" spans="4:4">
      <c r="D692" t="str">
        <v>DOC-00955</v>
      </c>
    </row>
    <row r="693" spans="4:4">
      <c r="D693" t="str">
        <v>DOC-00958</v>
      </c>
    </row>
    <row r="694" spans="4:4">
      <c r="D694" t="str">
        <v>DOC-00959</v>
      </c>
    </row>
    <row r="695" spans="4:4">
      <c r="D695" t="str">
        <v>DOC-00960</v>
      </c>
    </row>
    <row r="696" spans="4:4">
      <c r="D696" t="str">
        <v>DOC-00961</v>
      </c>
    </row>
    <row r="697" spans="4:4">
      <c r="D697" t="str">
        <v>DOC-00963</v>
      </c>
    </row>
    <row r="698" spans="4:4">
      <c r="D698" t="str">
        <v>DOC-00964</v>
      </c>
    </row>
    <row r="699" spans="4:4">
      <c r="D699" t="str">
        <v>DOC-00965</v>
      </c>
    </row>
    <row r="700" spans="4:4">
      <c r="D700" t="str">
        <v>DOC-00966</v>
      </c>
    </row>
    <row r="701" spans="4:4">
      <c r="D701" t="str">
        <v>DOC-00967</v>
      </c>
    </row>
    <row r="702" spans="4:4">
      <c r="D702" t="str">
        <v>DOC-00968</v>
      </c>
    </row>
    <row r="703" spans="4:4">
      <c r="D703" t="str">
        <v>DOC-00969</v>
      </c>
    </row>
    <row r="704" spans="4:4">
      <c r="D704" t="str">
        <v>DOC-00970</v>
      </c>
    </row>
    <row r="705" spans="4:4">
      <c r="D705" t="str">
        <v>DOC-00971</v>
      </c>
    </row>
    <row r="706" spans="4:4">
      <c r="D706" t="str">
        <v>DOC-00972</v>
      </c>
    </row>
    <row r="707" spans="4:4">
      <c r="D707" t="str">
        <v>DOC-00973</v>
      </c>
    </row>
    <row r="708" spans="4:4">
      <c r="D708" t="str">
        <v>DOC-00975</v>
      </c>
    </row>
    <row r="709" spans="4:4">
      <c r="D709" t="str">
        <v>DOC-00976</v>
      </c>
    </row>
    <row r="710" spans="4:4">
      <c r="D710" t="str">
        <v>DOC-00977</v>
      </c>
    </row>
    <row r="711" spans="4:4">
      <c r="D711" t="str">
        <v>DOC-00978</v>
      </c>
    </row>
    <row r="712" spans="4:4">
      <c r="D712" t="str">
        <v>DOC-00979</v>
      </c>
    </row>
    <row r="713" spans="4:4">
      <c r="D713" t="str">
        <v>DOC-00980</v>
      </c>
    </row>
    <row r="714" spans="4:4">
      <c r="D714" t="str">
        <v>DOC-00981</v>
      </c>
    </row>
    <row r="715" spans="4:4">
      <c r="D715" t="str">
        <v>DOC-00982</v>
      </c>
    </row>
    <row r="716" spans="4:4">
      <c r="D716" t="str">
        <v>DOC-00984</v>
      </c>
    </row>
    <row r="717" spans="4:4">
      <c r="D717" t="str">
        <v>DOC-00985</v>
      </c>
    </row>
    <row r="718" spans="4:4">
      <c r="D718" t="str">
        <v>DOC-00986</v>
      </c>
    </row>
    <row r="719" spans="4:4">
      <c r="D719" t="str">
        <v>DOC-00987</v>
      </c>
    </row>
    <row r="720" spans="4:4">
      <c r="D720" t="str">
        <v>DOC-00988</v>
      </c>
    </row>
    <row r="721" spans="4:4">
      <c r="D721" t="str">
        <v>DOC-00989</v>
      </c>
    </row>
    <row r="722" spans="4:4">
      <c r="D722" t="str">
        <v>DOC-00991</v>
      </c>
    </row>
    <row r="723" spans="4:4">
      <c r="D723" t="str">
        <v>DOC-00992</v>
      </c>
    </row>
    <row r="724" spans="4:4">
      <c r="D724" t="str">
        <v>DOC-00993</v>
      </c>
    </row>
    <row r="725" spans="4:4">
      <c r="D725" t="str">
        <v>DOC-00995</v>
      </c>
    </row>
    <row r="726" spans="4:4">
      <c r="D726" t="str">
        <v>DOC-00997</v>
      </c>
    </row>
    <row r="727" spans="4:4">
      <c r="D727" t="str">
        <v>DOC-00999</v>
      </c>
    </row>
    <row r="728" spans="4:4">
      <c r="D728" t="str">
        <v>DOC-01000</v>
      </c>
    </row>
    <row r="729" spans="4:4">
      <c r="D729" t="str">
        <v>DOC-01001</v>
      </c>
    </row>
    <row r="730" spans="4:4">
      <c r="D730" t="str">
        <v>DOC-01003</v>
      </c>
    </row>
    <row r="731" spans="4:4">
      <c r="D731" t="str">
        <v>DOC-01004</v>
      </c>
    </row>
    <row r="732" spans="4:4">
      <c r="D732" t="str">
        <v>DOC-01005</v>
      </c>
    </row>
    <row r="733" spans="4:4">
      <c r="D733" t="str">
        <v>DOC-01006</v>
      </c>
    </row>
    <row r="734" spans="4:4">
      <c r="D734" t="str">
        <v>DOC-01007</v>
      </c>
    </row>
    <row r="735" spans="4:4">
      <c r="D735" t="str">
        <v>DOC-01009</v>
      </c>
    </row>
    <row r="736" spans="4:4">
      <c r="D736" t="str">
        <v>DOC-01010</v>
      </c>
    </row>
    <row r="737" spans="4:4">
      <c r="D737" t="str">
        <v>DOC-01011</v>
      </c>
    </row>
    <row r="738" spans="4:4">
      <c r="D738" t="str">
        <v>DOC-01013</v>
      </c>
    </row>
    <row r="739" spans="4:4">
      <c r="D739" t="str">
        <v>DOC-01015</v>
      </c>
    </row>
    <row r="740" spans="4:4">
      <c r="D740" t="str">
        <v>DOC-01016</v>
      </c>
    </row>
    <row r="741" spans="4:4">
      <c r="D741" t="str">
        <v>DOC-01017</v>
      </c>
    </row>
    <row r="742" spans="4:4">
      <c r="D742" t="str">
        <v>DOC-01018</v>
      </c>
    </row>
    <row r="743" spans="4:4">
      <c r="D743" t="str">
        <v>DOC-01019</v>
      </c>
    </row>
    <row r="744" spans="4:4">
      <c r="D744" t="str">
        <v>DOC-01020</v>
      </c>
    </row>
    <row r="745" spans="4:4">
      <c r="D745" t="str">
        <v>DOC-01021</v>
      </c>
    </row>
    <row r="746" spans="4:4">
      <c r="D746" t="str">
        <v>DOC-01023</v>
      </c>
    </row>
    <row r="747" spans="4:4">
      <c r="D747" t="str">
        <v>DOC-01024</v>
      </c>
    </row>
    <row r="748" spans="4:4">
      <c r="D748" t="str">
        <v>DOC-01025</v>
      </c>
    </row>
    <row r="749" spans="4:4">
      <c r="D749" t="str">
        <v>DOC-01028</v>
      </c>
    </row>
    <row r="750" spans="4:4">
      <c r="D750" t="str">
        <v>DOC-01029</v>
      </c>
    </row>
    <row r="751" spans="4:4">
      <c r="D751" t="str">
        <v>DOC-01030</v>
      </c>
    </row>
    <row r="752" spans="4:4">
      <c r="D752" t="str">
        <v>DOC-01031</v>
      </c>
    </row>
    <row r="753" spans="4:4">
      <c r="D753" t="str">
        <v>DOC-01032</v>
      </c>
    </row>
    <row r="754" spans="4:4">
      <c r="D754" t="str">
        <v>DOC-01034</v>
      </c>
    </row>
    <row r="755" spans="4:4">
      <c r="D755" t="str">
        <v>DOC-01035</v>
      </c>
    </row>
    <row r="756" spans="4:4">
      <c r="D756" t="str">
        <v>DOC-01036</v>
      </c>
    </row>
    <row r="757" spans="4:4">
      <c r="D757" t="str">
        <v>DOC-01038</v>
      </c>
    </row>
    <row r="758" spans="4:4">
      <c r="D758" t="str">
        <v>DOC-01040</v>
      </c>
    </row>
    <row r="759" spans="4:4">
      <c r="D759" t="str">
        <v>DOC-01041</v>
      </c>
    </row>
    <row r="760" spans="4:4">
      <c r="D760" t="str">
        <v>DOC-01042</v>
      </c>
    </row>
    <row r="761" spans="4:4">
      <c r="D761" t="str">
        <v>DOC-01044</v>
      </c>
    </row>
    <row r="762" spans="4:4">
      <c r="D762" t="str">
        <v>DOC-01045</v>
      </c>
    </row>
    <row r="763" spans="4:4">
      <c r="D763" t="str">
        <v>DOC-01047</v>
      </c>
    </row>
    <row r="764" spans="4:4">
      <c r="D764" t="str">
        <v>DOC-01048</v>
      </c>
    </row>
    <row r="765" spans="4:4">
      <c r="D765" t="str">
        <v>DOC-01049</v>
      </c>
    </row>
    <row r="766" spans="4:4">
      <c r="D766" t="str">
        <v>DOC-01050</v>
      </c>
    </row>
    <row r="767" spans="4:4">
      <c r="D767" t="str">
        <v>DOC-01051</v>
      </c>
    </row>
    <row r="768" spans="4:4">
      <c r="D768" t="str">
        <v>DOC-01052</v>
      </c>
    </row>
    <row r="769" spans="4:4">
      <c r="D769" t="str">
        <v>DOC-01053</v>
      </c>
    </row>
    <row r="770" spans="4:4">
      <c r="D770" t="str">
        <v>DOC-01054</v>
      </c>
    </row>
    <row r="771" spans="4:4">
      <c r="D771" t="str">
        <v>DOC-01056</v>
      </c>
    </row>
    <row r="772" spans="4:4">
      <c r="D772" t="str">
        <v>DOC-01057</v>
      </c>
    </row>
    <row r="773" spans="4:4">
      <c r="D773" t="str">
        <v>DOC-01058</v>
      </c>
    </row>
    <row r="774" spans="4:4">
      <c r="D774" t="str">
        <v>DOC-01059</v>
      </c>
    </row>
    <row r="775" spans="4:4">
      <c r="D775" t="str">
        <v>DOC-01060</v>
      </c>
    </row>
    <row r="776" spans="4:4">
      <c r="D776" t="str">
        <v>DOC-01062</v>
      </c>
    </row>
    <row r="777" spans="4:4">
      <c r="D777" t="str">
        <v>DOC-01064</v>
      </c>
    </row>
    <row r="778" spans="4:4">
      <c r="D778" t="str">
        <v>DOC-01065</v>
      </c>
    </row>
    <row r="779" spans="4:4">
      <c r="D779" t="str">
        <v>DOC-01066</v>
      </c>
    </row>
    <row r="780" spans="4:4">
      <c r="D780" t="str">
        <v>DOC-01067</v>
      </c>
    </row>
    <row r="781" spans="4:4">
      <c r="D781" t="str">
        <v>DOC-01070</v>
      </c>
    </row>
    <row r="782" spans="4:4">
      <c r="D782" t="str">
        <v>DOC-01071</v>
      </c>
    </row>
    <row r="783" spans="4:4">
      <c r="D783" t="str">
        <v>DOC-01076</v>
      </c>
    </row>
    <row r="784" spans="4:4">
      <c r="D784" t="str">
        <v>DOC-01089</v>
      </c>
    </row>
    <row r="785" spans="4:4">
      <c r="D785" t="str">
        <v>DOC-01090</v>
      </c>
    </row>
    <row r="786" spans="4:4">
      <c r="D786" t="str">
        <v>DOC-01091</v>
      </c>
    </row>
    <row r="787" spans="4:4">
      <c r="D787" t="str">
        <v>DOC-01092</v>
      </c>
    </row>
    <row r="788" spans="4:4">
      <c r="D788" t="str">
        <v>DOC-01093</v>
      </c>
    </row>
    <row r="789" spans="4:4">
      <c r="D789" t="str">
        <v>DOC-01094</v>
      </c>
    </row>
    <row r="790" spans="4:4">
      <c r="D790" t="str">
        <v>DOC-01095</v>
      </c>
    </row>
    <row r="791" spans="4:4">
      <c r="D791" t="str">
        <v>DOC-01096</v>
      </c>
    </row>
    <row r="792" spans="4:4">
      <c r="D792" t="str">
        <v>DOC-01097</v>
      </c>
    </row>
    <row r="793" spans="4:4">
      <c r="D793" t="str">
        <v>DOC-01099</v>
      </c>
    </row>
    <row r="794" spans="4:4">
      <c r="D794" t="str">
        <v>DOC-01100</v>
      </c>
    </row>
    <row r="795" spans="4:4">
      <c r="D795" t="str">
        <v>DOC-01101</v>
      </c>
    </row>
    <row r="796" spans="4:4">
      <c r="D796" t="str">
        <v>DOC-01102</v>
      </c>
    </row>
    <row r="797" spans="4:4">
      <c r="D797" t="str">
        <v>DOC-01103</v>
      </c>
    </row>
    <row r="798" spans="4:4">
      <c r="D798" t="str">
        <v>DOC-01105</v>
      </c>
    </row>
    <row r="799" spans="4:4">
      <c r="D799" t="str">
        <v>DOC-01106</v>
      </c>
    </row>
    <row r="800" spans="4:4">
      <c r="D800" t="str">
        <v>DOC-01107</v>
      </c>
    </row>
    <row r="801" spans="4:4">
      <c r="D801" t="str">
        <v>DOC-01108</v>
      </c>
    </row>
    <row r="802" spans="4:4">
      <c r="D802" t="str">
        <v>DOC-01109</v>
      </c>
    </row>
    <row r="803" spans="4:4">
      <c r="D803" t="str">
        <v>DOC-01111</v>
      </c>
    </row>
    <row r="804" spans="4:4">
      <c r="D804" t="str">
        <v>DOC-01112</v>
      </c>
    </row>
    <row r="805" spans="4:4">
      <c r="D805" t="str">
        <v>DOC-01113</v>
      </c>
    </row>
    <row r="806" spans="4:4">
      <c r="D806" t="str">
        <v>DOC-01114</v>
      </c>
    </row>
    <row r="807" spans="4:4">
      <c r="D807" t="str">
        <v>DOC-01115</v>
      </c>
    </row>
    <row r="808" spans="4:4">
      <c r="D808" t="str">
        <v>DOC-01116</v>
      </c>
    </row>
    <row r="809" spans="4:4">
      <c r="D809" t="str">
        <v>DOC-01118</v>
      </c>
    </row>
    <row r="810" spans="4:4">
      <c r="D810" t="str">
        <v>DOC-01119</v>
      </c>
    </row>
    <row r="811" spans="4:4">
      <c r="D811" t="str">
        <v>DOC-01120</v>
      </c>
    </row>
    <row r="812" spans="4:4">
      <c r="D812" t="str">
        <v>DOC-01122</v>
      </c>
    </row>
    <row r="813" spans="4:4">
      <c r="D813" t="str">
        <v>DOC-01124</v>
      </c>
    </row>
    <row r="814" spans="4:4">
      <c r="D814" t="str">
        <v>DOC-01125</v>
      </c>
    </row>
    <row r="815" spans="4:4">
      <c r="D815" t="str">
        <v>DOC-01126</v>
      </c>
    </row>
    <row r="816" spans="4:4">
      <c r="D816" t="str">
        <v>DOC-01127</v>
      </c>
    </row>
    <row r="817" spans="4:4">
      <c r="D817" t="str">
        <v>DOC-01128</v>
      </c>
    </row>
    <row r="818" spans="4:4">
      <c r="D818" t="str">
        <v>DOC-01130</v>
      </c>
    </row>
    <row r="819" spans="4:4">
      <c r="D819" t="str">
        <v>DOC-01131</v>
      </c>
    </row>
    <row r="820" spans="4:4">
      <c r="D820" t="str">
        <v>DOC-01132</v>
      </c>
    </row>
    <row r="821" spans="4:4">
      <c r="D821" t="str">
        <v>DOC-01133</v>
      </c>
    </row>
    <row r="822" spans="4:4">
      <c r="D822" t="str">
        <v>DOC-01134</v>
      </c>
    </row>
    <row r="823" spans="4:4">
      <c r="D823" t="str">
        <v>DOC-01136</v>
      </c>
    </row>
    <row r="824" spans="4:4">
      <c r="D824" t="str">
        <v>DOC-01137</v>
      </c>
    </row>
    <row r="825" spans="4:4">
      <c r="D825" t="str">
        <v>DOC-01138</v>
      </c>
    </row>
    <row r="826" spans="4:4">
      <c r="D826" t="str">
        <v>DOC-01139</v>
      </c>
    </row>
    <row r="827" spans="4:4">
      <c r="D827" t="str">
        <v>DOC-01140</v>
      </c>
    </row>
    <row r="828" spans="4:4">
      <c r="D828" t="str">
        <v>DOC-01141</v>
      </c>
    </row>
    <row r="829" spans="4:4">
      <c r="D829" t="str">
        <v>DOC-01142</v>
      </c>
    </row>
    <row r="830" spans="4:4">
      <c r="D830" t="str">
        <v>DOC-01143</v>
      </c>
    </row>
    <row r="831" spans="4:4">
      <c r="D831" t="str">
        <v>DOC-01144</v>
      </c>
    </row>
    <row r="832" spans="4:4">
      <c r="D832" t="str">
        <v>DOC-01145</v>
      </c>
    </row>
    <row r="833" spans="4:4">
      <c r="D833" t="str">
        <v>DOC-01146</v>
      </c>
    </row>
    <row r="834" spans="4:4">
      <c r="D834" t="str">
        <v>DOC-01148</v>
      </c>
    </row>
    <row r="835" spans="4:4">
      <c r="D835" t="str">
        <v>DOC-01149</v>
      </c>
    </row>
    <row r="836" spans="4:4">
      <c r="D836" t="str">
        <v>DOC-01150</v>
      </c>
    </row>
    <row r="837" spans="4:4">
      <c r="D837" t="str">
        <v>DOC-01151</v>
      </c>
    </row>
    <row r="838" spans="4:4">
      <c r="D838" t="str">
        <v>DOC-01152</v>
      </c>
    </row>
    <row r="839" spans="4:4">
      <c r="D839" t="str">
        <v>DOC-01154</v>
      </c>
    </row>
    <row r="840" spans="4:4">
      <c r="D840" t="str">
        <v>DOC-01155</v>
      </c>
    </row>
    <row r="841" spans="4:4">
      <c r="D841" t="str">
        <v>DOC-01156</v>
      </c>
    </row>
    <row r="842" spans="4:4">
      <c r="D842" t="str">
        <v>DOC-01158</v>
      </c>
    </row>
    <row r="843" spans="4:4">
      <c r="D843" t="str">
        <v>DOC-01160</v>
      </c>
    </row>
    <row r="844" spans="4:4">
      <c r="D844" t="str">
        <v>DOC-01161</v>
      </c>
    </row>
    <row r="845" spans="4:4">
      <c r="D845" t="str">
        <v>DOC-01162</v>
      </c>
    </row>
    <row r="846" spans="4:4">
      <c r="D846" t="str">
        <v>DOC-01163</v>
      </c>
    </row>
    <row r="847" spans="4:4">
      <c r="D847" t="str">
        <v>DOC-01164</v>
      </c>
    </row>
    <row r="848" spans="4:4">
      <c r="D848" t="str">
        <v>DOC-01166</v>
      </c>
    </row>
    <row r="849" spans="4:4">
      <c r="D849" t="str">
        <v>DOC-01167</v>
      </c>
    </row>
    <row r="850" spans="4:4">
      <c r="D850" t="str">
        <v>DOC-01168</v>
      </c>
    </row>
    <row r="851" spans="4:4">
      <c r="D851" t="str">
        <v>DOC-01169</v>
      </c>
    </row>
    <row r="852" spans="4:4">
      <c r="D852" t="str">
        <v>DOC-01170</v>
      </c>
    </row>
    <row r="853" spans="4:4">
      <c r="D853" t="str">
        <v>DOC-01172</v>
      </c>
    </row>
    <row r="854" spans="4:4">
      <c r="D854" t="str">
        <v>DOC-01173</v>
      </c>
    </row>
    <row r="855" spans="4:4">
      <c r="D855" t="str">
        <v>DOC-01174</v>
      </c>
    </row>
    <row r="856" spans="4:4">
      <c r="D856" t="str">
        <v>DOC-01175</v>
      </c>
    </row>
    <row r="857" spans="4:4">
      <c r="D857" t="str">
        <v>DOC-01176</v>
      </c>
    </row>
    <row r="858" spans="4:4">
      <c r="D858" t="str">
        <v>DOC-01177</v>
      </c>
    </row>
    <row r="859" spans="4:4">
      <c r="D859" t="str">
        <v>DOC-01179</v>
      </c>
    </row>
    <row r="860" spans="4:4">
      <c r="D860" t="str">
        <v>DOC-01180</v>
      </c>
    </row>
    <row r="861" spans="4:4">
      <c r="D861" t="str">
        <v>DOC-01181</v>
      </c>
    </row>
    <row r="862" spans="4:4">
      <c r="D862" t="str">
        <v>DOC-01182</v>
      </c>
    </row>
    <row r="863" spans="4:4">
      <c r="D863" t="str">
        <v>DOC-01183</v>
      </c>
    </row>
    <row r="864" spans="4:4">
      <c r="D864" t="str">
        <v>DOC-01184</v>
      </c>
    </row>
    <row r="865" spans="4:4">
      <c r="D865" t="str">
        <v>DOC-01185</v>
      </c>
    </row>
    <row r="866" spans="4:4">
      <c r="D866" t="str">
        <v>DOC-01186</v>
      </c>
    </row>
    <row r="867" spans="4:4">
      <c r="D867" t="str">
        <v>DOC-01187</v>
      </c>
    </row>
    <row r="868" spans="4:4">
      <c r="D868" t="str">
        <v>DOC-01188</v>
      </c>
    </row>
    <row r="869" spans="4:4">
      <c r="D869" t="str">
        <v>DOC-01191</v>
      </c>
    </row>
    <row r="870" spans="4:4">
      <c r="D870" t="str">
        <v>DOC-01192</v>
      </c>
    </row>
    <row r="871" spans="4:4">
      <c r="D871" t="str">
        <v>DOC-01193</v>
      </c>
    </row>
    <row r="872" spans="4:4">
      <c r="D872" t="str">
        <v>DOC-01194</v>
      </c>
    </row>
    <row r="873" spans="4:4">
      <c r="D873" t="str">
        <v>DOC-01195</v>
      </c>
    </row>
    <row r="874" spans="4:4">
      <c r="D874" t="str">
        <v>DOC-01197</v>
      </c>
    </row>
    <row r="875" spans="4:4">
      <c r="D875" t="str">
        <v>DOC-01198</v>
      </c>
    </row>
    <row r="876" spans="4:4">
      <c r="D876" t="str">
        <v>DOC-01199</v>
      </c>
    </row>
    <row r="877" spans="4:4">
      <c r="D877" t="str">
        <v>DOC-01200</v>
      </c>
    </row>
    <row r="878" spans="4:4">
      <c r="D878" t="str">
        <v>DOC-01201</v>
      </c>
    </row>
    <row r="879" spans="4:4">
      <c r="D879" t="str">
        <v>DOC-01203</v>
      </c>
    </row>
    <row r="880" spans="4:4">
      <c r="D880" t="str">
        <v>DOC-01205</v>
      </c>
    </row>
    <row r="881" spans="4:4">
      <c r="D881" t="str">
        <v>DOC-01206</v>
      </c>
    </row>
    <row r="882" spans="4:4">
      <c r="D882" t="str">
        <v>DOC-01207</v>
      </c>
    </row>
    <row r="883" spans="4:4">
      <c r="D883" t="str">
        <v>DOC-01209</v>
      </c>
    </row>
    <row r="884" spans="4:4">
      <c r="D884" t="str">
        <v>DOC-01210</v>
      </c>
    </row>
    <row r="885" spans="4:4">
      <c r="D885" t="str">
        <v>DOC-01211</v>
      </c>
    </row>
    <row r="886" spans="4:4">
      <c r="D886" t="str">
        <v>DOC-01212</v>
      </c>
    </row>
    <row r="887" spans="4:4">
      <c r="D887" t="str">
        <v>DOC-01215</v>
      </c>
    </row>
    <row r="888" spans="4:4">
      <c r="D888" t="str">
        <v>DOC-01216</v>
      </c>
    </row>
    <row r="889" spans="4:4">
      <c r="D889" t="str">
        <v>DOC-01217</v>
      </c>
    </row>
    <row r="890" spans="4:4">
      <c r="D890" t="str">
        <v>DOC-01218</v>
      </c>
    </row>
    <row r="891" spans="4:4">
      <c r="D891" t="str">
        <v>DOC-01219</v>
      </c>
    </row>
    <row r="892" spans="4:4">
      <c r="D892" t="str">
        <v>DOC-01221</v>
      </c>
    </row>
    <row r="893" spans="4:4">
      <c r="D893" t="str">
        <v>DOC-01222</v>
      </c>
    </row>
    <row r="894" spans="4:4">
      <c r="D894" t="str">
        <v>DOC-01223</v>
      </c>
    </row>
    <row r="895" spans="4:4">
      <c r="D895" t="str">
        <v>DOC-01224</v>
      </c>
    </row>
    <row r="896" spans="4:4">
      <c r="D896" t="str">
        <v>DOC-01225</v>
      </c>
    </row>
    <row r="897" spans="4:4">
      <c r="D897" t="str">
        <v>DOC-01227</v>
      </c>
    </row>
    <row r="898" spans="4:4">
      <c r="D898" t="str">
        <v>DOC-01228</v>
      </c>
    </row>
    <row r="899" spans="4:4">
      <c r="D899" t="str">
        <v>DOC-01230</v>
      </c>
    </row>
    <row r="900" spans="4:4">
      <c r="D900" t="str">
        <v>DOC-01231</v>
      </c>
    </row>
    <row r="901" spans="4:4">
      <c r="D901" t="str">
        <v>DOC-01233</v>
      </c>
    </row>
    <row r="902" spans="4:4">
      <c r="D902" t="str">
        <v>DOC-01234</v>
      </c>
    </row>
    <row r="903" spans="4:4">
      <c r="D903" t="str">
        <v>DOC-01235</v>
      </c>
    </row>
    <row r="904" spans="4:4">
      <c r="D904" t="str">
        <v>DOC-01236</v>
      </c>
    </row>
    <row r="905" spans="4:4">
      <c r="D905" t="str">
        <v>DOC-01237</v>
      </c>
    </row>
    <row r="906" spans="4:4">
      <c r="D906" t="str">
        <v>DOC-01238</v>
      </c>
    </row>
    <row r="907" spans="4:4">
      <c r="D907" t="str">
        <v>DOC-01240</v>
      </c>
    </row>
    <row r="908" spans="4:4">
      <c r="D908" t="str">
        <v>DOC-01241</v>
      </c>
    </row>
    <row r="909" spans="4:4">
      <c r="D909" t="str">
        <v>DOC-01242</v>
      </c>
    </row>
    <row r="910" spans="4:4">
      <c r="D910" t="str">
        <v>DOC-01243</v>
      </c>
    </row>
    <row r="911" spans="4:4">
      <c r="D911" t="str">
        <v>DOC-01245</v>
      </c>
    </row>
    <row r="912" spans="4:4">
      <c r="D912" t="str">
        <v>DOC-01246</v>
      </c>
    </row>
    <row r="913" spans="4:4">
      <c r="D913" t="str">
        <v>DOC-01247</v>
      </c>
    </row>
    <row r="914" spans="4:4">
      <c r="D914" t="str">
        <v>DOC-01248</v>
      </c>
    </row>
    <row r="915" spans="4:4">
      <c r="D915" t="str">
        <v>DOC-01249</v>
      </c>
    </row>
    <row r="916" spans="4:4">
      <c r="D916" t="str">
        <v>DOC-01250</v>
      </c>
    </row>
    <row r="917" spans="4:4">
      <c r="D917" t="str">
        <v>DOC-01251</v>
      </c>
    </row>
    <row r="918" spans="4:4">
      <c r="D918" t="str">
        <v>DOC-01252</v>
      </c>
    </row>
    <row r="919" spans="4:4">
      <c r="D919" t="str">
        <v>DOC-01253</v>
      </c>
    </row>
    <row r="920" spans="4:4">
      <c r="D920" t="str">
        <v>DOC-01254</v>
      </c>
    </row>
    <row r="921" spans="4:4">
      <c r="D921" t="str">
        <v>DOC-01255</v>
      </c>
    </row>
    <row r="922" spans="4:4">
      <c r="D922" t="str">
        <v>DOC-01256</v>
      </c>
    </row>
    <row r="923" spans="4:4">
      <c r="D923" t="str">
        <v>DOC-01257</v>
      </c>
    </row>
    <row r="924" spans="4:4">
      <c r="D924" t="str">
        <v>DOC-01258</v>
      </c>
    </row>
    <row r="925" spans="4:4">
      <c r="D925" t="str">
        <v>DOC-01259</v>
      </c>
    </row>
    <row r="926" spans="4:4">
      <c r="D926" t="str">
        <v>DOC-01260</v>
      </c>
    </row>
    <row r="927" spans="4:4">
      <c r="D927" t="str">
        <v>DOC-01261</v>
      </c>
    </row>
    <row r="928" spans="4:4">
      <c r="D928" t="str">
        <v>DOC-01262</v>
      </c>
    </row>
    <row r="929" spans="4:4">
      <c r="D929" t="str">
        <v>DOC-01263</v>
      </c>
    </row>
    <row r="930" spans="4:4">
      <c r="D930" t="str">
        <v>DOC-01264</v>
      </c>
    </row>
    <row r="931" spans="4:4">
      <c r="D931" t="str">
        <v>DOC-01265</v>
      </c>
    </row>
    <row r="932" spans="4:4">
      <c r="D932" t="str">
        <v>DOC-01266</v>
      </c>
    </row>
    <row r="933" spans="4:4">
      <c r="D933" t="str">
        <v>DOC-01267</v>
      </c>
    </row>
    <row r="934" spans="4:4">
      <c r="D934" t="str">
        <v>DOC-01269</v>
      </c>
    </row>
    <row r="935" spans="4:4">
      <c r="D935" t="str">
        <v>DOC-01270</v>
      </c>
    </row>
    <row r="936" spans="4:4">
      <c r="D936" t="str">
        <v>DOC-01271</v>
      </c>
    </row>
    <row r="937" spans="4:4">
      <c r="D937" t="str">
        <v>DOC-01273</v>
      </c>
    </row>
    <row r="938" spans="4:4">
      <c r="D938" t="str">
        <v>DOC-01274</v>
      </c>
    </row>
    <row r="939" spans="4:4">
      <c r="D939" t="str">
        <v>DOC-01275</v>
      </c>
    </row>
    <row r="940" spans="4:4">
      <c r="D940" t="str">
        <v>DOC-01276</v>
      </c>
    </row>
    <row r="941" spans="4:4">
      <c r="D941" t="str">
        <v>DOC-01277</v>
      </c>
    </row>
    <row r="942" spans="4:4">
      <c r="D942" t="str">
        <v>DOC-01278</v>
      </c>
    </row>
    <row r="943" spans="4:4">
      <c r="D943" t="str">
        <v>DOC-01279</v>
      </c>
    </row>
    <row r="944" spans="4:4">
      <c r="D944" t="str">
        <v>DOC-01280</v>
      </c>
    </row>
    <row r="945" spans="4:4">
      <c r="D945" t="str">
        <v>DOC-01281</v>
      </c>
    </row>
    <row r="946" spans="4:4">
      <c r="D946" t="str">
        <v>DOC-01282</v>
      </c>
    </row>
    <row r="947" spans="4:4">
      <c r="D947" t="str">
        <v>DOC-01283</v>
      </c>
    </row>
    <row r="948" spans="4:4">
      <c r="D948" t="str">
        <v>DOC-01285</v>
      </c>
    </row>
    <row r="949" spans="4:4">
      <c r="D949" t="str">
        <v>DOC-01286</v>
      </c>
    </row>
    <row r="950" spans="4:4">
      <c r="D950" t="str">
        <v>DOC-01287</v>
      </c>
    </row>
    <row r="951" spans="4:4">
      <c r="D951" t="str">
        <v>DOC-01288</v>
      </c>
    </row>
    <row r="952" spans="4:4">
      <c r="D952" t="str">
        <v>DOC-01289</v>
      </c>
    </row>
    <row r="953" spans="4:4">
      <c r="D953" t="str">
        <v>DOC-01291</v>
      </c>
    </row>
    <row r="954" spans="4:4">
      <c r="D954" t="str">
        <v>DOC-01292</v>
      </c>
    </row>
    <row r="955" spans="4:4">
      <c r="D955" t="str">
        <v>DOC-01294</v>
      </c>
    </row>
    <row r="956" spans="4:4">
      <c r="D956" t="str">
        <v>DOC-01295</v>
      </c>
    </row>
    <row r="957" spans="4:4">
      <c r="D957" t="str">
        <v>DOC-01296</v>
      </c>
    </row>
    <row r="958" spans="4:4">
      <c r="D958" t="str">
        <v>DOC-01297</v>
      </c>
    </row>
    <row r="959" spans="4:4">
      <c r="D959" t="str">
        <v>DOC-01298</v>
      </c>
    </row>
    <row r="960" spans="4:4">
      <c r="D960" t="str">
        <v>DOC-01299</v>
      </c>
    </row>
    <row r="961" spans="4:4">
      <c r="D961" t="str">
        <v>DOC-01301</v>
      </c>
    </row>
    <row r="962" spans="4:4">
      <c r="D962" t="str">
        <v>DOC-01302</v>
      </c>
    </row>
    <row r="963" spans="4:4">
      <c r="D963" t="str">
        <v>DOC-01303</v>
      </c>
    </row>
    <row r="964" spans="4:4">
      <c r="D964" t="str">
        <v>DOC-01304</v>
      </c>
    </row>
    <row r="965" spans="4:4">
      <c r="D965" t="str">
        <v>DOC-01305</v>
      </c>
    </row>
    <row r="966" spans="4:4">
      <c r="D966" t="str">
        <v>DOC-01306</v>
      </c>
    </row>
    <row r="967" spans="4:4">
      <c r="D967" t="str">
        <v>DOC-01307</v>
      </c>
    </row>
    <row r="968" spans="4:4">
      <c r="D968" t="str">
        <v>DOC-01309</v>
      </c>
    </row>
    <row r="969" spans="4:4">
      <c r="D969" t="str">
        <v>DOC-01310</v>
      </c>
    </row>
    <row r="970" spans="4:4">
      <c r="D970" t="str">
        <v>DOC-01311</v>
      </c>
    </row>
    <row r="971" spans="4:4">
      <c r="D971" t="str">
        <v>DOC-01313</v>
      </c>
    </row>
    <row r="972" spans="4:4">
      <c r="D972" t="str">
        <v>DOC-01314</v>
      </c>
    </row>
    <row r="973" spans="4:4">
      <c r="D973" t="str">
        <v>DOC-01315</v>
      </c>
    </row>
    <row r="974" spans="4:4">
      <c r="D974" t="str">
        <v>DOC-01316</v>
      </c>
    </row>
    <row r="975" spans="4:4">
      <c r="D975" t="str">
        <v>DOC-01317</v>
      </c>
    </row>
    <row r="976" spans="4:4">
      <c r="D976" t="str">
        <v>DOC-01318</v>
      </c>
    </row>
    <row r="977" spans="4:4">
      <c r="D977" t="str">
        <v>DOC-01319</v>
      </c>
    </row>
    <row r="978" spans="4:4">
      <c r="D978" t="str">
        <v>DOC-01320</v>
      </c>
    </row>
    <row r="979" spans="4:4">
      <c r="D979" t="str">
        <v>DOC-01321</v>
      </c>
    </row>
    <row r="980" spans="4:4">
      <c r="D980" t="str">
        <v>DOC-01322</v>
      </c>
    </row>
    <row r="981" spans="4:4">
      <c r="D981" t="str">
        <v>DOC-01323</v>
      </c>
    </row>
    <row r="982" spans="4:4">
      <c r="D982" t="str">
        <v>DOC-01324</v>
      </c>
    </row>
    <row r="983" spans="4:4">
      <c r="D983" t="str">
        <v>DOC-01325</v>
      </c>
    </row>
    <row r="984" spans="4:4">
      <c r="D984" t="str">
        <v>DOC-01326</v>
      </c>
    </row>
    <row r="985" spans="4:4">
      <c r="D985" t="str">
        <v>DOC-01327</v>
      </c>
    </row>
    <row r="986" spans="4:4">
      <c r="D986" t="str">
        <v>DOC-01329</v>
      </c>
    </row>
    <row r="987" spans="4:4">
      <c r="D987" t="str">
        <v>DOC-01330</v>
      </c>
    </row>
    <row r="988" spans="4:4">
      <c r="D988" t="str">
        <v>DOC-01331</v>
      </c>
    </row>
    <row r="989" spans="4:4">
      <c r="D989" t="str">
        <v>DOC-01332</v>
      </c>
    </row>
    <row r="990" spans="4:4">
      <c r="D990" t="str">
        <v>DOC-01333</v>
      </c>
    </row>
    <row r="991" spans="4:4">
      <c r="D991" t="str">
        <v>DOC-01334</v>
      </c>
    </row>
    <row r="992" spans="4:4">
      <c r="D992" t="str">
        <v>DOC-01335</v>
      </c>
    </row>
    <row r="993" spans="4:4">
      <c r="D993" t="str">
        <v>DOC-01336</v>
      </c>
    </row>
    <row r="994" spans="4:4">
      <c r="D994" t="str">
        <v>DOC-01337</v>
      </c>
    </row>
    <row r="995" spans="4:4">
      <c r="D995" t="str">
        <v>DOC-01339</v>
      </c>
    </row>
    <row r="996" spans="4:4">
      <c r="D996" t="str">
        <v>DOC-01341</v>
      </c>
    </row>
    <row r="997" spans="4:4">
      <c r="D997" t="str">
        <v>DOC-01342</v>
      </c>
    </row>
    <row r="998" spans="4:4">
      <c r="D998" t="str">
        <v>DOC-01345</v>
      </c>
    </row>
    <row r="999" spans="4:4">
      <c r="D999" t="str">
        <v>DOC-01349</v>
      </c>
    </row>
    <row r="1000" spans="4:4">
      <c r="D1000" t="str">
        <v>DOC-01351</v>
      </c>
    </row>
    <row r="1001" spans="4:4">
      <c r="D1001" t="str">
        <v>DOC-01355</v>
      </c>
    </row>
    <row r="1002" spans="4:4">
      <c r="D1002" t="str">
        <v>DOC-01357</v>
      </c>
    </row>
    <row r="1003" spans="4:4">
      <c r="D1003" t="str">
        <v>DOC-01361</v>
      </c>
    </row>
    <row r="1004" spans="4:4">
      <c r="D1004" t="str">
        <v>DOC-01362</v>
      </c>
    </row>
    <row r="1005" spans="4:4">
      <c r="D1005" t="str">
        <v>DOC-01363</v>
      </c>
    </row>
    <row r="1006" spans="4:4">
      <c r="D1006" t="str">
        <v>DOC-01367</v>
      </c>
    </row>
    <row r="1007" spans="4:4">
      <c r="D1007" t="str">
        <v>DOC-01368</v>
      </c>
    </row>
    <row r="1008" spans="4:4">
      <c r="D1008" t="str">
        <v>DOC-01369</v>
      </c>
    </row>
    <row r="1009" spans="4:4">
      <c r="D1009" t="str">
        <v>DOC-01370</v>
      </c>
    </row>
    <row r="1010" spans="4:4">
      <c r="D1010" t="str">
        <v>DOC-01371</v>
      </c>
    </row>
    <row r="1011" spans="4:4">
      <c r="D1011" t="str">
        <v>DOC-01376</v>
      </c>
    </row>
    <row r="1012" spans="4:4">
      <c r="D1012" t="str">
        <v>DOC-01377</v>
      </c>
    </row>
    <row r="1013" spans="4:4">
      <c r="D1013" t="str">
        <v>DOC-01378</v>
      </c>
    </row>
    <row r="1014" spans="4:4">
      <c r="D1014" t="str">
        <v>DOC-01382</v>
      </c>
    </row>
    <row r="1015" spans="4:4">
      <c r="D1015" t="str">
        <v>DOC-01383</v>
      </c>
    </row>
    <row r="1016" spans="4:4">
      <c r="D1016" t="str">
        <v>DOC-01384</v>
      </c>
    </row>
    <row r="1017" spans="4:4">
      <c r="D1017" t="str">
        <v>DOC-01389</v>
      </c>
    </row>
    <row r="1018" spans="4:4">
      <c r="D1018" t="str">
        <v>DOC-01390</v>
      </c>
    </row>
    <row r="1019" spans="4:4">
      <c r="D1019" t="str">
        <v>DOC-01391</v>
      </c>
    </row>
    <row r="1020" spans="4:4">
      <c r="D1020" t="str">
        <v>DOC-01392</v>
      </c>
    </row>
    <row r="1021" spans="4:4">
      <c r="D1021" t="str">
        <v>DOC-01393</v>
      </c>
    </row>
    <row r="1022" spans="4:4">
      <c r="D1022" t="str">
        <v>DOC-01397</v>
      </c>
    </row>
    <row r="1023" spans="4:4">
      <c r="D1023" t="str">
        <v>DOC-01398</v>
      </c>
    </row>
    <row r="1024" spans="4:4">
      <c r="D1024" t="str">
        <v>DOC-01399</v>
      </c>
    </row>
    <row r="1025" spans="4:4">
      <c r="D1025" t="str">
        <v>DOC-01400</v>
      </c>
    </row>
    <row r="1026" spans="4:4">
      <c r="D1026" t="str">
        <v>DOC-01405</v>
      </c>
    </row>
    <row r="1027" spans="4:4">
      <c r="D1027" t="str">
        <v>DOC-01406</v>
      </c>
    </row>
    <row r="1028" spans="4:4">
      <c r="D1028" t="str">
        <v>DOC-01408</v>
      </c>
    </row>
    <row r="1029" spans="4:4">
      <c r="D1029" t="str">
        <v>DOC-01409</v>
      </c>
    </row>
    <row r="1030" spans="4:4">
      <c r="D1030" t="str">
        <v>DOC-01411</v>
      </c>
    </row>
    <row r="1031" spans="4:4">
      <c r="D1031" t="str">
        <v>DOC-01414</v>
      </c>
    </row>
    <row r="1032" spans="4:4">
      <c r="D1032" t="str">
        <v>DOC-01415</v>
      </c>
    </row>
    <row r="1033" spans="4:4">
      <c r="D1033" t="str">
        <v>DOC-01416</v>
      </c>
    </row>
    <row r="1034" spans="4:4">
      <c r="D1034" t="str">
        <v>DOC-01417</v>
      </c>
    </row>
    <row r="1035" spans="4:4">
      <c r="D1035" t="str">
        <v>DOC-01419</v>
      </c>
    </row>
    <row r="1036" spans="4:4">
      <c r="D1036" t="str">
        <v>DOC-01420</v>
      </c>
    </row>
    <row r="1037" spans="4:4">
      <c r="D1037" t="str">
        <v>DOC-01422</v>
      </c>
    </row>
    <row r="1038" spans="4:4">
      <c r="D1038" t="str">
        <v>DOC-01424</v>
      </c>
    </row>
    <row r="1039" spans="4:4">
      <c r="D1039" t="str">
        <v>DOC-01425</v>
      </c>
    </row>
    <row r="1040" spans="4:4">
      <c r="D1040" t="str">
        <v>DOC-01426</v>
      </c>
    </row>
    <row r="1041" spans="4:4">
      <c r="D1041" t="str">
        <v>DOC-01427</v>
      </c>
    </row>
    <row r="1042" spans="4:4">
      <c r="D1042" t="str">
        <v>DOC-01431</v>
      </c>
    </row>
    <row r="1043" spans="4:4">
      <c r="D1043" t="str">
        <v>DOC-01432</v>
      </c>
    </row>
    <row r="1044" spans="4:4">
      <c r="D1044" t="str">
        <v>DOC-01433</v>
      </c>
    </row>
    <row r="1045" spans="4:4">
      <c r="D1045" t="str">
        <v>DOC-01434</v>
      </c>
    </row>
    <row r="1046" spans="4:4">
      <c r="D1046" t="str">
        <v>DOC-01438</v>
      </c>
    </row>
    <row r="1047" spans="4:4">
      <c r="D1047" t="str">
        <v>DOC-01440</v>
      </c>
    </row>
    <row r="1048" spans="4:4">
      <c r="D1048" t="str">
        <v>DOC-01441</v>
      </c>
    </row>
    <row r="1049" spans="4:4">
      <c r="D1049" t="str">
        <v>DOC-01442</v>
      </c>
    </row>
    <row r="1050" spans="4:4">
      <c r="D1050" t="str">
        <v>DOC-01446</v>
      </c>
    </row>
    <row r="1051" spans="4:4">
      <c r="D1051" t="str">
        <v>DOC-01449</v>
      </c>
    </row>
    <row r="1052" spans="4:4">
      <c r="D1052" t="str">
        <v>DOC-01450</v>
      </c>
    </row>
    <row r="1053" spans="4:4">
      <c r="D1053" t="str">
        <v>DOC-01452</v>
      </c>
    </row>
    <row r="1054" spans="4:4">
      <c r="D1054" t="str">
        <v>DOC-01454</v>
      </c>
    </row>
    <row r="1055" spans="4:4">
      <c r="D1055" t="str">
        <v>DOC-01456</v>
      </c>
    </row>
    <row r="1056" spans="4:4">
      <c r="D1056" t="str">
        <v>DOC-01457</v>
      </c>
    </row>
    <row r="1057" spans="4:4">
      <c r="D1057" t="str">
        <v>DOC-01461</v>
      </c>
    </row>
    <row r="1058" spans="4:4">
      <c r="D1058" t="str">
        <v>DOC-01462</v>
      </c>
    </row>
    <row r="1059" spans="4:4">
      <c r="D1059" t="str">
        <v>DOC-01463</v>
      </c>
    </row>
    <row r="1060" spans="4:4">
      <c r="D1060" t="str">
        <v>DOC-01464</v>
      </c>
    </row>
    <row r="1061" spans="4:4">
      <c r="D1061" t="str">
        <v>DOC-01465</v>
      </c>
    </row>
    <row r="1062" spans="4:4">
      <c r="D1062" t="str">
        <v>DOC-01466</v>
      </c>
    </row>
    <row r="1063" spans="4:4">
      <c r="D1063" t="str">
        <v>DOC-01467</v>
      </c>
    </row>
    <row r="1064" spans="4:4">
      <c r="D1064" t="str">
        <v>DOC-01470</v>
      </c>
    </row>
    <row r="1065" spans="4:4">
      <c r="D1065" t="str">
        <v>DOC-01472</v>
      </c>
    </row>
    <row r="1066" spans="4:4">
      <c r="D1066" t="str">
        <v>DOC-01473</v>
      </c>
    </row>
    <row r="1067" spans="4:4">
      <c r="D1067" t="str">
        <v>DOC-01475</v>
      </c>
    </row>
    <row r="1068" spans="4:4">
      <c r="D1068" t="str">
        <v>DOC-01477</v>
      </c>
    </row>
    <row r="1069" spans="4:4">
      <c r="D1069" t="str">
        <v>DOC-01479</v>
      </c>
    </row>
    <row r="1070" spans="4:4">
      <c r="D1070" t="str">
        <v>DOC-01484</v>
      </c>
    </row>
    <row r="1071" spans="4:4">
      <c r="D1071" t="str">
        <v>DOC-01485</v>
      </c>
    </row>
    <row r="1072" spans="4:4">
      <c r="D1072" t="str">
        <v>DOC-01488</v>
      </c>
    </row>
    <row r="1073" spans="4:4">
      <c r="D1073" t="str">
        <v>DOC-01489</v>
      </c>
    </row>
    <row r="1074" spans="4:4">
      <c r="D1074" t="str">
        <v>DOC-01490</v>
      </c>
    </row>
    <row r="1075" spans="4:4">
      <c r="D1075" t="str">
        <v>DOC-01491</v>
      </c>
    </row>
    <row r="1076" spans="4:4">
      <c r="D1076" t="str">
        <v>DOC-01493</v>
      </c>
    </row>
    <row r="1077" spans="4:4">
      <c r="D1077" t="str">
        <v>DOC-01494</v>
      </c>
    </row>
    <row r="1078" spans="4:4">
      <c r="D1078" t="str">
        <v>DOC-01495</v>
      </c>
    </row>
    <row r="1079" spans="4:4">
      <c r="D1079" t="str">
        <v>DOC-01496</v>
      </c>
    </row>
    <row r="1080" spans="4:4">
      <c r="D1080" t="str">
        <v>DOC-01498</v>
      </c>
    </row>
    <row r="1081" spans="4:4">
      <c r="D1081" t="str">
        <v>DOC-01500</v>
      </c>
    </row>
    <row r="1082" spans="4:4">
      <c r="D1082" t="str">
        <v>DOC-01501</v>
      </c>
    </row>
    <row r="1083" spans="4:4">
      <c r="D1083" t="str">
        <v>DOC-01503</v>
      </c>
    </row>
    <row r="1084" spans="4:4">
      <c r="D1084" t="str">
        <v>DOC-01504</v>
      </c>
    </row>
    <row r="1085" spans="4:4">
      <c r="D1085" t="str">
        <v>DOC-01506</v>
      </c>
    </row>
    <row r="1086" spans="4:4">
      <c r="D1086" t="str">
        <v>DOC-01508</v>
      </c>
    </row>
    <row r="1087" spans="4:4">
      <c r="D1087" t="str">
        <v>DOC-01510</v>
      </c>
    </row>
    <row r="1088" spans="4:4">
      <c r="D1088" t="str">
        <v>DOC-01512</v>
      </c>
    </row>
    <row r="1089" spans="4:4">
      <c r="D1089" t="str">
        <v>DOC-01516</v>
      </c>
    </row>
    <row r="1090" spans="4:4">
      <c r="D1090" t="str">
        <v>DOC-01517</v>
      </c>
    </row>
    <row r="1091" spans="4:4">
      <c r="D1091" t="str">
        <v>DOC-01519</v>
      </c>
    </row>
    <row r="1092" spans="4:4">
      <c r="D1092" t="str">
        <v>DOC-01524</v>
      </c>
    </row>
    <row r="1093" spans="4:4">
      <c r="D1093" t="str">
        <v>DOC-01526</v>
      </c>
    </row>
    <row r="1094" spans="4:4">
      <c r="D1094" t="str">
        <v>DOC-01527</v>
      </c>
    </row>
    <row r="1095" spans="4:4">
      <c r="D1095" t="str">
        <v>DOC-01528</v>
      </c>
    </row>
    <row r="1096" spans="4:4">
      <c r="D1096" t="str">
        <v>DOC-01532</v>
      </c>
    </row>
    <row r="1097" spans="4:4">
      <c r="D1097" t="str">
        <v>DOC-01533</v>
      </c>
    </row>
    <row r="1098" spans="4:4">
      <c r="D1098" t="str">
        <v>DOC-01534</v>
      </c>
    </row>
    <row r="1099" spans="4:4">
      <c r="D1099" t="str">
        <v>DOC-01539</v>
      </c>
    </row>
    <row r="1100" spans="4:4">
      <c r="D1100" t="str">
        <v>DOC-01540</v>
      </c>
    </row>
    <row r="1101" spans="4:4">
      <c r="D1101" t="str">
        <v>DOC-01541</v>
      </c>
    </row>
    <row r="1102" spans="4:4">
      <c r="D1102" t="str">
        <v>DOC-01545</v>
      </c>
    </row>
    <row r="1103" spans="4:4">
      <c r="D1103" t="str">
        <v>DOC-01546</v>
      </c>
    </row>
    <row r="1104" spans="4:4">
      <c r="D1104" t="str">
        <v>DOC-01547</v>
      </c>
    </row>
    <row r="1105" spans="4:4">
      <c r="D1105" t="str">
        <v>DOC-01551</v>
      </c>
    </row>
    <row r="1106" spans="4:4">
      <c r="D1106" t="str">
        <v>DOC-01552</v>
      </c>
    </row>
    <row r="1107" spans="4:4">
      <c r="D1107" t="str">
        <v>DOC-01554</v>
      </c>
    </row>
    <row r="1108" spans="4:4">
      <c r="D1108" t="str">
        <v>DOC-01558</v>
      </c>
    </row>
    <row r="1109" spans="4:4">
      <c r="D1109" t="str">
        <v>DOC-01560</v>
      </c>
    </row>
    <row r="1110" spans="4:4">
      <c r="D1110" t="str">
        <v>DOC-01563</v>
      </c>
    </row>
    <row r="1111" spans="4:4">
      <c r="D1111" t="str">
        <v>DOC-01566</v>
      </c>
    </row>
    <row r="1112" spans="4:4">
      <c r="D1112" t="str">
        <v>DOC-01567</v>
      </c>
    </row>
    <row r="1113" spans="4:4">
      <c r="D1113" t="str">
        <v>DOC-01568</v>
      </c>
    </row>
    <row r="1114" spans="4:4">
      <c r="D1114" t="str">
        <v>DOC-01570</v>
      </c>
    </row>
    <row r="1115" spans="4:4">
      <c r="D1115" t="str">
        <v>DOC-01572</v>
      </c>
    </row>
    <row r="1116" spans="4:4">
      <c r="D1116" t="str">
        <v>DOC-01573</v>
      </c>
    </row>
    <row r="1117" spans="4:4">
      <c r="D1117" t="str">
        <v>DOC-01574</v>
      </c>
    </row>
    <row r="1118" spans="4:4">
      <c r="D1118" t="str">
        <v>DOC-01575</v>
      </c>
    </row>
    <row r="1119" spans="4:4">
      <c r="D1119" t="str">
        <v>DOC-01577</v>
      </c>
    </row>
    <row r="1120" spans="4:4">
      <c r="D1120" t="str">
        <v>DOC-01578</v>
      </c>
    </row>
    <row r="1121" spans="4:4">
      <c r="D1121" t="str">
        <v>DOC-01579</v>
      </c>
    </row>
    <row r="1122" spans="4:4">
      <c r="D1122" t="str">
        <v>DOC-01580</v>
      </c>
    </row>
    <row r="1123" spans="4:4">
      <c r="D1123" t="str">
        <v>DOC-01581</v>
      </c>
    </row>
    <row r="1124" spans="4:4">
      <c r="D1124" t="str">
        <v>DOC-01583</v>
      </c>
    </row>
    <row r="1125" spans="4:4">
      <c r="D1125" t="str">
        <v>DOC-01584</v>
      </c>
    </row>
    <row r="1126" spans="4:4">
      <c r="D1126" t="str">
        <v>DOC-01585</v>
      </c>
    </row>
    <row r="1127" spans="4:4">
      <c r="D1127" t="str">
        <v>DOC-01586</v>
      </c>
    </row>
    <row r="1128" spans="4:4">
      <c r="D1128" t="str">
        <v>DOC-01587</v>
      </c>
    </row>
    <row r="1129" spans="4:4">
      <c r="D1129" t="str">
        <v>DOC-01589</v>
      </c>
    </row>
    <row r="1130" spans="4:4">
      <c r="D1130" t="str">
        <v>DOC-01590</v>
      </c>
    </row>
    <row r="1131" spans="4:4">
      <c r="D1131" t="str">
        <v>DOC-01591</v>
      </c>
    </row>
    <row r="1132" spans="4:4">
      <c r="D1132" t="str">
        <v>DOC-01592</v>
      </c>
    </row>
    <row r="1133" spans="4:4">
      <c r="D1133" t="str">
        <v>DOC-01593</v>
      </c>
    </row>
    <row r="1134" spans="4:4">
      <c r="D1134" t="str">
        <v>DOC-01595</v>
      </c>
    </row>
    <row r="1135" spans="4:4">
      <c r="D1135" t="str">
        <v>DOC-01596</v>
      </c>
    </row>
    <row r="1136" spans="4:4">
      <c r="D1136" t="str">
        <v>DOC-01597</v>
      </c>
    </row>
    <row r="1137" spans="4:4">
      <c r="D1137" t="str">
        <v>DOC-01598</v>
      </c>
    </row>
    <row r="1138" spans="4:4">
      <c r="D1138" t="str">
        <v>DOC-01599</v>
      </c>
    </row>
    <row r="1139" spans="4:4">
      <c r="D1139" t="str">
        <v>DOC-01600</v>
      </c>
    </row>
    <row r="1140" spans="4:4">
      <c r="D1140" t="str">
        <v>DOC-01601</v>
      </c>
    </row>
    <row r="1141" spans="4:4">
      <c r="D1141" t="str">
        <v>DOC-01602</v>
      </c>
    </row>
    <row r="1142" spans="4:4">
      <c r="D1142" t="str">
        <v>DOC-01603</v>
      </c>
    </row>
    <row r="1143" spans="4:4">
      <c r="D1143" t="str">
        <v>DOC-01604</v>
      </c>
    </row>
    <row r="1144" spans="4:4">
      <c r="D1144" t="str">
        <v>DOC-01605</v>
      </c>
    </row>
    <row r="1145" spans="4:4">
      <c r="D1145" t="str">
        <v>DOC-01606</v>
      </c>
    </row>
    <row r="1146" spans="4:4">
      <c r="D1146" t="str">
        <v>DOC-01607</v>
      </c>
    </row>
    <row r="1147" spans="4:4">
      <c r="D1147" t="str">
        <v>DOC-01608</v>
      </c>
    </row>
    <row r="1148" spans="4:4">
      <c r="D1148" t="str">
        <v>DOC-01610</v>
      </c>
    </row>
    <row r="1149" spans="4:4">
      <c r="D1149" t="str">
        <v>DOC-01611</v>
      </c>
    </row>
    <row r="1150" spans="4:4">
      <c r="D1150" t="str">
        <v>DOC-01612</v>
      </c>
    </row>
    <row r="1151" spans="4:4">
      <c r="D1151" t="str">
        <v>DOC-01613</v>
      </c>
    </row>
    <row r="1152" spans="4:4">
      <c r="D1152" t="str">
        <v>DOC-01614</v>
      </c>
    </row>
    <row r="1153" spans="4:4">
      <c r="D1153" t="str">
        <v>DOC-01615</v>
      </c>
    </row>
    <row r="1154" spans="4:4">
      <c r="D1154" t="str">
        <v>DOC-01616</v>
      </c>
    </row>
    <row r="1155" spans="4:4">
      <c r="D1155" t="str">
        <v>DOC-01617</v>
      </c>
    </row>
    <row r="1156" spans="4:4">
      <c r="D1156" t="str">
        <v>DOC-01618</v>
      </c>
    </row>
    <row r="1157" spans="4:4">
      <c r="D1157" t="str">
        <v>DOC-01619</v>
      </c>
    </row>
    <row r="1158" spans="4:4">
      <c r="D1158" t="str">
        <v>DOC-01620</v>
      </c>
    </row>
    <row r="1159" spans="4:4">
      <c r="D1159" t="str">
        <v>DOC-01621</v>
      </c>
    </row>
    <row r="1160" spans="4:4">
      <c r="D1160" t="str">
        <v>DOC-01622</v>
      </c>
    </row>
    <row r="1161" spans="4:4">
      <c r="D1161" t="str">
        <v>DOC-01623</v>
      </c>
    </row>
    <row r="1162" spans="4:4">
      <c r="D1162" t="str">
        <v>DOC-01624</v>
      </c>
    </row>
    <row r="1163" spans="4:4">
      <c r="D1163" t="str">
        <v>DOC-01625</v>
      </c>
    </row>
    <row r="1164" spans="4:4">
      <c r="D1164" t="str">
        <v>DOC-01626</v>
      </c>
    </row>
    <row r="1165" spans="4:4">
      <c r="D1165" t="str">
        <v>DOC-01627</v>
      </c>
    </row>
    <row r="1166" spans="4:4">
      <c r="D1166" t="str">
        <v>DOC-01628</v>
      </c>
    </row>
    <row r="1167" spans="4:4">
      <c r="D1167" t="str">
        <v>DOC-01630</v>
      </c>
    </row>
    <row r="1168" spans="4:4">
      <c r="D1168" t="str">
        <v>DOC-01632</v>
      </c>
    </row>
    <row r="1169" spans="4:4">
      <c r="D1169" t="str">
        <v>DOC-01633</v>
      </c>
    </row>
    <row r="1170" spans="4:4">
      <c r="D1170" t="str">
        <v>DOC-01634</v>
      </c>
    </row>
    <row r="1171" spans="4:4">
      <c r="D1171" t="str">
        <v>DOC-01635</v>
      </c>
    </row>
    <row r="1172" spans="4:4">
      <c r="D1172" t="str">
        <v>DOC-01637</v>
      </c>
    </row>
    <row r="1173" spans="4:4">
      <c r="D1173" t="str">
        <v>DOC-01638</v>
      </c>
    </row>
    <row r="1174" spans="4:4">
      <c r="D1174" t="str">
        <v>DOC-01639</v>
      </c>
    </row>
    <row r="1175" spans="4:4">
      <c r="D1175" t="str">
        <v>DOC-01640</v>
      </c>
    </row>
    <row r="1176" spans="4:4">
      <c r="D1176" t="str">
        <v>DOC-01641</v>
      </c>
    </row>
    <row r="1177" spans="4:4">
      <c r="D1177" t="str">
        <v>DOC-01642</v>
      </c>
    </row>
    <row r="1178" spans="4:4">
      <c r="D1178" t="str">
        <v>DOC-01643</v>
      </c>
    </row>
    <row r="1179" spans="4:4">
      <c r="D1179" t="str">
        <v>DOC-01644</v>
      </c>
    </row>
    <row r="1180" spans="4:4">
      <c r="D1180" t="str">
        <v>DOC-01645</v>
      </c>
    </row>
    <row r="1181" spans="4:4">
      <c r="D1181" t="str">
        <v>DOC-01646</v>
      </c>
    </row>
    <row r="1182" spans="4:4">
      <c r="D1182" t="str">
        <v>DOC-01648</v>
      </c>
    </row>
    <row r="1183" spans="4:4">
      <c r="D1183" t="str">
        <v>DOC-01649</v>
      </c>
    </row>
    <row r="1184" spans="4:4">
      <c r="D1184" t="str">
        <v>DOC-01650</v>
      </c>
    </row>
    <row r="1185" spans="4:4">
      <c r="D1185" t="str">
        <v>DOC-01651</v>
      </c>
    </row>
    <row r="1186" spans="4:4">
      <c r="D1186" t="str">
        <v>DOC-01652</v>
      </c>
    </row>
    <row r="1187" spans="4:4">
      <c r="D1187" t="str">
        <v>DOC-01653</v>
      </c>
    </row>
    <row r="1188" spans="4:4">
      <c r="D1188" t="str">
        <v>DOC-01654</v>
      </c>
    </row>
    <row r="1189" spans="4:4">
      <c r="D1189" t="str">
        <v>DOC-01655</v>
      </c>
    </row>
    <row r="1190" spans="4:4">
      <c r="D1190" t="str">
        <v>DOC-01656</v>
      </c>
    </row>
    <row r="1191" spans="4:4">
      <c r="D1191" t="str">
        <v>DOC-01657</v>
      </c>
    </row>
    <row r="1192" spans="4:4">
      <c r="D1192" t="str">
        <v>DOC-01658</v>
      </c>
    </row>
    <row r="1193" spans="4:4">
      <c r="D1193" t="str">
        <v>DOC-01660</v>
      </c>
    </row>
    <row r="1194" spans="4:4">
      <c r="D1194" t="str">
        <v>DOC-01662</v>
      </c>
    </row>
    <row r="1195" spans="4:4">
      <c r="D1195" t="str">
        <v>DOC-01664</v>
      </c>
    </row>
    <row r="1196" spans="4:4">
      <c r="D1196" t="str">
        <v>DOC-01665</v>
      </c>
    </row>
    <row r="1197" spans="4:4">
      <c r="D1197" t="str">
        <v>DOC-01666</v>
      </c>
    </row>
    <row r="1198" spans="4:4">
      <c r="D1198" t="str">
        <v>DOC-01667</v>
      </c>
    </row>
    <row r="1199" spans="4:4">
      <c r="D1199" t="str">
        <v>DOC-01668</v>
      </c>
    </row>
    <row r="1200" spans="4:4">
      <c r="D1200" t="str">
        <v>DOC-01669</v>
      </c>
    </row>
    <row r="1201" spans="4:4">
      <c r="D1201" t="str">
        <v>DOC-01670</v>
      </c>
    </row>
    <row r="1202" spans="4:4">
      <c r="D1202" t="str">
        <v>DOC-01671</v>
      </c>
    </row>
    <row r="1203" spans="4:4">
      <c r="D1203" t="str">
        <v>DOC-01674</v>
      </c>
    </row>
    <row r="1204" spans="4:4">
      <c r="D1204" t="str">
        <v>DOC-01675</v>
      </c>
    </row>
    <row r="1205" spans="4:4">
      <c r="D1205" t="str">
        <v>DOC-01676</v>
      </c>
    </row>
    <row r="1206" spans="4:4">
      <c r="D1206" t="str">
        <v>DOC-01677</v>
      </c>
    </row>
    <row r="1207" spans="4:4">
      <c r="D1207" t="str">
        <v>DOC-01678</v>
      </c>
    </row>
    <row r="1208" spans="4:4">
      <c r="D1208" t="str">
        <v>DOC-01679</v>
      </c>
    </row>
    <row r="1209" spans="4:4">
      <c r="D1209" t="str">
        <v>DOC-01680</v>
      </c>
    </row>
    <row r="1210" spans="4:4">
      <c r="D1210" t="str">
        <v>DOC-01681</v>
      </c>
    </row>
    <row r="1211" spans="4:4">
      <c r="D1211" t="str">
        <v>DOC-01682</v>
      </c>
    </row>
    <row r="1212" spans="4:4">
      <c r="D1212" t="str">
        <v>DOC-01683</v>
      </c>
    </row>
    <row r="1213" spans="4:4">
      <c r="D1213" t="str">
        <v>DOC-01684</v>
      </c>
    </row>
    <row r="1214" spans="4:4">
      <c r="D1214" t="str">
        <v>DOC-01685</v>
      </c>
    </row>
    <row r="1215" spans="4:4">
      <c r="D1215" t="str">
        <v>DOC-01687</v>
      </c>
    </row>
    <row r="1216" spans="4:4">
      <c r="D1216" t="str">
        <v>DOC-01688</v>
      </c>
    </row>
    <row r="1217" spans="4:4">
      <c r="D1217" t="str">
        <v>DOC-01689</v>
      </c>
    </row>
    <row r="1218" spans="4:4">
      <c r="D1218" t="str">
        <v>DOC-01690</v>
      </c>
    </row>
    <row r="1219" spans="4:4">
      <c r="D1219" t="str">
        <v>DOC-01691</v>
      </c>
    </row>
    <row r="1220" spans="4:4">
      <c r="D1220" t="str">
        <v>DOC-01692</v>
      </c>
    </row>
    <row r="1221" spans="4:4">
      <c r="D1221" t="str">
        <v>DOC-01693</v>
      </c>
    </row>
    <row r="1222" spans="4:4">
      <c r="D1222" t="str">
        <v>DOC-01694</v>
      </c>
    </row>
    <row r="1223" spans="4:4">
      <c r="D1223" t="str">
        <v>DOC-01695</v>
      </c>
    </row>
    <row r="1224" spans="4:4">
      <c r="D1224" t="str">
        <v>DOC-01696</v>
      </c>
    </row>
    <row r="1225" spans="4:4">
      <c r="D1225" t="str">
        <v>DOC-01697</v>
      </c>
    </row>
    <row r="1226" spans="4:4">
      <c r="D1226" t="str">
        <v>DOC-01698</v>
      </c>
    </row>
    <row r="1227" spans="4:4">
      <c r="D1227" t="str">
        <v>DOC-01699</v>
      </c>
    </row>
    <row r="1228" spans="4:4">
      <c r="D1228" t="str">
        <v>DOC-01700</v>
      </c>
    </row>
    <row r="1229" spans="4:4">
      <c r="D1229" t="str">
        <v>DOC-01701</v>
      </c>
    </row>
    <row r="1230" spans="4:4">
      <c r="D1230" t="str">
        <v>DOC-01702</v>
      </c>
    </row>
    <row r="1231" spans="4:4">
      <c r="D1231" t="str">
        <v>DOC-01703</v>
      </c>
    </row>
    <row r="1232" spans="4:4">
      <c r="D1232" t="str">
        <v>DOC-01704</v>
      </c>
    </row>
    <row r="1233" spans="4:4">
      <c r="D1233" t="str">
        <v>DOC-01705</v>
      </c>
    </row>
    <row r="1234" spans="4:4">
      <c r="D1234" t="str">
        <v>DOC-01708</v>
      </c>
    </row>
    <row r="1235" spans="4:4">
      <c r="D1235" t="str">
        <v>DOC-01709</v>
      </c>
    </row>
    <row r="1236" spans="4:4">
      <c r="D1236" t="str">
        <v>DOC-01710</v>
      </c>
    </row>
    <row r="1237" spans="4:4">
      <c r="D1237" t="str">
        <v>DOC-01711</v>
      </c>
    </row>
    <row r="1238" spans="4:4">
      <c r="D1238" t="str">
        <v>DOC-01712</v>
      </c>
    </row>
    <row r="1239" spans="4:4">
      <c r="D1239" t="str">
        <v>DOC-01713</v>
      </c>
    </row>
    <row r="1240" spans="4:4">
      <c r="D1240" t="str">
        <v>DOC-01714</v>
      </c>
    </row>
    <row r="1241" spans="4:4">
      <c r="D1241" t="str">
        <v>DOC-01715</v>
      </c>
    </row>
    <row r="1242" spans="4:4">
      <c r="D1242" t="str">
        <v>DOC-01716</v>
      </c>
    </row>
    <row r="1243" spans="4:4">
      <c r="D1243" t="str">
        <v>DOC-01717</v>
      </c>
    </row>
    <row r="1244" spans="4:4">
      <c r="D1244" t="str">
        <v>DOC-01718</v>
      </c>
    </row>
    <row r="1245" spans="4:4">
      <c r="D1245" t="str">
        <v>DOC-01719</v>
      </c>
    </row>
    <row r="1246" spans="4:4">
      <c r="D1246" t="str">
        <v>DOC-01720</v>
      </c>
    </row>
    <row r="1247" spans="4:4">
      <c r="D1247" t="str">
        <v>DOC-01722</v>
      </c>
    </row>
    <row r="1248" spans="4:4">
      <c r="D1248" t="str">
        <v>DOC-01724</v>
      </c>
    </row>
    <row r="1249" spans="4:4">
      <c r="D1249" t="str">
        <v>DOC-01725</v>
      </c>
    </row>
    <row r="1250" spans="4:4">
      <c r="D1250" t="str">
        <v>DOC-01726</v>
      </c>
    </row>
    <row r="1251" spans="4:4">
      <c r="D1251" t="str">
        <v>DOC-01727</v>
      </c>
    </row>
    <row r="1252" spans="4:4">
      <c r="D1252" t="str">
        <v>DOC-01728</v>
      </c>
    </row>
    <row r="1253" spans="4:4">
      <c r="D1253" t="str">
        <v>DOC-01729</v>
      </c>
    </row>
    <row r="1254" spans="4:4">
      <c r="D1254" t="str">
        <v>DOC-01730</v>
      </c>
    </row>
    <row r="1255" spans="4:4">
      <c r="D1255" t="str">
        <v>DOC-01731</v>
      </c>
    </row>
    <row r="1256" spans="4:4">
      <c r="D1256" t="str">
        <v>DOC-01732</v>
      </c>
    </row>
    <row r="1257" spans="4:4">
      <c r="D1257" t="str">
        <v>DOC-01733</v>
      </c>
    </row>
    <row r="1258" spans="4:4">
      <c r="D1258" t="str">
        <v>DOC-01734</v>
      </c>
    </row>
    <row r="1259" spans="4:4">
      <c r="D1259" t="str">
        <v>DOC-01735</v>
      </c>
    </row>
    <row r="1260" spans="4:4">
      <c r="D1260" t="str">
        <v>DOC-01736</v>
      </c>
    </row>
    <row r="1261" spans="4:4">
      <c r="D1261" t="str">
        <v>DOC-01737</v>
      </c>
    </row>
    <row r="1262" spans="4:4">
      <c r="D1262" t="str">
        <v>DOC-01738</v>
      </c>
    </row>
    <row r="1263" spans="4:4">
      <c r="D1263" t="str">
        <v>DOC-01739</v>
      </c>
    </row>
    <row r="1264" spans="4:4">
      <c r="D1264" t="str">
        <v>DOC-01740</v>
      </c>
    </row>
    <row r="1265" spans="4:4">
      <c r="D1265" t="str">
        <v>DOC-01741</v>
      </c>
    </row>
    <row r="1266" spans="4:4">
      <c r="D1266" t="str">
        <v>DOC-01742</v>
      </c>
    </row>
    <row r="1267" spans="4:4">
      <c r="D1267" t="str">
        <v>DOC-01743</v>
      </c>
    </row>
    <row r="1268" spans="4:4">
      <c r="D1268" t="str">
        <v>DOC-01744</v>
      </c>
    </row>
    <row r="1269" spans="4:4">
      <c r="D1269" t="str">
        <v>DOC-01745</v>
      </c>
    </row>
    <row r="1270" spans="4:4">
      <c r="D1270" t="str">
        <v>DOC-01746</v>
      </c>
    </row>
    <row r="1271" spans="4:4">
      <c r="D1271" t="str">
        <v>DOC-01747</v>
      </c>
    </row>
    <row r="1272" spans="4:4">
      <c r="D1272" t="str">
        <v>DOC-01748</v>
      </c>
    </row>
    <row r="1273" spans="4:4">
      <c r="D1273" t="str">
        <v>DOC-01749</v>
      </c>
    </row>
    <row r="1274" spans="4:4">
      <c r="D1274" t="str">
        <v>DOC-01750</v>
      </c>
    </row>
    <row r="1275" spans="4:4">
      <c r="D1275" t="str">
        <v>DOC-01752</v>
      </c>
    </row>
    <row r="1276" spans="4:4">
      <c r="D1276" t="str">
        <v>DOC-01753</v>
      </c>
    </row>
    <row r="1277" spans="4:4">
      <c r="D1277" t="str">
        <v>DOC-01754</v>
      </c>
    </row>
    <row r="1278" spans="4:4">
      <c r="D1278" t="str">
        <v>DOC-01755</v>
      </c>
    </row>
    <row r="1279" spans="4:4">
      <c r="D1279" t="str">
        <v>DOC-01756</v>
      </c>
    </row>
    <row r="1280" spans="4:4">
      <c r="D1280" t="str">
        <v>DOC-01757</v>
      </c>
    </row>
    <row r="1281" spans="4:4">
      <c r="D1281" t="str">
        <v>DOC-01758</v>
      </c>
    </row>
    <row r="1282" spans="4:4">
      <c r="D1282" t="str">
        <v>DOC-01759</v>
      </c>
    </row>
    <row r="1283" spans="4:4">
      <c r="D1283" t="str">
        <v>DOC-01760</v>
      </c>
    </row>
    <row r="1284" spans="4:4">
      <c r="D1284" t="str">
        <v>DOC-01761</v>
      </c>
    </row>
    <row r="1285" spans="4:4">
      <c r="D1285" t="str">
        <v>DOC-01762</v>
      </c>
    </row>
    <row r="1286" spans="4:4">
      <c r="D1286" t="str">
        <v>DOC-01763</v>
      </c>
    </row>
    <row r="1287" spans="4:4">
      <c r="D1287" t="str">
        <v>DOC-01765</v>
      </c>
    </row>
    <row r="1288" spans="4:4">
      <c r="D1288" t="str">
        <v>DOC-01767</v>
      </c>
    </row>
    <row r="1289" spans="4:4">
      <c r="D1289" t="str">
        <v>DOC-01768</v>
      </c>
    </row>
    <row r="1290" spans="4:4">
      <c r="D1290" t="str">
        <v>DOC-01773</v>
      </c>
    </row>
    <row r="1291" spans="4:4">
      <c r="D1291" t="str">
        <v>DOC-01774</v>
      </c>
    </row>
    <row r="1292" spans="4:4">
      <c r="D1292" t="str">
        <v>DOC-01776</v>
      </c>
    </row>
    <row r="1293" spans="4:4">
      <c r="D1293" t="str">
        <v>DOC-01777</v>
      </c>
    </row>
    <row r="1294" spans="4:4">
      <c r="D1294" t="str">
        <v>DOC-01779</v>
      </c>
    </row>
    <row r="1295" spans="4:4">
      <c r="D1295" t="str">
        <v>DOC-01782</v>
      </c>
    </row>
    <row r="1296" spans="4:4">
      <c r="D1296" t="str">
        <v>DOC-01783</v>
      </c>
    </row>
    <row r="1297" spans="4:4">
      <c r="D1297" t="str">
        <v>DOC-01784</v>
      </c>
    </row>
    <row r="1298" spans="4:4">
      <c r="D1298" t="str">
        <v>DOC-01785</v>
      </c>
    </row>
    <row r="1299" spans="4:4">
      <c r="D1299" t="str">
        <v>DOC-01786</v>
      </c>
    </row>
    <row r="1300" spans="4:4">
      <c r="D1300" t="str">
        <v>DOC-01788</v>
      </c>
    </row>
    <row r="1301" spans="4:4">
      <c r="D1301" t="str">
        <v>DOC-01789</v>
      </c>
    </row>
    <row r="1302" spans="4:4">
      <c r="D1302" t="str">
        <v>DOC-01790</v>
      </c>
    </row>
    <row r="1303" spans="4:4">
      <c r="D1303" t="str">
        <v>DOC-01791</v>
      </c>
    </row>
    <row r="1304" spans="4:4">
      <c r="D1304" t="str">
        <v>DOC-01792</v>
      </c>
    </row>
    <row r="1305" spans="4:4">
      <c r="D1305" t="str">
        <v>DOC-01793</v>
      </c>
    </row>
    <row r="1306" spans="4:4">
      <c r="D1306" t="str">
        <v>DOC-01794</v>
      </c>
    </row>
    <row r="1307" spans="4:4">
      <c r="D1307" t="str">
        <v>DOC-01795</v>
      </c>
    </row>
    <row r="1308" spans="4:4">
      <c r="D1308" t="str">
        <v>DOC-01796</v>
      </c>
    </row>
    <row r="1309" spans="4:4">
      <c r="D1309" t="str">
        <v>DOC-01797</v>
      </c>
    </row>
    <row r="1310" spans="4:4">
      <c r="D1310" t="str">
        <v>DOC-01798</v>
      </c>
    </row>
    <row r="1311" spans="4:4">
      <c r="D1311" t="str">
        <v>DOC-01800</v>
      </c>
    </row>
    <row r="1312" spans="4:4">
      <c r="D1312" t="str">
        <v>DOC-01801</v>
      </c>
    </row>
    <row r="1313" spans="4:4">
      <c r="D1313" t="str">
        <v>DOC-01802</v>
      </c>
    </row>
    <row r="1314" spans="4:4">
      <c r="D1314" t="str">
        <v>DOC-01803</v>
      </c>
    </row>
    <row r="1315" spans="4:4">
      <c r="D1315" t="str">
        <v>DOC-01806</v>
      </c>
    </row>
    <row r="1316" spans="4:4">
      <c r="D1316" t="str">
        <v>DOC-01807</v>
      </c>
    </row>
    <row r="1317" spans="4:4">
      <c r="D1317" t="str">
        <v>DOC-01808</v>
      </c>
    </row>
    <row r="1318" spans="4:4">
      <c r="D1318" t="str">
        <v>DOC-01809</v>
      </c>
    </row>
    <row r="1319" spans="4:4">
      <c r="D1319" t="str">
        <v>DOC-01810</v>
      </c>
    </row>
    <row r="1320" spans="4:4">
      <c r="D1320" t="str">
        <v>DOC-01811</v>
      </c>
    </row>
    <row r="1321" spans="4:4">
      <c r="D1321" t="str">
        <v>DOC-01812</v>
      </c>
    </row>
    <row r="1322" spans="4:4">
      <c r="D1322" t="str">
        <v>DOC-01813</v>
      </c>
    </row>
    <row r="1323" spans="4:4">
      <c r="D1323" t="str">
        <v>DOC-01825</v>
      </c>
    </row>
    <row r="1324" spans="4:4">
      <c r="D1324" t="str">
        <v>DOC-01842</v>
      </c>
    </row>
    <row r="1325" spans="4:4">
      <c r="D1325" t="str">
        <v>DOC-01857</v>
      </c>
    </row>
    <row r="1326" spans="4:4">
      <c r="D1326" t="str">
        <v>DOC-01863</v>
      </c>
    </row>
    <row r="1327" spans="4:4">
      <c r="D1327" t="str">
        <v>DOC-01879</v>
      </c>
    </row>
    <row r="1328" spans="4:4">
      <c r="D1328" t="str">
        <v>DOC-01886</v>
      </c>
    </row>
    <row r="1329" spans="4:4">
      <c r="D1329" t="str">
        <v>DOC-01892</v>
      </c>
    </row>
    <row r="1330" spans="4:4">
      <c r="D1330" t="str">
        <v>DOC-01893</v>
      </c>
    </row>
    <row r="1331" spans="4:4">
      <c r="D1331" t="str">
        <v>DOC-01894</v>
      </c>
    </row>
    <row r="1332" spans="4:4">
      <c r="D1332" t="str">
        <v>DOC-01900</v>
      </c>
    </row>
    <row r="1333" spans="4:4">
      <c r="D1333" t="str">
        <v>DOC-01903</v>
      </c>
    </row>
    <row r="1334" spans="4:4">
      <c r="D1334" t="str">
        <v>DOC-01928</v>
      </c>
    </row>
    <row r="1335" spans="4:4">
      <c r="D1335" t="str">
        <v>DOC-01932</v>
      </c>
    </row>
    <row r="1336" spans="4:4">
      <c r="D1336" t="str">
        <v>DOC-01937</v>
      </c>
    </row>
    <row r="1337" spans="4:4">
      <c r="D1337" t="str">
        <v>DOC-01945</v>
      </c>
    </row>
    <row r="1338" spans="4:4">
      <c r="D1338" t="str">
        <v>DOC-01948</v>
      </c>
    </row>
    <row r="1339" spans="4:4">
      <c r="D1339" t="str">
        <v>DOC-01949</v>
      </c>
    </row>
    <row r="1340" spans="4:4">
      <c r="D1340" t="str">
        <v>DOC-01950</v>
      </c>
    </row>
    <row r="1341" spans="4:4">
      <c r="D1341" t="str">
        <v>DOC-01951</v>
      </c>
    </row>
    <row r="1342" spans="4:4">
      <c r="D1342" t="str">
        <v>DOC-01953</v>
      </c>
    </row>
    <row r="1343" spans="4:4">
      <c r="D1343" t="str">
        <v>DOC-01954</v>
      </c>
    </row>
    <row r="1344" spans="4:4">
      <c r="D1344" t="str">
        <v>DOC-01955</v>
      </c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67D6-D7E9-4F41-B97D-E99953C31663}">
  <dimension ref="A1:M3"/>
  <sheetViews>
    <sheetView topLeftCell="A6" workbookViewId="0">
      <selection activeCell="D18" sqref="D18"/>
    </sheetView>
  </sheetViews>
  <sheetFormatPr defaultRowHeight="15"/>
  <cols>
    <col min="1" max="1" width="12.140625" bestFit="1" customWidth="1"/>
    <col min="2" max="2" width="16.5703125" customWidth="1"/>
    <col min="3" max="3" width="16.140625" customWidth="1"/>
    <col min="4" max="4" width="31.140625" customWidth="1"/>
    <col min="5" max="5" width="15.42578125" customWidth="1"/>
    <col min="6" max="6" width="22.28515625" customWidth="1"/>
    <col min="7" max="7" width="35" bestFit="1" customWidth="1"/>
    <col min="8" max="8" width="21.85546875" bestFit="1" customWidth="1"/>
    <col min="9" max="9" width="17.140625" bestFit="1" customWidth="1"/>
    <col min="10" max="10" width="20.140625" bestFit="1" customWidth="1"/>
    <col min="11" max="11" width="11.5703125" bestFit="1" customWidth="1"/>
    <col min="12" max="12" width="14.28515625" bestFit="1" customWidth="1"/>
    <col min="13" max="13" width="20.140625" bestFit="1" customWidth="1"/>
  </cols>
  <sheetData>
    <row r="1" spans="1:1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9</v>
      </c>
      <c r="G1" t="s">
        <v>10</v>
      </c>
      <c r="H1" t="s">
        <v>8632</v>
      </c>
      <c r="I1" t="s">
        <v>8577</v>
      </c>
      <c r="J1" t="s">
        <v>8578</v>
      </c>
      <c r="K1" t="s">
        <v>8579</v>
      </c>
      <c r="L1" t="s">
        <v>8580</v>
      </c>
      <c r="M1" t="s">
        <v>8581</v>
      </c>
    </row>
    <row r="2" spans="1:13">
      <c r="A2" t="s">
        <v>8633</v>
      </c>
      <c r="B2" t="str">
        <f>IFERROR(_xlfn.XLOOKUP(lstOnboarding[[#This Row],[Unique ID]], tblMaster[Unique ID], tblMaster[First Name], ""), "")</f>
        <v/>
      </c>
      <c r="C2" t="str">
        <f>IFERROR(_xlfn.XLOOKUP(lstOnboarding[[#This Row],[Unique ID]], tblMaster[Unique ID], tblMaster[Last Name], ""), "")</f>
        <v/>
      </c>
      <c r="D2" t="str">
        <f>IFERROR(_xlfn.XLOOKUP(lstOnboarding[[#This Row],[Unique ID]], tblMaster[Unique ID], tblMaster[Email_Clean], ""), "")</f>
        <v/>
      </c>
      <c r="E2" t="str">
        <f>IFERROR(_xlfn.XLOOKUP(lstOnboarding[[#This Row],[Unique ID]], tblMaster[Unique ID], tblMaster[Phone], ""), "")</f>
        <v/>
      </c>
      <c r="F2" t="str">
        <f>IFERROR(_xlfn.XLOOKUP(lstOnboarding[[#This Row],[Unique ID]], tblMaster[Unique ID], tblMaster[Recruiter], ""), "")</f>
        <v/>
      </c>
      <c r="G2" t="str">
        <f>IFERROR(_xlfn.XLOOKUP(lstOnboarding[[#This Row],[Unique ID]], tblMaster[Unique ID], tblMaster[Recruitment Cycle], ""), "")</f>
        <v/>
      </c>
    </row>
    <row r="3" spans="1:13">
      <c r="A3" t="s">
        <v>8387</v>
      </c>
      <c r="B3" t="str">
        <f>IFERROR(_xlfn.XLOOKUP(lstOnboarding[[#This Row],[Unique ID]], tblMaster[Unique ID], tblMaster[First Name], ""), "")</f>
        <v>Jimmy</v>
      </c>
      <c r="C3" t="str">
        <f>IFERROR(_xlfn.XLOOKUP(lstOnboarding[[#This Row],[Unique ID]], tblMaster[Unique ID], tblMaster[Last Name], ""), "")</f>
        <v>Ventura</v>
      </c>
      <c r="D3" t="str">
        <f>IFERROR(_xlfn.XLOOKUP(lstOnboarding[[#This Row],[Unique ID]], tblMaster[Unique ID], tblMaster[Email_Clean], ""), "")</f>
        <v>jimmyventura8787@yahoo.com</v>
      </c>
      <c r="E3" t="str">
        <f>IFERROR(_xlfn.XLOOKUP(lstOnboarding[[#This Row],[Unique ID]], tblMaster[Unique ID], tblMaster[Phone], ""), "")</f>
        <v>(907)947-2918</v>
      </c>
      <c r="F3" t="str">
        <f>IFERROR(_xlfn.XLOOKUP(lstOnboarding[[#This Row],[Unique ID]], tblMaster[Unique ID], tblMaster[Recruiter], ""), "")</f>
        <v xml:space="preserve">Jevon Brown Simpson </v>
      </c>
      <c r="G3" t="str">
        <f>IFERROR(_xlfn.XLOOKUP(lstOnboarding[[#This Row],[Unique ID]], tblMaster[Unique ID], tblMaster[Recruitment Cycle], ""), "")</f>
        <v xml:space="preserve">Re-Engagment/Post Civil Service Exam 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F5DA568-7CC3-4B7F-AF06-95BA89C25327}">
          <x14:formula1>
            <xm:f>'Civil Service Eligible list '!$A$2:$A$1048576</xm:f>
          </x14:formula1>
          <xm:sqref>A2:A1048576</xm:sqref>
        </x14:dataValidation>
        <x14:dataValidation type="list" allowBlank="1" showInputMessage="1" showErrorMessage="1" xr:uid="{FFF94284-863D-4907-A225-43633B03337D}">
          <x14:formula1>
            <xm:f>Lists!$Y$3:$Y$7</xm:f>
          </x14:formula1>
          <xm:sqref>I2:I3</xm:sqref>
        </x14:dataValidation>
        <x14:dataValidation type="list" allowBlank="1" showInputMessage="1" showErrorMessage="1" xr:uid="{1BE6ACB3-4211-47B8-A5D7-4EF19FB3F35E}">
          <x14:formula1>
            <xm:f>Lists!$Z$3:$Z$7</xm:f>
          </x14:formula1>
          <xm:sqref>J2:J3</xm:sqref>
        </x14:dataValidation>
        <x14:dataValidation type="list" allowBlank="1" showInputMessage="1" showErrorMessage="1" xr:uid="{DA32C3AC-A6E2-49A8-9E9A-F2236CECD9A1}">
          <x14:formula1>
            <xm:f>Lists!$AA$3:$AA$7</xm:f>
          </x14:formula1>
          <xm:sqref>K2:K3</xm:sqref>
        </x14:dataValidation>
        <x14:dataValidation type="list" allowBlank="1" showInputMessage="1" showErrorMessage="1" xr:uid="{C5B6F149-DC65-4572-919E-946AC43A9497}">
          <x14:formula1>
            <xm:f>Lists!$AB$3:$AB$7</xm:f>
          </x14:formula1>
          <xm:sqref>L2:L3</xm:sqref>
        </x14:dataValidation>
        <x14:dataValidation type="list" allowBlank="1" showInputMessage="1" showErrorMessage="1" xr:uid="{CC3FEE29-ECF8-4CDB-815E-3782B1628F04}">
          <x14:formula1>
            <xm:f>Lists!$AC$3:$AC$6</xm:f>
          </x14:formula1>
          <xm:sqref>M2:M3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9C2E-8D50-4E89-9DEE-A12405B2CF47}">
  <dimension ref="A1:Q5"/>
  <sheetViews>
    <sheetView workbookViewId="0">
      <selection activeCell="A5" sqref="A5"/>
    </sheetView>
  </sheetViews>
  <sheetFormatPr defaultRowHeight="15"/>
  <cols>
    <col min="2" max="2" width="38.28515625" bestFit="1" customWidth="1"/>
    <col min="3" max="3" width="16.7109375" bestFit="1" customWidth="1"/>
  </cols>
  <sheetData>
    <row r="1" spans="1:17">
      <c r="A1" s="143" t="s">
        <v>8634</v>
      </c>
      <c r="B1" s="143"/>
      <c r="C1" s="143"/>
      <c r="D1" s="143"/>
      <c r="E1" s="143"/>
      <c r="G1" s="145" t="s">
        <v>8635</v>
      </c>
      <c r="H1" s="146"/>
      <c r="I1" s="146"/>
      <c r="J1" s="146"/>
      <c r="K1" s="146"/>
      <c r="M1" s="145" t="s">
        <v>8636</v>
      </c>
      <c r="N1" s="146"/>
      <c r="O1" s="146"/>
      <c r="P1" s="146"/>
      <c r="Q1" s="146"/>
    </row>
    <row r="2" spans="1:17">
      <c r="A2" s="144"/>
      <c r="B2" s="144"/>
      <c r="C2" s="144"/>
      <c r="D2" s="144"/>
      <c r="E2" s="144"/>
      <c r="G2" s="147"/>
      <c r="H2" s="147"/>
      <c r="I2" s="147"/>
      <c r="J2" s="147"/>
      <c r="K2" s="147"/>
      <c r="M2" s="147"/>
      <c r="N2" s="147"/>
      <c r="O2" s="147"/>
      <c r="P2" s="147"/>
      <c r="Q2" s="147"/>
    </row>
    <row r="3" spans="1:17">
      <c r="A3" s="101" t="s">
        <v>0</v>
      </c>
      <c r="B3" s="101" t="s">
        <v>8637</v>
      </c>
      <c r="C3" s="101" t="s">
        <v>8638</v>
      </c>
      <c r="G3" s="101" t="s">
        <v>0</v>
      </c>
      <c r="H3" s="101" t="s">
        <v>8637</v>
      </c>
      <c r="I3" s="101" t="s">
        <v>8639</v>
      </c>
      <c r="M3" s="101" t="s">
        <v>0</v>
      </c>
      <c r="N3" s="101" t="s">
        <v>8637</v>
      </c>
      <c r="O3" s="101" t="s">
        <v>8639</v>
      </c>
    </row>
    <row r="4" spans="1:17">
      <c r="A4" t="str" cm="1">
        <f t="array" aca="1" ref="A4:C5" ca="1">IFERROR(
  _xlfn._xlws.FILTER(
    CHOOSE({1,2,3},
      tabExam[Unique ID],      tabExam[Exam Cycle Stage],
      tabExam[Days_Since_Log]    ),
    tabExam[Followup_Bucket]="90+"
  ),
"")</f>
        <v>DOC-00170</v>
      </c>
      <c r="B4" t="str">
        <f ca="1"/>
        <v>Score released/ Not on Eligble list</v>
      </c>
      <c r="C4">
        <f ca="1"/>
        <v>378</v>
      </c>
      <c r="G4" t="str" cm="1">
        <f t="array" aca="1" ref="G4" ca="1">IFERROR(
  _xlfn._xlws.FILTER(
    CHOOSE({1,2,3},
      tabExam[Unique ID],      tabExam[Exam Cycle Stage],
      tabExam[Days_Since_Log]    ),
    tabExam[Followup_Bucket]="60-89"
  ),
"")</f>
        <v/>
      </c>
      <c r="M4" t="str" cm="1">
        <f t="array" aca="1" ref="M4:O4" ca="1">IFERROR(
  _xlfn._xlws.FILTER(
    CHOOSE({1,2,3},
      tabExam[Unique ID],      tabExam[Exam Cycle Stage],
      tabExam[Days_Since_Log]    ),
    tabExam[Followup_Bucket]="30-59"
  ),
"")</f>
        <v>DOC-01299</v>
      </c>
      <c r="N4" t="str">
        <f ca="1"/>
        <v>NTA (Notice to Appear)</v>
      </c>
      <c r="O4">
        <f ca="1"/>
        <v>34</v>
      </c>
    </row>
    <row r="5" spans="1:17">
      <c r="A5" t="str">
        <f ca="1"/>
        <v>DOC-01629</v>
      </c>
      <c r="B5" t="str">
        <f ca="1"/>
        <v>ARP (Academy Readiness Program) Phase 1</v>
      </c>
      <c r="C5">
        <f ca="1"/>
        <v>394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74F0-650C-4FD0-9096-6C549EE1790E}">
  <dimension ref="A1:Q6"/>
  <sheetViews>
    <sheetView workbookViewId="0">
      <selection activeCell="M5" sqref="M5"/>
    </sheetView>
  </sheetViews>
  <sheetFormatPr defaultRowHeight="15"/>
  <cols>
    <col min="1" max="1" width="11.28515625" customWidth="1"/>
    <col min="2" max="2" width="19.7109375" bestFit="1" customWidth="1"/>
    <col min="3" max="3" width="16.7109375" bestFit="1" customWidth="1"/>
    <col min="4" max="4" width="2.28515625" customWidth="1"/>
    <col min="5" max="5" width="3.140625" customWidth="1"/>
    <col min="7" max="7" width="8.5703125" bestFit="1" customWidth="1"/>
    <col min="8" max="8" width="10.140625" bestFit="1" customWidth="1"/>
    <col min="9" max="9" width="12.85546875" bestFit="1" customWidth="1"/>
    <col min="10" max="10" width="5.7109375" customWidth="1"/>
    <col min="11" max="11" width="8.7109375" customWidth="1"/>
    <col min="13" max="13" width="8.5703125" bestFit="1" customWidth="1"/>
    <col min="14" max="14" width="10.140625" bestFit="1" customWidth="1"/>
    <col min="15" max="15" width="12.85546875" bestFit="1" customWidth="1"/>
  </cols>
  <sheetData>
    <row r="1" spans="1:17">
      <c r="A1" s="143" t="s">
        <v>8634</v>
      </c>
      <c r="B1" s="143"/>
      <c r="C1" s="143"/>
      <c r="D1" s="143"/>
      <c r="E1" s="143"/>
      <c r="G1" s="145" t="s">
        <v>8635</v>
      </c>
      <c r="H1" s="146"/>
      <c r="I1" s="146"/>
      <c r="J1" s="146"/>
      <c r="K1" s="146"/>
      <c r="M1" s="145" t="s">
        <v>8636</v>
      </c>
      <c r="N1" s="146"/>
      <c r="O1" s="146"/>
      <c r="P1" s="146"/>
      <c r="Q1" s="146"/>
    </row>
    <row r="2" spans="1:17" ht="29.45" customHeight="1">
      <c r="A2" s="144"/>
      <c r="B2" s="144"/>
      <c r="C2" s="144"/>
      <c r="D2" s="144"/>
      <c r="E2" s="144"/>
      <c r="G2" s="147"/>
      <c r="H2" s="147"/>
      <c r="I2" s="147"/>
      <c r="J2" s="147"/>
      <c r="K2" s="147"/>
      <c r="M2" s="147"/>
      <c r="N2" s="147"/>
      <c r="O2" s="147"/>
      <c r="P2" s="147"/>
      <c r="Q2" s="147"/>
    </row>
    <row r="3" spans="1:17">
      <c r="A3" s="101" t="s">
        <v>0</v>
      </c>
      <c r="B3" s="101" t="s">
        <v>8637</v>
      </c>
      <c r="C3" s="101" t="s">
        <v>8638</v>
      </c>
      <c r="G3" s="101" t="s">
        <v>0</v>
      </c>
      <c r="H3" s="101" t="s">
        <v>8637</v>
      </c>
      <c r="I3" s="101" t="s">
        <v>8639</v>
      </c>
      <c r="M3" s="101" t="s">
        <v>0</v>
      </c>
      <c r="N3" s="101" t="s">
        <v>8637</v>
      </c>
      <c r="O3" s="101" t="s">
        <v>8639</v>
      </c>
    </row>
    <row r="4" spans="1:17">
      <c r="A4" t="str" cm="1">
        <f t="array" aca="1" ref="A4" ca="1">IFERROR(
  _xlfn._xlws.FILTER(
    CHOOSE({1,2,3},
      tblLog[Unique ID],      tblLog[Cycle Stage],
      tblLog[Days_Since_Log]    ),
    tblLog[Followup_Bucket]="90+"
  ),
"")</f>
        <v/>
      </c>
      <c r="G4" t="str" cm="1">
        <f t="array" aca="1" ref="G4" ca="1">IFERROR(
  _xlfn._xlws.FILTER(
    CHOOSE({1,2,3},
      tblLog[Unique ID],      tblLog[Cycle Stage],
      tblLog[Days_Since_Log]    ),
    tblLog[Followup_Bucket]="60-89"
  ),
"")</f>
        <v/>
      </c>
      <c r="M4" t="str" cm="1">
        <f t="array" aca="1" ref="M4:O6" ca="1">IFERROR(
  _xlfn._xlws.FILTER(
    CHOOSE({1,2,3},
      tblLog[Unique ID],      tblLog[Cycle Stage],
      tblLog[Days_Since_Log]    ),
    tblLog[Followup_Bucket]="30-59"
  ),
"")</f>
        <v>DOC-00240</v>
      </c>
      <c r="N4" t="str">
        <f ca="1"/>
        <v>1:1 call</v>
      </c>
      <c r="O4">
        <f ca="1"/>
        <v>30</v>
      </c>
    </row>
    <row r="5" spans="1:17">
      <c r="M5" t="str">
        <f ca="1"/>
        <v>DOC-00272</v>
      </c>
      <c r="N5" t="str">
        <f ca="1"/>
        <v>1:1 call</v>
      </c>
      <c r="O5">
        <f ca="1"/>
        <v>31</v>
      </c>
    </row>
    <row r="6" spans="1:17">
      <c r="M6" t="str">
        <f ca="1"/>
        <v>DOC-00082</v>
      </c>
      <c r="N6" t="str">
        <f ca="1"/>
        <v>NTA (Notice to Appear)</v>
      </c>
      <c r="O6">
        <f ca="1"/>
        <v>31</v>
      </c>
    </row>
  </sheetData>
  <mergeCells count="3">
    <mergeCell ref="A1:E2"/>
    <mergeCell ref="G1:K2"/>
    <mergeCell ref="M1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36C99A8F2494CABCEA225CFF43CEB" ma:contentTypeVersion="12" ma:contentTypeDescription="Create a new document." ma:contentTypeScope="" ma:versionID="7b1b17250c44e019ed86ffa30d223c5b">
  <xsd:schema xmlns:xsd="http://www.w3.org/2001/XMLSchema" xmlns:xs="http://www.w3.org/2001/XMLSchema" xmlns:p="http://schemas.microsoft.com/office/2006/metadata/properties" xmlns:ns2="60a65647-909d-4e56-854c-6e1462531150" xmlns:ns3="c0689aa4-a6f4-42be-a5a5-ac72d2e708f6" targetNamespace="http://schemas.microsoft.com/office/2006/metadata/properties" ma:root="true" ma:fieldsID="17c16452689c46d594b935fc09558609" ns2:_="" ns3:_="">
    <xsd:import namespace="60a65647-909d-4e56-854c-6e1462531150"/>
    <xsd:import namespace="c0689aa4-a6f4-42be-a5a5-ac72d2e70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a65647-909d-4e56-854c-6e1462531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89aa4-a6f4-42be-a5a5-ac72d2e708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9918b16-541d-47d5-8af2-969081c2a194}" ma:internalName="TaxCatchAll" ma:showField="CatchAllData" ma:web="c0689aa4-a6f4-42be-a5a5-ac72d2e70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689aa4-a6f4-42be-a5a5-ac72d2e708f6" xsi:nil="true"/>
    <lcf76f155ced4ddcb4097134ff3c332f xmlns="60a65647-909d-4e56-854c-6e146253115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CA40BE-2B4A-4E37-9212-9C0BA27D5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a65647-909d-4e56-854c-6e1462531150"/>
    <ds:schemaRef ds:uri="c0689aa4-a6f4-42be-a5a5-ac72d2e70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6D6D9D-8AFF-4AFF-8EDE-CB8302E6CB7E}">
  <ds:schemaRefs>
    <ds:schemaRef ds:uri="http://schemas.microsoft.com/office/2006/metadata/properties"/>
    <ds:schemaRef ds:uri="http://schemas.microsoft.com/office/infopath/2007/PartnerControls"/>
    <ds:schemaRef ds:uri="c0689aa4-a6f4-42be-a5a5-ac72d2e708f6"/>
    <ds:schemaRef ds:uri="60a65647-909d-4e56-854c-6e1462531150"/>
  </ds:schemaRefs>
</ds:datastoreItem>
</file>

<file path=customXml/itemProps3.xml><?xml version="1.0" encoding="utf-8"?>
<ds:datastoreItem xmlns:ds="http://schemas.openxmlformats.org/officeDocument/2006/customXml" ds:itemID="{2F68A8CC-F638-40A9-899B-F1E74DAE3A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Master</vt:lpstr>
      <vt:lpstr>Daily Outreach Log</vt:lpstr>
      <vt:lpstr> Recruitment Exam Tracker</vt:lpstr>
      <vt:lpstr>Civil Service Eligible list </vt:lpstr>
      <vt:lpstr>Lists</vt:lpstr>
      <vt:lpstr>Onboarding</vt:lpstr>
      <vt:lpstr>Exam Follow Up</vt:lpstr>
      <vt:lpstr>Outreach Log Follow Up</vt:lpstr>
      <vt:lpstr>Available_Unique_IDs</vt:lpstr>
      <vt:lpstr>Cyclestagelist</vt:lpstr>
      <vt:lpstr>ExamCycleStageList</vt:lpstr>
      <vt:lpstr>ExamOutcomeList</vt:lpstr>
      <vt:lpstr>Outcomelist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Saurav (DOC)</dc:creator>
  <cp:keywords/>
  <dc:description/>
  <cp:lastModifiedBy>Kumar, Saurav (DOC)</cp:lastModifiedBy>
  <cp:revision/>
  <dcterms:created xsi:type="dcterms:W3CDTF">2026-01-22T17:42:09Z</dcterms:created>
  <dcterms:modified xsi:type="dcterms:W3CDTF">2026-02-26T15:27:27Z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0x010100B3436C99A8F2494CABCEA225CFF43CEB</vt:lpwstr>
  </property>
  <property fmtid="{D5CDD505-2E9C-101B-9397-08002B2CF9AE}" pid="3" name="MediaServiceImageTags">
    <vt:lpwstr/>
  </property>
</Properties>
</file>